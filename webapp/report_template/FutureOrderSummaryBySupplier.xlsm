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168" windowWidth="23064" windowHeight="4452" tabRatio="500"/>
  </bookViews>
  <sheets>
    <sheet name="Main" sheetId="1" r:id="rId1"/>
    <sheet name="Summary" sheetId="7" r:id="rId2"/>
    <sheet name="Sheet2" sheetId="6" state="hidden" r:id="rId3"/>
  </sheets>
  <definedNames>
    <definedName name="_xlnm.Print_Titles" localSheetId="0">Main!$1:$4</definedName>
    <definedName name="_xlnm.Print_Titles" localSheetId="2">Sheet2!#REF!</definedName>
    <definedName name="_xlnm.Print_Titles" localSheetId="1">Summary!$1:$4</definedName>
  </definedNames>
  <calcPr calcId="145621"/>
</workbook>
</file>

<file path=xl/calcChain.xml><?xml version="1.0" encoding="utf-8"?>
<calcChain xmlns="http://schemas.openxmlformats.org/spreadsheetml/2006/main">
  <c r="B2" i="7" l="1"/>
  <c r="B1" i="7"/>
  <c r="K21" i="6" l="1"/>
  <c r="H20" i="6"/>
  <c r="H19" i="6"/>
  <c r="I18" i="6"/>
  <c r="I20" i="6" s="1"/>
  <c r="I17" i="6"/>
  <c r="I16" i="6"/>
  <c r="I15" i="6"/>
  <c r="I14" i="6"/>
  <c r="K12" i="6"/>
  <c r="H11" i="6"/>
  <c r="H10" i="6"/>
  <c r="I9" i="6"/>
  <c r="I11" i="6" s="1"/>
  <c r="I8" i="6"/>
  <c r="I7" i="6"/>
  <c r="I6" i="6"/>
  <c r="I5" i="6"/>
  <c r="I10" i="6" l="1"/>
  <c r="I19" i="6"/>
</calcChain>
</file>

<file path=xl/sharedStrings.xml><?xml version="1.0" encoding="utf-8"?>
<sst xmlns="http://schemas.openxmlformats.org/spreadsheetml/2006/main" count="96" uniqueCount="34">
  <si>
    <t>ALL</t>
  </si>
  <si>
    <t>Office</t>
  </si>
  <si>
    <t>Currency</t>
  </si>
  <si>
    <t>Office:</t>
  </si>
  <si>
    <t>Supplier:</t>
  </si>
  <si>
    <t>Supplier</t>
  </si>
  <si>
    <t>Contract No</t>
  </si>
  <si>
    <t>Delivery No</t>
  </si>
  <si>
    <t>At Warehouse Date</t>
  </si>
  <si>
    <t>Net Supplier Amount</t>
  </si>
  <si>
    <t>Status</t>
  </si>
  <si>
    <t>No. of Order</t>
  </si>
  <si>
    <t>O/S Unresolved UK Claims</t>
  </si>
  <si>
    <t xml:space="preserve">O/S Advance Payment </t>
  </si>
  <si>
    <t>Deductions</t>
  </si>
  <si>
    <t>BD</t>
  </si>
  <si>
    <t>BHIS</t>
  </si>
  <si>
    <t>AA1234561</t>
  </si>
  <si>
    <t>USD</t>
  </si>
  <si>
    <t>Draft</t>
  </si>
  <si>
    <t>AA1234562</t>
  </si>
  <si>
    <t>P.O generated</t>
  </si>
  <si>
    <t>AA1234563</t>
  </si>
  <si>
    <t>Pending approval</t>
  </si>
  <si>
    <t>AA1234564</t>
  </si>
  <si>
    <t>AA1234565</t>
  </si>
  <si>
    <t>GBP</t>
  </si>
  <si>
    <t>TOTAL USD</t>
  </si>
  <si>
    <t>TOTAL GBP</t>
  </si>
  <si>
    <t>TOTAL NO. OF ORDERS</t>
  </si>
  <si>
    <t>Talisman</t>
  </si>
  <si>
    <t>Michael Lau</t>
  </si>
  <si>
    <t xml:space="preserve"> </t>
  </si>
  <si>
    <t>*** End Of Report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</si>
</sst>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_);_(* \(#,##0\);_(* &quot;-&quot;??_);_(@_)"/>
    <numFmt numFmtId="166" formatCode="##,##0.0000"/>
  </numFmts>
  <fonts count="19" x14ac:knownFonts="1">
    <font>
      <sz val="10"/>
      <color indexed="8"/>
      <name val="ARIAL"/>
      <charset val="1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i/>
      <sz val="10"/>
      <name val="Calibri"/>
      <family val="2"/>
    </font>
    <font>
      <sz val="10"/>
      <color indexed="8"/>
      <name val="Calibri"/>
      <family val="2"/>
    </font>
    <font>
      <sz val="8"/>
      <color indexed="8"/>
      <name val="Calibri"/>
      <family val="2"/>
    </font>
    <font>
      <b/>
      <sz val="10"/>
      <name val="Calibri"/>
      <family val="2"/>
    </font>
    <font>
      <b/>
      <sz val="11"/>
      <color theme="1"/>
      <name val="Calibri"/>
      <family val="2"/>
    </font>
    <font>
      <b/>
      <i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8"/>
      <color indexed="8"/>
      <name val="Calibri"/>
      <family val="2"/>
      <scheme val="minor"/>
    </font>
    <font>
      <sz val="10"/>
      <name val="Arial"/>
      <family val="2"/>
    </font>
    <font>
      <sz val="1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top"/>
    </xf>
    <xf numFmtId="0" fontId="2" fillId="2" borderId="1" applyNumberFormat="0" applyFont="0" applyAlignment="0" applyProtection="0"/>
    <xf numFmtId="164" fontId="4" fillId="0" borderId="0" applyFont="0" applyFill="0" applyBorder="0" applyAlignment="0" applyProtection="0"/>
  </cellStyleXfs>
  <cellXfs count="55">
    <xf numFmtId="0" fontId="0" fillId="0" borderId="0" xfId="0">
      <alignment vertical="top"/>
    </xf>
    <xf numFmtId="0" fontId="3" fillId="0" borderId="0" xfId="0" applyFont="1">
      <alignment vertical="top"/>
    </xf>
    <xf numFmtId="0" fontId="0" fillId="0" borderId="0" xfId="0" applyAlignment="1">
      <alignment horizontal="right" vertical="top"/>
    </xf>
    <xf numFmtId="0" fontId="5" fillId="0" borderId="2" xfId="0" applyFont="1" applyBorder="1" applyAlignment="1"/>
    <xf numFmtId="0" fontId="5" fillId="0" borderId="2" xfId="0" applyFont="1" applyFill="1" applyBorder="1" applyAlignment="1"/>
    <xf numFmtId="0" fontId="5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 wrapText="1"/>
    </xf>
    <xf numFmtId="0" fontId="0" fillId="0" borderId="0" xfId="0" applyAlignment="1"/>
    <xf numFmtId="0" fontId="5" fillId="0" borderId="0" xfId="0" applyFont="1" applyAlignment="1"/>
    <xf numFmtId="49" fontId="5" fillId="3" borderId="3" xfId="0" applyNumberFormat="1" applyFont="1" applyFill="1" applyBorder="1" applyAlignment="1"/>
    <xf numFmtId="164" fontId="5" fillId="3" borderId="3" xfId="2" applyFont="1" applyFill="1" applyBorder="1"/>
    <xf numFmtId="165" fontId="5" fillId="3" borderId="3" xfId="2" applyNumberFormat="1" applyFont="1" applyFill="1" applyBorder="1" applyAlignment="1">
      <alignment horizontal="right"/>
    </xf>
    <xf numFmtId="49" fontId="5" fillId="0" borderId="0" xfId="0" applyNumberFormat="1" applyFont="1" applyAlignment="1"/>
    <xf numFmtId="0" fontId="5" fillId="3" borderId="3" xfId="0" applyFont="1" applyFill="1" applyBorder="1" applyAlignment="1"/>
    <xf numFmtId="165" fontId="5" fillId="3" borderId="3" xfId="2" applyNumberFormat="1" applyFont="1" applyFill="1" applyBorder="1"/>
    <xf numFmtId="0" fontId="6" fillId="0" borderId="0" xfId="1" applyFont="1" applyFill="1" applyBorder="1" applyAlignment="1">
      <alignment vertical="top"/>
    </xf>
    <xf numFmtId="0" fontId="7" fillId="0" borderId="0" xfId="1" applyFont="1" applyFill="1" applyBorder="1" applyAlignment="1">
      <alignment vertical="top"/>
    </xf>
    <xf numFmtId="0" fontId="8" fillId="0" borderId="0" xfId="0" applyFont="1">
      <alignment vertical="top"/>
    </xf>
    <xf numFmtId="0" fontId="7" fillId="0" borderId="0" xfId="0" applyFont="1">
      <alignment vertical="top"/>
    </xf>
    <xf numFmtId="0" fontId="7" fillId="0" borderId="0" xfId="0" applyFont="1" applyAlignment="1">
      <alignment horizontal="right" vertical="top"/>
    </xf>
    <xf numFmtId="0" fontId="11" fillId="0" borderId="0" xfId="1" applyFont="1" applyFill="1" applyBorder="1" applyAlignment="1">
      <alignment vertical="top"/>
    </xf>
    <xf numFmtId="0" fontId="12" fillId="0" borderId="0" xfId="1" applyFont="1" applyFill="1" applyBorder="1" applyAlignment="1">
      <alignment vertical="top"/>
    </xf>
    <xf numFmtId="0" fontId="13" fillId="0" borderId="0" xfId="0" applyFont="1">
      <alignment vertical="top"/>
    </xf>
    <xf numFmtId="9" fontId="14" fillId="0" borderId="2" xfId="0" applyNumberFormat="1" applyFont="1" applyFill="1" applyBorder="1" applyAlignment="1"/>
    <xf numFmtId="0" fontId="12" fillId="0" borderId="0" xfId="0" applyFont="1" applyAlignment="1"/>
    <xf numFmtId="14" fontId="15" fillId="0" borderId="0" xfId="0" applyNumberFormat="1" applyFont="1" applyFill="1" applyAlignment="1"/>
    <xf numFmtId="14" fontId="12" fillId="0" borderId="0" xfId="0" applyNumberFormat="1" applyFont="1" applyFill="1" applyAlignment="1">
      <alignment horizontal="left"/>
    </xf>
    <xf numFmtId="164" fontId="15" fillId="0" borderId="0" xfId="2" applyFont="1" applyFill="1"/>
    <xf numFmtId="0" fontId="15" fillId="0" borderId="0" xfId="0" applyFont="1" applyFill="1" applyAlignment="1"/>
    <xf numFmtId="0" fontId="12" fillId="0" borderId="0" xfId="0" applyFont="1" applyAlignment="1">
      <alignment horizontal="right"/>
    </xf>
    <xf numFmtId="164" fontId="1" fillId="0" borderId="0" xfId="2" applyFont="1" applyAlignment="1">
      <alignment horizontal="center"/>
    </xf>
    <xf numFmtId="164" fontId="1" fillId="0" borderId="0" xfId="2" applyFont="1" applyAlignment="1">
      <alignment horizontal="center" wrapText="1"/>
    </xf>
    <xf numFmtId="164" fontId="12" fillId="0" borderId="0" xfId="2" applyFont="1" applyAlignment="1">
      <alignment horizontal="center" wrapText="1"/>
    </xf>
    <xf numFmtId="164" fontId="1" fillId="0" borderId="0" xfId="2" applyFont="1"/>
    <xf numFmtId="164" fontId="12" fillId="0" borderId="0" xfId="2" applyFont="1" applyAlignment="1"/>
    <xf numFmtId="0" fontId="15" fillId="0" borderId="0" xfId="0" applyFont="1" applyFill="1" applyAlignment="1">
      <alignment horizontal="left"/>
    </xf>
    <xf numFmtId="49" fontId="12" fillId="0" borderId="0" xfId="0" applyNumberFormat="1" applyFont="1" applyAlignment="1"/>
    <xf numFmtId="166" fontId="12" fillId="0" borderId="0" xfId="0" applyNumberFormat="1" applyFont="1" applyAlignment="1"/>
    <xf numFmtId="0" fontId="12" fillId="0" borderId="0" xfId="0" applyFont="1" applyAlignment="1">
      <alignment horizontal="center" wrapText="1"/>
    </xf>
    <xf numFmtId="0" fontId="16" fillId="0" borderId="0" xfId="0" applyFont="1" applyAlignment="1">
      <alignment horizontal="center" vertical="top"/>
    </xf>
    <xf numFmtId="0" fontId="12" fillId="0" borderId="0" xfId="0" applyFont="1">
      <alignment vertical="top"/>
    </xf>
    <xf numFmtId="0" fontId="12" fillId="0" borderId="0" xfId="0" applyFont="1" applyAlignment="1">
      <alignment horizontal="right" vertical="top"/>
    </xf>
    <xf numFmtId="0" fontId="10" fillId="4" borderId="3" xfId="0" applyFont="1" applyFill="1" applyBorder="1" applyAlignment="1"/>
    <xf numFmtId="0" fontId="10" fillId="4" borderId="3" xfId="0" applyFont="1" applyFill="1" applyBorder="1" applyAlignment="1">
      <alignment wrapText="1"/>
    </xf>
    <xf numFmtId="9" fontId="9" fillId="4" borderId="3" xfId="0" applyNumberFormat="1" applyFont="1" applyFill="1" applyBorder="1" applyAlignment="1"/>
    <xf numFmtId="0" fontId="10" fillId="4" borderId="3" xfId="0" applyFont="1" applyFill="1" applyBorder="1" applyAlignment="1">
      <alignment horizontal="center"/>
    </xf>
    <xf numFmtId="0" fontId="10" fillId="4" borderId="3" xfId="0" applyFont="1" applyFill="1" applyBorder="1" applyAlignment="1">
      <alignment horizontal="center" wrapText="1"/>
    </xf>
    <xf numFmtId="164" fontId="12" fillId="0" borderId="0" xfId="2" applyFont="1" applyAlignment="1">
      <alignment vertical="top"/>
    </xf>
    <xf numFmtId="164" fontId="12" fillId="0" borderId="0" xfId="2" applyFont="1" applyAlignment="1">
      <alignment horizontal="right" vertical="top"/>
    </xf>
    <xf numFmtId="165" fontId="12" fillId="0" borderId="0" xfId="2" applyNumberFormat="1" applyFont="1" applyAlignment="1">
      <alignment vertical="top"/>
    </xf>
    <xf numFmtId="0" fontId="17" fillId="0" borderId="0" xfId="0" applyFont="1">
      <alignment vertical="top"/>
    </xf>
    <xf numFmtId="0" fontId="17" fillId="0" borderId="0" xfId="0" applyFont="1" applyProtection="1">
      <alignment vertical="top"/>
    </xf>
    <xf numFmtId="0" fontId="16" fillId="0" borderId="0" xfId="0" applyFont="1" applyAlignment="1">
      <alignment horizontal="center" vertical="top"/>
    </xf>
    <xf numFmtId="0" fontId="18" fillId="0" borderId="0" xfId="0" applyFont="1" applyAlignment="1" applyProtection="1">
      <alignment horizontal="right"/>
      <protection hidden="1"/>
    </xf>
    <xf numFmtId="14" fontId="15" fillId="0" borderId="0" xfId="0" applyNumberFormat="1" applyFont="1" applyFill="1" applyAlignment="1" applyProtection="1">
      <protection hidden="1"/>
    </xf>
  </cellXfs>
  <cellStyles count="3">
    <cellStyle name="Comma" xfId="2" builtinId="3"/>
    <cellStyle name="Normal" xfId="0" builtinId="0"/>
    <cellStyle name="Note" xfId="1" builtinId="1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  <mruColors>
      <color rgb="FFFFFFCC"/>
      <color rgb="FFBEDED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  <pageSetUpPr autoPageBreaks="0" fitToPage="1"/>
  </sheetPr>
  <dimension ref="A1:N5"/>
  <sheetViews>
    <sheetView tabSelected="1" view="pageLayout" zoomScaleNormal="100" workbookViewId="0">
      <selection activeCell="A3" sqref="A3"/>
    </sheetView>
  </sheetViews>
  <sheetFormatPr defaultColWidth="2.109375" defaultRowHeight="12.75" customHeight="1" x14ac:dyDescent="0.25"/>
  <cols>
    <col min="1" max="1" width="8.88671875" customWidth="1"/>
    <col min="2" max="2" width="42.109375" customWidth="1"/>
    <col min="3" max="3" width="13.33203125" customWidth="1"/>
    <col min="4" max="4" width="14.109375" customWidth="1"/>
    <col min="5" max="5" width="10.77734375" customWidth="1"/>
    <col min="6" max="6" width="10.6640625" customWidth="1"/>
    <col min="7" max="7" width="13" customWidth="1"/>
    <col min="8" max="8" width="14.88671875" customWidth="1"/>
    <col min="9" max="9" width="12.5546875" style="2" customWidth="1"/>
    <col min="10" max="10" width="24" customWidth="1"/>
    <col min="11" max="11" width="12.88671875" customWidth="1"/>
    <col min="12" max="12" width="15.77734375" customWidth="1"/>
    <col min="13" max="13" width="14.44140625" customWidth="1"/>
    <col min="14" max="14" width="15.44140625" customWidth="1"/>
    <col min="15" max="230" width="6.88671875" customWidth="1"/>
  </cols>
  <sheetData>
    <row r="1" spans="1:14" s="1" customFormat="1" ht="13.8" x14ac:dyDescent="0.25">
      <c r="A1" s="15" t="s">
        <v>3</v>
      </c>
      <c r="B1" s="16" t="s">
        <v>0</v>
      </c>
      <c r="C1" s="17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2" spans="1:14" s="1" customFormat="1" ht="13.8" x14ac:dyDescent="0.25">
      <c r="A2" s="15" t="s">
        <v>4</v>
      </c>
      <c r="B2" s="16" t="s">
        <v>0</v>
      </c>
      <c r="C2" s="17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</row>
    <row r="3" spans="1:14" ht="12.75" customHeight="1" x14ac:dyDescent="0.25">
      <c r="A3" s="18"/>
      <c r="B3" s="18"/>
      <c r="C3" s="18"/>
      <c r="D3" s="18"/>
      <c r="E3" s="18"/>
      <c r="F3" s="18"/>
      <c r="G3" s="18"/>
      <c r="H3" s="18"/>
      <c r="I3" s="19"/>
      <c r="J3" s="18"/>
      <c r="K3" s="18"/>
      <c r="L3" s="18"/>
      <c r="M3" s="18"/>
      <c r="N3" s="18"/>
    </row>
    <row r="4" spans="1:14" s="7" customFormat="1" ht="28.8" x14ac:dyDescent="0.3">
      <c r="A4" s="42" t="s">
        <v>1</v>
      </c>
      <c r="B4" s="42" t="s">
        <v>5</v>
      </c>
      <c r="C4" s="42" t="s">
        <v>6</v>
      </c>
      <c r="D4" s="42" t="s">
        <v>7</v>
      </c>
      <c r="E4" s="42" t="s">
        <v>8</v>
      </c>
      <c r="F4" s="42"/>
      <c r="G4" s="42" t="s">
        <v>2</v>
      </c>
      <c r="H4" s="43" t="s">
        <v>9</v>
      </c>
      <c r="I4" s="44">
        <v>0.05</v>
      </c>
      <c r="J4" s="42" t="s">
        <v>10</v>
      </c>
      <c r="K4" s="45" t="s">
        <v>11</v>
      </c>
      <c r="L4" s="46" t="s">
        <v>12</v>
      </c>
      <c r="M4" s="46" t="s">
        <v>13</v>
      </c>
      <c r="N4" s="45" t="s">
        <v>14</v>
      </c>
    </row>
    <row r="5" spans="1:14" ht="12.75" customHeight="1" x14ac:dyDescent="0.25">
      <c r="F5" s="51"/>
      <c r="G5" s="50"/>
    </row>
  </sheetData>
  <pageMargins left="0" right="0" top="0.75" bottom="0" header="0" footer="0"/>
  <pageSetup paperSize="9" scale="65" fitToHeight="0" orientation="landscape" r:id="rId1"/>
  <headerFooter>
    <oddHeader>&amp;L&amp;"Arial,Bold"&amp;8Printed By : &amp;"Arial,Regular"Michael Lau&amp;C&amp;"Arial,Bold"&amp;14&amp;G&amp;10
&amp;12&amp;K02-056Future Order Summary By Supplier (Bulk)&amp;R&amp;"Arial,Bold"&amp;8Printed Time : &amp;"Arial,Regular"ALL
&amp;"Arial,Bold"Page : &amp;"Arial,Regular"&amp;P of &amp;N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/>
    <pageSetUpPr autoPageBreaks="0" fitToPage="1"/>
  </sheetPr>
  <dimension ref="A1:I4"/>
  <sheetViews>
    <sheetView view="pageLayout" zoomScaleNormal="100" workbookViewId="0"/>
  </sheetViews>
  <sheetFormatPr defaultColWidth="2.109375" defaultRowHeight="12.75" customHeight="1" x14ac:dyDescent="0.25"/>
  <cols>
    <col min="1" max="1" width="8.88671875" customWidth="1"/>
    <col min="2" max="2" width="42.109375" customWidth="1"/>
    <col min="3" max="3" width="11.33203125" customWidth="1"/>
    <col min="4" max="4" width="14.88671875" customWidth="1"/>
    <col min="5" max="5" width="12.5546875" style="2" customWidth="1"/>
    <col min="6" max="6" width="12.88671875" customWidth="1"/>
    <col min="7" max="7" width="15.77734375" customWidth="1"/>
    <col min="8" max="8" width="14.44140625" customWidth="1"/>
    <col min="9" max="9" width="15.44140625" customWidth="1"/>
    <col min="10" max="225" width="6.88671875" customWidth="1"/>
  </cols>
  <sheetData>
    <row r="1" spans="1:9" s="1" customFormat="1" ht="13.8" x14ac:dyDescent="0.25">
      <c r="A1" s="15" t="s">
        <v>3</v>
      </c>
      <c r="B1" s="16" t="str">
        <f>Main!B1</f>
        <v>ALL</v>
      </c>
      <c r="C1" s="16"/>
      <c r="D1" s="16"/>
      <c r="E1" s="16"/>
      <c r="F1" s="16"/>
      <c r="G1" s="16"/>
      <c r="H1" s="16"/>
      <c r="I1" s="16"/>
    </row>
    <row r="2" spans="1:9" s="1" customFormat="1" ht="13.8" x14ac:dyDescent="0.25">
      <c r="A2" s="15" t="s">
        <v>4</v>
      </c>
      <c r="B2" s="16" t="str">
        <f>Main!B2</f>
        <v>ALL</v>
      </c>
      <c r="C2" s="16"/>
      <c r="D2" s="16"/>
      <c r="E2" s="16"/>
      <c r="F2" s="16"/>
      <c r="G2" s="16"/>
      <c r="H2" s="16"/>
      <c r="I2" s="16"/>
    </row>
    <row r="3" spans="1:9" ht="12.75" customHeight="1" x14ac:dyDescent="0.25">
      <c r="A3" s="18"/>
      <c r="B3" s="18"/>
      <c r="C3" s="18"/>
      <c r="D3" s="18"/>
      <c r="E3" s="19"/>
      <c r="F3" s="18"/>
      <c r="G3" s="18"/>
      <c r="H3" s="18"/>
      <c r="I3" s="18"/>
    </row>
    <row r="4" spans="1:9" s="7" customFormat="1" ht="28.8" x14ac:dyDescent="0.3">
      <c r="A4" s="42" t="s">
        <v>1</v>
      </c>
      <c r="B4" s="42" t="s">
        <v>5</v>
      </c>
      <c r="C4" s="42" t="s">
        <v>2</v>
      </c>
      <c r="D4" s="43" t="s">
        <v>9</v>
      </c>
      <c r="E4" s="44">
        <v>0.05</v>
      </c>
      <c r="F4" s="45" t="s">
        <v>11</v>
      </c>
      <c r="G4" s="46" t="s">
        <v>12</v>
      </c>
      <c r="H4" s="46" t="s">
        <v>13</v>
      </c>
      <c r="I4" s="45" t="s">
        <v>14</v>
      </c>
    </row>
  </sheetData>
  <pageMargins left="0" right="0" top="0.75" bottom="0" header="0" footer="0"/>
  <pageSetup paperSize="9" scale="68" fitToHeight="0" orientation="portrait" r:id="rId1"/>
  <headerFooter>
    <oddHeader>&amp;C&amp;"Arial,Bold"&amp;14&amp;G&amp;10
&amp;12&amp;K02-058Future Order Summary By Supplier (Bulk)&amp;L&amp;B&amp;8Printed By : &amp;BMichael Lau&amp;R&amp;B&amp;8Printed Time : &amp;BALL_x000D_&amp;BPage : &amp;B&amp;P of &amp;N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  <pageSetUpPr autoPageBreaks="0" fitToPage="1"/>
  </sheetPr>
  <dimension ref="A1:V29"/>
  <sheetViews>
    <sheetView view="pageLayout" topLeftCell="C1" zoomScaleNormal="100" workbookViewId="0">
      <selection activeCell="K5" sqref="K5"/>
    </sheetView>
  </sheetViews>
  <sheetFormatPr defaultColWidth="2.109375" defaultRowHeight="12.75" customHeight="1" x14ac:dyDescent="0.25"/>
  <cols>
    <col min="1" max="1" width="8.88671875" style="40" customWidth="1"/>
    <col min="2" max="2" width="30.109375" style="40" customWidth="1"/>
    <col min="3" max="3" width="13.33203125" style="40" customWidth="1"/>
    <col min="4" max="4" width="14.109375" style="40" customWidth="1"/>
    <col min="5" max="5" width="10.77734375" style="40" customWidth="1"/>
    <col min="6" max="6" width="10.6640625" style="40" customWidth="1"/>
    <col min="7" max="7" width="13" style="40" customWidth="1"/>
    <col min="8" max="8" width="14.88671875" style="40" customWidth="1"/>
    <col min="9" max="9" width="12.5546875" style="41" customWidth="1"/>
    <col min="10" max="10" width="24" style="40" customWidth="1"/>
    <col min="11" max="11" width="12.88671875" style="40" customWidth="1"/>
    <col min="12" max="12" width="15.77734375" style="40" customWidth="1"/>
    <col min="13" max="13" width="14.44140625" style="40" customWidth="1"/>
    <col min="14" max="14" width="15.44140625" style="40" customWidth="1"/>
    <col min="15" max="230" width="6.88671875" style="40" customWidth="1"/>
    <col min="231" max="16384" width="2.109375" style="40"/>
  </cols>
  <sheetData>
    <row r="1" spans="1:14" s="22" customFormat="1" ht="13.8" x14ac:dyDescent="0.25">
      <c r="A1" s="20" t="s">
        <v>31</v>
      </c>
      <c r="B1" s="21" t="s">
        <v>0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</row>
    <row r="2" spans="1:14" s="22" customFormat="1" ht="13.8" x14ac:dyDescent="0.25">
      <c r="A2" s="20" t="s">
        <v>4</v>
      </c>
      <c r="B2" s="21" t="s">
        <v>0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</row>
    <row r="4" spans="1:14" s="24" customFormat="1" ht="28.8" x14ac:dyDescent="0.3">
      <c r="A4" s="3" t="s">
        <v>1</v>
      </c>
      <c r="B4" s="3" t="s">
        <v>5</v>
      </c>
      <c r="C4" s="3" t="s">
        <v>6</v>
      </c>
      <c r="D4" s="3" t="s">
        <v>7</v>
      </c>
      <c r="E4" s="4" t="s">
        <v>8</v>
      </c>
      <c r="F4" s="4"/>
      <c r="G4" s="4" t="s">
        <v>2</v>
      </c>
      <c r="H4" s="4" t="s">
        <v>9</v>
      </c>
      <c r="I4" s="23">
        <v>0.05</v>
      </c>
      <c r="J4" s="4" t="s">
        <v>10</v>
      </c>
      <c r="K4" s="5" t="s">
        <v>11</v>
      </c>
      <c r="L4" s="6" t="s">
        <v>12</v>
      </c>
      <c r="M4" s="6" t="s">
        <v>13</v>
      </c>
      <c r="N4" s="5" t="s">
        <v>14</v>
      </c>
    </row>
    <row r="5" spans="1:14" s="24" customFormat="1" ht="14.4" x14ac:dyDescent="0.3">
      <c r="A5" s="24" t="s">
        <v>15</v>
      </c>
      <c r="B5" s="24" t="s">
        <v>16</v>
      </c>
      <c r="C5" s="24" t="s">
        <v>17</v>
      </c>
      <c r="D5" s="24">
        <v>1</v>
      </c>
      <c r="E5" s="25">
        <v>43917</v>
      </c>
      <c r="F5" s="54" t="s">
        <v>32</v>
      </c>
      <c r="G5" s="26" t="s">
        <v>18</v>
      </c>
      <c r="H5" s="27">
        <v>10000</v>
      </c>
      <c r="I5" s="27">
        <f>H5*$H$1</f>
        <v>0</v>
      </c>
      <c r="J5" s="28" t="s">
        <v>19</v>
      </c>
      <c r="K5" s="53"/>
      <c r="L5" s="30"/>
      <c r="M5" s="31"/>
      <c r="N5" s="32"/>
    </row>
    <row r="6" spans="1:14" s="24" customFormat="1" ht="14.4" x14ac:dyDescent="0.3">
      <c r="C6" s="24" t="s">
        <v>20</v>
      </c>
      <c r="D6" s="24">
        <v>1</v>
      </c>
      <c r="E6" s="25">
        <v>43917</v>
      </c>
      <c r="F6" s="25"/>
      <c r="G6" s="26" t="s">
        <v>18</v>
      </c>
      <c r="H6" s="27">
        <v>20000</v>
      </c>
      <c r="I6" s="27">
        <f>H6*$H$1</f>
        <v>0</v>
      </c>
      <c r="J6" s="28" t="s">
        <v>21</v>
      </c>
      <c r="K6" s="53"/>
      <c r="L6" s="33"/>
      <c r="M6" s="33"/>
      <c r="N6" s="34"/>
    </row>
    <row r="7" spans="1:14" s="24" customFormat="1" ht="14.4" x14ac:dyDescent="0.3">
      <c r="C7" s="24" t="s">
        <v>22</v>
      </c>
      <c r="D7" s="24">
        <v>1</v>
      </c>
      <c r="E7" s="25">
        <v>43922</v>
      </c>
      <c r="F7" s="25"/>
      <c r="G7" s="26" t="s">
        <v>18</v>
      </c>
      <c r="H7" s="27">
        <v>150000</v>
      </c>
      <c r="I7" s="27">
        <f>H7*$H$1</f>
        <v>0</v>
      </c>
      <c r="J7" s="28" t="s">
        <v>23</v>
      </c>
      <c r="K7" s="53"/>
      <c r="L7" s="33"/>
      <c r="M7" s="33"/>
      <c r="N7" s="34"/>
    </row>
    <row r="8" spans="1:14" s="24" customFormat="1" ht="14.4" x14ac:dyDescent="0.3">
      <c r="C8" s="24" t="s">
        <v>24</v>
      </c>
      <c r="D8" s="24">
        <v>1</v>
      </c>
      <c r="E8" s="25">
        <v>43952</v>
      </c>
      <c r="F8" s="25"/>
      <c r="G8" s="26" t="s">
        <v>18</v>
      </c>
      <c r="H8" s="27">
        <v>62000</v>
      </c>
      <c r="I8" s="27">
        <f>H8*$H$1</f>
        <v>0</v>
      </c>
      <c r="J8" s="28" t="s">
        <v>19</v>
      </c>
      <c r="K8" s="53"/>
      <c r="L8" s="33"/>
      <c r="M8" s="33"/>
      <c r="N8" s="34"/>
    </row>
    <row r="9" spans="1:14" s="24" customFormat="1" ht="14.4" x14ac:dyDescent="0.3">
      <c r="C9" s="24" t="s">
        <v>25</v>
      </c>
      <c r="D9" s="24">
        <v>1</v>
      </c>
      <c r="E9" s="25">
        <v>43952</v>
      </c>
      <c r="F9" s="25"/>
      <c r="G9" s="35" t="s">
        <v>26</v>
      </c>
      <c r="H9" s="27">
        <v>10000</v>
      </c>
      <c r="I9" s="27">
        <f>H9*$H$1</f>
        <v>0</v>
      </c>
      <c r="J9" s="28" t="s">
        <v>19</v>
      </c>
      <c r="K9" s="53"/>
      <c r="L9" s="33"/>
      <c r="M9" s="33"/>
      <c r="N9" s="34"/>
    </row>
    <row r="10" spans="1:14" s="8" customFormat="1" ht="14.4" x14ac:dyDescent="0.3">
      <c r="A10" s="8" t="s">
        <v>32</v>
      </c>
      <c r="B10" s="8" t="s">
        <v>32</v>
      </c>
      <c r="C10" s="8" t="s">
        <v>32</v>
      </c>
      <c r="D10" s="8" t="s">
        <v>32</v>
      </c>
      <c r="E10" s="8" t="s">
        <v>32</v>
      </c>
      <c r="F10" s="8" t="s">
        <v>32</v>
      </c>
      <c r="G10" s="9" t="s">
        <v>27</v>
      </c>
      <c r="H10" s="10">
        <f>SUM(H5:H8)</f>
        <v>242000</v>
      </c>
      <c r="I10" s="10">
        <f>SUM(I5:I8)</f>
        <v>0</v>
      </c>
      <c r="J10" s="9"/>
      <c r="K10" s="11">
        <v>4</v>
      </c>
      <c r="L10" s="10">
        <v>42000</v>
      </c>
      <c r="M10" s="10">
        <v>200000</v>
      </c>
      <c r="N10" s="10">
        <v>0</v>
      </c>
    </row>
    <row r="11" spans="1:14" s="8" customFormat="1" ht="14.4" x14ac:dyDescent="0.3">
      <c r="E11" s="12"/>
      <c r="F11" s="12"/>
      <c r="G11" s="13" t="s">
        <v>28</v>
      </c>
      <c r="H11" s="10">
        <f>SUM(H9)</f>
        <v>10000</v>
      </c>
      <c r="I11" s="10">
        <f>SUM(I9)</f>
        <v>0</v>
      </c>
      <c r="J11" s="13"/>
      <c r="K11" s="14">
        <v>1</v>
      </c>
      <c r="L11" s="10">
        <v>10000</v>
      </c>
      <c r="M11" s="10">
        <v>0</v>
      </c>
      <c r="N11" s="10">
        <v>0</v>
      </c>
    </row>
    <row r="12" spans="1:14" s="8" customFormat="1" ht="14.4" x14ac:dyDescent="0.3">
      <c r="E12" s="12"/>
      <c r="F12" s="12"/>
      <c r="G12" s="13" t="s">
        <v>29</v>
      </c>
      <c r="H12" s="10"/>
      <c r="I12" s="10"/>
      <c r="J12" s="13"/>
      <c r="K12" s="14">
        <f>SUM(K10:K11)</f>
        <v>5</v>
      </c>
      <c r="L12" s="10"/>
      <c r="M12" s="10"/>
      <c r="N12" s="10"/>
    </row>
    <row r="13" spans="1:14" s="24" customFormat="1" ht="14.4" x14ac:dyDescent="0.3">
      <c r="E13" s="36"/>
      <c r="F13" s="36"/>
      <c r="H13" s="33"/>
      <c r="I13" s="33"/>
      <c r="J13" s="37"/>
      <c r="L13" s="33"/>
      <c r="M13" s="33"/>
    </row>
    <row r="14" spans="1:14" s="24" customFormat="1" ht="14.4" x14ac:dyDescent="0.3">
      <c r="A14" s="24" t="s">
        <v>15</v>
      </c>
      <c r="B14" s="24" t="s">
        <v>30</v>
      </c>
      <c r="E14" s="25">
        <v>43948</v>
      </c>
      <c r="F14" s="25"/>
      <c r="G14" s="26" t="s">
        <v>18</v>
      </c>
      <c r="H14" s="27">
        <v>20000</v>
      </c>
      <c r="I14" s="27">
        <f>H14*$H$1</f>
        <v>0</v>
      </c>
      <c r="J14" s="28" t="s">
        <v>19</v>
      </c>
      <c r="K14" s="29"/>
      <c r="L14" s="30"/>
      <c r="M14" s="31"/>
      <c r="N14" s="38"/>
    </row>
    <row r="15" spans="1:14" s="24" customFormat="1" ht="14.4" x14ac:dyDescent="0.3">
      <c r="E15" s="25">
        <v>43978</v>
      </c>
      <c r="F15" s="25"/>
      <c r="G15" s="26" t="s">
        <v>18</v>
      </c>
      <c r="H15" s="27">
        <v>40000</v>
      </c>
      <c r="I15" s="27">
        <f>H15*$H$1</f>
        <v>0</v>
      </c>
      <c r="J15" s="28" t="s">
        <v>21</v>
      </c>
      <c r="K15" s="29"/>
      <c r="L15" s="33"/>
      <c r="M15" s="33"/>
    </row>
    <row r="16" spans="1:14" s="24" customFormat="1" ht="14.4" x14ac:dyDescent="0.3">
      <c r="E16" s="25">
        <v>43983</v>
      </c>
      <c r="F16" s="25"/>
      <c r="G16" s="26" t="s">
        <v>18</v>
      </c>
      <c r="H16" s="27">
        <v>160000</v>
      </c>
      <c r="I16" s="27">
        <f>H16*$H$1</f>
        <v>0</v>
      </c>
      <c r="J16" s="28" t="s">
        <v>23</v>
      </c>
      <c r="K16" s="29"/>
      <c r="L16" s="33"/>
      <c r="M16" s="33"/>
    </row>
    <row r="17" spans="1:22" s="24" customFormat="1" ht="14.4" x14ac:dyDescent="0.3">
      <c r="E17" s="25">
        <v>44013</v>
      </c>
      <c r="F17" s="25"/>
      <c r="G17" s="26" t="s">
        <v>18</v>
      </c>
      <c r="H17" s="27">
        <v>2000</v>
      </c>
      <c r="I17" s="27">
        <f>H17*$H$1</f>
        <v>0</v>
      </c>
      <c r="J17" s="28" t="s">
        <v>19</v>
      </c>
      <c r="K17" s="29"/>
      <c r="L17" s="33"/>
      <c r="M17" s="33"/>
    </row>
    <row r="18" spans="1:22" s="24" customFormat="1" ht="14.4" x14ac:dyDescent="0.3">
      <c r="E18" s="25">
        <v>44044</v>
      </c>
      <c r="F18" s="25"/>
      <c r="G18" s="35" t="s">
        <v>26</v>
      </c>
      <c r="H18" s="27">
        <v>16000</v>
      </c>
      <c r="I18" s="27">
        <f>H18*$H$1</f>
        <v>0</v>
      </c>
      <c r="J18" s="28" t="s">
        <v>19</v>
      </c>
      <c r="K18" s="29"/>
      <c r="L18" s="33"/>
      <c r="M18" s="33"/>
    </row>
    <row r="19" spans="1:22" s="8" customFormat="1" ht="14.4" x14ac:dyDescent="0.3">
      <c r="G19" s="9" t="s">
        <v>27</v>
      </c>
      <c r="H19" s="10">
        <f>SUM(H14:H17)</f>
        <v>222000</v>
      </c>
      <c r="I19" s="10">
        <f>SUM(I14:I17)</f>
        <v>0</v>
      </c>
      <c r="J19" s="9"/>
      <c r="K19" s="11">
        <v>4</v>
      </c>
      <c r="L19" s="10">
        <v>6000</v>
      </c>
      <c r="M19" s="10">
        <v>0</v>
      </c>
      <c r="N19" s="10">
        <v>0</v>
      </c>
    </row>
    <row r="20" spans="1:22" s="8" customFormat="1" ht="14.4" x14ac:dyDescent="0.3">
      <c r="E20" s="12"/>
      <c r="F20" s="12"/>
      <c r="G20" s="13" t="s">
        <v>28</v>
      </c>
      <c r="H20" s="10">
        <f>SUM(H18)</f>
        <v>16000</v>
      </c>
      <c r="I20" s="10">
        <f>SUM(I18)</f>
        <v>0</v>
      </c>
      <c r="J20" s="13"/>
      <c r="K20" s="14">
        <v>1</v>
      </c>
      <c r="L20" s="10">
        <v>0</v>
      </c>
      <c r="M20" s="10">
        <v>0</v>
      </c>
      <c r="N20" s="10">
        <v>0</v>
      </c>
    </row>
    <row r="21" spans="1:22" s="8" customFormat="1" ht="14.4" x14ac:dyDescent="0.3">
      <c r="E21" s="12"/>
      <c r="F21" s="12"/>
      <c r="G21" s="13" t="s">
        <v>29</v>
      </c>
      <c r="H21" s="10"/>
      <c r="I21" s="10"/>
      <c r="J21" s="13"/>
      <c r="K21" s="14">
        <f>SUM(K19:K20)</f>
        <v>5</v>
      </c>
      <c r="L21" s="10"/>
      <c r="M21" s="10"/>
      <c r="N21" s="10"/>
    </row>
    <row r="23" spans="1:22" ht="12.75" customHeight="1" x14ac:dyDescent="0.25">
      <c r="A23" s="52" t="s">
        <v>33</v>
      </c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39"/>
      <c r="P23" s="39"/>
      <c r="Q23" s="39"/>
      <c r="R23" s="39"/>
      <c r="S23" s="39"/>
      <c r="T23" s="39"/>
      <c r="U23" s="39"/>
      <c r="V23" s="39"/>
    </row>
    <row r="28" spans="1:22" ht="12.75" customHeight="1" x14ac:dyDescent="0.3">
      <c r="A28" s="42" t="s">
        <v>1</v>
      </c>
      <c r="B28" s="42" t="s">
        <v>5</v>
      </c>
      <c r="C28" s="42" t="s">
        <v>2</v>
      </c>
      <c r="D28" s="43" t="s">
        <v>9</v>
      </c>
      <c r="E28" s="44">
        <v>0.05</v>
      </c>
      <c r="F28" s="45" t="s">
        <v>11</v>
      </c>
      <c r="G28" s="46" t="s">
        <v>12</v>
      </c>
      <c r="H28" s="46" t="s">
        <v>13</v>
      </c>
      <c r="I28" s="45" t="s">
        <v>14</v>
      </c>
    </row>
    <row r="29" spans="1:22" ht="12.75" customHeight="1" x14ac:dyDescent="0.25">
      <c r="A29" s="40" t="s">
        <v>32</v>
      </c>
      <c r="B29" s="40" t="s">
        <v>32</v>
      </c>
      <c r="C29" s="40" t="s">
        <v>32</v>
      </c>
      <c r="D29" s="47">
        <v>0</v>
      </c>
      <c r="E29" s="48">
        <v>0</v>
      </c>
      <c r="F29" s="49">
        <v>0</v>
      </c>
      <c r="G29" s="47">
        <v>0</v>
      </c>
      <c r="H29" s="47">
        <v>0</v>
      </c>
      <c r="I29" s="47">
        <v>0</v>
      </c>
    </row>
  </sheetData>
  <mergeCells count="1">
    <mergeCell ref="A23:N23"/>
  </mergeCells>
  <pageMargins left="0" right="0" top="0.75" bottom="0" header="0" footer="0"/>
  <pageSetup paperSize="8" scale="99" fitToHeight="0" orientation="landscape" r:id="rId1"/>
  <headerFooter>
    <oddHeader>&amp;L&amp;"Arial,Bold"&amp;8Printed By : &amp;"Arial,Regular"Office:&amp;C&amp;"Arial,Bold"&amp;14&amp;G&amp;10
&amp;12&amp;K02-062Future Orders Summary (Bulk)&amp;R&amp;"Arial,Bold"&amp;8Printed Time : &amp;"Arial,Regular"
&amp;"Arial,Bold"Page : &amp;"Arial,Regular"&amp;P of &amp;N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Main</vt:lpstr>
      <vt:lpstr>Summary</vt:lpstr>
      <vt:lpstr>Sheet2</vt:lpstr>
      <vt:lpstr>Main!Print_Titles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Crystal Decisions</dc:creator>
  <dc:description>Powered by Crystal</dc:description>
  <cp:lastModifiedBy>Cliff Wong</cp:lastModifiedBy>
  <cp:lastPrinted>2020-04-07T02:28:43Z</cp:lastPrinted>
  <dcterms:created xsi:type="dcterms:W3CDTF">2018-07-05T06:39:16Z</dcterms:created>
  <dcterms:modified xsi:type="dcterms:W3CDTF">2020-09-29T01:58:03Z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01734361CD07C3C85B968AA4B2781C480C5E84517533FB2EE1174F74E95997FC9503DC872D15E7FE07B95AE100ED7F409B95641341AB6ADBAAFC02908B0D86E1DB774572B56D4E45B454E5E8106E1B8E2B7E395737B678B35D359E88815A4B66730FB198D0633BE18C11436170EC40D1BA43A62B1E085B4F5C1696520E91743</vt:lpwstr>
  </property>
  <property fmtid="{D5CDD505-2E9C-101B-9397-08002B2CF9AE}" pid="3" name="Business Objects Context Information1">
    <vt:lpwstr>0BDFC405DB70741B414D413F21DE47E5767EACFFA67FABF146C0D2009B4260ABD45251D4E98B798DF15DACDDE5BB704A305ED7B4299AD862122361604012ECFDCE8F0039F2F45C68B435461C93B5C501966094E8E26B99993269AEFF224FF67F6D60E3C085511CF837F59F5C22A1C081DEADD6FFA8A5A5D4BB6495E846168AE</vt:lpwstr>
  </property>
  <property fmtid="{D5CDD505-2E9C-101B-9397-08002B2CF9AE}" pid="4" name="Business Objects Context Information2">
    <vt:lpwstr>F0F441A3A1A5FC0E32548D4AADCF4BBF072EB32023F7035E96332E7802798FD44FE4B1A85753ED76C9E0DC38D069865F008FB5FCFCFBBB73B97E45A7E5E9EA5EA15DF18C93CA09E62DB608609EE6EE71FDB89B3D6E45891FEF2F67A1521B4937A931DD716E4BA4810DB698804B54370BEDBC6653228D6DA05A253EFD8C95F1D</vt:lpwstr>
  </property>
  <property fmtid="{D5CDD505-2E9C-101B-9397-08002B2CF9AE}" pid="5" name="Business Objects Context Information3">
    <vt:lpwstr>4EA0968A7E362B0F4E83E6B2D64FA8A5F1E9C937D1C184D971A6E2B3B5F63329E2C18F3C4D08BB39E5BAF03E03237B72746721A3AFA4A40F2ECDFFDABA31E5DAD3281C6C97A5A78C2388557E940F2E2549044F9F0C988023EFC080C6B36238FE7FA03C1437EDAF2738F052EF2C21E9D4A93A8F23F3271653B63C935DD14AEE9</vt:lpwstr>
  </property>
  <property fmtid="{D5CDD505-2E9C-101B-9397-08002B2CF9AE}" pid="6" name="Business Objects Context Information4">
    <vt:lpwstr>B60CA5C3EAF563F8D81F5D23392F581D2B908398982B635A2AC920918B699A0908155F024B145323C39FE2BE3CE8EAFFAA37F8EE9917F6AD6304BC3B85D1BE2737F11C1F2E592DD59433C65E40C58C48A72C47A1EDE516746C4D0B1D24368E7D9B65FE429B9ECC1563CDB4E8A5951F4B6B6A76C095F6858285D7FE61FEC2F52</vt:lpwstr>
  </property>
  <property fmtid="{D5CDD505-2E9C-101B-9397-08002B2CF9AE}" pid="7" name="Business Objects Context Information5">
    <vt:lpwstr>DE7D497CB120F021E80D45DFA8BABD35BB89210B2A8D2312E120FDC526FB703A2A583D2D450BE3AEB50F39F34E83F2E1D73233E3F6DD18BCD9E7C1E90A6B71B6EE16CAFF47462876345A5AE11447A2AE896DF86F5D4506776938E991041D312867348234FDD7447042AB099A21C524FC63DCD10A01231D2E8B88E7D2B2E0661</vt:lpwstr>
  </property>
  <property fmtid="{D5CDD505-2E9C-101B-9397-08002B2CF9AE}" pid="8" name="Business Objects Context Information6">
    <vt:lpwstr>1635D09F8A9A1E118208BC949D7A84863067DBCC761F74F90953586AAA591304AD14F7299EC8507C1C275BA2520BF0F96AD260FBAA8D7B1C2BB7DBEC53E94ADFCF834CB209BAE5CDA4A2384DE3B4B232C45862DC44419A69E54843BCE95DA5EC1F69A2A4692143B502E3A4AFE6CC3FBFCD2240BFC3FC39888E4CF6A5DF785FE</vt:lpwstr>
  </property>
  <property fmtid="{D5CDD505-2E9C-101B-9397-08002B2CF9AE}" pid="9" name="Business Objects Context Information7">
    <vt:lpwstr>D0384C77DBFC9902453D18C2B49953059933797A0DEFE12E4DBDEA009A8239200D32EB5F4226C080E64B8B5826A1CE440D3458B9F40812AB2E3FE2E8929F88C06CC9C5247FA349CD240C70C454FC2334354F4F0B0C8F59B4C1A291E75EA6F0E482A95BDEAB902B8D613B0181225B7B43D8E1BF76267BD2CEB45F639C37A82F2</vt:lpwstr>
  </property>
  <property fmtid="{D5CDD505-2E9C-101B-9397-08002B2CF9AE}" pid="10" name="Business Objects Context Information8">
    <vt:lpwstr>C53671B680633EBB1EB85D9A6FE4D15169033548B45115500720D2D797B475A7FCDC929F673FBD283A33FCAB5E3AD5783A9419C6792810D2CC9AC6FA048E4773D7619D7D87740DFB3AF73E8B796E198F43AFBDF8C984835CDBD7753B8FDDF40FEA02DAAFB1E0A77A91BCB670C22DE37F7FAEAC56AF8E566BEA169974D2EFBE1</vt:lpwstr>
  </property>
  <property fmtid="{D5CDD505-2E9C-101B-9397-08002B2CF9AE}" pid="11" name="Business Objects Context Information9">
    <vt:lpwstr>56E148D9A53DA68AE9F4556223C85DB1D3E6A586807CC94853B6B9E6ABF09C762EAC6874ECBFA53C78DC5BC8430FFEF74A8D48E938D998EB25B68EDE8874E206C068E52EB94B72D69BA553F6D41DCAA339AA057D9C201374EC99D6B9D476E1CFFE37B512169C8F89AF36316889D44E8A72A814E225394D59AA570AD954CBA73</vt:lpwstr>
  </property>
  <property fmtid="{D5CDD505-2E9C-101B-9397-08002B2CF9AE}" pid="12" name="Business Objects Context Information10">
    <vt:lpwstr>3439CC7E50F62DC3796449B568AEF47F123F6BBB656FCD540084920F5245A89DFDE2CDA5F4C6A4E63B9F3071A9262389FEB6DCCBF51D9EC2B5F3B72D7DA8FEA19960EB5647C82A643037499DACDC504C7175EB523C787B6357C864C9B934081BEAA128362F39C8575922E57E65277727EDF0CF489551F04A08194E82BC61767</vt:lpwstr>
  </property>
  <property fmtid="{D5CDD505-2E9C-101B-9397-08002B2CF9AE}" pid="13" name="Business Objects Context Information11">
    <vt:lpwstr>7FA96ED5FC4823E44AAB47E7EB7F23BD22D53D72CD27BF39030F031CC18DFE8F878FB25C7B7D5D15517FC8811FBB5A2E0FF76EB34FBF875E60331DB70D9B64D8C6453C76A44C0756C96F6EF28B62C8BA0D7DD0308F427227BBEC6CA2A55F0A15BE7182AD5061E37690DEE707DF33D5677DD2AF69C582E7C488CCB5B9E366C3C</vt:lpwstr>
  </property>
  <property fmtid="{D5CDD505-2E9C-101B-9397-08002B2CF9AE}" pid="14" name="Business Objects Context Information12">
    <vt:lpwstr>B5A07F13F594BBC923B7BB9546DD5D43112E53C672B40E5D815540F9B7D6CDCA3C035B519319BCC763C00F4849CA4D506A8D5720200BF59A2B13CE62D2D11839411010C35DAD8C3E2A3F47B770073BFAAFED80B681149D75D32B11BD44DED20FEFC0B2896DBC231CE2F2E48EE4E799CD20C2EF0E3FDDFE9F427594E2126CD90</vt:lpwstr>
  </property>
  <property fmtid="{D5CDD505-2E9C-101B-9397-08002B2CF9AE}" pid="15" name="Business Objects Context Information13">
    <vt:lpwstr>B21054B9B80DAFD88C631DF7DD029E037707DD1F0AF2B567C1F185005B272A800F4162CC18F4150400D83A16F1C3A06747C0547351C4710F57D79EA0A6AC7C7A30FADD6322C69AF4679CC2FDC9CF74437E7B5134954CE2DE1F91F05EA004E11277616863571E808D57B2E43F4BD46B70CB421F284E68F8CA9B2AA0A96D06095</vt:lpwstr>
  </property>
  <property fmtid="{D5CDD505-2E9C-101B-9397-08002B2CF9AE}" pid="16" name="Business Objects Context Information14">
    <vt:lpwstr>82F6E35131B1C580ECDFF68CE0D0998FC28B3BA2F173C7B61CAC621BD462047C664B3945079D73A76D5676A0CA2D75B53BA30DD134EE3C2D5EB8B88AD84774A7A58F8E9D4968DE3A1A54E997156CFA39CE1DDC5D89CEC14EF740B8FD0D297F515AE6ED87CB20252F4E58D803D13D6501E2EC4C8CC5282B6B4556C694BD1C06D</vt:lpwstr>
  </property>
  <property fmtid="{D5CDD505-2E9C-101B-9397-08002B2CF9AE}" pid="17" name="Business Objects Context Information15">
    <vt:lpwstr>8283B6F99F48B892620CAA5DCCBC2CF4C018BF0D82DC5FC4F2F2FD73C86B254160727179F019E08C0AFB8B4297088751A79A1EB73CA1D69AE0914704353936ED7DA4EF1997883101B54837A4DAC3636EBC600126D4DED46302C9148B8683361F731791C10CDC4F695C699AEF0D04F650610651E390651528F1F346385BBC3B6</vt:lpwstr>
  </property>
  <property fmtid="{D5CDD505-2E9C-101B-9397-08002B2CF9AE}" pid="18" name="Business Objects Context Information16">
    <vt:lpwstr>DD6DD6B2BDCDDFFA7BAF4747853C8137E66FA90855D6A0664A32313B063651346EF3E890276ED7302AB5619333886B81ADFC716D3A4F969A101AF3DF1BF1124041D12C713E48EE35C82BC433DFA2F74DA7A7159C3ADF91B2347ACEA82E15A0E971666E98643A1205C11502FB3410DFD343536DD842B42B3E092DE8DCD3EDD84</vt:lpwstr>
  </property>
  <property fmtid="{D5CDD505-2E9C-101B-9397-08002B2CF9AE}" pid="19" name="Business Objects Context Information17">
    <vt:lpwstr>F07C7A858C16F2F8177386B5382DDB966ACF664A54C320489CBC8C1E6EAE9588506972C2F44579175C89940F30A5B03D8832607DA1F6F29A8095CB2B7EBFE941AF9F2253E20680C69504FA676131B1D14B20C20757C201EF5D6F567E61FBD29C106A41B94D22A5CB543006D1CB1822CBC22A381520526BC9C533905454C45AC</vt:lpwstr>
  </property>
  <property fmtid="{D5CDD505-2E9C-101B-9397-08002B2CF9AE}" pid="20" name="Business Objects Context Information18">
    <vt:lpwstr>B35FC7E2365D18E15DC9BCEB4A510F73B6025F7EE1259D0B849B6A10EC79C5716D4289B8DDB386EE515BF633DFA64DCA682EA92BEFCF71F5BD5D61E01AD7D7920A1B5D28DEC27CE92D20757747AC69A4E9353328F07808FB7C8196A10331973DEAA6B890DD6A09759063979C4C1C99159AE8A5EE099F58F42D8C4107579BB92</vt:lpwstr>
  </property>
  <property fmtid="{D5CDD505-2E9C-101B-9397-08002B2CF9AE}" pid="21" name="Business Objects Context Information19">
    <vt:lpwstr>D22733C5C10EBDF63E557C25E02177CAAE1F2F0758A34390CF2334E78CA9B49DBC0448A44B087DD602F51C0F0E7203922F60A2F8D004D5215BD44C3F4909EBBE1DD7A3164CF8E3B7C39DF90D021F5812989F8B58515323C07D81E9CAFAD15C227BA5B1FC82FD133BE9C52910DD27B5F6FD7794FE95B8415903B72128FCD4DDA</vt:lpwstr>
  </property>
  <property fmtid="{D5CDD505-2E9C-101B-9397-08002B2CF9AE}" pid="22" name="Business Objects Context Information20">
    <vt:lpwstr>F1C7051016E070204FB99E780F53366D4151A3516807628B6A8F5DFA0584EC833B13FC1FB72AAD9E213FBCC654E288F6531107DEA7861C3220677343A7416D70558CC1D27A6267B041CEC159AE0FC20C8CC39FA2BCFE72B2F38304F4A1AC2AA68175CB73E89938B45DBE16484D9D283A09CD4175B146C6556B09AFF0E1C7723</vt:lpwstr>
  </property>
  <property fmtid="{D5CDD505-2E9C-101B-9397-08002B2CF9AE}" pid="23" name="Business Objects Context Information21">
    <vt:lpwstr>9E554E7C63880A56269CBB29A02EABAD5C1B0C4BCDC192C91BA4CE2F318CD25094660A3A8521C9743E4E3023CFDD7BCD5AD00318216C86B28CAFA2114ECFFB306FDDA7EDA44EFF202503BB8878990E3CFCAA15EACADE79B81F12467EC1A886EE9E4582CF4620A23233D41D7817211C4343D215EBA293D753C223FDA21F05B93</vt:lpwstr>
  </property>
  <property fmtid="{D5CDD505-2E9C-101B-9397-08002B2CF9AE}" pid="24" name="Business Objects Context Information22">
    <vt:lpwstr>A7A26DC1D470A867195E588B2498D59E4E565B0AD5BEB267D56319178032FFFBBD0F389A5337DAE138EEA2C8730F812F98CAB70727CDD6CBDE0FBA07E62D471795FB79FB488F6640F71BFBED5D3833745042EF82D6F0F391AE0A93AFCA60C49550ECA3DDBF68B9661C5C9569D0C180C9A832A09DF22FB6208141E0A33673FD1</vt:lpwstr>
  </property>
  <property fmtid="{D5CDD505-2E9C-101B-9397-08002B2CF9AE}" pid="25" name="Business Objects Context Information23">
    <vt:lpwstr>27D8441185AB46541EA40334B8658C21D96DBB2156B15DFA4034AA0FC791DE9FB1BBAEF141287AD2826F1456AA0E787DF84E41D1D29FCDD2D333309A2BF3CE3387241083F0FAD9870E65CB7C13D95B6FC27BC6C31048EA8F8242A1803E57AAA2DABF61815034DD004D2291B4943856163BB74B9D0236B0E30463BA05DB2F9FA</vt:lpwstr>
  </property>
  <property fmtid="{D5CDD505-2E9C-101B-9397-08002B2CF9AE}" pid="26" name="Business Objects Context Information24">
    <vt:lpwstr>76FFE5D304F7C03B09604CE3432F6A685E901A48FEB8B51DA92A2A06961BD592AD9EAB3566D519FD36F440311C06F2072E9882A2591BCCD1B4C8B384DF5353BD774EC27AEFA9E52274A8DD33CD9B59D118A5F66228E2B88BFFB4689D54B1D290758B61B5DC06B965687EF95126B911A7B5B2A70A6574FD5801DB5C29CCCD057</vt:lpwstr>
  </property>
  <property fmtid="{D5CDD505-2E9C-101B-9397-08002B2CF9AE}" pid="27" name="Business Objects Context Information25">
    <vt:lpwstr>66B3CED2D8F2D4EAEDD6E806C608DBA32A8C0420357202D5F10AFE640F2A56FAF6F41BAF357E73043E16A835D232F734B0D1C61A02E3013C7DE22AD2053464166B00D5EEBD46C1EC0A7D976B38D0C7E626E481CF18EE525B725CD024742A8354875C56E5C4B956E26DC1F1FE40AC6B0E3DD89355B6587CB96C9FC9BF28A40B9</vt:lpwstr>
  </property>
  <property fmtid="{D5CDD505-2E9C-101B-9397-08002B2CF9AE}" pid="28" name="Business Objects Context Information26">
    <vt:lpwstr>FDF5980488DDACA58BCB3B560B76516FB81C83EB17A09B75C537242906C592495D92858D95744128D91F05E773381DDDE9E19128E5035C268B89BEDC608B0C3E8EB53FEA53FAA643819475AE88BB39E0428E713BEF4008012F1AB417ABD23C4F59C10C1DF033429F79F6E34828FF4B4B33348B7F5547D5EB3B164B397349255</vt:lpwstr>
  </property>
  <property fmtid="{D5CDD505-2E9C-101B-9397-08002B2CF9AE}" pid="29" name="Business Objects Context Information27">
    <vt:lpwstr>CEAB7BD1DB5069F8F3DAF8C2F3451D2D727CA7C0AF4218738F34FAD503FF89CB529BF666E58A25ED561E4D6F0DDAAEAD3240C0F50537D55785705D08FEB596069B2B25CD49F7ECAA8F978928A73B02B8679019B37FF70A1D4711D3C3AD18E08DCA05E095A18763020937F0D0EA21C22BB48BC746F624E5758CFF21A03ADA6D7</vt:lpwstr>
  </property>
  <property fmtid="{D5CDD505-2E9C-101B-9397-08002B2CF9AE}" pid="30" name="Business Objects Context Information28">
    <vt:lpwstr>7F19BB11E174AABCF864E5B2B7395A229576D3BD379520DD8CA032A7C4B745AC6CDE715D775311C7A164E933C7B7C97F01CED3EB6ED29C8EE3171E48A147F843A5757396313FC13630ED8A7BDF552BCD774F670BFE93B6154F2997EC04513BFD622B5E85773C1FF2E8D20AAAD16F9E181902EF24D867FC6DB5926AE65FC36FF</vt:lpwstr>
  </property>
  <property fmtid="{D5CDD505-2E9C-101B-9397-08002B2CF9AE}" pid="31" name="Business Objects Context Information29">
    <vt:lpwstr>D0377723F4CA83A4D7B0456F4F9F606282C3E1D838C3848F0C5536533DE227D860FA04D5E63D571AD09AC9C83DA7E07D74A2E067390E6C888CA8246E71FADB58D5CF4242C5B9C7A845D5CB33BB3D548A590D6FFE093514A4911286D1CAB34BAB10AC6EFA0F26B5CB233C1DA51397991F755155FA3EA51499BF53331433583E6</vt:lpwstr>
  </property>
  <property fmtid="{D5CDD505-2E9C-101B-9397-08002B2CF9AE}" pid="32" name="Business Objects Context Information30">
    <vt:lpwstr>04ABB589A4911195BA920CEED84F173590E0C500B47F4E233EF1017D6EECFA64D9D8ECFFC26A922C69D0503C6BE186A7ED7413CB999A9A943E34DEF48160BCD15F185BF9090CC4A5273AD41D797A39F0042324C1381C8FB7E2AD454C8659DBE0183174C6AEA741B8CBCA3D07A72AA6581D03143ABB6DF558843D63E1A779172</vt:lpwstr>
  </property>
  <property fmtid="{D5CDD505-2E9C-101B-9397-08002B2CF9AE}" pid="33" name="Business Objects Context Information31">
    <vt:lpwstr>455F9C3A33BF6C7A8AE26A007D78FA0AEF1395E63BADB332EECA8174878D3CE134149F842D8080F9929E58D43D5677196DCA7A4E67C75D67265C6E76600BEE4591B6BF8E70EB3976ADD7F4BA9DC14F4C1C3A50CAEFFB52C8255937D372953B3305CCECFA0DBA4CA3E02B4600180B9BB30BB6D323F05E9FCAD2CFFB5A1E706E7</vt:lpwstr>
  </property>
  <property fmtid="{D5CDD505-2E9C-101B-9397-08002B2CF9AE}" pid="34" name="Business Objects Context Information32">
    <vt:lpwstr>4D0EC3E039D08E838160B84BD60EEAB05B474795DAC94B12C5BAF3C567CF0C4A23C860AAE6A89CBF8ACD6102E5DA4C3AFFFBCED93D4C03A22491A8E84F4695F452E7F0AB5988C6876E4262C83D531A7A276013B4F8ED5308AC02F86D658C37696E4898538A40516FFB83851511FB3971CFE055FF1A34DFB4A2EDA7AD14439A5</vt:lpwstr>
  </property>
  <property fmtid="{D5CDD505-2E9C-101B-9397-08002B2CF9AE}" pid="35" name="Business Objects Context Information33">
    <vt:lpwstr>D252C88879BF55743BC555C7D63ED19451F724E932F5C3D5D82B023CEA2A0EA2E64367DB23AD09A13DDCA6B03C8A8A2A6D5ADB87BA19B83667B70C46A9CB650EB47CF829D3F07ED3559FC3E81D9DA76C88F18FA8FC110F753044AD24BF7F1FDB9D12C35CB309DD7F15632E2F094C3B7B08EC3CFA357469F036A04E03A68C16F</vt:lpwstr>
  </property>
  <property fmtid="{D5CDD505-2E9C-101B-9397-08002B2CF9AE}" pid="36" name="Business Objects Context Information34">
    <vt:lpwstr>1FF0C7C1468A98F4078525FCE4F7E22C43D63C3B1AB4331D6699602A96232063274E265A62052D2A869E8DEBA1CCC2D9552E197F777EC6059E8ED694115623BE4F65ADDF1FD7DA302CF8A75883C039750C55C9B4EF1B115B12A07F019C64B6BF18A23224DDDF0D717FE9429DCC938AA49B4411731D605BAB6BFF1DACFD2CBE3</vt:lpwstr>
  </property>
  <property fmtid="{D5CDD505-2E9C-101B-9397-08002B2CF9AE}" pid="37" name="Business Objects Context Information35">
    <vt:lpwstr>B27598D39F2E37CF224AE4D23AC8AFAE05FDA8AAECE9F3EF5AE501E21A9E65E05F958D9E9D4CA02CA894F73326EBFB423633720E5FCEBF9841F310743E7F195031ACAF927EFFA70760F2725BBC3966CDB2D6A515352293025BC2CE0D4D4858C9DE9CBD1F82D4558F369F04F23760CE64B081CAA7942B360BDE505A0152BDB79</vt:lpwstr>
  </property>
  <property fmtid="{D5CDD505-2E9C-101B-9397-08002B2CF9AE}" pid="38" name="Business Objects Context Information36">
    <vt:lpwstr>76B1E70AA193BC5D305A09FE115F33547A328723810A0760EC93393AF7742F4CD11A7B70627BBCCC0C208370C3701B51DDAAC7CF7D3E0D5DE4454692568FFE55E49C0213EA116792F9928ABBD540EFE15684CFD713564459BFFE0BC86D5B070C1FEDA98EC14FFD7F0D7FC6424C48C7D877AA7653FF426FB0BA8786A1073B98A</vt:lpwstr>
  </property>
  <property fmtid="{D5CDD505-2E9C-101B-9397-08002B2CF9AE}" pid="39" name="Business Objects Context Information37">
    <vt:lpwstr>8F2653DAF7DB07E4B4FF9AD24072E2438D6023EBEF076AF99EAF8AD1C70660A0EB3C16432E6E8688E644E7E6D312B83539111CBF74D4AEAB25B811B2C98D0480EA602A09CBAB3E905F3F07CFB7E84EEF290E73117FE67E5468685DCB8B08747C2F55B16D4F6E60C84A5F8D40730863C4A2421E406AFB587D7B75BC87F3FC93E</vt:lpwstr>
  </property>
  <property fmtid="{D5CDD505-2E9C-101B-9397-08002B2CF9AE}" pid="40" name="Business Objects Context Information38">
    <vt:lpwstr>BA70E33B401DE37AAA168519F6A5CD9F579136B528D134E9F66A3B327F8DE7622D57CD7EFB1BFFA4AED6EFF7A00FDA48EA3CE6A035B9B3FD5C7C6127D7995B2C44A327EC3F283D722F524F61ED82217D409E443FF682FC55EBC6E637BE275FB79EC4491CEBFA89717E44D872E5D48162E5D215D5077439E4A0D37134D1B8570</vt:lpwstr>
  </property>
  <property fmtid="{D5CDD505-2E9C-101B-9397-08002B2CF9AE}" pid="41" name="Business Objects Context Information39">
    <vt:lpwstr>4ED7AFC1019F4680FD9ECAEE5123C0F527B33C3799973A5DA3A77589C7A67E5AFF8CD56D9648B91BE539716B06F586E9A689FBBE719B5D6DD577D38305A2B429D655DEF87179BC06B6A70B5821205D9E39731A7E286DE9FE0C514EEFB3F526C5B9BAFCA7367752F130466D3B76823E8D2B61EA9DD63134F57E7202C49EC0BCB</vt:lpwstr>
  </property>
  <property fmtid="{D5CDD505-2E9C-101B-9397-08002B2CF9AE}" pid="42" name="Business Objects Context Information40">
    <vt:lpwstr>30ECA0A09E3EBD2EA6E2F39BEA407F9F65FF2CE2FAE0DD7671210E52E29AB2367F0EC86694F0DD7AD392B8F21EE5C0C529B0DF4EF6</vt:lpwstr>
  </property>
</Properties>
</file>