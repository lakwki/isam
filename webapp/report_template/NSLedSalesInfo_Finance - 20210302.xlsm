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-15" windowWidth="23250" windowHeight="3195" firstSheet="3" activeTab="11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r:id="rId12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F2" i="11"/>
  <c r="CF2" i="9" l="1"/>
  <c r="CF2" i="8"/>
  <c r="CF2" i="7"/>
  <c r="CF2" i="6"/>
  <c r="CF2" i="5"/>
  <c r="CF2" i="4"/>
  <c r="CF2" i="3"/>
  <c r="CF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comments1.xml><?xml version="1.0" encoding="utf-8"?>
<comments xmlns="http://schemas.openxmlformats.org/spreadsheetml/2006/main">
  <authors>
    <author>Michael Lau (IT)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</commentList>
</comments>
</file>

<file path=xl/sharedStrings.xml><?xml version="1.0" encoding="utf-8"?>
<sst xmlns="http://schemas.openxmlformats.org/spreadsheetml/2006/main" count="326" uniqueCount="141">
  <si>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</si>
  <si>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</si>
  <si>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</si>
  <si>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</si>
  <si>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</si>
  <si>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</si>
  <si>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</si>
  <si>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</si>
  <si>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</si>
  <si>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</si>
  <si>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</si>
  <si>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</si>
  <si>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</si>
  <si>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</si>
  <si>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</si>
  <si>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</si>
  <si>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</si>
  <si>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</si>
  <si>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</si>
  <si>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</si>
  <si>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</si>
  <si>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</si>
  <si>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</si>
  <si>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</si>
  <si>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</si>
  <si>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</si>
  <si>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</si>
  <si>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</si>
  <si>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</si>
  <si>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</si>
  <si>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</si>
  <si>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</si>
  <si>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</si>
  <si>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</si>
  <si>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</si>
  <si>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</si>
  <si>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</si>
  <si>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</si>
  <si>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</si>
  <si>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</si>
  <si>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</si>
  <si>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</si>
  <si>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</si>
  <si>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</si>
  <si>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</si>
  <si>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</si>
  <si>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</si>
  <si>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</si>
  <si>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</si>
  <si>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</si>
  <si>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</si>
  <si>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</si>
  <si>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</si>
  <si>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</si>
  <si>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</si>
  <si>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</si>
  <si>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</si>
  <si>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</si>
  <si>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</si>
  <si>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</si>
  <si>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</si>
  <si>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</si>
  <si>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</si>
  <si>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</si>
  <si>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</si>
  <si>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</si>
  <si>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</si>
  <si>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</si>
  <si>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</si>
  <si>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</si>
  <si>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</si>
  <si>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</si>
  <si>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</si>
  <si>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</si>
  <si>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</si>
  <si>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</si>
  <si>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</si>
  <si>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</si>
  <si>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</si>
  <si>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</si>
  <si>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</si>
  <si>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</si>
  <si>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</si>
  <si>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</si>
  <si>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</si>
  <si>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</si>
  <si>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</si>
  <si>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Sales Qty</t>
  </si>
  <si>
    <t>Description</t>
  </si>
  <si>
    <t>Returns Qty</t>
  </si>
  <si>
    <t>Item</t>
  </si>
  <si>
    <t>Net Qty</t>
  </si>
  <si>
    <t>Profit/(loss) to date</t>
  </si>
  <si>
    <t>Del Qty</t>
  </si>
  <si>
    <t>Sell thru FP (est)</t>
  </si>
  <si>
    <t>RSV</t>
  </si>
  <si>
    <t>Total Commission (est)</t>
  </si>
  <si>
    <t>Total Profit/(Loss) (est)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</si>
  <si>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</si>
  <si>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</si>
  <si>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</si>
  <si>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</si>
  <si>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</si>
  <si>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</si>
  <si>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</si>
  <si>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</si>
  <si>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</si>
  <si>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</si>
  <si>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</si>
  <si>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</si>
  <si>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</si>
  <si>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</si>
  <si>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</si>
  <si>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</si>
  <si>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</si>
  <si>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</si>
  <si>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</si>
  <si>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</si>
  <si>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</si>
  <si>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</si>
  <si>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</si>
  <si>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</si>
  <si>
    <t>Wk53</t>
  </si>
  <si>
    <t>Supplier Cost</t>
  </si>
  <si>
    <t>Freight Cost</t>
  </si>
  <si>
    <t>sale [USD]</t>
  </si>
  <si>
    <t>Dept</t>
  </si>
  <si>
    <t>Settlement Discount</t>
  </si>
  <si>
    <t>Settlement Disc CPU</t>
  </si>
  <si>
    <t>Duty Cost</t>
  </si>
  <si>
    <t>CPU</t>
  </si>
  <si>
    <t>Expected Unsold</t>
  </si>
  <si>
    <t>NS Sales</t>
  </si>
  <si>
    <t>Sold Qty (Net)</t>
  </si>
  <si>
    <t>Cost</t>
  </si>
  <si>
    <t>Margin</t>
  </si>
  <si>
    <t>Margin %</t>
  </si>
  <si>
    <t>Settlement Disc</t>
  </si>
  <si>
    <t>Provision</t>
  </si>
  <si>
    <t>Total P&amp;L</t>
  </si>
  <si>
    <t>Cum P&amp;L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</si>
</sst>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* #,##0.00_);_(* \(#,##0.00\);_(* &quot;-&quot;??_);_(@_)"/>
    <numFmt numFmtId="167" formatCode="_(* #,##0_);_(* \(#,##0\);_(* &quot;-&quot;??_);_(@_)"/>
    <numFmt numFmtId="168" formatCode="_(* #,##0.0_);_(* \(#,##0.0\);_(* &quot;-&quot;??_);_(@_)"/>
    <numFmt numFmtId="169" formatCode="0.000"/>
    <numFmt numFmtId="170" formatCode="_(* #,##0_);_(* \(#,##0\);_(* &quot;-&quot;_);_(@_)"/>
    <numFmt numFmtId="171" formatCode="_(* #,##0.0_);_(* \(#,##0.0\);_(* &quot;-&quot;?_);_(@_)"/>
    <numFmt numFmtId="172" formatCode="yyyy"/>
    <numFmt numFmtId="173" formatCode="General_)"/>
    <numFmt numFmtId="174" formatCode="#,##0.0_);\(#,##0.0\)"/>
    <numFmt numFmtId="175" formatCode="#,##0.000_);\(#,##0.000\)"/>
    <numFmt numFmtId="176" formatCode="\(0.00%"/>
    <numFmt numFmtId="177" formatCode="_ * #,##0_ ;_ * \-#,##0_ ;_ * &quot;-&quot;_ ;_ @_ "/>
    <numFmt numFmtId="178" formatCode="_ * #,##0.00_ ;_ * \-#,##0.00_ ;_ * &quot;-&quot;??_ ;_ @_ "/>
    <numFmt numFmtId="179" formatCode="\U\S\$#,##0.00;\(\U\S\$#,##0.00\)"/>
    <numFmt numFmtId="180" formatCode="#,###,###,###,###,###,###,###,###,###.00"/>
    <numFmt numFmtId="181" formatCode="&quot;$&quot;#,##0_);[Red]\(&quot;$&quot;#,##0\)"/>
    <numFmt numFmtId="182" formatCode="&quot;$&quot;#,##0.00_);[Red]\(&quot;$&quot;#,##0.00\)"/>
    <numFmt numFmtId="183" formatCode="0.00_)"/>
    <numFmt numFmtId="184" formatCode="#,##0.000"/>
    <numFmt numFmtId="185" formatCode="\+0.00%\+"/>
    <numFmt numFmtId="186" formatCode="0.00%\)"/>
    <numFmt numFmtId="187" formatCode="#,##0.00_);\(#,##0.00\)"/>
    <numFmt numFmtId="188" formatCode="#,##0_);\(#,##0\)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i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1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" fillId="11" borderId="0" applyNumberFormat="0" applyBorder="0" applyAlignment="0" applyProtection="0"/>
    <xf numFmtId="0" fontId="17" fillId="25" borderId="0" applyNumberFormat="0" applyBorder="0" applyAlignment="0" applyProtection="0"/>
    <xf numFmtId="0" fontId="17" fillId="20" borderId="0" applyNumberFormat="0" applyBorder="0" applyAlignment="0" applyProtection="0"/>
    <xf numFmtId="0" fontId="1" fillId="1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3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" fillId="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" fillId="12" borderId="0" applyNumberFormat="0" applyBorder="0" applyAlignment="0" applyProtection="0"/>
    <xf numFmtId="0" fontId="17" fillId="25" borderId="0" applyNumberFormat="0" applyBorder="0" applyAlignment="0" applyProtection="0"/>
    <xf numFmtId="0" fontId="17" fillId="28" borderId="0" applyNumberFormat="0" applyBorder="0" applyAlignment="0" applyProtection="0"/>
    <xf numFmtId="0" fontId="1" fillId="16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7" fillId="22" borderId="0" applyNumberFormat="0" applyBorder="0" applyAlignment="0" applyProtection="0"/>
    <xf numFmtId="0" fontId="1" fillId="18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25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3" fillId="9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3" fillId="13" borderId="0" applyNumberFormat="0" applyBorder="0" applyAlignment="0" applyProtection="0"/>
    <xf numFmtId="0" fontId="18" fillId="35" borderId="0" applyNumberFormat="0" applyBorder="0" applyAlignment="0" applyProtection="0"/>
    <xf numFmtId="0" fontId="18" fillId="28" borderId="0" applyNumberFormat="0" applyBorder="0" applyAlignment="0" applyProtection="0"/>
    <xf numFmtId="0" fontId="13" fillId="17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22" borderId="0" applyNumberFormat="0" applyBorder="0" applyAlignment="0" applyProtection="0"/>
    <xf numFmtId="0" fontId="13" fillId="19" borderId="0" applyNumberFormat="0" applyBorder="0" applyAlignment="0" applyProtection="0"/>
    <xf numFmtId="0" fontId="18" fillId="33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4" borderId="0" applyNumberFormat="0" applyBorder="0" applyAlignment="0" applyProtection="0"/>
    <xf numFmtId="0" fontId="13" fillId="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40" borderId="0" applyNumberFormat="0" applyBorder="0" applyAlignment="0" applyProtection="0"/>
    <xf numFmtId="0" fontId="13" fillId="14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19" fillId="21" borderId="0" applyNumberFormat="0" applyBorder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69" fontId="21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3" fillId="28" borderId="15" applyNumberFormat="0" applyAlignment="0" applyProtection="0"/>
    <xf numFmtId="0" fontId="23" fillId="42" borderId="15" applyNumberFormat="0" applyAlignment="0" applyProtection="0"/>
    <xf numFmtId="0" fontId="12" fillId="5" borderId="11" applyNumberFormat="0" applyAlignment="0" applyProtection="0"/>
    <xf numFmtId="0" fontId="24" fillId="43" borderId="16" applyNumberFormat="0" applyAlignment="0" applyProtection="0"/>
    <xf numFmtId="177" fontId="25" fillId="0" borderId="0" applyFont="0" applyFill="0" applyBorder="0" applyAlignment="0" applyProtection="0">
      <alignment vertical="center"/>
    </xf>
    <xf numFmtId="170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6" fillId="0" borderId="0" applyFont="0" applyFill="0" applyBorder="0" applyAlignment="0" applyProtection="0">
      <alignment vertical="top"/>
    </xf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3" fontId="21" fillId="0" borderId="0" applyFont="0" applyFill="0" applyBorder="0" applyAlignment="0" applyProtection="0"/>
    <xf numFmtId="14" fontId="26" fillId="0" borderId="0" applyFill="0" applyBorder="0" applyAlignment="0"/>
    <xf numFmtId="179" fontId="20" fillId="0" borderId="17">
      <alignment vertical="center"/>
    </xf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7" fillId="0" borderId="0" applyNumberFormat="0" applyFill="0" applyBorder="0" applyAlignment="0" applyProtection="0"/>
    <xf numFmtId="0" fontId="28" fillId="0" borderId="0"/>
    <xf numFmtId="180" fontId="28" fillId="0" borderId="0"/>
    <xf numFmtId="180" fontId="29" fillId="0" borderId="0"/>
    <xf numFmtId="0" fontId="30" fillId="23" borderId="0" applyNumberFormat="0" applyBorder="0" applyAlignment="0" applyProtection="0"/>
    <xf numFmtId="38" fontId="31" fillId="44" borderId="0" applyNumberFormat="0" applyBorder="0" applyAlignment="0" applyProtection="0"/>
    <xf numFmtId="0" fontId="32" fillId="0" borderId="18" applyNumberFormat="0" applyAlignment="0" applyProtection="0">
      <alignment horizontal="left" vertical="center"/>
    </xf>
    <xf numFmtId="0" fontId="32" fillId="0" borderId="19">
      <alignment horizontal="left" vertical="center"/>
    </xf>
    <xf numFmtId="0" fontId="33" fillId="0" borderId="20" applyNumberFormat="0" applyFill="0" applyAlignment="0" applyProtection="0"/>
    <xf numFmtId="0" fontId="34" fillId="0" borderId="21" applyNumberFormat="0" applyFill="0" applyAlignment="0" applyProtection="0"/>
    <xf numFmtId="0" fontId="8" fillId="0" borderId="8" applyNumberFormat="0" applyFill="0" applyAlignment="0" applyProtection="0"/>
    <xf numFmtId="0" fontId="35" fillId="0" borderId="22" applyNumberFormat="0" applyFill="0" applyAlignment="0" applyProtection="0"/>
    <xf numFmtId="0" fontId="36" fillId="0" borderId="22" applyNumberFormat="0" applyFill="0" applyAlignment="0" applyProtection="0"/>
    <xf numFmtId="0" fontId="9" fillId="0" borderId="9" applyNumberFormat="0" applyFill="0" applyAlignment="0" applyProtection="0"/>
    <xf numFmtId="0" fontId="37" fillId="0" borderId="23" applyNumberFormat="0" applyFill="0" applyAlignment="0" applyProtection="0"/>
    <xf numFmtId="0" fontId="38" fillId="0" borderId="24" applyNumberFormat="0" applyFill="0" applyAlignment="0" applyProtection="0"/>
    <xf numFmtId="0" fontId="10" fillId="0" borderId="10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10" fontId="31" fillId="45" borderId="1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2" fillId="0" borderId="25" applyNumberFormat="0" applyFill="0" applyAlignment="0" applyProtection="0"/>
    <xf numFmtId="38" fontId="43" fillId="0" borderId="0" applyFont="0" applyFill="0" applyBorder="0" applyAlignment="0" applyProtection="0"/>
    <xf numFmtId="40" fontId="43" fillId="0" borderId="0" applyFont="0" applyFill="0" applyBorder="0" applyAlignment="0" applyProtection="0"/>
    <xf numFmtId="181" fontId="43" fillId="0" borderId="0" applyFont="0" applyFill="0" applyBorder="0" applyAlignment="0" applyProtection="0"/>
    <xf numFmtId="182" fontId="43" fillId="0" borderId="0" applyFont="0" applyFill="0" applyBorder="0" applyAlignment="0" applyProtection="0"/>
    <xf numFmtId="0" fontId="16" fillId="31" borderId="0" applyNumberFormat="0" applyBorder="0" applyAlignment="0" applyProtection="0"/>
    <xf numFmtId="183" fontId="44" fillId="0" borderId="0"/>
    <xf numFmtId="0" fontId="1" fillId="0" borderId="0"/>
    <xf numFmtId="0" fontId="4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>
      <alignment vertical="top"/>
    </xf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1" fillId="0" borderId="0"/>
    <xf numFmtId="0" fontId="1" fillId="0" borderId="0"/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48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9" fillId="0" borderId="0"/>
    <xf numFmtId="0" fontId="20" fillId="0" borderId="0"/>
    <xf numFmtId="0" fontId="1" fillId="0" borderId="0"/>
    <xf numFmtId="0" fontId="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26" fillId="0" borderId="0">
      <alignment vertical="top"/>
    </xf>
    <xf numFmtId="0" fontId="5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31" fillId="24" borderId="26" applyNumberFormat="0" applyFont="0" applyAlignment="0" applyProtection="0"/>
    <xf numFmtId="0" fontId="17" fillId="6" borderId="13" applyNumberFormat="0" applyFont="0" applyAlignment="0" applyProtection="0"/>
    <xf numFmtId="0" fontId="31" fillId="24" borderId="26" applyNumberFormat="0" applyFont="0" applyAlignment="0" applyProtection="0"/>
    <xf numFmtId="0" fontId="1" fillId="6" borderId="13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52" fillId="28" borderId="27" applyNumberFormat="0" applyAlignment="0" applyProtection="0"/>
    <xf numFmtId="0" fontId="52" fillId="42" borderId="27" applyNumberFormat="0" applyAlignment="0" applyProtection="0"/>
    <xf numFmtId="0" fontId="11" fillId="5" borderId="12" applyNumberFormat="0" applyAlignment="0" applyProtection="0"/>
    <xf numFmtId="0" fontId="53" fillId="46" borderId="0"/>
    <xf numFmtId="175" fontId="22" fillId="0" borderId="0" applyFont="0" applyFill="0" applyBorder="0" applyAlignment="0" applyProtection="0"/>
    <xf numFmtId="184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3" fillId="0" borderId="28" applyNumberFormat="0" applyBorder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3" fillId="0" borderId="0" applyNumberFormat="0" applyFont="0" applyFill="0" applyBorder="0" applyAlignment="0" applyProtection="0">
      <alignment horizontal="left"/>
    </xf>
    <xf numFmtId="15" fontId="43" fillId="0" borderId="0" applyFont="0" applyFill="0" applyBorder="0" applyAlignment="0" applyProtection="0"/>
    <xf numFmtId="3" fontId="43" fillId="0" borderId="0" applyFont="0" applyFill="0" applyBorder="0" applyAlignment="0" applyProtection="0"/>
    <xf numFmtId="0" fontId="54" fillId="0" borderId="0"/>
    <xf numFmtId="0" fontId="5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9" fontId="26" fillId="0" borderId="0" applyFill="0" applyBorder="0" applyAlignment="0"/>
    <xf numFmtId="185" fontId="20" fillId="0" borderId="0" applyFill="0" applyBorder="0" applyAlignment="0"/>
    <xf numFmtId="186" fontId="20" fillId="0" borderId="0" applyFill="0" applyBorder="0" applyAlignment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8" fillId="0" borderId="29" applyNumberFormat="0" applyFill="0" applyAlignment="0" applyProtection="0"/>
    <xf numFmtId="0" fontId="58" fillId="0" borderId="30" applyNumberFormat="0" applyFill="0" applyAlignment="0" applyProtection="0"/>
    <xf numFmtId="0" fontId="2" fillId="0" borderId="14" applyNumberFormat="0" applyFill="0" applyAlignment="0" applyProtection="0"/>
    <xf numFmtId="41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59" fillId="0" borderId="0" applyNumberFormat="0" applyFill="0" applyBorder="0" applyAlignment="0" applyProtection="0"/>
    <xf numFmtId="39" fontId="31" fillId="0" borderId="0"/>
    <xf numFmtId="0" fontId="16" fillId="31" borderId="0" applyNumberFormat="0" applyBorder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166" fontId="20" fillId="0" borderId="0" applyFont="0" applyFill="0" applyBorder="0" applyAlignment="0" applyProtection="0"/>
    <xf numFmtId="0" fontId="58" fillId="0" borderId="29" applyNumberFormat="0" applyFill="0" applyAlignment="0" applyProtection="0"/>
    <xf numFmtId="0" fontId="58" fillId="0" borderId="29" applyNumberFormat="0" applyFill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60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61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49" fillId="0" borderId="0"/>
    <xf numFmtId="0" fontId="56" fillId="0" borderId="0" applyNumberFormat="0" applyFill="0" applyBorder="0" applyAlignment="0" applyProtection="0"/>
    <xf numFmtId="0" fontId="33" fillId="0" borderId="20" applyNumberFormat="0" applyFill="0" applyAlignment="0" applyProtection="0"/>
    <xf numFmtId="0" fontId="35" fillId="0" borderId="22" applyNumberFormat="0" applyFill="0" applyAlignment="0" applyProtection="0"/>
    <xf numFmtId="0" fontId="37" fillId="0" borderId="23" applyNumberFormat="0" applyFill="0" applyAlignment="0" applyProtection="0"/>
    <xf numFmtId="0" fontId="37" fillId="0" borderId="0" applyNumberFormat="0" applyFill="0" applyBorder="0" applyAlignment="0" applyProtection="0"/>
    <xf numFmtId="0" fontId="62" fillId="0" borderId="0" applyNumberFormat="0" applyFill="0" applyBorder="0" applyAlignment="0" applyProtection="0">
      <alignment vertical="center"/>
    </xf>
    <xf numFmtId="0" fontId="24" fillId="43" borderId="16" applyNumberFormat="0" applyAlignment="0" applyProtection="0"/>
    <xf numFmtId="0" fontId="23" fillId="28" borderId="15" applyNumberFormat="0" applyAlignment="0" applyProtection="0"/>
    <xf numFmtId="0" fontId="23" fillId="28" borderId="15" applyNumberFormat="0" applyAlignment="0" applyProtection="0"/>
    <xf numFmtId="0" fontId="2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0" fontId="52" fillId="28" borderId="27" applyNumberFormat="0" applyAlignment="0" applyProtection="0"/>
    <xf numFmtId="0" fontId="52" fillId="28" borderId="27" applyNumberFormat="0" applyAlignment="0" applyProtection="0"/>
    <xf numFmtId="0" fontId="42" fillId="0" borderId="25" applyNumberFormat="0" applyFill="0" applyAlignment="0" applyProtection="0"/>
  </cellStyleXfs>
  <cellXfs count="81">
    <xf numFmtId="0" fontId="0" fillId="0" borderId="0" xfId="0"/>
    <xf numFmtId="166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7" fontId="0" fillId="0" borderId="0" xfId="0" applyNumberFormat="1" applyFill="1"/>
    <xf numFmtId="166" fontId="0" fillId="0" borderId="0" xfId="1" applyFont="1"/>
    <xf numFmtId="167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8" fontId="0" fillId="0" borderId="0" xfId="1" applyNumberFormat="1" applyFont="1"/>
    <xf numFmtId="168" fontId="0" fillId="3" borderId="0" xfId="1" applyNumberFormat="1" applyFont="1" applyFill="1"/>
    <xf numFmtId="167" fontId="0" fillId="3" borderId="0" xfId="1" applyNumberFormat="1" applyFont="1" applyFill="1"/>
    <xf numFmtId="167" fontId="0" fillId="0" borderId="0" xfId="1" applyNumberFormat="1" applyFont="1" applyFill="1"/>
    <xf numFmtId="0" fontId="0" fillId="0" borderId="0" xfId="0"/>
    <xf numFmtId="0" fontId="2" fillId="0" borderId="0" xfId="0" applyFont="1"/>
    <xf numFmtId="9" fontId="4" fillId="0" borderId="0" xfId="2" applyNumberFormat="1" applyFont="1"/>
    <xf numFmtId="0" fontId="6" fillId="0" borderId="1" xfId="0" applyFont="1" applyBorder="1"/>
    <xf numFmtId="0" fontId="0" fillId="0" borderId="0" xfId="0" applyAlignment="1">
      <alignment horizontal="left"/>
    </xf>
    <xf numFmtId="0" fontId="0" fillId="0" borderId="0" xfId="0"/>
    <xf numFmtId="0" fontId="3" fillId="0" borderId="0" xfId="0" applyFont="1"/>
    <xf numFmtId="167" fontId="0" fillId="0" borderId="0" xfId="1" applyNumberFormat="1" applyFont="1"/>
    <xf numFmtId="10" fontId="0" fillId="0" borderId="0" xfId="0" applyNumberFormat="1"/>
    <xf numFmtId="0" fontId="0" fillId="3" borderId="0" xfId="0" applyFill="1"/>
    <xf numFmtId="0" fontId="2" fillId="2" borderId="0" xfId="0" applyFont="1" applyFill="1" applyAlignment="1">
      <alignment horizontal="center" wrapText="1"/>
    </xf>
    <xf numFmtId="9" fontId="6" fillId="0" borderId="0" xfId="0" applyNumberFormat="1" applyFont="1" applyAlignment="1">
      <alignment horizontal="left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9" fontId="5" fillId="0" borderId="0" xfId="0" applyNumberFormat="1" applyFont="1"/>
    <xf numFmtId="170" fontId="0" fillId="0" borderId="0" xfId="0" applyNumberFormat="1" applyFill="1"/>
    <xf numFmtId="171" fontId="0" fillId="0" borderId="0" xfId="0" applyNumberFormat="1" applyFill="1"/>
    <xf numFmtId="0" fontId="0" fillId="0" borderId="0" xfId="0" applyFill="1" applyBorder="1"/>
    <xf numFmtId="170" fontId="0" fillId="0" borderId="0" xfId="0" applyNumberFormat="1" applyFill="1" applyBorder="1"/>
    <xf numFmtId="171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0" fillId="47" borderId="0" xfId="0" applyFill="1"/>
    <xf numFmtId="0" fontId="63" fillId="0" borderId="0" xfId="0" applyFont="1" applyFill="1" applyBorder="1" applyAlignment="1">
      <alignment horizontal="left" wrapText="1"/>
    </xf>
    <xf numFmtId="166" fontId="6" fillId="0" borderId="1" xfId="2" applyNumberFormat="1" applyFont="1" applyBorder="1"/>
    <xf numFmtId="0" fontId="66" fillId="0" borderId="1" xfId="0" applyFont="1" applyBorder="1"/>
    <xf numFmtId="166" fontId="67" fillId="0" borderId="1" xfId="1" applyNumberFormat="1" applyFont="1" applyFill="1" applyBorder="1"/>
    <xf numFmtId="0" fontId="4" fillId="0" borderId="0" xfId="0" applyFont="1"/>
    <xf numFmtId="0" fontId="67" fillId="0" borderId="0" xfId="0" applyFont="1" applyAlignment="1">
      <alignment wrapText="1"/>
    </xf>
    <xf numFmtId="0" fontId="67" fillId="0" borderId="0" xfId="0" applyFont="1" applyFill="1" applyAlignment="1">
      <alignment horizontal="center" wrapText="1"/>
    </xf>
    <xf numFmtId="0" fontId="67" fillId="0" borderId="0" xfId="0" applyFont="1" applyAlignment="1">
      <alignment horizontal="center" wrapText="1"/>
    </xf>
    <xf numFmtId="0" fontId="4" fillId="0" borderId="1" xfId="0" applyFont="1" applyBorder="1"/>
    <xf numFmtId="9" fontId="4" fillId="0" borderId="1" xfId="0" applyNumberFormat="1" applyFont="1" applyFill="1" applyBorder="1"/>
    <xf numFmtId="0" fontId="4" fillId="0" borderId="0" xfId="0" applyFont="1" applyAlignment="1">
      <alignment horizontal="left"/>
    </xf>
    <xf numFmtId="0" fontId="4" fillId="4" borderId="0" xfId="0" applyFont="1" applyFill="1"/>
    <xf numFmtId="166" fontId="4" fillId="0" borderId="1" xfId="1" applyNumberFormat="1" applyFont="1" applyFill="1" applyBorder="1"/>
    <xf numFmtId="9" fontId="4" fillId="0" borderId="0" xfId="0" applyNumberFormat="1" applyFont="1" applyBorder="1"/>
    <xf numFmtId="167" fontId="4" fillId="0" borderId="1" xfId="0" applyNumberFormat="1" applyFont="1" applyBorder="1"/>
    <xf numFmtId="10" fontId="4" fillId="3" borderId="0" xfId="2" applyNumberFormat="1" applyFont="1" applyFill="1"/>
    <xf numFmtId="188" fontId="4" fillId="0" borderId="0" xfId="0" applyNumberFormat="1" applyFont="1" applyAlignment="1">
      <alignment horizontal="left"/>
    </xf>
    <xf numFmtId="10" fontId="4" fillId="0" borderId="0" xfId="2" applyNumberFormat="1" applyFont="1"/>
    <xf numFmtId="187" fontId="4" fillId="0" borderId="0" xfId="0" applyNumberFormat="1" applyFont="1" applyAlignment="1">
      <alignment horizontal="left"/>
    </xf>
    <xf numFmtId="9" fontId="4" fillId="0" borderId="0" xfId="2" applyFont="1" applyAlignment="1">
      <alignment horizontal="left" wrapText="1"/>
    </xf>
    <xf numFmtId="9" fontId="4" fillId="0" borderId="1" xfId="0" applyNumberFormat="1" applyFont="1" applyBorder="1"/>
    <xf numFmtId="167" fontId="4" fillId="0" borderId="0" xfId="1" applyNumberFormat="1" applyFont="1"/>
    <xf numFmtId="0" fontId="67" fillId="0" borderId="0" xfId="0" applyFont="1" applyAlignment="1">
      <alignment horizontal="left" wrapText="1"/>
    </xf>
    <xf numFmtId="0" fontId="4" fillId="0" borderId="0" xfId="0" applyFont="1" applyBorder="1"/>
    <xf numFmtId="0" fontId="4" fillId="0" borderId="0" xfId="0" applyFont="1" applyFill="1" applyBorder="1"/>
    <xf numFmtId="9" fontId="4" fillId="0" borderId="0" xfId="0" applyNumberFormat="1" applyFont="1" applyFill="1" applyBorder="1"/>
    <xf numFmtId="9" fontId="4" fillId="0" borderId="0" xfId="2" applyFont="1"/>
    <xf numFmtId="166" fontId="4" fillId="0" borderId="0" xfId="1" applyFont="1"/>
    <xf numFmtId="0" fontId="4" fillId="47" borderId="0" xfId="0" applyFont="1" applyFill="1"/>
    <xf numFmtId="0" fontId="67" fillId="47" borderId="0" xfId="0" applyFont="1" applyFill="1"/>
    <xf numFmtId="0" fontId="4" fillId="47" borderId="0" xfId="0" applyFont="1" applyFill="1" applyAlignment="1">
      <alignment horizontal="left"/>
    </xf>
    <xf numFmtId="0" fontId="67" fillId="47" borderId="0" xfId="0" applyFont="1" applyFill="1" applyAlignment="1">
      <alignment wrapText="1"/>
    </xf>
    <xf numFmtId="0" fontId="67" fillId="47" borderId="0" xfId="0" applyFont="1" applyFill="1" applyAlignment="1">
      <alignment horizontal="center" wrapText="1"/>
    </xf>
    <xf numFmtId="0" fontId="4" fillId="47" borderId="1" xfId="0" applyFont="1" applyFill="1" applyBorder="1"/>
    <xf numFmtId="167" fontId="4" fillId="47" borderId="1" xfId="1" applyNumberFormat="1" applyFont="1" applyFill="1" applyBorder="1"/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40625"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39" t="s">
        <v>111</v>
      </c>
    </row>
    <row r="3" spans="2:15" ht="31.5" customHeight="1">
      <c r="B3" s="46"/>
      <c r="C3" s="46"/>
      <c r="D3" s="46"/>
      <c r="E3" s="41" t="s">
        <v>7</v>
      </c>
      <c r="F3" s="41" t="s">
        <v>6</v>
      </c>
      <c r="G3" s="41" t="s">
        <v>2</v>
      </c>
      <c r="H3" s="41" t="s">
        <v>115</v>
      </c>
      <c r="I3" s="41" t="s">
        <v>4</v>
      </c>
      <c r="J3" s="41" t="s">
        <v>112</v>
      </c>
      <c r="K3" s="41" t="s">
        <v>5</v>
      </c>
      <c r="L3" s="41" t="s">
        <v>3</v>
      </c>
      <c r="M3" s="41" t="s">
        <v>1</v>
      </c>
      <c r="N3" s="40" t="s">
        <v>113</v>
      </c>
      <c r="O3" s="40" t="s">
        <v>9</v>
      </c>
    </row>
    <row r="4" spans="2:15">
      <c r="D4" s="42" t="s">
        <v>118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f>SUM(E4:M4)</f>
        <v>0</v>
      </c>
      <c r="O4" s="34">
        <f>N4/1000</f>
        <v>0</v>
      </c>
    </row>
    <row r="5" spans="2:15">
      <c r="D5" s="42" t="s">
        <v>117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f>SUM(E5:M5)</f>
        <v>0</v>
      </c>
      <c r="O5" s="34">
        <f>N5/1000</f>
        <v>0</v>
      </c>
    </row>
    <row r="6" spans="2:15" s="35" customFormat="1">
      <c r="D6" s="43" t="s">
        <v>119</v>
      </c>
      <c r="E6" s="36">
        <f>E5-E4</f>
        <v>0</v>
      </c>
      <c r="F6" s="36">
        <f>F5-F4</f>
        <v>0</v>
      </c>
      <c r="G6" s="36">
        <f>G5-G4</f>
        <v>0</v>
      </c>
      <c r="H6" s="36">
        <f>H5-H4</f>
        <v>0</v>
      </c>
      <c r="I6" s="36">
        <f t="shared" ref="I6:M6" si="0">I5-I4</f>
        <v>0</v>
      </c>
      <c r="J6" s="36">
        <f>J5-J4</f>
        <v>0</v>
      </c>
      <c r="K6" s="36">
        <f>K5-K4</f>
        <v>0</v>
      </c>
      <c r="L6" s="36">
        <f t="shared" si="0"/>
        <v>0</v>
      </c>
      <c r="M6" s="36">
        <f t="shared" si="0"/>
        <v>0</v>
      </c>
      <c r="N6" s="33">
        <f>SUM(E6:M6)</f>
        <v>0</v>
      </c>
      <c r="O6" s="34">
        <f>N6/1000</f>
        <v>0</v>
      </c>
    </row>
    <row r="7" spans="2:15" s="35" customFormat="1">
      <c r="E7" s="36"/>
      <c r="F7" s="36"/>
      <c r="G7" s="36"/>
      <c r="H7" s="36"/>
      <c r="I7" s="36"/>
      <c r="J7" s="36"/>
      <c r="K7" s="36"/>
      <c r="L7" s="36"/>
      <c r="M7" s="36"/>
      <c r="N7" s="36"/>
      <c r="O7" s="37"/>
    </row>
    <row r="8" spans="2:15">
      <c r="B8" s="44" t="s">
        <v>120</v>
      </c>
      <c r="C8" s="44"/>
      <c r="D8" s="44"/>
      <c r="M8" s="38"/>
    </row>
    <row r="9" spans="2:15">
      <c r="E9" s="41" t="s">
        <v>7</v>
      </c>
      <c r="F9" s="41" t="s">
        <v>6</v>
      </c>
      <c r="G9" s="41" t="s">
        <v>2</v>
      </c>
      <c r="H9" s="41" t="s">
        <v>115</v>
      </c>
      <c r="I9" s="41" t="s">
        <v>4</v>
      </c>
      <c r="J9" s="41" t="s">
        <v>112</v>
      </c>
      <c r="K9" s="41" t="s">
        <v>5</v>
      </c>
      <c r="L9" s="41" t="s">
        <v>3</v>
      </c>
      <c r="M9" s="41" t="s">
        <v>1</v>
      </c>
      <c r="N9" s="40" t="s">
        <v>113</v>
      </c>
      <c r="O9" s="40" t="s">
        <v>9</v>
      </c>
    </row>
    <row r="10" spans="2:15" ht="12.75" customHeight="1">
      <c r="D10" s="35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4"/>
    </row>
    <row r="11" spans="2:15" ht="12.75" customHeight="1">
      <c r="B11" s="39" t="s">
        <v>116</v>
      </c>
      <c r="C11" s="39" t="s">
        <v>114</v>
      </c>
      <c r="D11" s="35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4"/>
    </row>
    <row r="12" spans="2:15" ht="12" customHeight="1">
      <c r="B12" s="4">
        <v>1</v>
      </c>
      <c r="C12" s="4">
        <v>1</v>
      </c>
      <c r="D12" s="35" t="s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f>SUM(E12:M12)</f>
        <v>0</v>
      </c>
      <c r="O12" s="34">
        <f>N12/1000</f>
        <v>0</v>
      </c>
    </row>
    <row r="13" spans="2:15"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4"/>
    </row>
    <row r="14" spans="2:15"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4"/>
    </row>
    <row r="15" spans="2:15"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4"/>
    </row>
    <row r="16" spans="2:15"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4"/>
    </row>
    <row r="17" spans="5:15"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4"/>
    </row>
    <row r="18" spans="5:15"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4"/>
    </row>
    <row r="19" spans="5:15"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4"/>
    </row>
    <row r="20" spans="5:15"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4"/>
    </row>
    <row r="21" spans="5:15"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4"/>
    </row>
    <row r="22" spans="5:15"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4"/>
    </row>
    <row r="23" spans="5:15"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4"/>
    </row>
    <row r="24" spans="5:15"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4"/>
    </row>
    <row r="25" spans="5:15"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4"/>
    </row>
    <row r="26" spans="5:15"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4"/>
    </row>
    <row r="27" spans="5:15"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4"/>
    </row>
    <row r="28" spans="5:15"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4"/>
    </row>
    <row r="29" spans="5:15"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4"/>
    </row>
    <row r="30" spans="5:15"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4"/>
    </row>
    <row r="31" spans="5:15"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4"/>
    </row>
    <row r="32" spans="5:15"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4"/>
    </row>
    <row r="33" spans="5:15"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4"/>
    </row>
    <row r="34" spans="5:15"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4"/>
    </row>
    <row r="35" spans="5:15"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4"/>
    </row>
    <row r="36" spans="5:15"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4"/>
    </row>
    <row r="37" spans="5:15"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4"/>
    </row>
    <row r="38" spans="5:1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4"/>
    </row>
    <row r="39" spans="5:15"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4"/>
    </row>
    <row r="40" spans="5:15"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5:15"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5:15"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4"/>
    </row>
    <row r="43" spans="5:15"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4"/>
    </row>
    <row r="44" spans="5:15"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4"/>
    </row>
    <row r="45" spans="5:15"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4"/>
    </row>
    <row r="46" spans="5:15"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4"/>
    </row>
    <row r="47" spans="5:15"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4"/>
    </row>
    <row r="48" spans="5:15"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4"/>
    </row>
    <row r="49" spans="5:15"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4"/>
    </row>
    <row r="50" spans="5:15"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4"/>
    </row>
    <row r="51" spans="5:15"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4"/>
    </row>
    <row r="52" spans="5:15"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4"/>
    </row>
    <row r="53" spans="5:15"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4"/>
    </row>
    <row r="54" spans="5:15"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4"/>
    </row>
    <row r="55" spans="5:15"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4"/>
    </row>
    <row r="56" spans="5:15"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4"/>
    </row>
    <row r="57" spans="5:15"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4"/>
    </row>
    <row r="58" spans="5:15"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4"/>
    </row>
    <row r="59" spans="5:15"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4"/>
    </row>
    <row r="60" spans="5:15"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4"/>
    </row>
    <row r="61" spans="5:15"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4"/>
    </row>
    <row r="62" spans="5:15"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4"/>
    </row>
    <row r="63" spans="5:15"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4"/>
    </row>
    <row r="64" spans="5:15"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4"/>
    </row>
    <row r="65" spans="5:15"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4"/>
    </row>
    <row r="66" spans="5:15"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4"/>
    </row>
    <row r="67" spans="5:15"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4"/>
    </row>
    <row r="68" spans="5:15"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4"/>
    </row>
    <row r="69" spans="5:15"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4"/>
    </row>
    <row r="70" spans="5:15"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4"/>
    </row>
    <row r="71" spans="5:15"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4"/>
    </row>
    <row r="72" spans="5:15"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4"/>
    </row>
    <row r="73" spans="5:15"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4"/>
    </row>
    <row r="74" spans="5:15"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4"/>
    </row>
    <row r="75" spans="5:15"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4"/>
    </row>
    <row r="76" spans="5:15"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4"/>
    </row>
    <row r="77" spans="5:15"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4"/>
    </row>
    <row r="78" spans="5:15"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4"/>
    </row>
    <row r="79" spans="5:15"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4"/>
    </row>
    <row r="80" spans="5:15"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4"/>
    </row>
    <row r="81" spans="5:15"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4"/>
    </row>
    <row r="82" spans="5:15"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4"/>
    </row>
    <row r="83" spans="5:15"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4"/>
    </row>
    <row r="84" spans="5:15"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4"/>
    </row>
    <row r="85" spans="5:15"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4"/>
    </row>
    <row r="86" spans="5:15"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4"/>
    </row>
    <row r="87" spans="5:15"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4"/>
    </row>
    <row r="88" spans="5:15"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4"/>
    </row>
    <row r="89" spans="5:15"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4"/>
    </row>
    <row r="90" spans="5:15"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4"/>
    </row>
    <row r="91" spans="5:15"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4"/>
    </row>
    <row r="92" spans="5:15"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4"/>
    </row>
    <row r="93" spans="5:15"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4"/>
    </row>
    <row r="94" spans="5:15"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4"/>
    </row>
    <row r="95" spans="5:15"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4"/>
    </row>
    <row r="96" spans="5:15"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4"/>
    </row>
    <row r="97" spans="5:15"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4"/>
    </row>
    <row r="98" spans="5:15"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4"/>
    </row>
    <row r="99" spans="5:15"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4"/>
    </row>
    <row r="100" spans="5:15"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4"/>
    </row>
    <row r="101" spans="5:15"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4"/>
    </row>
    <row r="102" spans="5:15"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4"/>
    </row>
    <row r="103" spans="5:15"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4"/>
    </row>
    <row r="104" spans="5:15"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4"/>
    </row>
    <row r="105" spans="5:15"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4"/>
    </row>
    <row r="106" spans="5:15"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4"/>
    </row>
    <row r="107" spans="5:15"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4"/>
    </row>
    <row r="108" spans="5:15"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4"/>
    </row>
    <row r="109" spans="5:15"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4"/>
    </row>
    <row r="110" spans="5:15"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4"/>
    </row>
    <row r="111" spans="5:15"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4"/>
    </row>
    <row r="112" spans="5:15"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4"/>
    </row>
    <row r="113" spans="5:15"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4"/>
    </row>
    <row r="114" spans="5:15"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4"/>
    </row>
    <row r="115" spans="5:15"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4"/>
    </row>
    <row r="116" spans="5:15"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4"/>
    </row>
    <row r="117" spans="5:15"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4"/>
    </row>
    <row r="118" spans="5:15"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4"/>
    </row>
    <row r="119" spans="5:15"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4"/>
    </row>
    <row r="120" spans="5:15"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4"/>
    </row>
    <row r="121" spans="5:15"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4"/>
    </row>
    <row r="122" spans="5:15"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4"/>
    </row>
    <row r="123" spans="5:15"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4"/>
    </row>
    <row r="124" spans="5:15"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4"/>
    </row>
    <row r="125" spans="5:15"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4"/>
    </row>
    <row r="126" spans="5:15"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4"/>
    </row>
    <row r="127" spans="5:15"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4"/>
    </row>
    <row r="128" spans="5:15"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4"/>
    </row>
    <row r="129" spans="5:15"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4"/>
    </row>
    <row r="130" spans="5:15"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4"/>
    </row>
    <row r="131" spans="5:15"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4"/>
    </row>
    <row r="132" spans="5:15"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4"/>
    </row>
    <row r="133" spans="5:15"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4"/>
    </row>
    <row r="134" spans="5:15"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4"/>
    </row>
    <row r="135" spans="5:15"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4"/>
    </row>
    <row r="136" spans="5:15"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4"/>
    </row>
    <row r="137" spans="5:15"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4"/>
    </row>
    <row r="138" spans="5:15"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4"/>
    </row>
    <row r="139" spans="5:15"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4"/>
    </row>
    <row r="140" spans="5:15"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4"/>
    </row>
    <row r="141" spans="5:15"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4"/>
    </row>
    <row r="142" spans="5:15"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4"/>
    </row>
    <row r="143" spans="5:15"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4"/>
    </row>
    <row r="144" spans="5:15"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4"/>
    </row>
    <row r="145" spans="5:15"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4"/>
    </row>
    <row r="146" spans="5:15"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4"/>
    </row>
    <row r="147" spans="5:15"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4"/>
    </row>
    <row r="148" spans="5:15"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4"/>
    </row>
    <row r="149" spans="5:15"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4"/>
    </row>
    <row r="150" spans="5:15"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4"/>
    </row>
    <row r="151" spans="5:15"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4"/>
    </row>
    <row r="152" spans="5:15"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4"/>
    </row>
    <row r="153" spans="5:15"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4"/>
    </row>
    <row r="154" spans="5:15"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4"/>
    </row>
    <row r="155" spans="5:15"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4"/>
    </row>
    <row r="156" spans="5:15"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4"/>
    </row>
    <row r="157" spans="5:15"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4"/>
    </row>
    <row r="158" spans="5:15"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4"/>
    </row>
    <row r="159" spans="5:15"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4"/>
    </row>
    <row r="160" spans="5:15"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4"/>
    </row>
    <row r="161" spans="5:15"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4"/>
    </row>
    <row r="162" spans="5:15"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4"/>
    </row>
    <row r="163" spans="5:15"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4"/>
    </row>
    <row r="164" spans="5:15"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4"/>
    </row>
    <row r="165" spans="5:15"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4"/>
    </row>
    <row r="166" spans="5:15"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4"/>
    </row>
    <row r="167" spans="5:15"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4"/>
    </row>
    <row r="168" spans="5:15"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4"/>
    </row>
    <row r="169" spans="5:15"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4"/>
    </row>
    <row r="170" spans="5:15"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4"/>
    </row>
    <row r="171" spans="5:15"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4"/>
    </row>
    <row r="172" spans="5:15"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4"/>
    </row>
    <row r="173" spans="5:15"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4"/>
    </row>
    <row r="174" spans="5:15"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4"/>
    </row>
    <row r="175" spans="5:15"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4"/>
    </row>
    <row r="176" spans="5:15"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4"/>
    </row>
    <row r="177" spans="5:15"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4"/>
    </row>
    <row r="178" spans="5:15"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4"/>
    </row>
    <row r="179" spans="5:15"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4"/>
    </row>
    <row r="180" spans="5:15"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4"/>
    </row>
    <row r="181" spans="5:15"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4"/>
    </row>
    <row r="182" spans="5:15"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4"/>
    </row>
    <row r="183" spans="5:15"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4"/>
    </row>
    <row r="184" spans="5:15"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4"/>
    </row>
    <row r="185" spans="5:15"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4"/>
    </row>
    <row r="186" spans="5:15"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4"/>
    </row>
    <row r="187" spans="5:15"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4"/>
    </row>
    <row r="188" spans="5:15"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4"/>
    </row>
    <row r="189" spans="5:15"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4"/>
    </row>
    <row r="190" spans="5:15"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4"/>
    </row>
    <row r="191" spans="5:15"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4"/>
    </row>
    <row r="192" spans="5:15"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4"/>
    </row>
    <row r="193" spans="5:15"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4"/>
    </row>
    <row r="194" spans="5:15"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4"/>
    </row>
    <row r="195" spans="5:15"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4"/>
    </row>
    <row r="196" spans="5:15"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4"/>
    </row>
    <row r="197" spans="5:1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4"/>
    </row>
    <row r="198" spans="5:1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4"/>
    </row>
    <row r="199" spans="5:1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4"/>
    </row>
    <row r="200" spans="5:1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4"/>
    </row>
    <row r="201" spans="5:15"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4"/>
    </row>
    <row r="202" spans="5:15"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4"/>
    </row>
    <row r="203" spans="5:15"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4"/>
    </row>
    <row r="204" spans="5:15"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4"/>
    </row>
    <row r="205" spans="5:15"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4"/>
    </row>
    <row r="206" spans="5:15"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4"/>
    </row>
    <row r="207" spans="5:15"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4"/>
    </row>
    <row r="208" spans="5:15"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4"/>
    </row>
    <row r="209" spans="5:15"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4"/>
    </row>
    <row r="210" spans="5:15"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4"/>
    </row>
    <row r="211" spans="5:15"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4"/>
    </row>
    <row r="212" spans="5:15"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4"/>
    </row>
    <row r="213" spans="5:15"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4"/>
    </row>
    <row r="214" spans="5:15"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4"/>
    </row>
    <row r="215" spans="5:15"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4"/>
    </row>
    <row r="216" spans="5:15"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4"/>
    </row>
    <row r="217" spans="5:15"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4"/>
    </row>
    <row r="218" spans="5:15"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4"/>
    </row>
    <row r="219" spans="5:15"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4"/>
    </row>
    <row r="220" spans="5:15"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4"/>
    </row>
    <row r="221" spans="5:15"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4"/>
    </row>
    <row r="222" spans="5:15"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4"/>
    </row>
    <row r="223" spans="5:15"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4"/>
    </row>
    <row r="224" spans="5:15"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4"/>
    </row>
    <row r="225" spans="5:15"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4"/>
    </row>
    <row r="226" spans="5:15"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4"/>
    </row>
    <row r="227" spans="5:15"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4"/>
    </row>
    <row r="228" spans="5:15"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4"/>
    </row>
    <row r="229" spans="5:15"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4"/>
    </row>
    <row r="230" spans="5:15"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4"/>
    </row>
    <row r="231" spans="5:15"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4"/>
    </row>
    <row r="232" spans="5:15"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4"/>
    </row>
    <row r="233" spans="5:15"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4"/>
    </row>
    <row r="234" spans="5:15"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4"/>
    </row>
    <row r="235" spans="5:15"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4"/>
    </row>
    <row r="236" spans="5:15"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4"/>
    </row>
    <row r="237" spans="5:15"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4"/>
    </row>
    <row r="238" spans="5:15"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4"/>
    </row>
    <row r="239" spans="5:15"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4"/>
    </row>
    <row r="240" spans="5:15"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4"/>
    </row>
    <row r="241" spans="5:15"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4"/>
    </row>
    <row r="242" spans="5:15"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4"/>
    </row>
    <row r="243" spans="5:15"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4"/>
    </row>
    <row r="244" spans="5:15"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4"/>
    </row>
    <row r="245" spans="5:15"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4"/>
    </row>
    <row r="246" spans="5:15"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4"/>
    </row>
    <row r="247" spans="5:15"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4"/>
    </row>
    <row r="248" spans="5:15"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4"/>
    </row>
    <row r="249" spans="5:15"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4"/>
    </row>
    <row r="250" spans="5:15"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4"/>
    </row>
    <row r="251" spans="5:15"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4"/>
    </row>
    <row r="252" spans="5:15"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4"/>
    </row>
    <row r="253" spans="5:15"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4"/>
    </row>
    <row r="254" spans="5:15"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4"/>
    </row>
    <row r="255" spans="5:15"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4"/>
    </row>
    <row r="256" spans="5:15"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4"/>
    </row>
    <row r="257" spans="5:15"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4"/>
    </row>
    <row r="258" spans="5:15"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4"/>
    </row>
    <row r="259" spans="5:15"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4"/>
    </row>
    <row r="260" spans="5:15"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4"/>
    </row>
    <row r="261" spans="5:15"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4"/>
    </row>
    <row r="262" spans="5:15"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4"/>
    </row>
    <row r="263" spans="5:15"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4"/>
    </row>
    <row r="264" spans="5:15"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4"/>
    </row>
    <row r="265" spans="5:15"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4"/>
    </row>
    <row r="266" spans="5:15"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4"/>
    </row>
    <row r="267" spans="5:15"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4"/>
    </row>
    <row r="268" spans="5:15"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4"/>
    </row>
    <row r="269" spans="5:15"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4"/>
    </row>
    <row r="270" spans="5:15"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4"/>
    </row>
    <row r="271" spans="5:15"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4"/>
    </row>
    <row r="272" spans="5:15"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4"/>
    </row>
    <row r="273" spans="5:15"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4"/>
    </row>
    <row r="274" spans="5:15"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4"/>
    </row>
    <row r="275" spans="5:15"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4"/>
    </row>
    <row r="276" spans="5:15"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4"/>
    </row>
    <row r="277" spans="5:15"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4"/>
    </row>
    <row r="278" spans="5:15"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4"/>
    </row>
    <row r="279" spans="5:15"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4"/>
    </row>
    <row r="280" spans="5:15"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4"/>
    </row>
    <row r="281" spans="5:15"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4"/>
    </row>
    <row r="282" spans="5:15"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4"/>
    </row>
    <row r="283" spans="5:15"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4"/>
    </row>
    <row r="284" spans="5:15"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4"/>
    </row>
    <row r="285" spans="5:15"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4"/>
    </row>
    <row r="286" spans="5:15"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4"/>
    </row>
    <row r="287" spans="5:15"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4"/>
    </row>
    <row r="288" spans="5:15"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4"/>
    </row>
    <row r="289" spans="5:15"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4"/>
    </row>
    <row r="290" spans="5:15"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4"/>
    </row>
    <row r="291" spans="5:15"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4"/>
    </row>
    <row r="292" spans="5:15"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4"/>
    </row>
    <row r="293" spans="5:15"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4"/>
    </row>
    <row r="294" spans="5:15"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4"/>
    </row>
    <row r="295" spans="5:15"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4"/>
    </row>
    <row r="296" spans="5:15"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4"/>
    </row>
    <row r="297" spans="5:15"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4"/>
    </row>
    <row r="298" spans="5:15"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4"/>
    </row>
    <row r="299" spans="5:15"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4"/>
    </row>
    <row r="300" spans="5:15"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4"/>
    </row>
    <row r="301" spans="5:15"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4"/>
    </row>
    <row r="302" spans="5:15"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4"/>
    </row>
    <row r="303" spans="5:15"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4"/>
    </row>
    <row r="304" spans="5:15"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4"/>
    </row>
    <row r="305" spans="5:15"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4"/>
    </row>
    <row r="306" spans="5:15"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4"/>
    </row>
    <row r="307" spans="5:15"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4"/>
    </row>
    <row r="308" spans="5:15"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4"/>
    </row>
    <row r="309" spans="5:15"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4"/>
    </row>
    <row r="310" spans="5:15"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4"/>
    </row>
    <row r="311" spans="5:15"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4"/>
    </row>
    <row r="312" spans="5:15"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4"/>
    </row>
    <row r="313" spans="5:15"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4"/>
    </row>
    <row r="314" spans="5:15"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4"/>
    </row>
    <row r="315" spans="5:15"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4"/>
    </row>
    <row r="316" spans="5:15"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4"/>
    </row>
    <row r="317" spans="5:15"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4"/>
    </row>
    <row r="318" spans="5:15"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4"/>
    </row>
    <row r="319" spans="5:15"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4"/>
    </row>
    <row r="320" spans="5:15"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4"/>
    </row>
    <row r="321" spans="5:15"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4"/>
    </row>
    <row r="322" spans="5:15"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4"/>
    </row>
    <row r="323" spans="5:15"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4"/>
    </row>
    <row r="324" spans="5:15"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4"/>
    </row>
    <row r="325" spans="5:15"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4"/>
    </row>
    <row r="326" spans="5:15"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4"/>
    </row>
    <row r="327" spans="5:15"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4"/>
    </row>
    <row r="328" spans="5:15"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4"/>
    </row>
    <row r="329" spans="5:15"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4"/>
    </row>
    <row r="330" spans="5:15"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4"/>
    </row>
    <row r="331" spans="5:15"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4"/>
    </row>
    <row r="332" spans="5:15"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4"/>
    </row>
    <row r="333" spans="5:15"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4"/>
    </row>
    <row r="334" spans="5:15"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4"/>
    </row>
    <row r="335" spans="5:15"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4"/>
    </row>
    <row r="336" spans="5:15"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4"/>
    </row>
    <row r="337" spans="5:15"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4"/>
    </row>
    <row r="338" spans="5:15"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4"/>
    </row>
    <row r="339" spans="5:15"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4"/>
    </row>
    <row r="340" spans="5:15"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4"/>
    </row>
    <row r="341" spans="5:15"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4"/>
    </row>
    <row r="342" spans="5:15"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4"/>
    </row>
    <row r="343" spans="5:15"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4"/>
    </row>
    <row r="344" spans="5:15"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4"/>
    </row>
    <row r="345" spans="5:15"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4"/>
    </row>
    <row r="346" spans="5:15"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4"/>
    </row>
    <row r="347" spans="5:15"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4"/>
    </row>
    <row r="348" spans="5:15"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4"/>
    </row>
    <row r="349" spans="5:15"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4"/>
    </row>
    <row r="350" spans="5:15"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4"/>
    </row>
    <row r="351" spans="5:15"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4"/>
    </row>
    <row r="352" spans="5:15"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4"/>
    </row>
    <row r="353" spans="5:15"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4"/>
    </row>
    <row r="354" spans="5:15"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4"/>
    </row>
    <row r="355" spans="5:15"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4"/>
    </row>
    <row r="356" spans="5:15"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4"/>
    </row>
    <row r="357" spans="5:15"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4"/>
    </row>
    <row r="358" spans="5:15"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4"/>
    </row>
    <row r="359" spans="5:15"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4"/>
    </row>
    <row r="360" spans="5:15"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4"/>
    </row>
    <row r="361" spans="5:15"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4"/>
    </row>
    <row r="362" spans="5:15"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4"/>
    </row>
    <row r="363" spans="5:15"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4"/>
    </row>
    <row r="364" spans="5:15"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4"/>
    </row>
    <row r="365" spans="5:15"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4"/>
    </row>
    <row r="366" spans="5:15"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4"/>
    </row>
    <row r="367" spans="5:15"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4"/>
    </row>
    <row r="368" spans="5:15"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4"/>
    </row>
    <row r="369" spans="5:15"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4"/>
    </row>
    <row r="370" spans="5:15"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4"/>
    </row>
    <row r="371" spans="5:15"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4"/>
    </row>
    <row r="372" spans="5:15"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4"/>
    </row>
    <row r="373" spans="5:15"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4"/>
    </row>
    <row r="374" spans="5:15"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4"/>
    </row>
    <row r="375" spans="5:15"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4"/>
    </row>
    <row r="376" spans="5:15"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4"/>
    </row>
    <row r="377" spans="5:15"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4"/>
    </row>
    <row r="378" spans="5:15"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4"/>
    </row>
    <row r="379" spans="5:15"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4"/>
    </row>
    <row r="380" spans="5:15"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4"/>
    </row>
    <row r="381" spans="5:15"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4"/>
    </row>
    <row r="382" spans="5:15"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4"/>
    </row>
    <row r="383" spans="5:15"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4"/>
    </row>
    <row r="384" spans="5:15"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4"/>
    </row>
    <row r="385" spans="5:15"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4"/>
    </row>
    <row r="386" spans="5:15"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4"/>
    </row>
    <row r="387" spans="5:15"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4"/>
    </row>
    <row r="388" spans="5:15"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4"/>
    </row>
    <row r="389" spans="5:15"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4"/>
    </row>
    <row r="390" spans="5:15"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4"/>
    </row>
    <row r="391" spans="5:15"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4"/>
    </row>
    <row r="392" spans="5:15"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4"/>
    </row>
    <row r="393" spans="5:15"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4"/>
    </row>
    <row r="394" spans="5:15"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4"/>
    </row>
    <row r="395" spans="5:15"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4"/>
    </row>
    <row r="396" spans="5:15"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4"/>
    </row>
    <row r="397" spans="5:15"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4"/>
    </row>
    <row r="398" spans="5:15"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4"/>
    </row>
    <row r="399" spans="5:15"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4"/>
    </row>
    <row r="400" spans="5:15"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4"/>
    </row>
    <row r="401" spans="5:15"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4"/>
    </row>
    <row r="402" spans="5:15"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4"/>
    </row>
    <row r="403" spans="5:15"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4"/>
    </row>
    <row r="404" spans="5:15"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4"/>
    </row>
    <row r="405" spans="5:15"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4"/>
    </row>
    <row r="406" spans="5:15"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4"/>
    </row>
    <row r="407" spans="5:15"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4"/>
    </row>
    <row r="408" spans="5:15"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4"/>
    </row>
    <row r="409" spans="5:15"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4"/>
    </row>
    <row r="410" spans="5:15"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4"/>
    </row>
    <row r="411" spans="5:15"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4"/>
    </row>
    <row r="412" spans="5:15"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4"/>
    </row>
    <row r="413" spans="5:15"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4"/>
    </row>
    <row r="414" spans="5:15"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4"/>
    </row>
    <row r="415" spans="5:15"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4"/>
    </row>
    <row r="416" spans="5:15"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4"/>
    </row>
    <row r="417" spans="5:15"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4"/>
    </row>
    <row r="418" spans="5:15"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4"/>
    </row>
    <row r="419" spans="5:15"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4"/>
    </row>
    <row r="420" spans="5:15"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4"/>
    </row>
    <row r="421" spans="5:15"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4"/>
    </row>
    <row r="422" spans="5:15"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4"/>
    </row>
    <row r="423" spans="5:15"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4"/>
    </row>
    <row r="424" spans="5:15"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4"/>
    </row>
    <row r="425" spans="5:15"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4"/>
    </row>
    <row r="426" spans="5:15"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4"/>
    </row>
    <row r="427" spans="5:15"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4"/>
    </row>
    <row r="428" spans="5:15"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4"/>
    </row>
    <row r="429" spans="5:15"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4"/>
    </row>
    <row r="430" spans="5:15"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4"/>
    </row>
    <row r="431" spans="5:15"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4"/>
    </row>
    <row r="432" spans="5:15"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4"/>
    </row>
    <row r="433" spans="5:15"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4"/>
    </row>
    <row r="434" spans="5:15"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4"/>
    </row>
    <row r="435" spans="5:15"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4"/>
    </row>
    <row r="436" spans="5:15"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4"/>
    </row>
    <row r="437" spans="5:15"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4"/>
    </row>
    <row r="438" spans="5:15"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4"/>
    </row>
    <row r="439" spans="5:15"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4"/>
    </row>
    <row r="440" spans="5:15"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4"/>
    </row>
    <row r="441" spans="5:15"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4"/>
    </row>
    <row r="442" spans="5:15"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4"/>
    </row>
    <row r="443" spans="5:15"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4"/>
    </row>
    <row r="444" spans="5:15"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4"/>
    </row>
    <row r="445" spans="5:15"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4"/>
    </row>
    <row r="446" spans="5:15"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4"/>
    </row>
    <row r="447" spans="5:15"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4"/>
    </row>
    <row r="448" spans="5:15"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4"/>
    </row>
    <row r="449" spans="5:15"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4"/>
    </row>
    <row r="450" spans="5:15"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4"/>
    </row>
    <row r="451" spans="5:15"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4"/>
    </row>
    <row r="452" spans="5:15"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4"/>
    </row>
    <row r="453" spans="5:15"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4"/>
    </row>
    <row r="454" spans="5:15"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4"/>
    </row>
    <row r="455" spans="5:15"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4"/>
    </row>
    <row r="456" spans="5:15"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4"/>
    </row>
    <row r="457" spans="5:15"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4"/>
    </row>
    <row r="458" spans="5:15"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4"/>
    </row>
    <row r="459" spans="5:15"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4"/>
    </row>
    <row r="460" spans="5:15"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4"/>
    </row>
    <row r="461" spans="5:15"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4"/>
    </row>
    <row r="462" spans="5:15"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4"/>
    </row>
    <row r="463" spans="5:15"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4"/>
    </row>
    <row r="464" spans="5:15"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4"/>
    </row>
    <row r="465" spans="5:15"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4"/>
    </row>
    <row r="466" spans="5:15"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4"/>
    </row>
    <row r="467" spans="5:15"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4"/>
    </row>
    <row r="468" spans="5:15"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4"/>
    </row>
    <row r="469" spans="5:15"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4"/>
    </row>
    <row r="470" spans="5:15"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4"/>
    </row>
    <row r="471" spans="5:15"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4"/>
    </row>
    <row r="472" spans="5:15"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4"/>
    </row>
    <row r="473" spans="5:15"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4"/>
    </row>
    <row r="474" spans="5:15"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4"/>
    </row>
    <row r="475" spans="5:15"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4"/>
    </row>
    <row r="476" spans="5:15"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4"/>
    </row>
    <row r="477" spans="5:15"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4"/>
    </row>
    <row r="478" spans="5:15"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4"/>
    </row>
    <row r="479" spans="5:15"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4"/>
    </row>
    <row r="480" spans="5:15"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4"/>
    </row>
    <row r="481" spans="5:15"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4"/>
    </row>
    <row r="482" spans="5:15"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4"/>
    </row>
    <row r="483" spans="5:15"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4"/>
    </row>
    <row r="484" spans="5:15"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4"/>
    </row>
    <row r="485" spans="5:15"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4"/>
    </row>
    <row r="486" spans="5:15"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4"/>
    </row>
    <row r="487" spans="5:15"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4"/>
    </row>
    <row r="488" spans="5:15"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4"/>
    </row>
    <row r="489" spans="5:15"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4"/>
    </row>
    <row r="490" spans="5:15"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4"/>
    </row>
    <row r="491" spans="5:15"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4"/>
    </row>
    <row r="492" spans="5:15"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4"/>
    </row>
    <row r="493" spans="5:15"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4"/>
    </row>
    <row r="494" spans="5:15"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4"/>
    </row>
    <row r="495" spans="5:15"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4"/>
    </row>
    <row r="496" spans="5:15"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4"/>
    </row>
    <row r="497" spans="5:15"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4"/>
    </row>
    <row r="498" spans="5:15"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4"/>
    </row>
    <row r="499" spans="5:15"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4"/>
    </row>
    <row r="500" spans="5:15"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4"/>
    </row>
    <row r="501" spans="5:15"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4"/>
    </row>
    <row r="502" spans="5:15"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4"/>
    </row>
    <row r="503" spans="5:15"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4"/>
    </row>
    <row r="504" spans="5:15"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4"/>
    </row>
    <row r="505" spans="5:15"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4"/>
    </row>
    <row r="506" spans="5:15"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4"/>
    </row>
    <row r="507" spans="5:15"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4"/>
    </row>
    <row r="508" spans="5:15"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4"/>
    </row>
    <row r="509" spans="5:15"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4"/>
    </row>
    <row r="510" spans="5:15"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4"/>
    </row>
    <row r="511" spans="5:15"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4"/>
    </row>
    <row r="512" spans="5:15"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4"/>
    </row>
    <row r="513" spans="5:15"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4"/>
    </row>
    <row r="514" spans="5:15"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4"/>
    </row>
    <row r="515" spans="5:15"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4"/>
    </row>
    <row r="516" spans="5:15"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4"/>
    </row>
    <row r="517" spans="5:15"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4"/>
    </row>
    <row r="518" spans="5:15"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4"/>
    </row>
    <row r="519" spans="5:15"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4"/>
    </row>
    <row r="520" spans="5:15"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4"/>
    </row>
    <row r="521" spans="5:15"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4"/>
    </row>
    <row r="522" spans="5:15"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4"/>
    </row>
    <row r="523" spans="5:15"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4"/>
    </row>
    <row r="524" spans="5:15"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4"/>
    </row>
    <row r="525" spans="5:15"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4"/>
    </row>
    <row r="526" spans="5:15"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4"/>
    </row>
    <row r="527" spans="5:15"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4"/>
    </row>
    <row r="528" spans="5:15"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4"/>
    </row>
    <row r="529" spans="5:15"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4"/>
    </row>
    <row r="530" spans="5:15"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4"/>
    </row>
    <row r="531" spans="5:15"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4"/>
    </row>
    <row r="532" spans="5:15"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4"/>
    </row>
    <row r="533" spans="5:15"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4"/>
    </row>
    <row r="534" spans="5:15"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4"/>
    </row>
    <row r="535" spans="5:15"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4"/>
    </row>
    <row r="536" spans="5:15"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4"/>
    </row>
    <row r="537" spans="5:15"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4"/>
    </row>
    <row r="538" spans="5:15"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4"/>
    </row>
    <row r="539" spans="5:15"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4"/>
    </row>
    <row r="540" spans="5:15"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4"/>
    </row>
    <row r="541" spans="5:15"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4"/>
    </row>
    <row r="542" spans="5:15"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4"/>
    </row>
    <row r="543" spans="5:15"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4"/>
    </row>
    <row r="544" spans="5:15"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4"/>
    </row>
    <row r="545" spans="5:15"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4"/>
    </row>
    <row r="546" spans="5:15"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4"/>
    </row>
    <row r="547" spans="5:15"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4"/>
    </row>
    <row r="548" spans="5:15"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4"/>
    </row>
    <row r="549" spans="5:15"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4"/>
    </row>
    <row r="550" spans="5:15"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4"/>
    </row>
    <row r="551" spans="5:15"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4"/>
    </row>
    <row r="552" spans="5:15"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4"/>
    </row>
    <row r="553" spans="5:15"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4"/>
    </row>
    <row r="554" spans="5:15"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4"/>
    </row>
    <row r="555" spans="5:15"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4"/>
    </row>
    <row r="556" spans="5:15"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4"/>
    </row>
    <row r="557" spans="5:15"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4"/>
    </row>
    <row r="558" spans="5:15"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4"/>
    </row>
    <row r="559" spans="5:15"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4"/>
    </row>
    <row r="560" spans="5:15"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4"/>
    </row>
    <row r="561" spans="5:15"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4"/>
    </row>
    <row r="562" spans="5:15"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4"/>
    </row>
    <row r="563" spans="5:15"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4"/>
    </row>
    <row r="564" spans="5:15"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4"/>
    </row>
    <row r="565" spans="5:15"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4"/>
    </row>
    <row r="566" spans="5:15"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4"/>
    </row>
    <row r="567" spans="5:15"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4"/>
    </row>
    <row r="568" spans="5:15"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4"/>
    </row>
    <row r="569" spans="5:15"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4"/>
    </row>
    <row r="570" spans="5:15"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4"/>
    </row>
    <row r="571" spans="5:15"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4"/>
    </row>
    <row r="572" spans="5:15"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4"/>
    </row>
    <row r="573" spans="5:15"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4"/>
    </row>
    <row r="574" spans="5:15"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4"/>
    </row>
    <row r="575" spans="5:15"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4"/>
    </row>
    <row r="576" spans="5:15"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4"/>
    </row>
    <row r="577" spans="5:15"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4"/>
    </row>
    <row r="578" spans="5:15"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4"/>
    </row>
    <row r="579" spans="5:15"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4"/>
    </row>
    <row r="580" spans="5:15"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4"/>
    </row>
    <row r="581" spans="5:15"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4"/>
    </row>
    <row r="582" spans="5:15"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4"/>
    </row>
    <row r="583" spans="5:15"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4"/>
    </row>
    <row r="584" spans="5:15"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4"/>
    </row>
    <row r="585" spans="5:15"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4"/>
    </row>
    <row r="586" spans="5:15"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4"/>
    </row>
    <row r="587" spans="5:15"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4"/>
    </row>
    <row r="588" spans="5:15"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4"/>
    </row>
    <row r="589" spans="5:15"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4"/>
    </row>
    <row r="590" spans="5:15"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4"/>
    </row>
    <row r="591" spans="5:15"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4"/>
    </row>
    <row r="592" spans="5:15"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4"/>
    </row>
    <row r="593" spans="5:15"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4"/>
    </row>
    <row r="594" spans="5:15"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4"/>
    </row>
    <row r="595" spans="5:15"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4"/>
    </row>
    <row r="596" spans="5:15"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4"/>
    </row>
    <row r="597" spans="5:15"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4"/>
    </row>
    <row r="598" spans="5:15"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4"/>
    </row>
    <row r="599" spans="5:15"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4"/>
    </row>
    <row r="600" spans="5:15"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4"/>
    </row>
    <row r="601" spans="5:15"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4"/>
    </row>
    <row r="602" spans="5:15"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4"/>
    </row>
    <row r="603" spans="5:15"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4"/>
    </row>
    <row r="604" spans="5:15"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4"/>
    </row>
    <row r="605" spans="5:15"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4"/>
    </row>
    <row r="606" spans="5:15"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4"/>
    </row>
    <row r="607" spans="5:15"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4"/>
    </row>
    <row r="608" spans="5:15"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4"/>
    </row>
    <row r="609" spans="5:15"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4"/>
    </row>
    <row r="610" spans="5:15"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4"/>
    </row>
    <row r="611" spans="5:15"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4"/>
    </row>
    <row r="612" spans="5:15"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4"/>
    </row>
    <row r="613" spans="5:15"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4"/>
    </row>
    <row r="614" spans="5:15"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4"/>
    </row>
    <row r="615" spans="5:15"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4"/>
    </row>
    <row r="616" spans="5:15"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4"/>
    </row>
    <row r="617" spans="5:15"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4"/>
    </row>
    <row r="618" spans="5:15"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4"/>
    </row>
    <row r="619" spans="5:15"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4"/>
    </row>
    <row r="620" spans="5:15"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4"/>
    </row>
    <row r="621" spans="5:15"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4"/>
    </row>
    <row r="622" spans="5:15"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4"/>
    </row>
    <row r="623" spans="5:15"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4"/>
    </row>
    <row r="624" spans="5:15"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4"/>
    </row>
    <row r="625" spans="5:15"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4"/>
    </row>
    <row r="626" spans="5:15"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4"/>
    </row>
    <row r="627" spans="5:15"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4"/>
    </row>
    <row r="628" spans="5:15"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4"/>
    </row>
    <row r="629" spans="5:15"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4"/>
    </row>
    <row r="630" spans="5:15"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4"/>
    </row>
    <row r="631" spans="5:15"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4"/>
    </row>
    <row r="632" spans="5:15"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4"/>
    </row>
    <row r="633" spans="5:15"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4"/>
    </row>
    <row r="634" spans="5:15"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4"/>
    </row>
    <row r="635" spans="5:15"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4"/>
    </row>
    <row r="636" spans="5:15"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4"/>
    </row>
    <row r="637" spans="5:15"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4"/>
    </row>
    <row r="638" spans="5:15"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4"/>
    </row>
    <row r="639" spans="5:15"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4"/>
    </row>
    <row r="640" spans="5:15"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4"/>
    </row>
    <row r="641" spans="5:15"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4"/>
    </row>
    <row r="642" spans="5:15"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4"/>
    </row>
    <row r="643" spans="5:15"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4"/>
    </row>
    <row r="644" spans="5:15"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4"/>
    </row>
    <row r="645" spans="5:15"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4"/>
    </row>
    <row r="646" spans="5:15"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4"/>
    </row>
    <row r="647" spans="5:15"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4"/>
    </row>
    <row r="648" spans="5:15"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4"/>
    </row>
    <row r="649" spans="5:15"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4"/>
    </row>
    <row r="650" spans="5:15"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4"/>
    </row>
    <row r="651" spans="5:15"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4"/>
    </row>
    <row r="652" spans="5:15"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4"/>
    </row>
    <row r="653" spans="5:15"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4"/>
    </row>
    <row r="654" spans="5:15"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4"/>
    </row>
    <row r="655" spans="5:15"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4"/>
    </row>
    <row r="656" spans="5:15"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4"/>
    </row>
    <row r="657" spans="5:15"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4"/>
    </row>
    <row r="658" spans="5:15"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4"/>
    </row>
    <row r="659" spans="5:15"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4"/>
    </row>
    <row r="660" spans="5:15"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4"/>
    </row>
    <row r="661" spans="5:15"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4"/>
    </row>
    <row r="662" spans="5:15"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4"/>
    </row>
    <row r="663" spans="5:15"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4"/>
    </row>
    <row r="664" spans="5:15"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4"/>
    </row>
    <row r="665" spans="5:15"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4"/>
    </row>
    <row r="666" spans="5:15"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4"/>
    </row>
    <row r="667" spans="5:15"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4"/>
    </row>
    <row r="668" spans="5:15"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4"/>
    </row>
    <row r="669" spans="5:15"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4"/>
    </row>
    <row r="670" spans="5:15"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4"/>
    </row>
    <row r="671" spans="5:15"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4"/>
    </row>
    <row r="672" spans="5:15"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4"/>
    </row>
    <row r="673" spans="5:15"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4"/>
    </row>
    <row r="674" spans="5:15"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4"/>
    </row>
    <row r="675" spans="5:15"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4"/>
    </row>
    <row r="676" spans="5:15"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4"/>
    </row>
    <row r="677" spans="5:15"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4"/>
    </row>
    <row r="678" spans="5:15"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4"/>
    </row>
    <row r="679" spans="5:15"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4"/>
    </row>
    <row r="680" spans="5:15"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4"/>
    </row>
    <row r="681" spans="5:15"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4"/>
    </row>
    <row r="682" spans="5:15"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4"/>
    </row>
    <row r="683" spans="5:15"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4"/>
    </row>
    <row r="684" spans="5:15"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4"/>
    </row>
    <row r="685" spans="5:15"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4"/>
    </row>
    <row r="686" spans="5:15"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4"/>
    </row>
    <row r="687" spans="5:15"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4"/>
    </row>
    <row r="688" spans="5:15"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4"/>
    </row>
    <row r="689" spans="5:15"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4"/>
    </row>
    <row r="690" spans="5:15"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4"/>
    </row>
    <row r="691" spans="5:15"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4"/>
    </row>
    <row r="692" spans="5:15"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4"/>
    </row>
    <row r="693" spans="5:15"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4"/>
    </row>
    <row r="694" spans="5:15"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4"/>
    </row>
    <row r="695" spans="5:15"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4"/>
    </row>
    <row r="696" spans="5:15"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4"/>
    </row>
    <row r="697" spans="5:15"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4"/>
    </row>
    <row r="698" spans="5:15"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4"/>
    </row>
    <row r="699" spans="5:15"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4"/>
    </row>
    <row r="700" spans="5:15"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4"/>
    </row>
    <row r="701" spans="5:15"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4"/>
    </row>
    <row r="702" spans="5:15"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4"/>
    </row>
    <row r="703" spans="5:15"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4"/>
    </row>
    <row r="704" spans="5:15"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4"/>
    </row>
    <row r="705" spans="5:15"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4"/>
    </row>
    <row r="706" spans="5:15"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4"/>
    </row>
    <row r="707" spans="5:15"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4"/>
    </row>
    <row r="708" spans="5:15"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4"/>
    </row>
    <row r="709" spans="5:15"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4"/>
    </row>
    <row r="710" spans="5:15"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4"/>
    </row>
    <row r="711" spans="5:15"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4"/>
    </row>
    <row r="712" spans="5:15"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4"/>
    </row>
    <row r="713" spans="5:15"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4"/>
    </row>
    <row r="714" spans="5:15"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4"/>
    </row>
    <row r="715" spans="5:15"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4"/>
    </row>
    <row r="716" spans="5:15"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4"/>
    </row>
    <row r="717" spans="5:15"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4"/>
    </row>
    <row r="718" spans="5:15"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4"/>
    </row>
    <row r="719" spans="5:15"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4"/>
    </row>
    <row r="720" spans="5:15"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4"/>
    </row>
    <row r="721" spans="5:15"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4"/>
    </row>
    <row r="722" spans="5:15"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4"/>
    </row>
    <row r="723" spans="5:15"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4"/>
    </row>
    <row r="724" spans="5:15"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4"/>
    </row>
    <row r="725" spans="5:15"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4"/>
    </row>
    <row r="726" spans="5:15"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4"/>
    </row>
    <row r="727" spans="5:15"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4"/>
    </row>
    <row r="728" spans="5:15"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4"/>
    </row>
    <row r="729" spans="5:15"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4"/>
    </row>
    <row r="730" spans="5:15"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4"/>
    </row>
    <row r="731" spans="5:15"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4"/>
    </row>
    <row r="732" spans="5:15"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4"/>
    </row>
    <row r="733" spans="5:15"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4"/>
    </row>
    <row r="734" spans="5:15"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4"/>
    </row>
    <row r="735" spans="5:15"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4"/>
    </row>
    <row r="736" spans="5:15"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4"/>
    </row>
    <row r="737" spans="5:15"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4"/>
    </row>
    <row r="738" spans="5:15"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4"/>
    </row>
    <row r="739" spans="5:15"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4"/>
    </row>
    <row r="740" spans="5:15"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4"/>
    </row>
    <row r="741" spans="5:15"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4"/>
    </row>
    <row r="742" spans="5:15"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4"/>
    </row>
    <row r="743" spans="5:15"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4"/>
    </row>
    <row r="744" spans="5:15"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4"/>
    </row>
    <row r="745" spans="5:15"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4"/>
    </row>
    <row r="746" spans="5:15"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4"/>
    </row>
    <row r="747" spans="5:15"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4"/>
    </row>
    <row r="748" spans="5:15"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4"/>
    </row>
    <row r="749" spans="5:15"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4"/>
    </row>
    <row r="750" spans="5:15"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4"/>
    </row>
    <row r="751" spans="5:15"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4"/>
    </row>
    <row r="752" spans="5:15"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4"/>
    </row>
    <row r="753" spans="5:15"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4"/>
    </row>
    <row r="754" spans="5:15"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4"/>
    </row>
    <row r="755" spans="5:15"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4"/>
    </row>
    <row r="756" spans="5:15"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4"/>
    </row>
    <row r="757" spans="5:15"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4"/>
    </row>
    <row r="758" spans="5:15"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4"/>
    </row>
    <row r="759" spans="5:15"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4"/>
    </row>
    <row r="760" spans="5:15"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4"/>
    </row>
    <row r="761" spans="5:15"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4"/>
    </row>
    <row r="762" spans="5:15"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4"/>
    </row>
    <row r="763" spans="5:15"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4"/>
    </row>
    <row r="764" spans="5:15"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4"/>
    </row>
    <row r="765" spans="5:15"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4"/>
    </row>
    <row r="766" spans="5:15"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4"/>
    </row>
    <row r="767" spans="5:15"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4"/>
    </row>
    <row r="768" spans="5:15"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4"/>
    </row>
    <row r="769" spans="5:15"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4"/>
    </row>
    <row r="770" spans="5:15"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4"/>
    </row>
    <row r="771" spans="5:15"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4"/>
    </row>
    <row r="772" spans="5:15"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4"/>
    </row>
    <row r="773" spans="5:15"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4"/>
    </row>
    <row r="774" spans="5:15"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4"/>
    </row>
    <row r="775" spans="5:15"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4"/>
    </row>
    <row r="776" spans="5:15"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4"/>
    </row>
    <row r="777" spans="5:15"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4"/>
    </row>
    <row r="778" spans="5:15"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4"/>
    </row>
    <row r="779" spans="5:15"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4"/>
    </row>
    <row r="780" spans="5:15"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4"/>
    </row>
    <row r="781" spans="5:15"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4"/>
    </row>
    <row r="782" spans="5:15"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4"/>
    </row>
    <row r="783" spans="5:15"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4"/>
    </row>
    <row r="784" spans="5:15"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4"/>
    </row>
    <row r="785" spans="5:15"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4"/>
    </row>
    <row r="786" spans="5:15"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4"/>
    </row>
    <row r="787" spans="5:15"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4"/>
    </row>
    <row r="788" spans="5:15"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4"/>
    </row>
    <row r="789" spans="5:15"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4"/>
    </row>
    <row r="790" spans="5:15"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4"/>
    </row>
    <row r="791" spans="5:15"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4"/>
    </row>
    <row r="792" spans="5:15"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4"/>
    </row>
    <row r="793" spans="5:15"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4"/>
    </row>
    <row r="794" spans="5:15"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4"/>
    </row>
    <row r="795" spans="5:15"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4"/>
    </row>
    <row r="796" spans="5:15"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4"/>
    </row>
    <row r="797" spans="5:15"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4"/>
    </row>
    <row r="798" spans="5:15"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4"/>
    </row>
    <row r="799" spans="5:15"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4"/>
    </row>
    <row r="800" spans="5:15"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4"/>
    </row>
    <row r="801" spans="5:15"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4"/>
    </row>
    <row r="802" spans="5:15"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4"/>
    </row>
    <row r="803" spans="5:15"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4"/>
    </row>
    <row r="804" spans="5:15"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4"/>
    </row>
    <row r="805" spans="5:15"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4"/>
    </row>
    <row r="806" spans="5:15"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4"/>
    </row>
    <row r="807" spans="5:15"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4"/>
    </row>
    <row r="808" spans="5:15"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4"/>
    </row>
    <row r="809" spans="5:15"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4"/>
    </row>
    <row r="810" spans="5:15"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4"/>
    </row>
    <row r="811" spans="5:15"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4"/>
    </row>
    <row r="812" spans="5:15"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4"/>
    </row>
    <row r="813" spans="5:15"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4"/>
    </row>
    <row r="814" spans="5:15"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4"/>
    </row>
    <row r="815" spans="5:15"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4"/>
    </row>
    <row r="816" spans="5:15"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4"/>
    </row>
    <row r="817" spans="5:15"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4"/>
    </row>
    <row r="818" spans="5:15"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4"/>
    </row>
    <row r="819" spans="5:15"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4"/>
    </row>
    <row r="820" spans="5:15"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4"/>
    </row>
    <row r="821" spans="5:15"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4"/>
    </row>
    <row r="822" spans="5:15"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4"/>
    </row>
    <row r="823" spans="5:15"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4"/>
    </row>
    <row r="824" spans="5:15"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4"/>
    </row>
    <row r="825" spans="5:15"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4"/>
    </row>
    <row r="826" spans="5:15"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4"/>
    </row>
    <row r="827" spans="5:15"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4"/>
    </row>
    <row r="828" spans="5:15"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4"/>
    </row>
    <row r="829" spans="5:15"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4"/>
    </row>
    <row r="830" spans="5:15"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4"/>
    </row>
    <row r="831" spans="5:15"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4"/>
    </row>
    <row r="832" spans="5:15"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4"/>
    </row>
    <row r="833" spans="5:15"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4"/>
    </row>
    <row r="834" spans="5:15"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4"/>
    </row>
    <row r="835" spans="5:15"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4"/>
    </row>
    <row r="836" spans="5:15"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4"/>
    </row>
    <row r="837" spans="5:15"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4"/>
    </row>
    <row r="838" spans="5:15"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4"/>
    </row>
    <row r="839" spans="5:15"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4"/>
    </row>
    <row r="840" spans="5:15"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4"/>
    </row>
    <row r="841" spans="5:15"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4"/>
    </row>
    <row r="842" spans="5:15"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4"/>
    </row>
    <row r="843" spans="5:15"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4"/>
    </row>
    <row r="844" spans="5:15"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4"/>
    </row>
    <row r="845" spans="5:15"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4"/>
    </row>
    <row r="846" spans="5:15"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4"/>
    </row>
    <row r="847" spans="5:15"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4"/>
    </row>
    <row r="848" spans="5:15"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4"/>
    </row>
    <row r="849" spans="5:15"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4"/>
    </row>
    <row r="850" spans="5:15"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4"/>
    </row>
    <row r="851" spans="5:15"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4"/>
    </row>
    <row r="852" spans="5:15"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4"/>
    </row>
    <row r="853" spans="5:15"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4"/>
    </row>
    <row r="854" spans="5:15"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4"/>
    </row>
    <row r="855" spans="5:15"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4"/>
    </row>
    <row r="856" spans="5:15"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4"/>
    </row>
    <row r="857" spans="5:15"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4"/>
    </row>
    <row r="858" spans="5:15"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4"/>
    </row>
    <row r="859" spans="5:15"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4"/>
    </row>
    <row r="860" spans="5:15"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4"/>
    </row>
    <row r="861" spans="5:15"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4"/>
    </row>
    <row r="862" spans="5:15"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4"/>
    </row>
    <row r="863" spans="5:15"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4"/>
    </row>
    <row r="864" spans="5:15"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4"/>
    </row>
    <row r="865" spans="5:15"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4"/>
    </row>
    <row r="866" spans="5:15"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4"/>
    </row>
    <row r="867" spans="5:15"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4"/>
    </row>
    <row r="868" spans="5:15"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4"/>
    </row>
    <row r="869" spans="5:15"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4"/>
    </row>
    <row r="870" spans="5:15"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4"/>
    </row>
    <row r="871" spans="5:15"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4"/>
    </row>
    <row r="872" spans="5:15"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4"/>
    </row>
    <row r="873" spans="5:15"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4"/>
    </row>
    <row r="874" spans="5:15"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4"/>
    </row>
    <row r="875" spans="5:15"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4"/>
    </row>
    <row r="876" spans="5:15"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4"/>
    </row>
    <row r="877" spans="5:15"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4"/>
    </row>
    <row r="878" spans="5:15"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4"/>
    </row>
    <row r="879" spans="5:15"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4"/>
    </row>
    <row r="880" spans="5:15"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4"/>
    </row>
    <row r="881" spans="5:15"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4"/>
    </row>
    <row r="882" spans="5:15"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4"/>
    </row>
    <row r="883" spans="5:15"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4"/>
    </row>
    <row r="884" spans="5:15"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4"/>
    </row>
    <row r="885" spans="5:15"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4"/>
    </row>
    <row r="886" spans="5:15"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4"/>
    </row>
    <row r="887" spans="5:15"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4"/>
    </row>
    <row r="888" spans="5:15"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4"/>
    </row>
    <row r="889" spans="5:15"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4"/>
    </row>
    <row r="890" spans="5:15"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4"/>
    </row>
    <row r="891" spans="5:15"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4"/>
    </row>
    <row r="892" spans="5:15"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4"/>
    </row>
    <row r="893" spans="5:15"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4"/>
    </row>
    <row r="894" spans="5:15"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4"/>
    </row>
    <row r="895" spans="5:15"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4"/>
    </row>
    <row r="896" spans="5:15"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4"/>
    </row>
    <row r="897" spans="5:15"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4"/>
    </row>
    <row r="898" spans="5:15"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4"/>
    </row>
    <row r="899" spans="5:15"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4"/>
    </row>
    <row r="900" spans="5:15"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4"/>
    </row>
    <row r="901" spans="5:15"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4"/>
    </row>
    <row r="902" spans="5:15"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4"/>
    </row>
    <row r="903" spans="5:15"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4"/>
    </row>
    <row r="904" spans="5:15"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4"/>
    </row>
    <row r="905" spans="5:15"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4"/>
    </row>
    <row r="906" spans="5:15"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4"/>
    </row>
    <row r="907" spans="5:15"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4"/>
    </row>
    <row r="908" spans="5:15"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4"/>
    </row>
    <row r="909" spans="5:15"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4"/>
    </row>
    <row r="910" spans="5:15"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4"/>
    </row>
    <row r="911" spans="5:15"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4"/>
    </row>
    <row r="912" spans="5:15"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4"/>
    </row>
    <row r="913" spans="5:15"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4"/>
    </row>
    <row r="914" spans="5:15"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4"/>
    </row>
    <row r="915" spans="5:15"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4"/>
    </row>
    <row r="916" spans="5:15"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4"/>
    </row>
    <row r="917" spans="5:15"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4"/>
    </row>
    <row r="918" spans="5:15"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4"/>
    </row>
    <row r="919" spans="5:15"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4"/>
    </row>
    <row r="920" spans="5:15"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4"/>
    </row>
    <row r="921" spans="5:15"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4"/>
    </row>
    <row r="922" spans="5:15"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4"/>
    </row>
    <row r="923" spans="5:15"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4"/>
    </row>
    <row r="924" spans="5:15"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4"/>
    </row>
    <row r="925" spans="5:15"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4"/>
    </row>
    <row r="926" spans="5:15"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4"/>
    </row>
    <row r="927" spans="5:15"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4"/>
    </row>
    <row r="928" spans="5:15"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4"/>
    </row>
    <row r="929" spans="5:15"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4"/>
    </row>
    <row r="930" spans="5:15"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4"/>
    </row>
    <row r="931" spans="5:15"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4"/>
    </row>
    <row r="932" spans="5:15"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4"/>
    </row>
    <row r="933" spans="5:15"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4"/>
    </row>
    <row r="934" spans="5:15"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4"/>
    </row>
    <row r="935" spans="5:15"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4"/>
    </row>
    <row r="936" spans="5:15"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4"/>
    </row>
    <row r="937" spans="5:15"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4"/>
    </row>
    <row r="938" spans="5:15"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4"/>
    </row>
    <row r="939" spans="5:15"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4"/>
    </row>
    <row r="940" spans="5:15"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4"/>
    </row>
    <row r="941" spans="5:15"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4"/>
    </row>
    <row r="942" spans="5:15"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4"/>
    </row>
    <row r="943" spans="5:15"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4"/>
    </row>
    <row r="944" spans="5:15"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4"/>
    </row>
    <row r="945" spans="5:15"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4"/>
    </row>
    <row r="946" spans="5:15"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4"/>
    </row>
    <row r="947" spans="5:15"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4"/>
    </row>
    <row r="948" spans="5:15"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4"/>
    </row>
    <row r="949" spans="5:15"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4"/>
    </row>
    <row r="950" spans="5:15"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4"/>
    </row>
    <row r="951" spans="5:15"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4"/>
    </row>
    <row r="952" spans="5:15"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4"/>
    </row>
    <row r="953" spans="5:15"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4"/>
    </row>
    <row r="954" spans="5:15"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4"/>
    </row>
    <row r="955" spans="5:15"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4"/>
    </row>
    <row r="956" spans="5:15"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4"/>
    </row>
    <row r="957" spans="5:15"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4"/>
    </row>
    <row r="958" spans="5:15"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4"/>
    </row>
    <row r="959" spans="5:15"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4"/>
    </row>
    <row r="960" spans="5:15"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4"/>
    </row>
    <row r="961" spans="5:15"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4"/>
    </row>
    <row r="962" spans="5:15"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4"/>
    </row>
    <row r="963" spans="5:15"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4"/>
    </row>
    <row r="964" spans="5:15"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4"/>
    </row>
    <row r="965" spans="5:15"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4"/>
    </row>
    <row r="966" spans="5:15"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4"/>
    </row>
    <row r="967" spans="5:15"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4"/>
    </row>
    <row r="968" spans="5:15"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4"/>
    </row>
    <row r="969" spans="5:15"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4"/>
    </row>
    <row r="970" spans="5:15"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4"/>
    </row>
    <row r="971" spans="5:15"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4"/>
    </row>
    <row r="972" spans="5:15"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4"/>
    </row>
    <row r="973" spans="5:15"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4"/>
    </row>
    <row r="974" spans="5:15"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4"/>
    </row>
    <row r="975" spans="5:15"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4"/>
    </row>
    <row r="976" spans="5:15"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4"/>
    </row>
    <row r="977" spans="5:15"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4"/>
    </row>
    <row r="978" spans="5:15"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4"/>
    </row>
    <row r="979" spans="5:15"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4"/>
    </row>
    <row r="980" spans="5:15"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4"/>
    </row>
    <row r="981" spans="5:15"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4"/>
    </row>
    <row r="982" spans="5:15"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4"/>
    </row>
    <row r="983" spans="5:15"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4"/>
    </row>
    <row r="984" spans="5:15"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4"/>
    </row>
    <row r="985" spans="5:15"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4"/>
    </row>
    <row r="986" spans="5:15"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4"/>
    </row>
    <row r="987" spans="5:15"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4"/>
    </row>
    <row r="988" spans="5:15"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4"/>
    </row>
    <row r="989" spans="5:15"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4"/>
    </row>
    <row r="990" spans="5:15"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4"/>
    </row>
    <row r="991" spans="5:15"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4"/>
    </row>
    <row r="992" spans="5:15"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4"/>
    </row>
    <row r="993" spans="5:15"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4"/>
    </row>
    <row r="994" spans="5:15"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4"/>
    </row>
    <row r="995" spans="5:15"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4"/>
    </row>
    <row r="996" spans="5:15"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4"/>
    </row>
    <row r="997" spans="5:15"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4"/>
    </row>
    <row r="998" spans="5:15"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4"/>
    </row>
    <row r="999" spans="5:15"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4"/>
    </row>
    <row r="1000" spans="5:15"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4"/>
    </row>
    <row r="1001" spans="5:15"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4"/>
    </row>
    <row r="1002" spans="5:15"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4"/>
    </row>
    <row r="1003" spans="5:15"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4"/>
    </row>
    <row r="1004" spans="5:15"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4"/>
    </row>
    <row r="1005" spans="5:15"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4"/>
    </row>
    <row r="1006" spans="5:15"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4"/>
    </row>
    <row r="1007" spans="5:15"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4"/>
    </row>
    <row r="1008" spans="5:15"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4"/>
    </row>
    <row r="1009" spans="5:15"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4"/>
    </row>
    <row r="1010" spans="5:15"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4"/>
    </row>
    <row r="1011" spans="5:15"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4"/>
    </row>
    <row r="1012" spans="5:15"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4"/>
    </row>
    <row r="1013" spans="5:15"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4"/>
    </row>
    <row r="1014" spans="5:15"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4"/>
    </row>
    <row r="1015" spans="5:15"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4"/>
    </row>
    <row r="1016" spans="5:15"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4"/>
    </row>
    <row r="1017" spans="5:15"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4"/>
    </row>
    <row r="1018" spans="5:15"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4"/>
    </row>
    <row r="1019" spans="5:15"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4"/>
    </row>
    <row r="1020" spans="5:15"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4"/>
    </row>
    <row r="1021" spans="5:15"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4"/>
    </row>
    <row r="1022" spans="5:15"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4"/>
    </row>
    <row r="1023" spans="5:15"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4"/>
    </row>
    <row r="1024" spans="5:15"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4"/>
    </row>
    <row r="1025" spans="5:15"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4"/>
    </row>
    <row r="1026" spans="5:15"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4"/>
    </row>
    <row r="1027" spans="5:15"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4"/>
    </row>
    <row r="1028" spans="5:15"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4"/>
    </row>
    <row r="1029" spans="5:15"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4"/>
    </row>
    <row r="1030" spans="5:15"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4"/>
    </row>
    <row r="1031" spans="5:15"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4"/>
    </row>
    <row r="1032" spans="5:15"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4"/>
    </row>
    <row r="1033" spans="5:15"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4"/>
    </row>
    <row r="1034" spans="5:15"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4"/>
    </row>
    <row r="1035" spans="5:15"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4"/>
    </row>
    <row r="1036" spans="5:15"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4"/>
    </row>
    <row r="1037" spans="5:15"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4"/>
    </row>
    <row r="1038" spans="5:15"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4"/>
    </row>
    <row r="1039" spans="5:15"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4"/>
    </row>
    <row r="1040" spans="5:15"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4"/>
    </row>
    <row r="1041" spans="5:15"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4"/>
    </row>
    <row r="1042" spans="5:15"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4"/>
    </row>
    <row r="1043" spans="5:15"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4"/>
    </row>
    <row r="1044" spans="5:15"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4"/>
    </row>
    <row r="1045" spans="5:15"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4"/>
    </row>
    <row r="1046" spans="5:15"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4"/>
    </row>
    <row r="1047" spans="5:15"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4"/>
    </row>
    <row r="1048" spans="5:15"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4"/>
    </row>
    <row r="1049" spans="5:15"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4"/>
    </row>
    <row r="1050" spans="5:15"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4"/>
    </row>
    <row r="1051" spans="5:15"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4"/>
    </row>
    <row r="1052" spans="5:15"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4"/>
    </row>
    <row r="1053" spans="5:15"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4"/>
    </row>
    <row r="1054" spans="5:15"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4"/>
    </row>
    <row r="1055" spans="5:15"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4"/>
    </row>
    <row r="1056" spans="5:15"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4"/>
    </row>
    <row r="1057" spans="5:15"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4"/>
    </row>
    <row r="1058" spans="5:15"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4"/>
    </row>
    <row r="1059" spans="5:15"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4"/>
    </row>
    <row r="1060" spans="5:15"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4"/>
    </row>
    <row r="1061" spans="5:15"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4"/>
    </row>
    <row r="1062" spans="5:15"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4"/>
    </row>
    <row r="1063" spans="5:15"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4"/>
    </row>
    <row r="1064" spans="5:15"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4"/>
    </row>
    <row r="1065" spans="5:15"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4"/>
    </row>
    <row r="1066" spans="5:15"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4"/>
    </row>
    <row r="1067" spans="5:15"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4"/>
    </row>
    <row r="1068" spans="5:15"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4"/>
    </row>
    <row r="1069" spans="5:15"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4"/>
    </row>
    <row r="1070" spans="5:15"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4"/>
    </row>
    <row r="1071" spans="5:15"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4"/>
    </row>
    <row r="1072" spans="5:15"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4"/>
    </row>
    <row r="1073" spans="5:15"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4"/>
    </row>
    <row r="1074" spans="5:15"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4"/>
    </row>
    <row r="1075" spans="5:15"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4"/>
    </row>
    <row r="1076" spans="5:15"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4"/>
    </row>
    <row r="1077" spans="5:15"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4"/>
    </row>
    <row r="1078" spans="5:15"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4"/>
    </row>
    <row r="1079" spans="5:15"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4"/>
    </row>
    <row r="1080" spans="5:15"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4"/>
    </row>
    <row r="1081" spans="5:15"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4"/>
    </row>
    <row r="1082" spans="5:15"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4"/>
    </row>
    <row r="1083" spans="5:15"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4"/>
    </row>
    <row r="1084" spans="5:15"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4"/>
    </row>
    <row r="1085" spans="5:15"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4"/>
    </row>
    <row r="1086" spans="5:15"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4"/>
    </row>
    <row r="1087" spans="5:15"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4"/>
    </row>
    <row r="1088" spans="5:15"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4"/>
    </row>
    <row r="1089" spans="5:15"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4"/>
    </row>
    <row r="1090" spans="5:15"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4"/>
    </row>
    <row r="1091" spans="5:15"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4"/>
    </row>
    <row r="1092" spans="5:15"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4"/>
    </row>
    <row r="1093" spans="5:15"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4"/>
    </row>
    <row r="1094" spans="5:15"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4"/>
    </row>
    <row r="1095" spans="5:15"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4"/>
    </row>
    <row r="1096" spans="5:15"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4"/>
    </row>
    <row r="1097" spans="5:15"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4"/>
    </row>
    <row r="1098" spans="5:15"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4"/>
    </row>
    <row r="1099" spans="5:15"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4"/>
    </row>
  </sheetData>
  <mergeCells count="1">
    <mergeCell ref="B3:D3"/>
  </mergeCells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zoomScaleNormal="100"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zoomScaleNormal="100" workbookViewId="0"/>
  </sheetViews>
  <sheetFormatPr defaultColWidth="9.140625" defaultRowHeight="15" outlineLevelCol="1"/>
  <cols>
    <col min="1" max="1" width="16.7109375" style="14" customWidth="1"/>
    <col min="2" max="2" width="22.7109375" style="14" customWidth="1"/>
    <col min="3" max="3" width="16.7109375" style="14" customWidth="1"/>
    <col min="4" max="4" width="22.7109375" style="14" customWidth="1"/>
    <col min="5" max="5" width="14" style="14" customWidth="1"/>
    <col min="6" max="6" width="10.7109375" style="14" customWidth="1"/>
    <col min="7" max="11" width="10.7109375" style="14" hidden="1" customWidth="1" outlineLevel="1"/>
    <col min="12" max="12" width="10.7109375" style="14" customWidth="1" collapsed="1"/>
    <col min="13" max="16" width="10.7109375" style="14" hidden="1" customWidth="1" outlineLevel="1"/>
    <col min="17" max="17" width="10.7109375" style="14" customWidth="1" collapsed="1"/>
    <col min="18" max="21" width="10.7109375" style="14" hidden="1" customWidth="1" outlineLevel="1"/>
    <col min="22" max="22" width="10.7109375" style="14" customWidth="1" collapsed="1"/>
    <col min="23" max="27" width="10.7109375" style="14" hidden="1" customWidth="1" outlineLevel="1"/>
    <col min="28" max="28" width="10.7109375" style="14" customWidth="1" collapsed="1"/>
    <col min="29" max="32" width="10.7109375" style="14" hidden="1" customWidth="1" outlineLevel="1"/>
    <col min="33" max="33" width="10.7109375" style="14" customWidth="1" collapsed="1"/>
    <col min="34" max="37" width="10.7109375" style="14" hidden="1" customWidth="1" outlineLevel="1"/>
    <col min="38" max="38" width="10.7109375" style="14" customWidth="1" collapsed="1"/>
    <col min="39" max="43" width="10.7109375" style="14" hidden="1" customWidth="1" outlineLevel="1"/>
    <col min="44" max="44" width="10.7109375" style="14" customWidth="1" collapsed="1"/>
    <col min="45" max="48" width="10.7109375" style="14" hidden="1" customWidth="1" outlineLevel="1"/>
    <col min="49" max="49" width="10.7109375" style="14" customWidth="1" collapsed="1"/>
    <col min="50" max="53" width="10.7109375" style="14" hidden="1" customWidth="1" outlineLevel="1"/>
    <col min="54" max="54" width="10.7109375" style="14" customWidth="1" collapsed="1"/>
    <col min="55" max="59" width="10.7109375" style="14" hidden="1" customWidth="1" outlineLevel="1"/>
    <col min="60" max="60" width="10.7109375" style="14" customWidth="1" collapsed="1"/>
    <col min="61" max="64" width="10.7109375" style="14" hidden="1" customWidth="1" outlineLevel="1"/>
    <col min="65" max="65" width="10.7109375" style="14" customWidth="1" collapsed="1"/>
    <col min="66" max="69" width="10.7109375" style="14" hidden="1" customWidth="1" outlineLevel="1"/>
    <col min="70" max="70" width="10.7109375" style="19" hidden="1" customWidth="1" outlineLevel="1"/>
    <col min="71" max="71" width="10.7109375" style="14" customWidth="1" collapsed="1"/>
    <col min="72" max="72" width="10.7109375" style="14" customWidth="1"/>
    <col min="73" max="73" width="1.5703125" style="14" customWidth="1"/>
    <col min="74" max="74" width="10.28515625" style="14" customWidth="1"/>
    <col min="75" max="75" width="5.7109375" style="14" customWidth="1"/>
    <col min="76" max="76" width="7.140625" style="14" customWidth="1"/>
    <col min="77" max="77" width="5.140625" style="14" customWidth="1"/>
    <col min="78" max="78" width="1.42578125" style="14" customWidth="1"/>
    <col min="79" max="79" width="21.140625" style="14" customWidth="1"/>
    <col min="80" max="80" width="10.140625" style="14" customWidth="1"/>
    <col min="81" max="81" width="9.28515625" style="14" customWidth="1"/>
    <col min="82" max="82" width="23.140625" style="14" customWidth="1" outlineLevel="1"/>
    <col min="83" max="83" width="11.7109375" style="14" customWidth="1" outlineLevel="1"/>
    <col min="84" max="84" width="9.140625" style="14" customWidth="1" outlineLevel="1"/>
    <col min="85" max="16384" width="9.140625" style="14"/>
  </cols>
  <sheetData>
    <row r="1" spans="1:84" s="19" customFormat="1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D3" s="19"/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/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103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23" customFormat="1">
      <c r="A5" s="23" t="s">
        <v>10</v>
      </c>
      <c r="B5" s="12">
        <f>SUMIFS('ND Sales Summ'!$CB:$CB,'ND Sales Summ'!$CA:$CA,'SUMM-Obsolete'!$A5)</f>
        <v>0</v>
      </c>
      <c r="C5" s="12">
        <f>SUMIFS('SH Sales Summ'!$CB:$CB,'SH Sales Summ'!$CA:$CA,'SUMM-Obsolete'!$A5)</f>
        <v>0</v>
      </c>
      <c r="D5" s="12">
        <f>SUMIFS('IN Sales Summ'!$CB:$CB,'IN Sales Summ'!$CA:$CA,'SUMM-Obsolete'!$A5)</f>
        <v>0</v>
      </c>
      <c r="E5" s="12">
        <f>SUMIFS('BD Sales Summ'!$CB:$CB,'BD Sales Summ'!$CA:$CA,'SUMM-Obsolete'!$A5)</f>
        <v>0</v>
      </c>
      <c r="F5" s="12">
        <f>SUMIFS('LK Sales Summ'!$CB:$CB,'LK Sales Summ'!$CA:$CA,'SUMM-Obsolete'!$A5)</f>
        <v>0</v>
      </c>
      <c r="G5" s="12">
        <f>SUMIFS('CA Sales Summ'!$CB:$CB,'CA Sales Summ'!$CA:$CA,'SUMM-Obsolete'!$A5)</f>
        <v>0</v>
      </c>
      <c r="H5" s="12">
        <f>SUMIFS('HK Sales Summ'!$CB:$CB,'HK Sales Summ'!$CA:$CA,'SUMM-Obsolete'!$A5)</f>
        <v>0</v>
      </c>
      <c r="I5" s="12">
        <f>SUMIFS('TR Sales Summ'!$CB:$CB,'TR Sales Summ'!$CA:$CA,'SUMM-Obsolete'!$A5)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Summ'!$CB:$CB,'ND Sales Summ'!$CA:$CA,'SUMM-Obsolete'!$A8)</f>
        <v>0</v>
      </c>
      <c r="C8" s="7">
        <f>SUMIFS('SH Sales Summ'!$CB:$CB,'SH Sales Summ'!$CA:$CA,'SUMM-Obsolete'!$A8)</f>
        <v>0</v>
      </c>
      <c r="D8" s="13">
        <f>SUMIFS('IN Sales Summ'!$CB:$CB,'IN Sales Summ'!$CA:$CA,'SUMM-Obsolete'!$A8)</f>
        <v>0</v>
      </c>
      <c r="E8" s="13">
        <f>SUMIFS('BD Sales Summ'!$CB:$CB,'BD Sales Summ'!$CA:$CA,'SUMM-Obsolete'!$A8)</f>
        <v>0</v>
      </c>
      <c r="F8" s="13">
        <f>SUMIFS('LK Sales Summ'!$CB:$CB,'LK Sales Summ'!$CA:$CA,'SUMM-Obsolete'!$A8)</f>
        <v>0</v>
      </c>
      <c r="G8" s="13">
        <f>SUMIFS('CA Sales Summ'!$CB:$CB,'CA Sales Summ'!$CA:$CA,'SUMM-Obsolete'!$A8)</f>
        <v>0</v>
      </c>
      <c r="H8" s="13">
        <f>SUMIFS('HK Sales Summ'!$CB:$CB,'HK Sales Summ'!$CA:$CA,'SUMM-Obsolete'!$A8)</f>
        <v>0</v>
      </c>
      <c r="I8" s="13">
        <f>SUMIFS('TR Sales Summ'!$CB:$CB,'TR Sales Summ'!$CA:$CA,'SUMM-Obsolete'!$A8)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Summ'!$CB:$CB,'ND Sales Summ'!$CA:$CA,'SUMM-Obsolete'!$A9)</f>
        <v>0</v>
      </c>
      <c r="C9" s="7">
        <f>SUMIFS('SH Sales Summ'!$CB:$CB,'SH Sales Summ'!$CA:$CA,'SUMM-Obsolete'!$A9)</f>
        <v>0</v>
      </c>
      <c r="D9" s="13">
        <f>SUMIFS('IN Sales Summ'!$CB:$CB,'IN Sales Summ'!$CA:$CA,'SUMM-Obsolete'!$A9)</f>
        <v>0</v>
      </c>
      <c r="E9" s="13">
        <f>SUMIFS('BD Sales Summ'!$CB:$CB,'BD Sales Summ'!$CA:$CA,'SUMM-Obsolete'!$A9)</f>
        <v>0</v>
      </c>
      <c r="F9" s="13">
        <f>SUMIFS('LK Sales Summ'!$CB:$CB,'LK Sales Summ'!$CA:$CA,'SUMM-Obsolete'!$A9)</f>
        <v>0</v>
      </c>
      <c r="G9" s="13">
        <f>SUMIFS('CA Sales Summ'!$CB:$CB,'CA Sales Summ'!$CA:$CA,'SUMM-Obsolete'!$A9)</f>
        <v>0</v>
      </c>
      <c r="H9" s="13">
        <f>SUMIFS('HK Sales Summ'!$CB:$CB,'HK Sales Summ'!$CA:$CA,'SUMM-Obsolete'!$A9)</f>
        <v>0</v>
      </c>
      <c r="I9" s="13">
        <f>SUMIFS('TR Sales Summ'!$CB:$CB,'TR Sales Summ'!$CA:$CA,'SUMM-Obsolete'!$A9)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103</v>
      </c>
      <c r="K16" t="s">
        <v>8</v>
      </c>
      <c r="L16" t="s">
        <v>9</v>
      </c>
    </row>
    <row r="17" spans="1:12">
      <c r="A17" t="s">
        <v>14</v>
      </c>
      <c r="B17" s="21">
        <f>SUMIFS('ND Sales Summ'!$CE:$CE,'ND Sales Summ'!$CD:$CD,'SUMM-Obsolete'!$A17)</f>
        <v>0</v>
      </c>
      <c r="C17" s="21">
        <f>SUMIFS('SH Sales Summ'!$CE:$CE,'SH Sales Summ'!$CD:$CD,'SUMM-Obsolete'!$A17)</f>
        <v>0</v>
      </c>
      <c r="D17" s="21">
        <f>SUMIFS('IN Sales Summ'!$CE:$CE,'IN Sales Summ'!$CD:$CD,'SUMM-Obsolete'!$A17)</f>
        <v>0</v>
      </c>
      <c r="E17" s="21">
        <f>SUMIFS('BD Sales Summ'!$CE:$CE,'BD Sales Summ'!$CD:$CD,'SUMM-Obsolete'!$A17)</f>
        <v>0</v>
      </c>
      <c r="F17" s="21">
        <f>SUMIFS('LK Sales Summ'!$CE:$CE,'LK Sales Summ'!$CD:$CD,'SUMM-Obsolete'!$A17)</f>
        <v>0</v>
      </c>
      <c r="G17" s="21">
        <f>SUMIFS('CA Sales Summ'!$CE:$CE,'CA Sales Summ'!$CD:$CD,'SUMM-Obsolete'!$A17)</f>
        <v>0</v>
      </c>
      <c r="H17" s="21">
        <f>SUMIFS('HK Sales Summ'!$CE:$CE,'HK Sales Summ'!$CD:$CD,'SUMM-Obsolete'!$A17)</f>
        <v>0</v>
      </c>
      <c r="I17" s="21">
        <f>SUMIFS('TR Sales Summ'!$CE:$CE,'TR Sales Summ'!$CD:$CD,'SUMM-Obsolete'!$A17)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21">
        <f>SUMIFS('ND Sales Summ'!$CE:$CE,'ND Sales Summ'!$CD:$CD,'SUMM-Obsolete'!$A18)</f>
        <v>0</v>
      </c>
      <c r="C18" s="21">
        <f>SUMIFS('SH Sales Summ'!$CE:$CE,'SH Sales Summ'!$CD:$CD,'SUMM-Obsolete'!$A18)</f>
        <v>0</v>
      </c>
      <c r="D18" s="21">
        <f>SUMIFS('IN Sales Summ'!$CE:$CE,'IN Sales Summ'!$CD:$CD,'SUMM-Obsolete'!$A18)</f>
        <v>0</v>
      </c>
      <c r="E18" s="21">
        <f>SUMIFS('BD Sales Summ'!$CE:$CE,'BD Sales Summ'!$CD:$CD,'SUMM-Obsolete'!$A18)</f>
        <v>0</v>
      </c>
      <c r="F18" s="21">
        <f>SUMIFS('LK Sales Summ'!$CE:$CE,'LK Sales Summ'!$CD:$CD,'SUMM-Obsolete'!$A18)</f>
        <v>0</v>
      </c>
      <c r="G18" s="21">
        <f>SUMIFS('CA Sales Summ'!$CE:$CE,'CA Sales Summ'!$CD:$CD,'SUMM-Obsolete'!$A18)</f>
        <v>0</v>
      </c>
      <c r="H18" s="21">
        <f>SUMIFS('HK Sales Summ'!$CE:$CE,'HK Sales Summ'!$CD:$CD,'SUMM-Obsolete'!$A18)</f>
        <v>0</v>
      </c>
      <c r="I18" s="21">
        <f>SUMIFS('TR Sales Summ'!$CE:$CE,'TR Sales Summ'!$CD:$CD,'SUMM-Obsolete'!$A18)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21">
        <f>SUMIFS('ND Sales Summ'!$CE:$CE,'ND Sales Summ'!$CD:$CD,'SUMM-Obsolete'!$A19)</f>
        <v>0</v>
      </c>
      <c r="C19" s="21">
        <f>SUMIFS('SH Sales Summ'!$CE:$CE,'SH Sales Summ'!$CD:$CD,'SUMM-Obsolete'!$A19)</f>
        <v>0</v>
      </c>
      <c r="D19" s="21">
        <f>SUMIFS('IN Sales Summ'!$CE:$CE,'IN Sales Summ'!$CD:$CD,'SUMM-Obsolete'!$A19)</f>
        <v>0</v>
      </c>
      <c r="E19" s="21">
        <f>SUMIFS('BD Sales Summ'!$CE:$CE,'BD Sales Summ'!$CD:$CD,'SUMM-Obsolete'!$A19)</f>
        <v>0</v>
      </c>
      <c r="F19" s="21">
        <f>SUMIFS('LK Sales Summ'!$CE:$CE,'LK Sales Summ'!$CD:$CD,'SUMM-Obsolete'!$A19)</f>
        <v>0</v>
      </c>
      <c r="G19" s="21">
        <f>SUMIFS('CA Sales Summ'!$CE:$CE,'CA Sales Summ'!$CD:$CD,'SUMM-Obsolete'!$A19)</f>
        <v>0</v>
      </c>
      <c r="H19" s="21">
        <f>SUMIFS('HK Sales Summ'!$CE:$CE,'HK Sales Summ'!$CD:$CD,'SUMM-Obsolete'!$A19)</f>
        <v>0</v>
      </c>
      <c r="I19" s="21">
        <f>SUMIFS('TR Sales Summ'!$CE:$CE,'TR Sales Summ'!$CD:$CD,'SUMM-Obsolete'!$A19)</f>
        <v>0</v>
      </c>
      <c r="K19" s="7">
        <f>SUM(B19:J19)</f>
        <v>0</v>
      </c>
      <c r="L19" s="10">
        <f>K19/1000</f>
        <v>0</v>
      </c>
    </row>
    <row r="20" spans="1:12">
      <c r="B20" s="22" t="e">
        <f>B19/B17</f>
        <v>#DIV/0!</v>
      </c>
      <c r="C20" s="22" t="e">
        <f t="shared" ref="C20:I20" si="16">C19/C17</f>
        <v>#DIV/0!</v>
      </c>
      <c r="D20" s="22" t="e">
        <f t="shared" si="16"/>
        <v>#DIV/0!</v>
      </c>
      <c r="E20" s="22" t="e">
        <f t="shared" si="16"/>
        <v>#DIV/0!</v>
      </c>
      <c r="F20" s="22" t="e">
        <f t="shared" si="16"/>
        <v>#DIV/0!</v>
      </c>
      <c r="G20" s="22" t="e">
        <f t="shared" si="16"/>
        <v>#DIV/0!</v>
      </c>
      <c r="H20" s="22" t="e">
        <f t="shared" si="16"/>
        <v>#DIV/0!</v>
      </c>
      <c r="I20" s="22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103</v>
      </c>
      <c r="K23" t="s">
        <v>8</v>
      </c>
      <c r="L23" t="s">
        <v>9</v>
      </c>
    </row>
    <row r="24" spans="1:12">
      <c r="A24" t="s">
        <v>0</v>
      </c>
      <c r="B24" s="21"/>
      <c r="C24" s="21"/>
      <c r="D24" s="21"/>
      <c r="E24" s="21"/>
      <c r="F24" s="21"/>
      <c r="G24" s="21"/>
      <c r="H24" s="21"/>
      <c r="I24" s="21"/>
      <c r="K24" s="21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E18"/>
  <sheetViews>
    <sheetView tabSelected="1" zoomScale="80" zoomScaleNormal="80" workbookViewId="0">
      <selection activeCell="A25" sqref="A25"/>
    </sheetView>
  </sheetViews>
  <sheetFormatPr defaultColWidth="9.140625" defaultRowHeight="15"/>
  <cols>
    <col min="1" max="1" width="23.42578125" style="19" customWidth="1"/>
    <col min="2" max="2" width="17.28515625" style="19" customWidth="1"/>
    <col min="3" max="3" width="22.5703125" style="19" customWidth="1"/>
    <col min="4" max="4" width="17.28515625" style="19" customWidth="1"/>
    <col min="5" max="5" width="18" style="19" bestFit="1" customWidth="1"/>
    <col min="6" max="78" width="9.140625" style="19"/>
    <col min="79" max="79" width="24.28515625" style="19" bestFit="1" customWidth="1"/>
    <col min="80" max="80" width="9.140625" style="19"/>
    <col min="81" max="81" width="9.140625" style="18"/>
    <col min="82" max="82" width="26" style="19" bestFit="1" customWidth="1"/>
    <col min="83" max="16384" width="9.140625" style="19"/>
  </cols>
  <sheetData>
    <row r="1" spans="1:83">
      <c r="A1" s="50"/>
      <c r="B1" s="50"/>
      <c r="C1" s="50"/>
      <c r="D1" s="50"/>
      <c r="E1" s="51"/>
      <c r="F1" s="52" t="s">
        <v>98</v>
      </c>
      <c r="G1" s="52" t="s">
        <v>20</v>
      </c>
      <c r="H1" s="52" t="s">
        <v>21</v>
      </c>
      <c r="I1" s="52" t="s">
        <v>22</v>
      </c>
      <c r="J1" s="52" t="s">
        <v>23</v>
      </c>
      <c r="K1" s="52" t="s">
        <v>24</v>
      </c>
      <c r="L1" s="52" t="s">
        <v>25</v>
      </c>
      <c r="M1" s="52" t="s">
        <v>26</v>
      </c>
      <c r="N1" s="52" t="s">
        <v>27</v>
      </c>
      <c r="O1" s="52" t="s">
        <v>28</v>
      </c>
      <c r="P1" s="52" t="s">
        <v>29</v>
      </c>
      <c r="Q1" s="53" t="s">
        <v>30</v>
      </c>
      <c r="R1" s="53" t="s">
        <v>31</v>
      </c>
      <c r="S1" s="53" t="s">
        <v>32</v>
      </c>
      <c r="T1" s="53" t="s">
        <v>33</v>
      </c>
      <c r="U1" s="53" t="s">
        <v>34</v>
      </c>
      <c r="V1" s="53" t="s">
        <v>35</v>
      </c>
      <c r="W1" s="53" t="s">
        <v>36</v>
      </c>
      <c r="X1" s="53" t="s">
        <v>37</v>
      </c>
      <c r="Y1" s="53" t="s">
        <v>38</v>
      </c>
      <c r="Z1" s="53" t="s">
        <v>39</v>
      </c>
      <c r="AA1" s="53" t="s">
        <v>40</v>
      </c>
      <c r="AB1" s="53" t="s">
        <v>41</v>
      </c>
      <c r="AC1" s="53" t="s">
        <v>42</v>
      </c>
      <c r="AD1" s="53" t="s">
        <v>43</v>
      </c>
      <c r="AE1" s="53" t="s">
        <v>44</v>
      </c>
      <c r="AF1" s="53" t="s">
        <v>45</v>
      </c>
      <c r="AG1" s="53" t="s">
        <v>46</v>
      </c>
      <c r="AH1" s="53" t="s">
        <v>47</v>
      </c>
      <c r="AI1" s="53" t="s">
        <v>48</v>
      </c>
      <c r="AJ1" s="53" t="s">
        <v>49</v>
      </c>
      <c r="AK1" s="53" t="s">
        <v>50</v>
      </c>
      <c r="AL1" s="53" t="s">
        <v>51</v>
      </c>
      <c r="AM1" s="52" t="s">
        <v>52</v>
      </c>
      <c r="AN1" s="52" t="s">
        <v>53</v>
      </c>
      <c r="AO1" s="52" t="s">
        <v>54</v>
      </c>
      <c r="AP1" s="52" t="s">
        <v>55</v>
      </c>
      <c r="AQ1" s="52" t="s">
        <v>56</v>
      </c>
      <c r="AR1" s="52" t="s">
        <v>57</v>
      </c>
      <c r="AS1" s="52" t="s">
        <v>58</v>
      </c>
      <c r="AT1" s="52" t="s">
        <v>59</v>
      </c>
      <c r="AU1" s="52" t="s">
        <v>60</v>
      </c>
      <c r="AV1" s="52" t="s">
        <v>61</v>
      </c>
      <c r="AW1" s="53" t="s">
        <v>62</v>
      </c>
      <c r="AX1" s="53" t="s">
        <v>63</v>
      </c>
      <c r="AY1" s="53" t="s">
        <v>64</v>
      </c>
      <c r="AZ1" s="53" t="s">
        <v>65</v>
      </c>
      <c r="BA1" s="53" t="s">
        <v>66</v>
      </c>
      <c r="BB1" s="53" t="s">
        <v>67</v>
      </c>
      <c r="BC1" s="53" t="s">
        <v>68</v>
      </c>
      <c r="BD1" s="53" t="s">
        <v>69</v>
      </c>
      <c r="BE1" s="53" t="s">
        <v>70</v>
      </c>
      <c r="BF1" s="53" t="s">
        <v>71</v>
      </c>
      <c r="BG1" s="53" t="s">
        <v>72</v>
      </c>
      <c r="BH1" s="53" t="s">
        <v>73</v>
      </c>
      <c r="BI1" s="53" t="s">
        <v>74</v>
      </c>
      <c r="BJ1" s="53" t="s">
        <v>75</v>
      </c>
      <c r="BK1" s="53" t="s">
        <v>76</v>
      </c>
      <c r="BL1" s="53" t="s">
        <v>77</v>
      </c>
      <c r="BM1" s="53" t="s">
        <v>78</v>
      </c>
      <c r="BN1" s="53" t="s">
        <v>79</v>
      </c>
      <c r="BO1" s="53" t="s">
        <v>80</v>
      </c>
      <c r="BP1" s="53" t="s">
        <v>81</v>
      </c>
      <c r="BQ1" s="53" t="s">
        <v>82</v>
      </c>
      <c r="BR1" s="53" t="s">
        <v>122</v>
      </c>
      <c r="BS1" s="53" t="s">
        <v>83</v>
      </c>
      <c r="BT1" s="53" t="s">
        <v>84</v>
      </c>
      <c r="BU1" s="51"/>
      <c r="BV1" s="54"/>
      <c r="BW1" s="55"/>
      <c r="BX1" s="54"/>
      <c r="BY1" s="55"/>
      <c r="BZ1" s="51"/>
      <c r="CA1" s="51"/>
      <c r="CB1" s="53" t="s">
        <v>85</v>
      </c>
      <c r="CC1" s="56"/>
      <c r="CD1" s="50" t="s">
        <v>104</v>
      </c>
      <c r="CE1" s="57"/>
    </row>
    <row r="2" spans="1:83">
      <c r="A2" s="51" t="s">
        <v>86</v>
      </c>
      <c r="B2" s="56"/>
      <c r="C2" s="51" t="s">
        <v>126</v>
      </c>
      <c r="D2" s="56"/>
      <c r="E2" s="54" t="s">
        <v>133</v>
      </c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0"/>
      <c r="BV2" s="54"/>
      <c r="BW2" s="55"/>
      <c r="BX2" s="54"/>
      <c r="BY2" s="55"/>
      <c r="BZ2" s="59"/>
      <c r="CA2" s="54" t="s">
        <v>10</v>
      </c>
      <c r="CB2" s="60"/>
      <c r="CC2" s="56"/>
      <c r="CD2" s="50" t="s">
        <v>105</v>
      </c>
      <c r="CE2" s="61"/>
    </row>
    <row r="3" spans="1:83">
      <c r="A3" s="51" t="s">
        <v>88</v>
      </c>
      <c r="B3" s="56"/>
      <c r="C3" s="51" t="s">
        <v>93</v>
      </c>
      <c r="D3" s="62">
        <v>1</v>
      </c>
      <c r="E3" s="54" t="s">
        <v>132</v>
      </c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0"/>
      <c r="BV3" s="54"/>
      <c r="BW3" s="55"/>
      <c r="BX3" s="54"/>
      <c r="BY3" s="55"/>
      <c r="BZ3" s="59"/>
      <c r="CA3" s="54" t="s">
        <v>11</v>
      </c>
      <c r="CB3" s="60"/>
      <c r="CC3" s="56"/>
      <c r="CD3" s="50" t="s">
        <v>106</v>
      </c>
      <c r="CE3" s="63"/>
    </row>
    <row r="4" spans="1:83">
      <c r="A4" s="51" t="s">
        <v>90</v>
      </c>
      <c r="B4" s="56"/>
      <c r="C4" s="51" t="s">
        <v>95</v>
      </c>
      <c r="D4" s="56"/>
      <c r="E4" s="54" t="s">
        <v>134</v>
      </c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16"/>
      <c r="BV4" s="54"/>
      <c r="BW4" s="55"/>
      <c r="BX4" s="54"/>
      <c r="BY4" s="55"/>
      <c r="BZ4" s="59"/>
      <c r="CA4" s="54" t="s">
        <v>92</v>
      </c>
      <c r="CB4" s="60"/>
      <c r="CC4" s="25">
        <v>0</v>
      </c>
      <c r="CD4" s="50" t="s">
        <v>107</v>
      </c>
      <c r="CE4" s="63"/>
    </row>
    <row r="5" spans="1:83">
      <c r="A5" s="51" t="s">
        <v>123</v>
      </c>
      <c r="B5" s="64"/>
      <c r="C5" s="51" t="s">
        <v>131</v>
      </c>
      <c r="D5" s="65">
        <v>0.15</v>
      </c>
      <c r="E5" s="54" t="s">
        <v>135</v>
      </c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0"/>
      <c r="BV5" s="54"/>
      <c r="BW5" s="55"/>
      <c r="BX5" s="54"/>
      <c r="BY5" s="55"/>
      <c r="BZ5" s="59"/>
      <c r="CA5" s="54" t="s">
        <v>94</v>
      </c>
      <c r="CB5" s="66"/>
      <c r="CC5" s="56"/>
      <c r="CD5" s="50" t="s">
        <v>108</v>
      </c>
      <c r="CE5" s="67"/>
    </row>
    <row r="6" spans="1:83">
      <c r="A6" s="51" t="s">
        <v>124</v>
      </c>
      <c r="B6" s="64"/>
      <c r="C6" s="56"/>
      <c r="D6" s="65"/>
      <c r="E6" s="17" t="s">
        <v>136</v>
      </c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50"/>
      <c r="BV6" s="54"/>
      <c r="BW6" s="55"/>
      <c r="BX6" s="54"/>
      <c r="BY6" s="55"/>
      <c r="BZ6" s="59"/>
      <c r="CA6" s="54"/>
      <c r="CB6" s="66"/>
      <c r="CC6" s="56"/>
      <c r="CD6" s="50" t="s">
        <v>109</v>
      </c>
      <c r="CE6" s="67"/>
    </row>
    <row r="7" spans="1:83">
      <c r="A7" s="51" t="s">
        <v>129</v>
      </c>
      <c r="B7" s="64"/>
      <c r="C7" s="56"/>
      <c r="D7" s="68"/>
      <c r="E7" s="54" t="s">
        <v>137</v>
      </c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0"/>
      <c r="BV7" s="54"/>
      <c r="BW7" s="55"/>
      <c r="BX7" s="54"/>
      <c r="BY7" s="66"/>
      <c r="BZ7" s="59"/>
      <c r="CA7" s="54" t="s">
        <v>96</v>
      </c>
      <c r="CB7" s="60"/>
      <c r="CC7" s="56"/>
      <c r="CD7" s="50" t="s">
        <v>110</v>
      </c>
      <c r="CE7" s="67"/>
    </row>
    <row r="8" spans="1:83">
      <c r="A8" s="51" t="s">
        <v>11</v>
      </c>
      <c r="B8" s="64"/>
      <c r="C8" s="51" t="s">
        <v>130</v>
      </c>
      <c r="D8" s="68"/>
      <c r="E8" s="54" t="s">
        <v>138</v>
      </c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0"/>
      <c r="BV8" s="54"/>
      <c r="BW8" s="55"/>
      <c r="BX8" s="54"/>
      <c r="BY8" s="66"/>
      <c r="BZ8" s="69"/>
      <c r="CA8" s="54" t="s">
        <v>97</v>
      </c>
      <c r="CB8" s="60"/>
      <c r="CC8" s="25">
        <v>0</v>
      </c>
      <c r="CD8" s="50" t="s">
        <v>11</v>
      </c>
      <c r="CE8" s="73"/>
    </row>
    <row r="9" spans="1:83">
      <c r="A9" s="51" t="s">
        <v>127</v>
      </c>
      <c r="B9" s="64"/>
      <c r="C9" s="51" t="s">
        <v>128</v>
      </c>
      <c r="D9" s="64"/>
      <c r="E9" s="48" t="s">
        <v>139</v>
      </c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49"/>
      <c r="BE9" s="49"/>
      <c r="BF9" s="49"/>
      <c r="BG9" s="49"/>
      <c r="BH9" s="49"/>
      <c r="BI9" s="49"/>
      <c r="BJ9" s="49"/>
      <c r="BK9" s="49"/>
      <c r="BL9" s="49"/>
      <c r="BM9" s="49"/>
      <c r="BN9" s="49"/>
      <c r="BO9" s="49"/>
      <c r="BP9" s="49"/>
      <c r="BQ9" s="49"/>
      <c r="BR9" s="49"/>
      <c r="BS9" s="49"/>
      <c r="BT9" s="49"/>
      <c r="BU9" s="50"/>
      <c r="BV9" s="70"/>
      <c r="BW9" s="71"/>
      <c r="BX9" s="70"/>
      <c r="BY9" s="59"/>
      <c r="BZ9" s="50"/>
      <c r="CA9" s="50"/>
      <c r="CB9" s="72"/>
      <c r="CC9" s="56"/>
      <c r="CD9" s="50" t="s">
        <v>15</v>
      </c>
      <c r="CE9" s="73"/>
    </row>
    <row r="10" spans="1:83">
      <c r="A10" s="51"/>
      <c r="B10" s="64"/>
      <c r="C10" s="51"/>
      <c r="D10" s="64"/>
      <c r="E10" s="48" t="s">
        <v>140</v>
      </c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49"/>
      <c r="BF10" s="49"/>
      <c r="BG10" s="49"/>
      <c r="BH10" s="49"/>
      <c r="BI10" s="49"/>
      <c r="BJ10" s="49"/>
      <c r="BK10" s="49"/>
      <c r="BL10" s="49"/>
      <c r="BM10" s="49"/>
      <c r="BN10" s="49"/>
      <c r="BO10" s="49"/>
      <c r="BP10" s="49"/>
      <c r="BQ10" s="49"/>
      <c r="BR10" s="49"/>
      <c r="BS10" s="49"/>
      <c r="BT10" s="49"/>
      <c r="BU10" s="50"/>
      <c r="BV10" s="70"/>
      <c r="BW10" s="71"/>
      <c r="BX10" s="70"/>
      <c r="BY10" s="59"/>
      <c r="BZ10" s="50"/>
      <c r="CA10" s="50"/>
      <c r="CB10" s="72"/>
      <c r="CC10" s="56"/>
    </row>
    <row r="11" spans="1:83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6"/>
      <c r="CD11" s="50"/>
      <c r="CE11" s="50"/>
    </row>
    <row r="12" spans="1:83" s="45" customFormat="1">
      <c r="A12" s="74"/>
      <c r="B12" s="75" t="s">
        <v>121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74"/>
      <c r="CA12" s="74"/>
      <c r="CB12" s="74"/>
      <c r="CC12" s="76"/>
      <c r="CD12" s="74"/>
      <c r="CE12" s="74"/>
    </row>
    <row r="13" spans="1:83" s="45" customFormat="1">
      <c r="A13" s="74"/>
      <c r="B13" s="74"/>
      <c r="C13" s="74"/>
      <c r="D13" s="74"/>
      <c r="E13" s="77"/>
      <c r="F13" s="78" t="s">
        <v>98</v>
      </c>
      <c r="G13" s="78" t="s">
        <v>20</v>
      </c>
      <c r="H13" s="78" t="s">
        <v>21</v>
      </c>
      <c r="I13" s="78" t="s">
        <v>22</v>
      </c>
      <c r="J13" s="78" t="s">
        <v>23</v>
      </c>
      <c r="K13" s="78" t="s">
        <v>24</v>
      </c>
      <c r="L13" s="78" t="s">
        <v>25</v>
      </c>
      <c r="M13" s="78" t="s">
        <v>26</v>
      </c>
      <c r="N13" s="78" t="s">
        <v>27</v>
      </c>
      <c r="O13" s="78" t="s">
        <v>28</v>
      </c>
      <c r="P13" s="78" t="s">
        <v>29</v>
      </c>
      <c r="Q13" s="78" t="s">
        <v>30</v>
      </c>
      <c r="R13" s="78" t="s">
        <v>31</v>
      </c>
      <c r="S13" s="78" t="s">
        <v>32</v>
      </c>
      <c r="T13" s="78" t="s">
        <v>33</v>
      </c>
      <c r="U13" s="78" t="s">
        <v>34</v>
      </c>
      <c r="V13" s="78" t="s">
        <v>35</v>
      </c>
      <c r="W13" s="78" t="s">
        <v>36</v>
      </c>
      <c r="X13" s="78" t="s">
        <v>37</v>
      </c>
      <c r="Y13" s="78" t="s">
        <v>38</v>
      </c>
      <c r="Z13" s="78" t="s">
        <v>39</v>
      </c>
      <c r="AA13" s="78" t="s">
        <v>40</v>
      </c>
      <c r="AB13" s="78" t="s">
        <v>41</v>
      </c>
      <c r="AC13" s="78" t="s">
        <v>42</v>
      </c>
      <c r="AD13" s="78" t="s">
        <v>43</v>
      </c>
      <c r="AE13" s="78" t="s">
        <v>44</v>
      </c>
      <c r="AF13" s="78" t="s">
        <v>45</v>
      </c>
      <c r="AG13" s="78" t="s">
        <v>46</v>
      </c>
      <c r="AH13" s="78" t="s">
        <v>47</v>
      </c>
      <c r="AI13" s="78" t="s">
        <v>48</v>
      </c>
      <c r="AJ13" s="78" t="s">
        <v>49</v>
      </c>
      <c r="AK13" s="78" t="s">
        <v>50</v>
      </c>
      <c r="AL13" s="78" t="s">
        <v>51</v>
      </c>
      <c r="AM13" s="78" t="s">
        <v>52</v>
      </c>
      <c r="AN13" s="78" t="s">
        <v>53</v>
      </c>
      <c r="AO13" s="78" t="s">
        <v>54</v>
      </c>
      <c r="AP13" s="78" t="s">
        <v>55</v>
      </c>
      <c r="AQ13" s="78" t="s">
        <v>56</v>
      </c>
      <c r="AR13" s="78" t="s">
        <v>57</v>
      </c>
      <c r="AS13" s="78" t="s">
        <v>58</v>
      </c>
      <c r="AT13" s="78" t="s">
        <v>59</v>
      </c>
      <c r="AU13" s="78" t="s">
        <v>60</v>
      </c>
      <c r="AV13" s="78" t="s">
        <v>61</v>
      </c>
      <c r="AW13" s="78" t="s">
        <v>62</v>
      </c>
      <c r="AX13" s="78" t="s">
        <v>63</v>
      </c>
      <c r="AY13" s="78" t="s">
        <v>64</v>
      </c>
      <c r="AZ13" s="78" t="s">
        <v>65</v>
      </c>
      <c r="BA13" s="78" t="s">
        <v>66</v>
      </c>
      <c r="BB13" s="78" t="s">
        <v>67</v>
      </c>
      <c r="BC13" s="78" t="s">
        <v>68</v>
      </c>
      <c r="BD13" s="78" t="s">
        <v>69</v>
      </c>
      <c r="BE13" s="78" t="s">
        <v>70</v>
      </c>
      <c r="BF13" s="78" t="s">
        <v>71</v>
      </c>
      <c r="BG13" s="78" t="s">
        <v>72</v>
      </c>
      <c r="BH13" s="78" t="s">
        <v>73</v>
      </c>
      <c r="BI13" s="78" t="s">
        <v>74</v>
      </c>
      <c r="BJ13" s="78" t="s">
        <v>75</v>
      </c>
      <c r="BK13" s="78" t="s">
        <v>76</v>
      </c>
      <c r="BL13" s="78" t="s">
        <v>77</v>
      </c>
      <c r="BM13" s="78" t="s">
        <v>78</v>
      </c>
      <c r="BN13" s="78" t="s">
        <v>79</v>
      </c>
      <c r="BO13" s="78" t="s">
        <v>80</v>
      </c>
      <c r="BP13" s="78" t="s">
        <v>81</v>
      </c>
      <c r="BQ13" s="78" t="s">
        <v>82</v>
      </c>
      <c r="BR13" s="78" t="s">
        <v>122</v>
      </c>
      <c r="BS13" s="78" t="s">
        <v>83</v>
      </c>
      <c r="BT13" s="78" t="s">
        <v>84</v>
      </c>
      <c r="BU13" s="74"/>
      <c r="BV13" s="74"/>
      <c r="BW13" s="74"/>
      <c r="BX13" s="74"/>
      <c r="BY13" s="74"/>
      <c r="BZ13" s="74"/>
      <c r="CA13" s="74"/>
      <c r="CB13" s="74"/>
      <c r="CC13" s="76"/>
      <c r="CD13" s="74"/>
      <c r="CE13" s="74"/>
    </row>
    <row r="14" spans="1:83" s="45" customFormat="1">
      <c r="A14" s="74"/>
      <c r="B14" s="74" t="s">
        <v>8</v>
      </c>
      <c r="C14" s="74"/>
      <c r="D14" s="74"/>
      <c r="E14" s="79" t="s">
        <v>87</v>
      </c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74"/>
      <c r="BV14" s="74"/>
      <c r="BW14" s="74"/>
      <c r="BX14" s="74"/>
      <c r="BY14" s="74"/>
      <c r="BZ14" s="74"/>
      <c r="CA14" s="74"/>
      <c r="CB14" s="74"/>
      <c r="CC14" s="76"/>
      <c r="CD14" s="74"/>
      <c r="CE14" s="74"/>
    </row>
    <row r="15" spans="1:83" s="45" customFormat="1">
      <c r="A15" s="74"/>
      <c r="B15" s="74" t="s">
        <v>8</v>
      </c>
      <c r="C15" s="74"/>
      <c r="D15" s="74"/>
      <c r="E15" s="79" t="s">
        <v>89</v>
      </c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74"/>
      <c r="BV15" s="74"/>
      <c r="BW15" s="74"/>
      <c r="BX15" s="74"/>
      <c r="BY15" s="74"/>
      <c r="BZ15" s="74"/>
      <c r="CA15" s="74"/>
      <c r="CB15" s="74"/>
      <c r="CC15" s="76"/>
      <c r="CD15" s="74"/>
      <c r="CE15" s="74"/>
    </row>
    <row r="16" spans="1:83" s="45" customFormat="1">
      <c r="A16" s="74"/>
      <c r="B16" s="74" t="s">
        <v>8</v>
      </c>
      <c r="C16" s="74"/>
      <c r="D16" s="74"/>
      <c r="E16" s="79" t="s">
        <v>91</v>
      </c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74"/>
      <c r="BV16" s="74"/>
      <c r="BW16" s="74"/>
      <c r="BX16" s="74"/>
      <c r="BY16" s="74"/>
      <c r="BZ16" s="74"/>
      <c r="CA16" s="74"/>
      <c r="CB16" s="74"/>
      <c r="CC16" s="76"/>
      <c r="CD16" s="74"/>
      <c r="CE16" s="74"/>
    </row>
    <row r="17" spans="1:83" s="45" customFormat="1">
      <c r="A17" s="74"/>
      <c r="B17" s="74" t="s">
        <v>8</v>
      </c>
      <c r="C17" s="74"/>
      <c r="D17" s="74"/>
      <c r="E17" s="79" t="s">
        <v>0</v>
      </c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74"/>
      <c r="BV17" s="74"/>
      <c r="BW17" s="74"/>
      <c r="BX17" s="74"/>
      <c r="BY17" s="74"/>
      <c r="BZ17" s="74"/>
      <c r="CA17" s="74"/>
      <c r="CB17" s="74"/>
      <c r="CC17" s="76"/>
      <c r="CD17" s="74"/>
      <c r="CE17" s="74"/>
    </row>
    <row r="18" spans="1:83" s="45" customFormat="1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  <c r="BX18" s="74"/>
      <c r="BY18" s="74"/>
      <c r="BZ18" s="74"/>
      <c r="CA18" s="74"/>
      <c r="CB18" s="74"/>
      <c r="CC18" s="76"/>
      <c r="CD18" s="74"/>
      <c r="CE18" s="74"/>
    </row>
  </sheetData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2021-03-01T09:07:15Z</dcterms:modified>
</cp:coreProperties>
</file>