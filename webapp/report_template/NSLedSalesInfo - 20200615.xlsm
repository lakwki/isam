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3070" windowHeight="3270"/>
  </bookViews>
  <sheets>
    <sheet name="SUMM" sheetId="1" r:id="rId1"/>
    <sheet name="ND Sales Summ" sheetId="2" r:id="rId2"/>
    <sheet name="SH Sales Summ" sheetId="3" r:id="rId3"/>
    <sheet name="IN Sales Summ" sheetId="4" r:id="rId4"/>
    <sheet name="BD Sales Summ" sheetId="5" r:id="rId5"/>
    <sheet name="LK Sales Summ" sheetId="6" r:id="rId6"/>
    <sheet name="CA Sales Summ" sheetId="7" r:id="rId7"/>
    <sheet name="HK Sales Summ" sheetId="8" r:id="rId8"/>
    <sheet name="TR Sales Summ" sheetId="9" r:id="rId9"/>
    <sheet name="Template" sheetId="10" state="hidden" r:id="rId10"/>
  </sheets>
  <calcPr calcId="145621"/>
</workbook>
</file>

<file path=xl/calcChain.xml><?xml version="1.0" encoding="utf-8"?>
<calcChain xmlns="http://schemas.openxmlformats.org/spreadsheetml/2006/main">
  <c r="CE2" i="9" l="1"/>
  <c r="CE2" i="8"/>
  <c r="CE2" i="7"/>
  <c r="CE2" i="6"/>
  <c r="CE2" i="5"/>
  <c r="CE2" i="4"/>
  <c r="CE2" i="3"/>
  <c r="CE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sharedStrings.xml><?xml version="1.0" encoding="utf-8"?>
<sst xmlns="http://schemas.openxmlformats.org/spreadsheetml/2006/main" count="201" uniqueCount="115">
  <si>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</si>
  <si>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</si>
  <si>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</si>
  <si>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</si>
  <si>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</si>
  <si>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</si>
  <si>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</si>
  <si>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</si>
  <si>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</si>
  <si>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</si>
  <si>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</si>
  <si>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</si>
  <si>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</si>
  <si>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</si>
  <si>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</si>
  <si>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</si>
  <si>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</si>
  <si>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</si>
  <si>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</si>
  <si>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</si>
  <si>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</si>
  <si>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</si>
  <si>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</si>
  <si>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</si>
  <si>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</si>
  <si>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</si>
  <si>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</si>
  <si>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</si>
  <si>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</si>
  <si>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</si>
  <si>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</si>
  <si>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</si>
  <si>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</si>
  <si>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</si>
  <si>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</si>
  <si>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</si>
  <si>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</si>
  <si>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</si>
  <si>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</si>
  <si>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</si>
  <si>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</si>
  <si>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</si>
  <si>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</si>
  <si>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</si>
  <si>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</si>
  <si>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</si>
  <si>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</si>
  <si>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</si>
  <si>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</si>
  <si>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</si>
  <si>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</si>
  <si>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</si>
  <si>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</si>
  <si>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</si>
  <si>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</si>
  <si>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</si>
  <si>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</si>
  <si>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</si>
  <si>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</si>
  <si>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</si>
  <si>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</si>
  <si>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</si>
  <si>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</si>
  <si>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</si>
  <si>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</si>
  <si>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</si>
  <si>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</si>
  <si>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</si>
  <si>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</si>
  <si>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</si>
  <si>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</si>
  <si>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</si>
  <si>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</si>
  <si>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</si>
  <si>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</si>
  <si>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</si>
  <si>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</si>
  <si>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</si>
  <si>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</si>
  <si>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</si>
  <si>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</si>
  <si>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</si>
  <si>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</si>
  <si>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</si>
  <si>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</si>
  <si>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</si>
  <si>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</si>
  <si>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</si>
  <si>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</si>
  <si>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</si>
  <si>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</si>
  <si>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</si>
  <si>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</si>
  <si>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</si>
  <si>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</si>
  <si>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</si>
  <si>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</si>
  <si>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Cum Returns Rate</t>
  </si>
  <si>
    <t>Total Commission (est)</t>
  </si>
  <si>
    <t>Total Cost (USD)</t>
  </si>
  <si>
    <t>Cum Sell Through</t>
  </si>
  <si>
    <t>Total Profit/(Loss) (est)</t>
  </si>
  <si>
    <t>Sale Price</t>
  </si>
  <si>
    <t>FP Sell Through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</si>
  <si>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</si>
  <si>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</si>
  <si>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</si>
  <si>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</si>
  <si>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</si>
  <si>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</si>
  <si>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</si>
  <si>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</si>
  <si>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</si>
  <si>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</si>
  <si>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Avg RSV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</si>
</sst>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164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5" fontId="0" fillId="0" borderId="0" xfId="0" applyNumberFormat="1" applyFill="1"/>
    <xf numFmtId="164" fontId="0" fillId="0" borderId="0" xfId="1" applyFont="1"/>
    <xf numFmtId="165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6" fontId="0" fillId="0" borderId="0" xfId="1" applyNumberFormat="1" applyFont="1"/>
    <xf numFmtId="166" fontId="0" fillId="3" borderId="0" xfId="1" applyNumberFormat="1" applyFont="1" applyFill="1"/>
    <xf numFmtId="165" fontId="0" fillId="3" borderId="0" xfId="1" applyNumberFormat="1" applyFont="1" applyFill="1"/>
    <xf numFmtId="165" fontId="0" fillId="0" borderId="0" xfId="1" applyNumberFormat="1" applyFont="1" applyFill="1"/>
    <xf numFmtId="0" fontId="0" fillId="0" borderId="0" xfId="0"/>
    <xf numFmtId="0" fontId="2" fillId="0" borderId="0" xfId="0" applyFont="1"/>
    <xf numFmtId="0" fontId="0" fillId="0" borderId="0" xfId="0" applyBorder="1"/>
    <xf numFmtId="9" fontId="4" fillId="0" borderId="0" xfId="2" applyNumberFormat="1" applyFont="1"/>
    <xf numFmtId="0" fontId="2" fillId="0" borderId="0" xfId="0" applyFont="1" applyAlignment="1">
      <alignment horizontal="center" wrapText="1"/>
    </xf>
    <xf numFmtId="9" fontId="0" fillId="0" borderId="0" xfId="0" applyNumberFormat="1" applyBorder="1"/>
    <xf numFmtId="165" fontId="0" fillId="0" borderId="1" xfId="0" applyNumberFormat="1" applyBorder="1"/>
    <xf numFmtId="0" fontId="7" fillId="0" borderId="1" xfId="0" applyFont="1" applyFill="1" applyBorder="1"/>
    <xf numFmtId="0" fontId="7" fillId="0" borderId="1" xfId="0" applyFont="1" applyBorder="1"/>
    <xf numFmtId="9" fontId="5" fillId="0" borderId="0" xfId="2" applyFont="1"/>
    <xf numFmtId="9" fontId="0" fillId="0" borderId="0" xfId="0" applyNumberFormat="1" applyFill="1" applyBorder="1"/>
    <xf numFmtId="0" fontId="7" fillId="0" borderId="0" xfId="0" applyFont="1"/>
    <xf numFmtId="0" fontId="2" fillId="0" borderId="0" xfId="0" applyFont="1" applyAlignment="1">
      <alignment wrapText="1"/>
    </xf>
    <xf numFmtId="0" fontId="0" fillId="0" borderId="1" xfId="0" applyBorder="1"/>
    <xf numFmtId="9" fontId="0" fillId="0" borderId="1" xfId="0" applyNumberFormat="1" applyBorder="1"/>
    <xf numFmtId="0" fontId="5" fillId="0" borderId="0" xfId="0" applyFont="1" applyAlignment="1">
      <alignment wrapText="1"/>
    </xf>
    <xf numFmtId="9" fontId="7" fillId="0" borderId="1" xfId="2" applyNumberFormat="1" applyFont="1" applyBorder="1"/>
    <xf numFmtId="165" fontId="1" fillId="0" borderId="1" xfId="1" applyNumberFormat="1" applyFont="1" applyFill="1" applyBorder="1"/>
    <xf numFmtId="9" fontId="0" fillId="0" borderId="1" xfId="0" applyNumberFormat="1" applyFill="1" applyBorder="1"/>
    <xf numFmtId="0" fontId="0" fillId="0" borderId="1" xfId="0" applyFill="1" applyBorder="1"/>
    <xf numFmtId="9" fontId="7" fillId="0" borderId="0" xfId="0" applyNumberFormat="1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165" fontId="5" fillId="0" borderId="0" xfId="0" applyNumberFormat="1" applyFont="1"/>
    <xf numFmtId="0" fontId="0" fillId="0" borderId="0" xfId="0"/>
    <xf numFmtId="0" fontId="3" fillId="0" borderId="0" xfId="0" applyFont="1"/>
    <xf numFmtId="165" fontId="0" fillId="0" borderId="0" xfId="1" applyNumberFormat="1" applyFont="1"/>
    <xf numFmtId="10" fontId="0" fillId="0" borderId="0" xfId="0" applyNumberFormat="1"/>
    <xf numFmtId="0" fontId="0" fillId="3" borderId="0" xfId="0" applyFill="1"/>
    <xf numFmtId="2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wrapText="1"/>
    </xf>
    <xf numFmtId="0" fontId="0" fillId="4" borderId="0" xfId="0" applyFill="1"/>
    <xf numFmtId="167" fontId="0" fillId="3" borderId="0" xfId="0" applyNumberFormat="1" applyFill="1"/>
    <xf numFmtId="9" fontId="7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9" fontId="0" fillId="0" borderId="0" xfId="2" applyFont="1"/>
    <xf numFmtId="9" fontId="0" fillId="0" borderId="0" xfId="0" applyNumberFormat="1" applyAlignment="1">
      <alignment horizontal="center"/>
    </xf>
    <xf numFmtId="168" fontId="6" fillId="0" borderId="0" xfId="0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tabSelected="1" workbookViewId="0"/>
  </sheetViews>
  <sheetFormatPr defaultRowHeight="15" x14ac:dyDescent="0.2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 x14ac:dyDescent="0.25">
      <c r="A2" t="s">
        <v>0</v>
      </c>
    </row>
    <row r="3" spans="1:12" x14ac:dyDescent="0.25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109</v>
      </c>
      <c r="K3" t="s">
        <v>8</v>
      </c>
      <c r="L3" t="s">
        <v>9</v>
      </c>
    </row>
    <row r="4" spans="1:12" x14ac:dyDescent="0.25">
      <c r="A4" t="s">
        <v>0</v>
      </c>
      <c r="B4" s="7">
        <f>SUMIFS('ND Sales Summ'!$F:$F,'ND Sales Summ'!$E:$E,SUMM!$A4)</f>
        <v>0</v>
      </c>
      <c r="C4" s="7">
        <f>SUMIFS('SH Sales Summ'!$F:$F,'SH Sales Summ'!$E:$E,SUMM!$A4)</f>
        <v>0</v>
      </c>
      <c r="D4" s="7">
        <f>SUMIFS('IN Sales Summ'!$F:$F,'IN Sales Summ'!$E:$E,SUMM!$A4)</f>
        <v>0</v>
      </c>
      <c r="E4" s="7">
        <f>SUMIFS('BD Sales Summ'!$F:$F,'BD Sales Summ'!$E:$E,SUMM!$A4)</f>
        <v>0</v>
      </c>
      <c r="F4" s="7">
        <f>SUMIFS('LK Sales Summ'!$F:$F,'LK Sales Summ'!$E:$E,SUMM!$A4)</f>
        <v>0</v>
      </c>
      <c r="G4" s="7">
        <f>SUMIFS('CA Sales Summ'!$F:$F,'CA Sales Summ'!$E:$E,SUMM!$A4)</f>
        <v>0</v>
      </c>
      <c r="H4" s="7">
        <f>SUMIFS('HK Sales Summ'!$F:$F,'HK Sales Summ'!$E:$E,SUMM!$A4)</f>
        <v>0</v>
      </c>
      <c r="I4" s="7">
        <f>SUMIFS('TR Sales Summ'!$F:$F,'TR Sales Summ'!$E:$E,SUMM!$A4)</f>
        <v>0</v>
      </c>
      <c r="J4" s="6"/>
      <c r="K4" s="7">
        <f>SUM(B4:J4)</f>
        <v>0</v>
      </c>
      <c r="L4" s="10">
        <f>K4/1000</f>
        <v>0</v>
      </c>
    </row>
    <row r="5" spans="1:12" s="42" customFormat="1" x14ac:dyDescent="0.25">
      <c r="A5" s="42" t="s">
        <v>10</v>
      </c>
      <c r="B5" s="12">
        <f>SUMIFS('ND Sales Summ'!$CA:$CA,'ND Sales Summ'!$BZ:$BZ,SUMM!$A5)</f>
        <v>0</v>
      </c>
      <c r="C5" s="12">
        <f>SUMIFS('SH Sales Summ'!$CA:$CA,'SH Sales Summ'!$BZ:$BZ,SUMM!$A5)</f>
        <v>0</v>
      </c>
      <c r="D5" s="12">
        <f>SUMIFS('IN Sales Summ'!$CA:$CA,'IN Sales Summ'!$BZ:$BZ,SUMM!$A5)</f>
        <v>0</v>
      </c>
      <c r="E5" s="12">
        <f>SUMIFS('BD Sales Summ'!$CA:$CA,'BD Sales Summ'!$BZ:$BZ,SUMM!$A5)</f>
        <v>0</v>
      </c>
      <c r="F5" s="12">
        <f>SUMIFS('LK Sales Summ'!$CA:$CA,'LK Sales Summ'!$BZ:$BZ,SUMM!$A5)</f>
        <v>0</v>
      </c>
      <c r="G5" s="12">
        <f>SUMIFS('CA Sales Summ'!$CA:$CA,'CA Sales Summ'!$BZ:$BZ,SUMM!$A5)</f>
        <v>0</v>
      </c>
      <c r="H5" s="12">
        <f>SUMIFS('HK Sales Summ'!$CA:$CA,'HK Sales Summ'!$BZ:$BZ,SUMM!$A5)</f>
        <v>0</v>
      </c>
      <c r="I5" s="12">
        <f>SUMIFS('TR Sales Summ'!$CA:$CA,'TR Sales Summ'!$BZ:$BZ,SUMM!$A5)</f>
        <v>0</v>
      </c>
      <c r="J5" s="1"/>
      <c r="K5" s="12">
        <f>SUM(B5:J5)</f>
        <v>0</v>
      </c>
      <c r="L5" s="11">
        <f>K5/1000</f>
        <v>0</v>
      </c>
    </row>
    <row r="6" spans="1:12" x14ac:dyDescent="0.25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 x14ac:dyDescent="0.25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 x14ac:dyDescent="0.25">
      <c r="A8" t="s">
        <v>10</v>
      </c>
      <c r="B8" s="7">
        <f>SUMIFS('ND Sales Summ'!$CA:$CA,'ND Sales Summ'!$BZ:$BZ,SUMM!$A8)</f>
        <v>0</v>
      </c>
      <c r="C8" s="7">
        <f>SUMIFS('SH Sales Summ'!$CA:$CA,'SH Sales Summ'!$BZ:$BZ,SUMM!$A8)</f>
        <v>0</v>
      </c>
      <c r="D8" s="13">
        <f>SUMIFS('IN Sales Summ'!$CA:$CA,'IN Sales Summ'!$BZ:$BZ,SUMM!$A8)</f>
        <v>0</v>
      </c>
      <c r="E8" s="13">
        <f>SUMIFS('BD Sales Summ'!$CA:$CA,'BD Sales Summ'!$BZ:$BZ,SUMM!$A8)</f>
        <v>0</v>
      </c>
      <c r="F8" s="13">
        <f>SUMIFS('LK Sales Summ'!$CA:$CA,'LK Sales Summ'!$BZ:$BZ,SUMM!$A8)</f>
        <v>0</v>
      </c>
      <c r="G8" s="13">
        <f>SUMIFS('CA Sales Summ'!$CA:$CA,'CA Sales Summ'!$BZ:$BZ,SUMM!$A8)</f>
        <v>0</v>
      </c>
      <c r="H8" s="13">
        <f>SUMIFS('HK Sales Summ'!$CA:$CA,'HK Sales Summ'!$BZ:$BZ,SUMM!$A8)</f>
        <v>0</v>
      </c>
      <c r="I8" s="13">
        <f>SUMIFS('TR Sales Summ'!$CA:$CA,'TR Sales Summ'!$BZ:$BZ,SUMM!$A8)</f>
        <v>0</v>
      </c>
      <c r="K8" s="7">
        <f>SUM(B8:J8)</f>
        <v>0</v>
      </c>
      <c r="L8" s="10">
        <f>K8/1000</f>
        <v>0</v>
      </c>
    </row>
    <row r="9" spans="1:12" x14ac:dyDescent="0.25">
      <c r="A9" t="s">
        <v>11</v>
      </c>
      <c r="B9" s="7">
        <f>SUMIFS('ND Sales Summ'!$CA:$CA,'ND Sales Summ'!$BZ:$BZ,SUMM!$A9)</f>
        <v>0</v>
      </c>
      <c r="C9" s="7">
        <f>SUMIFS('SH Sales Summ'!$CA:$CA,'SH Sales Summ'!$BZ:$BZ,SUMM!$A9)</f>
        <v>0</v>
      </c>
      <c r="D9" s="13">
        <f>SUMIFS('IN Sales Summ'!$CA:$CA,'IN Sales Summ'!$BZ:$BZ,SUMM!$A9)</f>
        <v>0</v>
      </c>
      <c r="E9" s="13">
        <f>SUMIFS('BD Sales Summ'!$CA:$CA,'BD Sales Summ'!$BZ:$BZ,SUMM!$A9)</f>
        <v>0</v>
      </c>
      <c r="F9" s="13">
        <f>SUMIFS('LK Sales Summ'!$CA:$CA,'LK Sales Summ'!$BZ:$BZ,SUMM!$A9)</f>
        <v>0</v>
      </c>
      <c r="G9" s="13">
        <f>SUMIFS('CA Sales Summ'!$CA:$CA,'CA Sales Summ'!$BZ:$BZ,SUMM!$A9)</f>
        <v>0</v>
      </c>
      <c r="H9" s="13">
        <f>SUMIFS('HK Sales Summ'!$CA:$CA,'HK Sales Summ'!$BZ:$BZ,SUMM!$A9)</f>
        <v>0</v>
      </c>
      <c r="I9" s="13">
        <f>SUMIFS('TR Sales Summ'!$CA:$CA,'TR Sales Summ'!$BZ:$BZ,SUMM!$A9)</f>
        <v>0</v>
      </c>
      <c r="K9" s="7">
        <f>SUM(B9:J9)</f>
        <v>0</v>
      </c>
      <c r="L9" s="10">
        <f>K9/1000</f>
        <v>0</v>
      </c>
    </row>
    <row r="10" spans="1:12" x14ac:dyDescent="0.25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 x14ac:dyDescent="0.25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 x14ac:dyDescent="0.25">
      <c r="B13" s="2" t="s">
        <v>12</v>
      </c>
    </row>
    <row r="15" spans="1:12" x14ac:dyDescent="0.25">
      <c r="A15" t="s">
        <v>13</v>
      </c>
    </row>
    <row r="16" spans="1:12" x14ac:dyDescent="0.25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109</v>
      </c>
      <c r="K16" t="s">
        <v>8</v>
      </c>
      <c r="L16" t="s">
        <v>9</v>
      </c>
    </row>
    <row r="17" spans="1:12" x14ac:dyDescent="0.25">
      <c r="A17" t="s">
        <v>14</v>
      </c>
      <c r="B17" s="40">
        <f>SUMIFS('ND Sales Summ'!$CD:$CD,'ND Sales Summ'!$CC:$CC,SUMM!$A17)</f>
        <v>0</v>
      </c>
      <c r="C17" s="40">
        <f>SUMIFS('SH Sales Summ'!$CD:$CD,'SH Sales Summ'!$CC:$CC,SUMM!$A17)</f>
        <v>0</v>
      </c>
      <c r="D17" s="40">
        <f>SUMIFS('IN Sales Summ'!$CD:$CD,'IN Sales Summ'!$CC:$CC,SUMM!$A17)</f>
        <v>0</v>
      </c>
      <c r="E17" s="40">
        <f>SUMIFS('BD Sales Summ'!$CD:$CD,'BD Sales Summ'!$CC:$CC,SUMM!$A17)</f>
        <v>0</v>
      </c>
      <c r="F17" s="40">
        <f>SUMIFS('LK Sales Summ'!$CD:$CD,'LK Sales Summ'!$CC:$CC,SUMM!$A17)</f>
        <v>0</v>
      </c>
      <c r="G17" s="40">
        <f>SUMIFS('CA Sales Summ'!$CD:$CD,'CA Sales Summ'!$CC:$CC,SUMM!$A17)</f>
        <v>0</v>
      </c>
      <c r="H17" s="40">
        <f>SUMIFS('HK Sales Summ'!$CD:$CD,'HK Sales Summ'!$CC:$CC,SUMM!$A17)</f>
        <v>0</v>
      </c>
      <c r="I17" s="40">
        <f>SUMIFS('TR Sales Summ'!$CD:$CD,'TR Sales Summ'!$CC:$CC,SUMM!$A17)</f>
        <v>0</v>
      </c>
      <c r="K17" s="7">
        <f>SUM(B17:J17)</f>
        <v>0</v>
      </c>
      <c r="L17" s="10">
        <f>K17/1000</f>
        <v>0</v>
      </c>
    </row>
    <row r="18" spans="1:12" x14ac:dyDescent="0.25">
      <c r="A18" t="s">
        <v>11</v>
      </c>
      <c r="B18" s="40">
        <f>SUMIFS('ND Sales Summ'!$CD:$CD,'ND Sales Summ'!$CC:$CC,SUMM!$A18)</f>
        <v>0</v>
      </c>
      <c r="C18" s="40">
        <f>SUMIFS('SH Sales Summ'!$CD:$CD,'SH Sales Summ'!$CC:$CC,SUMM!$A18)</f>
        <v>0</v>
      </c>
      <c r="D18" s="40">
        <f>SUMIFS('IN Sales Summ'!$CD:$CD,'IN Sales Summ'!$CC:$CC,SUMM!$A18)</f>
        <v>0</v>
      </c>
      <c r="E18" s="40">
        <f>SUMIFS('BD Sales Summ'!$CD:$CD,'BD Sales Summ'!$CC:$CC,SUMM!$A18)</f>
        <v>0</v>
      </c>
      <c r="F18" s="40">
        <f>SUMIFS('LK Sales Summ'!$CD:$CD,'LK Sales Summ'!$CC:$CC,SUMM!$A18)</f>
        <v>0</v>
      </c>
      <c r="G18" s="40">
        <f>SUMIFS('CA Sales Summ'!$CD:$CD,'CA Sales Summ'!$CC:$CC,SUMM!$A18)</f>
        <v>0</v>
      </c>
      <c r="H18" s="40">
        <f>SUMIFS('HK Sales Summ'!$CD:$CD,'HK Sales Summ'!$CC:$CC,SUMM!$A18)</f>
        <v>0</v>
      </c>
      <c r="I18" s="40">
        <f>SUMIFS('TR Sales Summ'!$CD:$CD,'TR Sales Summ'!$CC:$CC,SUMM!$A18)</f>
        <v>0</v>
      </c>
      <c r="K18" s="7">
        <f>SUM(B18:J18)</f>
        <v>0</v>
      </c>
      <c r="L18" s="10">
        <f>K18/1000</f>
        <v>0</v>
      </c>
    </row>
    <row r="19" spans="1:12" x14ac:dyDescent="0.25">
      <c r="A19" t="s">
        <v>15</v>
      </c>
      <c r="B19" s="40">
        <f>SUMIFS('ND Sales Summ'!$CD:$CD,'ND Sales Summ'!$CC:$CC,SUMM!$A19)</f>
        <v>0</v>
      </c>
      <c r="C19" s="40">
        <f>SUMIFS('SH Sales Summ'!$CD:$CD,'SH Sales Summ'!$CC:$CC,SUMM!$A19)</f>
        <v>0</v>
      </c>
      <c r="D19" s="40">
        <f>SUMIFS('IN Sales Summ'!$CD:$CD,'IN Sales Summ'!$CC:$CC,SUMM!$A19)</f>
        <v>0</v>
      </c>
      <c r="E19" s="40">
        <f>SUMIFS('BD Sales Summ'!$CD:$CD,'BD Sales Summ'!$CC:$CC,SUMM!$A19)</f>
        <v>0</v>
      </c>
      <c r="F19" s="40">
        <f>SUMIFS('LK Sales Summ'!$CD:$CD,'LK Sales Summ'!$CC:$CC,SUMM!$A19)</f>
        <v>0</v>
      </c>
      <c r="G19" s="40">
        <f>SUMIFS('CA Sales Summ'!$CD:$CD,'CA Sales Summ'!$CC:$CC,SUMM!$A19)</f>
        <v>0</v>
      </c>
      <c r="H19" s="40">
        <f>SUMIFS('HK Sales Summ'!$CD:$CD,'HK Sales Summ'!$CC:$CC,SUMM!$A19)</f>
        <v>0</v>
      </c>
      <c r="I19" s="40">
        <f>SUMIFS('TR Sales Summ'!$CD:$CD,'TR Sales Summ'!$CC:$CC,SUMM!$A19)</f>
        <v>0</v>
      </c>
      <c r="K19" s="7">
        <f>SUM(B19:J19)</f>
        <v>0</v>
      </c>
      <c r="L19" s="10">
        <f>K19/1000</f>
        <v>0</v>
      </c>
    </row>
    <row r="20" spans="1:12" x14ac:dyDescent="0.25">
      <c r="B20" s="41" t="e">
        <f>B19/B17</f>
        <v>#DIV/0!</v>
      </c>
      <c r="C20" s="41" t="e">
        <f t="shared" ref="C20:I20" si="16">C19/C17</f>
        <v>#DIV/0!</v>
      </c>
      <c r="D20" s="41" t="e">
        <f t="shared" si="16"/>
        <v>#DIV/0!</v>
      </c>
      <c r="E20" s="41" t="e">
        <f t="shared" si="16"/>
        <v>#DIV/0!</v>
      </c>
      <c r="F20" s="41" t="e">
        <f t="shared" si="16"/>
        <v>#DIV/0!</v>
      </c>
      <c r="G20" s="41" t="e">
        <f t="shared" si="16"/>
        <v>#DIV/0!</v>
      </c>
      <c r="H20" s="41" t="e">
        <f t="shared" si="16"/>
        <v>#DIV/0!</v>
      </c>
      <c r="I20" s="41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 x14ac:dyDescent="0.25">
      <c r="B22" t="s">
        <v>16</v>
      </c>
    </row>
    <row r="23" spans="1:12" x14ac:dyDescent="0.25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109</v>
      </c>
      <c r="K23" t="s">
        <v>8</v>
      </c>
      <c r="L23" t="s">
        <v>9</v>
      </c>
    </row>
    <row r="24" spans="1:12" x14ac:dyDescent="0.25">
      <c r="A24" t="s">
        <v>0</v>
      </c>
      <c r="B24" s="40"/>
      <c r="C24" s="40"/>
      <c r="D24" s="40"/>
      <c r="E24" s="40"/>
      <c r="F24" s="40"/>
      <c r="G24" s="40"/>
      <c r="H24" s="40"/>
      <c r="I24" s="40"/>
      <c r="K24" s="40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>
      <selection activeCell="CA1" sqref="CA1"/>
    </sheetView>
  </sheetViews>
  <sheetFormatPr defaultColWidth="9.140625" defaultRowHeight="15" outlineLevelCol="1" x14ac:dyDescent="0.25"/>
  <cols>
    <col min="1" max="1" width="16.140625" style="14" customWidth="1"/>
    <col min="2" max="2" width="24" style="14" customWidth="1"/>
    <col min="3" max="3" width="19.140625" style="14" customWidth="1"/>
    <col min="4" max="4" width="1.42578125" style="14" customWidth="1"/>
    <col min="5" max="5" width="14" style="14" customWidth="1"/>
    <col min="6" max="6" width="9.140625" style="14" customWidth="1"/>
    <col min="7" max="11" width="9.140625" style="14" hidden="1" customWidth="1" outlineLevel="1"/>
    <col min="12" max="12" width="9.140625" style="14" customWidth="1" collapsed="1"/>
    <col min="13" max="16" width="9.140625" style="14" hidden="1" customWidth="1" outlineLevel="1"/>
    <col min="17" max="17" width="9.140625" style="14" customWidth="1" collapsed="1"/>
    <col min="18" max="21" width="9.140625" style="14" hidden="1" customWidth="1" outlineLevel="1"/>
    <col min="22" max="22" width="9.140625" style="14" customWidth="1" collapsed="1"/>
    <col min="23" max="27" width="9.140625" style="14" hidden="1" customWidth="1" outlineLevel="1"/>
    <col min="28" max="28" width="9.140625" style="14" customWidth="1" collapsed="1"/>
    <col min="29" max="32" width="9.140625" style="14" hidden="1" customWidth="1" outlineLevel="1"/>
    <col min="33" max="33" width="9.140625" style="14" customWidth="1" collapsed="1"/>
    <col min="34" max="37" width="9.140625" style="14" hidden="1" customWidth="1" outlineLevel="1"/>
    <col min="38" max="38" width="9.140625" style="14" customWidth="1" collapsed="1"/>
    <col min="39" max="43" width="9.140625" style="14" hidden="1" customWidth="1" outlineLevel="1"/>
    <col min="44" max="44" width="9.140625" style="14" customWidth="1" collapsed="1"/>
    <col min="45" max="48" width="9.140625" style="14" hidden="1" customWidth="1" outlineLevel="1"/>
    <col min="49" max="49" width="9.140625" style="14" customWidth="1" collapsed="1"/>
    <col min="50" max="53" width="9.140625" style="14" hidden="1" customWidth="1" outlineLevel="1"/>
    <col min="54" max="54" width="9.140625" style="14" customWidth="1" collapsed="1"/>
    <col min="55" max="59" width="9.140625" style="14" hidden="1" customWidth="1" outlineLevel="1"/>
    <col min="60" max="60" width="9.140625" style="14" customWidth="1" collapsed="1"/>
    <col min="61" max="64" width="9.140625" style="14" hidden="1" customWidth="1" outlineLevel="1"/>
    <col min="65" max="65" width="9.140625" style="14" customWidth="1" collapsed="1"/>
    <col min="66" max="69" width="9.140625" style="14" hidden="1" customWidth="1" outlineLevel="1"/>
    <col min="70" max="70" width="9.140625" style="14" customWidth="1" collapsed="1"/>
    <col min="71" max="71" width="9.140625" style="14" customWidth="1"/>
    <col min="72" max="72" width="1.5703125" style="14" customWidth="1"/>
    <col min="73" max="73" width="10.28515625" style="14" customWidth="1"/>
    <col min="74" max="74" width="5.7109375" style="14" customWidth="1"/>
    <col min="75" max="75" width="7.140625" style="14" customWidth="1"/>
    <col min="76" max="76" width="5.140625" style="14" customWidth="1"/>
    <col min="77" max="77" width="1.42578125" style="14" customWidth="1"/>
    <col min="78" max="78" width="21.140625" style="14" customWidth="1"/>
    <col min="79" max="79" width="10.140625" style="14" customWidth="1"/>
    <col min="80" max="80" width="9.28515625" style="14" customWidth="1"/>
    <col min="81" max="81" width="23.140625" style="14" hidden="1" customWidth="1" outlineLevel="1"/>
    <col min="82" max="83" width="9.140625" style="14" hidden="1" customWidth="1" outlineLevel="1"/>
    <col min="84" max="84" width="9.140625" style="14" collapsed="1"/>
    <col min="85" max="16384" width="9.140625" style="14"/>
  </cols>
  <sheetData>
    <row r="1" spans="1:83" s="38" customFormat="1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C3" s="38"/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>
      <selection activeCell="CA1" sqref="CA1"/>
    </sheetView>
  </sheetViews>
  <sheetFormatPr defaultColWidth="9.140625" defaultRowHeight="15" outlineLevelCol="1" x14ac:dyDescent="0.25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hidden="1" customWidth="1" outlineLevel="1"/>
    <col min="82" max="83" width="0" style="38" hidden="1" customWidth="1" outlineLevel="1"/>
    <col min="84" max="84" width="9.140625" style="38" collapsed="1"/>
    <col min="85" max="16384" width="9.140625" style="38"/>
  </cols>
  <sheetData>
    <row r="1" spans="1:83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>
      <selection activeCell="CA1" sqref="CA1"/>
    </sheetView>
  </sheetViews>
  <sheetFormatPr defaultColWidth="9.140625" defaultRowHeight="15" outlineLevelCol="1" x14ac:dyDescent="0.25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hidden="1" customWidth="1" outlineLevel="1"/>
    <col min="82" max="83" width="0" style="38" hidden="1" customWidth="1" outlineLevel="1"/>
    <col min="84" max="84" width="9.140625" style="38" collapsed="1"/>
    <col min="85" max="16384" width="9.140625" style="38"/>
  </cols>
  <sheetData>
    <row r="1" spans="1:83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>
      <selection activeCell="CA1" sqref="CA1"/>
    </sheetView>
  </sheetViews>
  <sheetFormatPr defaultColWidth="9.140625" defaultRowHeight="15" outlineLevelCol="1" x14ac:dyDescent="0.25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hidden="1" customWidth="1" outlineLevel="1"/>
    <col min="82" max="83" width="0" style="38" hidden="1" customWidth="1" outlineLevel="1"/>
    <col min="84" max="84" width="9.140625" style="38" collapsed="1"/>
    <col min="85" max="16384" width="9.140625" style="38"/>
  </cols>
  <sheetData>
    <row r="1" spans="1:83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>
      <selection activeCell="CA1" sqref="CA1"/>
    </sheetView>
  </sheetViews>
  <sheetFormatPr defaultColWidth="9.140625" defaultRowHeight="15" outlineLevelCol="1" x14ac:dyDescent="0.25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hidden="1" customWidth="1" outlineLevel="1"/>
    <col min="82" max="83" width="0" style="38" hidden="1" customWidth="1" outlineLevel="1"/>
    <col min="84" max="84" width="9.140625" style="38" collapsed="1"/>
    <col min="85" max="16384" width="9.140625" style="38"/>
  </cols>
  <sheetData>
    <row r="1" spans="1:83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>
      <selection activeCell="CA1" sqref="CA1"/>
    </sheetView>
  </sheetViews>
  <sheetFormatPr defaultColWidth="9.140625" defaultRowHeight="15" outlineLevelCol="1" x14ac:dyDescent="0.25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hidden="1" customWidth="1" outlineLevel="1"/>
    <col min="82" max="83" width="0" style="38" hidden="1" customWidth="1" outlineLevel="1"/>
    <col min="84" max="84" width="9.140625" style="38" collapsed="1"/>
    <col min="85" max="16384" width="9.140625" style="38"/>
  </cols>
  <sheetData>
    <row r="1" spans="1:83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>
      <selection activeCell="CA1" sqref="CA1"/>
    </sheetView>
  </sheetViews>
  <sheetFormatPr defaultColWidth="9.140625" defaultRowHeight="15" outlineLevelCol="1" x14ac:dyDescent="0.25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hidden="1" customWidth="1" outlineLevel="1"/>
    <col min="82" max="83" width="0" style="38" hidden="1" customWidth="1" outlineLevel="1"/>
    <col min="84" max="84" width="9.140625" style="38" collapsed="1"/>
    <col min="85" max="16384" width="9.140625" style="38"/>
  </cols>
  <sheetData>
    <row r="1" spans="1:83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>
      <selection activeCell="CA1" sqref="CA1"/>
    </sheetView>
  </sheetViews>
  <sheetFormatPr defaultColWidth="9.140625" defaultRowHeight="15" outlineLevelCol="1" x14ac:dyDescent="0.25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hidden="1" customWidth="1" outlineLevel="1"/>
    <col min="82" max="83" width="0" style="38" hidden="1" customWidth="1" outlineLevel="1"/>
    <col min="84" max="84" width="9.140625" style="38" collapsed="1"/>
    <col min="85" max="16384" width="9.140625" style="38"/>
  </cols>
  <sheetData>
    <row r="1" spans="1:83" ht="18.75" x14ac:dyDescent="0.3">
      <c r="A1" s="39" t="s">
        <v>17</v>
      </c>
      <c r="CA1" s="57">
        <v>1.32</v>
      </c>
      <c r="CD1" s="49" t="s">
        <v>105</v>
      </c>
      <c r="CE1" s="50">
        <v>0.5</v>
      </c>
    </row>
    <row r="2" spans="1:83" x14ac:dyDescent="0.25">
      <c r="B2" s="44" t="s">
        <v>18</v>
      </c>
      <c r="E2" s="15" t="s">
        <v>19</v>
      </c>
      <c r="BZ2" s="15" t="s">
        <v>20</v>
      </c>
      <c r="CC2" s="15" t="s">
        <v>106</v>
      </c>
      <c r="CD2" s="51" t="s">
        <v>107</v>
      </c>
      <c r="CE2" s="52">
        <f>CE1</f>
        <v>0.5</v>
      </c>
    </row>
    <row r="3" spans="1:83" ht="15.75" thickBot="1" x14ac:dyDescent="0.3">
      <c r="CD3" s="53" t="s">
        <v>108</v>
      </c>
      <c r="CE3" s="54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D9"/>
  <sheetViews>
    <sheetView topLeftCell="AX1" zoomScale="80" zoomScaleNormal="80" workbookViewId="0">
      <selection activeCell="C9" sqref="C9"/>
    </sheetView>
  </sheetViews>
  <sheetFormatPr defaultColWidth="9.140625" defaultRowHeight="15" x14ac:dyDescent="0.25"/>
  <cols>
    <col min="1" max="4" width="17.28515625" style="38" customWidth="1"/>
    <col min="5" max="5" width="18" style="38" bestFit="1" customWidth="1"/>
    <col min="6" max="77" width="9.140625" style="38"/>
    <col min="78" max="78" width="24.28515625" style="38" bestFit="1" customWidth="1"/>
    <col min="79" max="79" width="9.140625" style="38"/>
    <col min="80" max="80" width="9.140625" style="36"/>
    <col min="81" max="81" width="26" style="38" bestFit="1" customWidth="1"/>
    <col min="82" max="16384" width="9.140625" style="38"/>
  </cols>
  <sheetData>
    <row r="1" spans="1:82" x14ac:dyDescent="0.25">
      <c r="E1" s="26"/>
      <c r="F1" s="35" t="s">
        <v>104</v>
      </c>
      <c r="G1" s="35" t="s">
        <v>21</v>
      </c>
      <c r="H1" s="35" t="s">
        <v>22</v>
      </c>
      <c r="I1" s="35" t="s">
        <v>23</v>
      </c>
      <c r="J1" s="35" t="s">
        <v>24</v>
      </c>
      <c r="K1" s="35" t="s">
        <v>25</v>
      </c>
      <c r="L1" s="35" t="s">
        <v>26</v>
      </c>
      <c r="M1" s="35" t="s">
        <v>27</v>
      </c>
      <c r="N1" s="35" t="s">
        <v>28</v>
      </c>
      <c r="O1" s="35" t="s">
        <v>29</v>
      </c>
      <c r="P1" s="35" t="s">
        <v>30</v>
      </c>
      <c r="Q1" s="18" t="s">
        <v>31</v>
      </c>
      <c r="R1" s="18" t="s">
        <v>32</v>
      </c>
      <c r="S1" s="18" t="s">
        <v>33</v>
      </c>
      <c r="T1" s="18" t="s">
        <v>34</v>
      </c>
      <c r="U1" s="18" t="s">
        <v>35</v>
      </c>
      <c r="V1" s="18" t="s">
        <v>36</v>
      </c>
      <c r="W1" s="18" t="s">
        <v>37</v>
      </c>
      <c r="X1" s="18" t="s">
        <v>38</v>
      </c>
      <c r="Y1" s="18" t="s">
        <v>39</v>
      </c>
      <c r="Z1" s="18" t="s">
        <v>40</v>
      </c>
      <c r="AA1" s="18" t="s">
        <v>41</v>
      </c>
      <c r="AB1" s="18" t="s">
        <v>42</v>
      </c>
      <c r="AC1" s="18" t="s">
        <v>43</v>
      </c>
      <c r="AD1" s="18" t="s">
        <v>44</v>
      </c>
      <c r="AE1" s="18" t="s">
        <v>45</v>
      </c>
      <c r="AF1" s="18" t="s">
        <v>46</v>
      </c>
      <c r="AG1" s="18" t="s">
        <v>47</v>
      </c>
      <c r="AH1" s="18" t="s">
        <v>48</v>
      </c>
      <c r="AI1" s="18" t="s">
        <v>49</v>
      </c>
      <c r="AJ1" s="18" t="s">
        <v>50</v>
      </c>
      <c r="AK1" s="18" t="s">
        <v>51</v>
      </c>
      <c r="AL1" s="18" t="s">
        <v>52</v>
      </c>
      <c r="AM1" s="35" t="s">
        <v>53</v>
      </c>
      <c r="AN1" s="35" t="s">
        <v>54</v>
      </c>
      <c r="AO1" s="35" t="s">
        <v>55</v>
      </c>
      <c r="AP1" s="35" t="s">
        <v>56</v>
      </c>
      <c r="AQ1" s="35" t="s">
        <v>57</v>
      </c>
      <c r="AR1" s="35" t="s">
        <v>58</v>
      </c>
      <c r="AS1" s="35" t="s">
        <v>59</v>
      </c>
      <c r="AT1" s="35" t="s">
        <v>60</v>
      </c>
      <c r="AU1" s="35" t="s">
        <v>61</v>
      </c>
      <c r="AV1" s="35" t="s">
        <v>62</v>
      </c>
      <c r="AW1" s="18" t="s">
        <v>63</v>
      </c>
      <c r="AX1" s="18" t="s">
        <v>64</v>
      </c>
      <c r="AY1" s="18" t="s">
        <v>65</v>
      </c>
      <c r="AZ1" s="18" t="s">
        <v>66</v>
      </c>
      <c r="BA1" s="18" t="s">
        <v>67</v>
      </c>
      <c r="BB1" s="18" t="s">
        <v>68</v>
      </c>
      <c r="BC1" s="18" t="s">
        <v>69</v>
      </c>
      <c r="BD1" s="18" t="s">
        <v>70</v>
      </c>
      <c r="BE1" s="18" t="s">
        <v>71</v>
      </c>
      <c r="BF1" s="18" t="s">
        <v>72</v>
      </c>
      <c r="BG1" s="18" t="s">
        <v>73</v>
      </c>
      <c r="BH1" s="18" t="s">
        <v>74</v>
      </c>
      <c r="BI1" s="18" t="s">
        <v>75</v>
      </c>
      <c r="BJ1" s="18" t="s">
        <v>76</v>
      </c>
      <c r="BK1" s="18" t="s">
        <v>77</v>
      </c>
      <c r="BL1" s="18" t="s">
        <v>78</v>
      </c>
      <c r="BM1" s="18" t="s">
        <v>79</v>
      </c>
      <c r="BN1" s="18" t="s">
        <v>80</v>
      </c>
      <c r="BO1" s="18" t="s">
        <v>81</v>
      </c>
      <c r="BP1" s="18" t="s">
        <v>82</v>
      </c>
      <c r="BQ1" s="18" t="s">
        <v>83</v>
      </c>
      <c r="BR1" s="18" t="s">
        <v>84</v>
      </c>
      <c r="BS1" s="18" t="s">
        <v>85</v>
      </c>
      <c r="BT1" s="26"/>
      <c r="BU1" s="27"/>
      <c r="BV1" s="32"/>
      <c r="BW1" s="27"/>
      <c r="BX1" s="32"/>
      <c r="BY1" s="26"/>
      <c r="BZ1" s="26"/>
      <c r="CA1" s="18" t="s">
        <v>86</v>
      </c>
      <c r="CC1" s="38" t="s">
        <v>110</v>
      </c>
      <c r="CD1" s="45"/>
    </row>
    <row r="2" spans="1:82" x14ac:dyDescent="0.25">
      <c r="A2" s="26" t="s">
        <v>87</v>
      </c>
      <c r="B2" s="36"/>
      <c r="C2" s="36"/>
      <c r="D2" s="26"/>
      <c r="E2" s="27" t="s">
        <v>88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U2" s="27"/>
      <c r="BV2" s="32"/>
      <c r="BW2" s="27"/>
      <c r="BX2" s="32"/>
      <c r="BY2" s="19"/>
      <c r="BZ2" s="27" t="s">
        <v>10</v>
      </c>
      <c r="CA2" s="20"/>
      <c r="CC2" s="38" t="s">
        <v>111</v>
      </c>
      <c r="CD2" s="46"/>
    </row>
    <row r="3" spans="1:82" x14ac:dyDescent="0.25">
      <c r="A3" s="26" t="s">
        <v>89</v>
      </c>
      <c r="B3" s="36"/>
      <c r="C3" s="36"/>
      <c r="D3" s="26"/>
      <c r="E3" s="27" t="s">
        <v>90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U3" s="27"/>
      <c r="BV3" s="32"/>
      <c r="BW3" s="27"/>
      <c r="BX3" s="32"/>
      <c r="BY3" s="19"/>
      <c r="BZ3" s="27" t="s">
        <v>11</v>
      </c>
      <c r="CA3" s="20"/>
      <c r="CC3" s="38" t="s">
        <v>112</v>
      </c>
      <c r="CD3" s="55"/>
    </row>
    <row r="4" spans="1:82" x14ac:dyDescent="0.25">
      <c r="A4" s="26" t="s">
        <v>91</v>
      </c>
      <c r="B4" s="36"/>
      <c r="C4" s="36"/>
      <c r="D4" s="26"/>
      <c r="E4" s="27" t="s">
        <v>92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17"/>
      <c r="BU4" s="27"/>
      <c r="BV4" s="32"/>
      <c r="BW4" s="27"/>
      <c r="BX4" s="32"/>
      <c r="BY4" s="19"/>
      <c r="BZ4" s="27" t="s">
        <v>93</v>
      </c>
      <c r="CA4" s="20"/>
      <c r="CB4" s="47">
        <v>0</v>
      </c>
      <c r="CC4" s="38" t="s">
        <v>113</v>
      </c>
      <c r="CD4" s="55"/>
    </row>
    <row r="5" spans="1:82" x14ac:dyDescent="0.25">
      <c r="A5" s="26" t="s">
        <v>94</v>
      </c>
      <c r="B5" s="36"/>
      <c r="C5" s="36"/>
      <c r="D5" s="26"/>
      <c r="E5" s="27" t="s">
        <v>0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U5" s="27"/>
      <c r="BV5" s="32"/>
      <c r="BW5" s="27"/>
      <c r="BX5" s="32"/>
      <c r="BY5" s="19"/>
      <c r="BZ5" s="27" t="s">
        <v>95</v>
      </c>
      <c r="CA5" s="28"/>
      <c r="CC5" s="38" t="s">
        <v>14</v>
      </c>
      <c r="CD5" s="40"/>
    </row>
    <row r="6" spans="1:82" x14ac:dyDescent="0.25">
      <c r="A6" s="26" t="s">
        <v>96</v>
      </c>
      <c r="B6" s="36"/>
      <c r="C6" s="36"/>
      <c r="D6" s="26"/>
      <c r="E6" s="21" t="s">
        <v>97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U6" s="27"/>
      <c r="BV6" s="32"/>
      <c r="BW6" s="27"/>
      <c r="BX6" s="28"/>
      <c r="BY6" s="19"/>
      <c r="BZ6" s="27" t="s">
        <v>98</v>
      </c>
      <c r="CA6" s="20"/>
      <c r="CC6" s="38" t="s">
        <v>11</v>
      </c>
      <c r="CD6" s="40"/>
    </row>
    <row r="7" spans="1:82" x14ac:dyDescent="0.25">
      <c r="A7" s="26" t="s">
        <v>99</v>
      </c>
      <c r="B7" s="43"/>
      <c r="C7" s="36"/>
      <c r="D7" s="26"/>
      <c r="E7" s="22" t="s">
        <v>100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U7" s="27"/>
      <c r="BV7" s="32"/>
      <c r="BW7" s="33"/>
      <c r="BX7" s="28"/>
      <c r="BY7" s="16"/>
      <c r="BZ7" s="27" t="s">
        <v>101</v>
      </c>
      <c r="CA7" s="20"/>
      <c r="CB7" s="47">
        <v>0</v>
      </c>
      <c r="CC7" s="38" t="s">
        <v>15</v>
      </c>
      <c r="CD7" s="40"/>
    </row>
    <row r="8" spans="1:82" x14ac:dyDescent="0.25">
      <c r="A8" s="29" t="s">
        <v>114</v>
      </c>
      <c r="B8" s="37"/>
      <c r="C8" s="48"/>
      <c r="D8" s="29"/>
      <c r="E8" s="25" t="s">
        <v>103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U8" s="33"/>
      <c r="BV8" s="32"/>
      <c r="BW8" s="33"/>
      <c r="BX8" s="28"/>
      <c r="CA8" s="23"/>
    </row>
    <row r="9" spans="1:82" x14ac:dyDescent="0.25">
      <c r="A9" s="29" t="s">
        <v>102</v>
      </c>
      <c r="B9" s="37"/>
      <c r="C9" s="56">
        <v>0</v>
      </c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W9" s="24"/>
      <c r="BX9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</vt:lpstr>
      <vt:lpstr>ND Sales Summ</vt:lpstr>
      <vt:lpstr>SH Sales Summ</vt:lpstr>
      <vt:lpstr>IN Sales Summ</vt:lpstr>
      <vt:lpstr>BD Sales Summ</vt:lpstr>
      <vt:lpstr>LK Sales Summ</vt:lpstr>
      <vt:lpstr>CA Sales Summ</vt:lpstr>
      <vt:lpstr>HK Sales Summ</vt:lpstr>
      <vt:lpstr>TR Sales Summ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2020-06-05T07:03:15Z</dcterms:modified>
</cp:coreProperties>
</file>