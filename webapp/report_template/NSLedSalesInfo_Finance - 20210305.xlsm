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05" yWindow="495" windowWidth="28830" windowHeight="5880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G2" i="11"/>
  <c r="CG2" i="9" l="1"/>
  <c r="CG2" i="8"/>
  <c r="CG2" i="7"/>
  <c r="CG2" i="6"/>
  <c r="CG2" i="5"/>
  <c r="CG2" i="4"/>
  <c r="CG2" i="3"/>
  <c r="CG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<sst xmlns="http://schemas.openxmlformats.org/spreadsheetml/2006/main" count="332" uniqueCount="145">
  <si>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</si>
  <si>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</si>
  <si>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</si>
  <si>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</si>
  <si>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</si>
  <si>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</si>
  <si>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</si>
  <si>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</si>
  <si>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</si>
  <si>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</si>
  <si>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</si>
  <si>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</si>
  <si>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</si>
  <si>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</si>
  <si>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</si>
  <si>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</si>
  <si>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</si>
  <si>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</si>
  <si>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</si>
  <si>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</si>
  <si>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</si>
  <si>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</si>
  <si>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</si>
  <si>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</si>
  <si>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</si>
  <si>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</si>
  <si>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</si>
  <si>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</si>
  <si>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</si>
  <si>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</si>
  <si>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</si>
  <si>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</si>
  <si>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</si>
  <si>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</si>
  <si>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</si>
  <si>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</si>
  <si>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</si>
  <si>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</si>
  <si>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</si>
  <si>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</si>
  <si>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</si>
  <si>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</si>
  <si>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</si>
  <si>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</si>
  <si>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</si>
  <si>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</si>
  <si>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</si>
  <si>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</si>
  <si>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</si>
  <si>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</si>
  <si>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</si>
  <si>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</si>
  <si>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</si>
  <si>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</si>
  <si>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</si>
  <si>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</si>
  <si>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</si>
  <si>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</si>
  <si>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</si>
  <si>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</si>
  <si>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</si>
  <si>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</si>
  <si>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</si>
  <si>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</si>
  <si>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</si>
  <si>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</si>
  <si>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</si>
  <si>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</si>
  <si>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</si>
  <si>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</si>
  <si>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</si>
  <si>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</si>
  <si>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</si>
  <si>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</si>
  <si>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</si>
  <si>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</si>
  <si>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</si>
  <si>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</si>
  <si>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</si>
  <si>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</si>
  <si>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</si>
  <si>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</si>
  <si>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</si>
  <si>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</si>
  <si>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</si>
  <si>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</si>
  <si>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</si>
  <si>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</si>
  <si>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</si>
  <si>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</si>
  <si>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</si>
  <si>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</si>
  <si>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</si>
  <si>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</si>
  <si>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</si>
  <si>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</si>
  <si>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</si>
  <si>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</si>
  <si>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</si>
  <si>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</si>
  <si>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</si>
  <si>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</si>
  <si>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</si>
  <si>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</si>
  <si>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</si>
  <si>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</si>
  <si>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</si>
  <si>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</si>
  <si>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</si>
  <si>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</si>
  <si>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</si>
  <si>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</si>
  <si>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</si>
  <si>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</si>
  <si>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</si>
  <si>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</si>
  <si>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</si>
  <si>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</si>
  <si>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</si>
  <si>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</si>
  <si>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</si>
  <si>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</si>
  <si>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</si>
  <si>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</si>
  <si>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</si>
  <si>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</si>
  <si>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</si>
  <si>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</si>
  <si>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</si>
  <si>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</si>
  <si>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</si>
  <si>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</si>
  <si>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</si>
  <si>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</si>
  <si>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</si>
  <si>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</si>
  <si>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</si>
  <si>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</si>
  <si>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</si>
  <si>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</si>
  <si>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</si>
  <si>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Stock</t>
  </si>
  <si>
    <t>Total BS</t>
  </si>
  <si>
    <t>Cum BS</t>
  </si>
  <si>
    <t>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</si>
</sst>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98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7" borderId="0" xfId="1" applyNumberFormat="1" applyFont="1" applyFill="1" applyBorder="1"/>
    <xf numFmtId="0" fontId="63" fillId="0" borderId="0" xfId="0" applyFont="1" applyFill="1" applyBorder="1" applyAlignment="1">
      <alignment horizontal="left" wrapText="1"/>
    </xf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111</v>
      </c>
    </row>
    <row r="3" spans="2:15" ht="31.5" customHeight="1">
      <c r="B3" s="89"/>
      <c r="C3" s="89"/>
      <c r="D3" s="89"/>
      <c r="E3" s="41" t="s">
        <v>7</v>
      </c>
      <c r="F3" s="41" t="s">
        <v>6</v>
      </c>
      <c r="G3" s="41" t="s">
        <v>2</v>
      </c>
      <c r="H3" s="41" t="s">
        <v>115</v>
      </c>
      <c r="I3" s="41" t="s">
        <v>4</v>
      </c>
      <c r="J3" s="41" t="s">
        <v>112</v>
      </c>
      <c r="K3" s="41" t="s">
        <v>5</v>
      </c>
      <c r="L3" s="41" t="s">
        <v>3</v>
      </c>
      <c r="M3" s="41" t="s">
        <v>1</v>
      </c>
      <c r="N3" s="40" t="s">
        <v>113</v>
      </c>
      <c r="O3" s="40" t="s">
        <v>9</v>
      </c>
    </row>
    <row r="4" spans="2:15">
      <c r="D4" s="42" t="s">
        <v>118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117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119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120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115</v>
      </c>
      <c r="I9" s="41" t="s">
        <v>4</v>
      </c>
      <c r="J9" s="41" t="s">
        <v>112</v>
      </c>
      <c r="K9" s="41" t="s">
        <v>5</v>
      </c>
      <c r="L9" s="41" t="s">
        <v>3</v>
      </c>
      <c r="M9" s="41" t="s">
        <v>1</v>
      </c>
      <c r="N9" s="40" t="s">
        <v>113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116</v>
      </c>
      <c r="C11" s="39" t="s">
        <v>114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0.7109375" style="19" customWidth="1"/>
    <col min="74" max="74" width="1.5703125" style="14" customWidth="1"/>
    <col min="75" max="75" width="10.28515625" style="14" customWidth="1"/>
    <col min="76" max="76" width="5.7109375" style="14" customWidth="1"/>
    <col min="77" max="77" width="7.140625" style="14" customWidth="1"/>
    <col min="78" max="78" width="5.140625" style="14" customWidth="1"/>
    <col min="79" max="79" width="1.42578125" style="14" customWidth="1"/>
    <col min="80" max="80" width="21.140625" style="14" customWidth="1"/>
    <col min="81" max="81" width="10.140625" style="14" customWidth="1"/>
    <col min="82" max="82" width="9.28515625" style="14" customWidth="1"/>
    <col min="83" max="83" width="23.140625" style="14" customWidth="1" outlineLevel="1"/>
    <col min="84" max="84" width="11.7109375" style="14" customWidth="1" outlineLevel="1"/>
    <col min="85" max="85" width="9.140625" style="14" customWidth="1" outlineLevel="1"/>
    <col min="86" max="16384" width="9.140625" style="14"/>
  </cols>
  <sheetData>
    <row r="1" spans="1:85" s="19" customFormat="1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E3" s="19"/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103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Summ'!$CC:$CC,'ND Sales Summ'!$CB:$CB,'SUMM-Obsolete'!$A5)</f>
        <v>0</v>
      </c>
      <c r="C5" s="12">
        <f>SUMIFS('SH Sales Summ'!$CC:$CC,'SH Sales Summ'!$CB:$CB,'SUMM-Obsolete'!$A5)</f>
        <v>0</v>
      </c>
      <c r="D5" s="12">
        <f>SUMIFS('IN Sales Summ'!$CC:$CC,'IN Sales Summ'!$CB:$CB,'SUMM-Obsolete'!$A5)</f>
        <v>0</v>
      </c>
      <c r="E5" s="12">
        <f>SUMIFS('BD Sales Summ'!$CC:$CC,'BD Sales Summ'!$CB:$CB,'SUMM-Obsolete'!$A5)</f>
        <v>0</v>
      </c>
      <c r="F5" s="12">
        <f>SUMIFS('LK Sales Summ'!$CC:$CC,'LK Sales Summ'!$CB:$CB,'SUMM-Obsolete'!$A5)</f>
        <v>0</v>
      </c>
      <c r="G5" s="12">
        <f>SUMIFS('CA Sales Summ'!$CC:$CC,'CA Sales Summ'!$CB:$CB,'SUMM-Obsolete'!$A5)</f>
        <v>0</v>
      </c>
      <c r="H5" s="12">
        <f>SUMIFS('HK Sales Summ'!$CC:$CC,'HK Sales Summ'!$CB:$CB,'SUMM-Obsolete'!$A5)</f>
        <v>0</v>
      </c>
      <c r="I5" s="12">
        <f>SUMIFS('TR Sales Summ'!$CC:$CC,'TR Sales Summ'!$CB:$CB,'SUMM-Obsolete'!$A5)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Summ'!$CC:$CC,'ND Sales Summ'!$CB:$CB,'SUMM-Obsolete'!$A8)</f>
        <v>0</v>
      </c>
      <c r="C8" s="7">
        <f>SUMIFS('SH Sales Summ'!$CC:$CC,'SH Sales Summ'!$CB:$CB,'SUMM-Obsolete'!$A8)</f>
        <v>0</v>
      </c>
      <c r="D8" s="13">
        <f>SUMIFS('IN Sales Summ'!$CC:$CC,'IN Sales Summ'!$CB:$CB,'SUMM-Obsolete'!$A8)</f>
        <v>0</v>
      </c>
      <c r="E8" s="13">
        <f>SUMIFS('BD Sales Summ'!$CC:$CC,'BD Sales Summ'!$CB:$CB,'SUMM-Obsolete'!$A8)</f>
        <v>0</v>
      </c>
      <c r="F8" s="13">
        <f>SUMIFS('LK Sales Summ'!$CC:$CC,'LK Sales Summ'!$CB:$CB,'SUMM-Obsolete'!$A8)</f>
        <v>0</v>
      </c>
      <c r="G8" s="13">
        <f>SUMIFS('CA Sales Summ'!$CC:$CC,'CA Sales Summ'!$CB:$CB,'SUMM-Obsolete'!$A8)</f>
        <v>0</v>
      </c>
      <c r="H8" s="13">
        <f>SUMIFS('HK Sales Summ'!$CC:$CC,'HK Sales Summ'!$CB:$CB,'SUMM-Obsolete'!$A8)</f>
        <v>0</v>
      </c>
      <c r="I8" s="13">
        <f>SUMIFS('TR Sales Summ'!$CC:$CC,'TR Sales Summ'!$CB:$CB,'SUMM-Obsolete'!$A8)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Summ'!$CC:$CC,'ND Sales Summ'!$CB:$CB,'SUMM-Obsolete'!$A9)</f>
        <v>0</v>
      </c>
      <c r="C9" s="7">
        <f>SUMIFS('SH Sales Summ'!$CC:$CC,'SH Sales Summ'!$CB:$CB,'SUMM-Obsolete'!$A9)</f>
        <v>0</v>
      </c>
      <c r="D9" s="13">
        <f>SUMIFS('IN Sales Summ'!$CC:$CC,'IN Sales Summ'!$CB:$CB,'SUMM-Obsolete'!$A9)</f>
        <v>0</v>
      </c>
      <c r="E9" s="13">
        <f>SUMIFS('BD Sales Summ'!$CC:$CC,'BD Sales Summ'!$CB:$CB,'SUMM-Obsolete'!$A9)</f>
        <v>0</v>
      </c>
      <c r="F9" s="13">
        <f>SUMIFS('LK Sales Summ'!$CC:$CC,'LK Sales Summ'!$CB:$CB,'SUMM-Obsolete'!$A9)</f>
        <v>0</v>
      </c>
      <c r="G9" s="13">
        <f>SUMIFS('CA Sales Summ'!$CC:$CC,'CA Sales Summ'!$CB:$CB,'SUMM-Obsolete'!$A9)</f>
        <v>0</v>
      </c>
      <c r="H9" s="13">
        <f>SUMIFS('HK Sales Summ'!$CC:$CC,'HK Sales Summ'!$CB:$CB,'SUMM-Obsolete'!$A9)</f>
        <v>0</v>
      </c>
      <c r="I9" s="13">
        <f>SUMIFS('TR Sales Summ'!$CC:$CC,'TR Sales Summ'!$CB:$CB,'SUMM-Obsolete'!$A9)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103</v>
      </c>
      <c r="K16" t="s">
        <v>8</v>
      </c>
      <c r="L16" t="s">
        <v>9</v>
      </c>
    </row>
    <row r="17" spans="1:12">
      <c r="A17" t="s">
        <v>14</v>
      </c>
      <c r="B17" s="21">
        <f>SUMIFS('ND Sales Summ'!$CF:$CF,'ND Sales Summ'!$CE:$CE,'SUMM-Obsolete'!$A17)</f>
        <v>0</v>
      </c>
      <c r="C17" s="21">
        <f>SUMIFS('SH Sales Summ'!$CF:$CF,'SH Sales Summ'!$CE:$CE,'SUMM-Obsolete'!$A17)</f>
        <v>0</v>
      </c>
      <c r="D17" s="21">
        <f>SUMIFS('IN Sales Summ'!$CF:$CF,'IN Sales Summ'!$CE:$CE,'SUMM-Obsolete'!$A17)</f>
        <v>0</v>
      </c>
      <c r="E17" s="21">
        <f>SUMIFS('BD Sales Summ'!$CF:$CF,'BD Sales Summ'!$CE:$CE,'SUMM-Obsolete'!$A17)</f>
        <v>0</v>
      </c>
      <c r="F17" s="21">
        <f>SUMIFS('LK Sales Summ'!$CF:$CF,'LK Sales Summ'!$CE:$CE,'SUMM-Obsolete'!$A17)</f>
        <v>0</v>
      </c>
      <c r="G17" s="21">
        <f>SUMIFS('CA Sales Summ'!$CF:$CF,'CA Sales Summ'!$CE:$CE,'SUMM-Obsolete'!$A17)</f>
        <v>0</v>
      </c>
      <c r="H17" s="21">
        <f>SUMIFS('HK Sales Summ'!$CF:$CF,'HK Sales Summ'!$CE:$CE,'SUMM-Obsolete'!$A17)</f>
        <v>0</v>
      </c>
      <c r="I17" s="21">
        <f>SUMIFS('TR Sales Summ'!$CF:$CF,'TR Sales Summ'!$CE:$CE,'SUMM-Obsolete'!$A17)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Summ'!$CF:$CF,'ND Sales Summ'!$CE:$CE,'SUMM-Obsolete'!$A18)</f>
        <v>0</v>
      </c>
      <c r="C18" s="21">
        <f>SUMIFS('SH Sales Summ'!$CF:$CF,'SH Sales Summ'!$CE:$CE,'SUMM-Obsolete'!$A18)</f>
        <v>0</v>
      </c>
      <c r="D18" s="21">
        <f>SUMIFS('IN Sales Summ'!$CF:$CF,'IN Sales Summ'!$CE:$CE,'SUMM-Obsolete'!$A18)</f>
        <v>0</v>
      </c>
      <c r="E18" s="21">
        <f>SUMIFS('BD Sales Summ'!$CF:$CF,'BD Sales Summ'!$CE:$CE,'SUMM-Obsolete'!$A18)</f>
        <v>0</v>
      </c>
      <c r="F18" s="21">
        <f>SUMIFS('LK Sales Summ'!$CF:$CF,'LK Sales Summ'!$CE:$CE,'SUMM-Obsolete'!$A18)</f>
        <v>0</v>
      </c>
      <c r="G18" s="21">
        <f>SUMIFS('CA Sales Summ'!$CF:$CF,'CA Sales Summ'!$CE:$CE,'SUMM-Obsolete'!$A18)</f>
        <v>0</v>
      </c>
      <c r="H18" s="21">
        <f>SUMIFS('HK Sales Summ'!$CF:$CF,'HK Sales Summ'!$CE:$CE,'SUMM-Obsolete'!$A18)</f>
        <v>0</v>
      </c>
      <c r="I18" s="21">
        <f>SUMIFS('TR Sales Summ'!$CF:$CF,'TR Sales Summ'!$CE:$CE,'SUMM-Obsolete'!$A18)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Summ'!$CF:$CF,'ND Sales Summ'!$CE:$CE,'SUMM-Obsolete'!$A19)</f>
        <v>0</v>
      </c>
      <c r="C19" s="21">
        <f>SUMIFS('SH Sales Summ'!$CF:$CF,'SH Sales Summ'!$CE:$CE,'SUMM-Obsolete'!$A19)</f>
        <v>0</v>
      </c>
      <c r="D19" s="21">
        <f>SUMIFS('IN Sales Summ'!$CF:$CF,'IN Sales Summ'!$CE:$CE,'SUMM-Obsolete'!$A19)</f>
        <v>0</v>
      </c>
      <c r="E19" s="21">
        <f>SUMIFS('BD Sales Summ'!$CF:$CF,'BD Sales Summ'!$CE:$CE,'SUMM-Obsolete'!$A19)</f>
        <v>0</v>
      </c>
      <c r="F19" s="21">
        <f>SUMIFS('LK Sales Summ'!$CF:$CF,'LK Sales Summ'!$CE:$CE,'SUMM-Obsolete'!$A19)</f>
        <v>0</v>
      </c>
      <c r="G19" s="21">
        <f>SUMIFS('CA Sales Summ'!$CF:$CF,'CA Sales Summ'!$CE:$CE,'SUMM-Obsolete'!$A19)</f>
        <v>0</v>
      </c>
      <c r="H19" s="21">
        <f>SUMIFS('HK Sales Summ'!$CF:$CF,'HK Sales Summ'!$CE:$CE,'SUMM-Obsolete'!$A19)</f>
        <v>0</v>
      </c>
      <c r="I19" s="21">
        <f>SUMIFS('TR Sales Summ'!$CF:$CF,'TR Sales Summ'!$CE:$CE,'SUMM-Obsolete'!$A19)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103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F25"/>
  <sheetViews>
    <sheetView zoomScale="80" zoomScaleNormal="80" workbookViewId="0"/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9" width="9.140625" style="19"/>
    <col min="80" max="80" width="24.28515625" style="19" bestFit="1" customWidth="1"/>
    <col min="81" max="81" width="9.140625" style="19"/>
    <col min="82" max="82" width="9.140625" style="18"/>
    <col min="83" max="83" width="26" style="19" bestFit="1" customWidth="1"/>
    <col min="84" max="16384" width="9.140625" style="19"/>
  </cols>
  <sheetData>
    <row r="1" spans="1:84">
      <c r="A1" s="48"/>
      <c r="B1" s="48"/>
      <c r="C1" s="48"/>
      <c r="D1" s="48"/>
      <c r="E1" s="49"/>
      <c r="F1" s="50" t="s">
        <v>98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27</v>
      </c>
      <c r="O1" s="50" t="s">
        <v>28</v>
      </c>
      <c r="P1" s="50" t="s">
        <v>29</v>
      </c>
      <c r="Q1" s="51" t="s">
        <v>30</v>
      </c>
      <c r="R1" s="51" t="s">
        <v>31</v>
      </c>
      <c r="S1" s="51" t="s">
        <v>32</v>
      </c>
      <c r="T1" s="51" t="s">
        <v>33</v>
      </c>
      <c r="U1" s="51" t="s">
        <v>34</v>
      </c>
      <c r="V1" s="51" t="s">
        <v>35</v>
      </c>
      <c r="W1" s="51" t="s">
        <v>36</v>
      </c>
      <c r="X1" s="51" t="s">
        <v>37</v>
      </c>
      <c r="Y1" s="51" t="s">
        <v>38</v>
      </c>
      <c r="Z1" s="51" t="s">
        <v>39</v>
      </c>
      <c r="AA1" s="51" t="s">
        <v>40</v>
      </c>
      <c r="AB1" s="51" t="s">
        <v>41</v>
      </c>
      <c r="AC1" s="51" t="s">
        <v>42</v>
      </c>
      <c r="AD1" s="51" t="s">
        <v>43</v>
      </c>
      <c r="AE1" s="51" t="s">
        <v>44</v>
      </c>
      <c r="AF1" s="51" t="s">
        <v>45</v>
      </c>
      <c r="AG1" s="51" t="s">
        <v>46</v>
      </c>
      <c r="AH1" s="51" t="s">
        <v>47</v>
      </c>
      <c r="AI1" s="51" t="s">
        <v>48</v>
      </c>
      <c r="AJ1" s="51" t="s">
        <v>49</v>
      </c>
      <c r="AK1" s="51" t="s">
        <v>50</v>
      </c>
      <c r="AL1" s="51" t="s">
        <v>51</v>
      </c>
      <c r="AM1" s="50" t="s">
        <v>52</v>
      </c>
      <c r="AN1" s="50" t="s">
        <v>53</v>
      </c>
      <c r="AO1" s="50" t="s">
        <v>54</v>
      </c>
      <c r="AP1" s="50" t="s">
        <v>55</v>
      </c>
      <c r="AQ1" s="50" t="s">
        <v>56</v>
      </c>
      <c r="AR1" s="50" t="s">
        <v>57</v>
      </c>
      <c r="AS1" s="50" t="s">
        <v>58</v>
      </c>
      <c r="AT1" s="50" t="s">
        <v>59</v>
      </c>
      <c r="AU1" s="50" t="s">
        <v>60</v>
      </c>
      <c r="AV1" s="50" t="s">
        <v>61</v>
      </c>
      <c r="AW1" s="51" t="s">
        <v>62</v>
      </c>
      <c r="AX1" s="51" t="s">
        <v>63</v>
      </c>
      <c r="AY1" s="51" t="s">
        <v>64</v>
      </c>
      <c r="AZ1" s="51" t="s">
        <v>65</v>
      </c>
      <c r="BA1" s="51" t="s">
        <v>66</v>
      </c>
      <c r="BB1" s="51" t="s">
        <v>67</v>
      </c>
      <c r="BC1" s="51" t="s">
        <v>68</v>
      </c>
      <c r="BD1" s="51" t="s">
        <v>69</v>
      </c>
      <c r="BE1" s="51" t="s">
        <v>70</v>
      </c>
      <c r="BF1" s="51" t="s">
        <v>71</v>
      </c>
      <c r="BG1" s="51" t="s">
        <v>72</v>
      </c>
      <c r="BH1" s="51" t="s">
        <v>73</v>
      </c>
      <c r="BI1" s="51" t="s">
        <v>74</v>
      </c>
      <c r="BJ1" s="51" t="s">
        <v>75</v>
      </c>
      <c r="BK1" s="51" t="s">
        <v>76</v>
      </c>
      <c r="BL1" s="51" t="s">
        <v>77</v>
      </c>
      <c r="BM1" s="51" t="s">
        <v>78</v>
      </c>
      <c r="BN1" s="51" t="s">
        <v>79</v>
      </c>
      <c r="BO1" s="51" t="s">
        <v>80</v>
      </c>
      <c r="BP1" s="51" t="s">
        <v>81</v>
      </c>
      <c r="BQ1" s="51" t="s">
        <v>82</v>
      </c>
      <c r="BR1" s="51" t="s">
        <v>122</v>
      </c>
      <c r="BS1" s="51" t="s">
        <v>83</v>
      </c>
      <c r="BT1" s="51" t="s">
        <v>84</v>
      </c>
      <c r="BU1" s="51" t="s">
        <v>144</v>
      </c>
      <c r="BV1" s="49"/>
      <c r="BW1" s="52"/>
      <c r="BX1" s="53"/>
      <c r="BY1" s="52"/>
      <c r="BZ1" s="53"/>
      <c r="CA1" s="49"/>
      <c r="CB1" s="49"/>
      <c r="CC1" s="51" t="s">
        <v>85</v>
      </c>
      <c r="CD1" s="54"/>
      <c r="CE1" s="48" t="s">
        <v>104</v>
      </c>
      <c r="CF1" s="55"/>
    </row>
    <row r="2" spans="1:84">
      <c r="A2" s="49" t="s">
        <v>86</v>
      </c>
      <c r="B2" s="54"/>
      <c r="C2" s="49" t="s">
        <v>126</v>
      </c>
      <c r="D2" s="54"/>
      <c r="E2" s="52" t="s">
        <v>133</v>
      </c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94"/>
      <c r="BU2" s="90"/>
      <c r="BV2" s="48"/>
      <c r="BW2" s="52"/>
      <c r="BX2" s="53"/>
      <c r="BY2" s="52"/>
      <c r="BZ2" s="53"/>
      <c r="CA2" s="57"/>
      <c r="CB2" s="52" t="s">
        <v>10</v>
      </c>
      <c r="CC2" s="58"/>
      <c r="CD2" s="54"/>
      <c r="CE2" s="48" t="s">
        <v>105</v>
      </c>
      <c r="CF2" s="59"/>
    </row>
    <row r="3" spans="1:84">
      <c r="A3" s="49" t="s">
        <v>88</v>
      </c>
      <c r="B3" s="54"/>
      <c r="C3" s="49" t="s">
        <v>93</v>
      </c>
      <c r="D3" s="60">
        <v>1</v>
      </c>
      <c r="E3" s="52" t="s">
        <v>132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95"/>
      <c r="BU3" s="91"/>
      <c r="BV3" s="48"/>
      <c r="BW3" s="52"/>
      <c r="BX3" s="53"/>
      <c r="BY3" s="52"/>
      <c r="BZ3" s="53"/>
      <c r="CA3" s="57"/>
      <c r="CB3" s="52" t="s">
        <v>11</v>
      </c>
      <c r="CC3" s="58"/>
      <c r="CD3" s="54"/>
      <c r="CE3" s="48" t="s">
        <v>106</v>
      </c>
      <c r="CF3" s="61"/>
    </row>
    <row r="4" spans="1:84">
      <c r="A4" s="49" t="s">
        <v>90</v>
      </c>
      <c r="B4" s="54"/>
      <c r="C4" s="49" t="s">
        <v>95</v>
      </c>
      <c r="D4" s="54"/>
      <c r="E4" s="52" t="s">
        <v>134</v>
      </c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95"/>
      <c r="BU4" s="91"/>
      <c r="BV4" s="16"/>
      <c r="BW4" s="52"/>
      <c r="BX4" s="53"/>
      <c r="BY4" s="52"/>
      <c r="BZ4" s="53"/>
      <c r="CA4" s="57"/>
      <c r="CB4" s="52" t="s">
        <v>92</v>
      </c>
      <c r="CC4" s="58"/>
      <c r="CD4" s="25">
        <v>0</v>
      </c>
      <c r="CE4" s="48" t="s">
        <v>107</v>
      </c>
      <c r="CF4" s="61"/>
    </row>
    <row r="5" spans="1:84">
      <c r="A5" s="49" t="s">
        <v>123</v>
      </c>
      <c r="B5" s="62"/>
      <c r="C5" s="49" t="s">
        <v>131</v>
      </c>
      <c r="D5" s="63">
        <v>0.15</v>
      </c>
      <c r="E5" s="52" t="s">
        <v>135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95"/>
      <c r="BU5" s="91"/>
      <c r="BV5" s="48"/>
      <c r="BW5" s="52"/>
      <c r="BX5" s="53"/>
      <c r="BY5" s="52"/>
      <c r="BZ5" s="53"/>
      <c r="CA5" s="57"/>
      <c r="CB5" s="52" t="s">
        <v>94</v>
      </c>
      <c r="CC5" s="64"/>
      <c r="CD5" s="54"/>
      <c r="CE5" s="48" t="s">
        <v>108</v>
      </c>
      <c r="CF5" s="65"/>
    </row>
    <row r="6" spans="1:84">
      <c r="A6" s="49" t="s">
        <v>124</v>
      </c>
      <c r="B6" s="62"/>
      <c r="C6" s="54"/>
      <c r="D6" s="63"/>
      <c r="E6" s="17" t="s">
        <v>136</v>
      </c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96"/>
      <c r="BU6" s="92"/>
      <c r="BV6" s="48"/>
      <c r="BW6" s="52"/>
      <c r="BX6" s="53"/>
      <c r="BY6" s="52"/>
      <c r="BZ6" s="53"/>
      <c r="CA6" s="57"/>
      <c r="CB6" s="52" t="s">
        <v>96</v>
      </c>
      <c r="CC6" s="58"/>
      <c r="CD6" s="54"/>
      <c r="CE6" s="48" t="s">
        <v>109</v>
      </c>
      <c r="CF6" s="65"/>
    </row>
    <row r="7" spans="1:84">
      <c r="A7" s="49" t="s">
        <v>129</v>
      </c>
      <c r="B7" s="62"/>
      <c r="C7" s="54"/>
      <c r="D7" s="66"/>
      <c r="E7" s="52" t="s">
        <v>137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95"/>
      <c r="BU7" s="91"/>
      <c r="BV7" s="48"/>
      <c r="BW7" s="52"/>
      <c r="BX7" s="53"/>
      <c r="BY7" s="52"/>
      <c r="BZ7" s="64"/>
      <c r="CA7" s="57"/>
      <c r="CB7" s="52" t="s">
        <v>97</v>
      </c>
      <c r="CC7" s="58"/>
      <c r="CD7" s="25">
        <v>0</v>
      </c>
      <c r="CE7" s="48" t="s">
        <v>110</v>
      </c>
      <c r="CF7" s="65"/>
    </row>
    <row r="8" spans="1:84">
      <c r="A8" s="49" t="s">
        <v>11</v>
      </c>
      <c r="B8" s="62"/>
      <c r="C8" s="49" t="s">
        <v>130</v>
      </c>
      <c r="D8" s="62"/>
      <c r="E8" s="52" t="s">
        <v>138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95"/>
      <c r="BU8" s="91"/>
      <c r="BV8" s="48"/>
      <c r="BW8" s="52"/>
      <c r="BX8" s="53"/>
      <c r="BY8" s="52"/>
      <c r="BZ8" s="64"/>
      <c r="CA8" s="67"/>
      <c r="CE8" s="48" t="s">
        <v>11</v>
      </c>
      <c r="CF8" s="71"/>
    </row>
    <row r="9" spans="1:84">
      <c r="A9" s="49" t="s">
        <v>127</v>
      </c>
      <c r="B9" s="62"/>
      <c r="C9" s="49" t="s">
        <v>128</v>
      </c>
      <c r="D9" s="62"/>
      <c r="E9" s="46" t="s">
        <v>139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97"/>
      <c r="BU9" s="93"/>
      <c r="BV9" s="48"/>
      <c r="BW9" s="68"/>
      <c r="BX9" s="69"/>
      <c r="BY9" s="68"/>
      <c r="BZ9" s="57"/>
      <c r="CA9" s="48"/>
      <c r="CB9" s="48"/>
      <c r="CC9" s="70"/>
      <c r="CD9" s="54"/>
      <c r="CE9" s="48" t="s">
        <v>15</v>
      </c>
      <c r="CF9" s="71"/>
    </row>
    <row r="10" spans="1:84">
      <c r="A10" s="49"/>
      <c r="B10" s="62"/>
      <c r="C10" s="49"/>
      <c r="D10" s="62"/>
      <c r="E10" s="46" t="s">
        <v>140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97"/>
      <c r="BU10" s="93"/>
      <c r="BV10" s="48"/>
      <c r="BW10" s="68"/>
      <c r="BX10" s="69"/>
      <c r="BY10" s="68"/>
      <c r="BZ10" s="57"/>
      <c r="CA10" s="48"/>
      <c r="CB10" s="48"/>
      <c r="CC10" s="70"/>
      <c r="CD10" s="54"/>
    </row>
    <row r="11" spans="1:84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48"/>
      <c r="BW11" s="68"/>
      <c r="BX11" s="69"/>
      <c r="BY11" s="68"/>
      <c r="BZ11" s="57"/>
      <c r="CA11" s="48"/>
      <c r="CB11" s="48"/>
      <c r="CC11" s="70"/>
      <c r="CD11" s="54"/>
    </row>
    <row r="12" spans="1:84">
      <c r="A12" s="49"/>
      <c r="B12" s="62"/>
      <c r="C12" s="54"/>
      <c r="D12" s="63"/>
      <c r="E12" s="52" t="s">
        <v>141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95"/>
      <c r="BU12" s="91"/>
      <c r="BV12" s="48"/>
      <c r="BW12" s="67"/>
      <c r="BX12" s="69"/>
      <c r="BY12" s="67"/>
      <c r="BZ12" s="69"/>
      <c r="CA12" s="57"/>
      <c r="CB12" s="67"/>
      <c r="CC12" s="57"/>
      <c r="CD12" s="81"/>
      <c r="CE12" s="67"/>
      <c r="CF12" s="65"/>
    </row>
    <row r="13" spans="1:84">
      <c r="A13" s="49"/>
      <c r="B13" s="62"/>
      <c r="C13" s="54"/>
      <c r="D13" s="66"/>
      <c r="E13" s="52" t="s">
        <v>137</v>
      </c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95"/>
      <c r="BU13" s="91"/>
      <c r="BV13" s="48"/>
      <c r="BW13" s="67"/>
      <c r="BX13" s="69"/>
      <c r="BY13" s="67"/>
      <c r="BZ13" s="57"/>
      <c r="CA13" s="57"/>
      <c r="CB13" s="67"/>
      <c r="CC13" s="82"/>
      <c r="CD13" s="81"/>
      <c r="CE13" s="67"/>
      <c r="CF13" s="65"/>
    </row>
    <row r="14" spans="1:84">
      <c r="A14" s="49"/>
      <c r="B14" s="62"/>
      <c r="C14" s="49"/>
      <c r="D14" s="66"/>
      <c r="E14" s="52" t="s">
        <v>138</v>
      </c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95"/>
      <c r="BU14" s="91"/>
      <c r="BV14" s="48"/>
      <c r="BW14" s="67"/>
      <c r="BX14" s="69"/>
      <c r="BY14" s="67"/>
      <c r="BZ14" s="57"/>
      <c r="CA14" s="67"/>
      <c r="CB14" s="67"/>
      <c r="CC14" s="82"/>
      <c r="CD14" s="83"/>
      <c r="CE14" s="67"/>
      <c r="CF14" s="71"/>
    </row>
    <row r="15" spans="1:84">
      <c r="A15" s="49"/>
      <c r="B15" s="62"/>
      <c r="C15" s="49"/>
      <c r="D15" s="62"/>
      <c r="E15" s="46" t="s">
        <v>142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97"/>
      <c r="BU15" s="93"/>
      <c r="BV15" s="48"/>
      <c r="BW15" s="68"/>
      <c r="BX15" s="69"/>
      <c r="BY15" s="68"/>
      <c r="BZ15" s="57"/>
      <c r="CA15" s="67"/>
      <c r="CB15" s="67"/>
      <c r="CC15" s="84"/>
      <c r="CD15" s="81"/>
      <c r="CE15" s="67"/>
      <c r="CF15" s="71"/>
    </row>
    <row r="16" spans="1:84">
      <c r="A16" s="49"/>
      <c r="B16" s="62"/>
      <c r="C16" s="49"/>
      <c r="D16" s="62"/>
      <c r="E16" s="46" t="s">
        <v>143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97"/>
      <c r="BU16" s="93"/>
      <c r="BV16" s="48"/>
      <c r="BW16" s="68"/>
      <c r="BX16" s="69"/>
      <c r="BY16" s="68"/>
      <c r="BZ16" s="57"/>
      <c r="CA16" s="67"/>
      <c r="CB16" s="67"/>
      <c r="CC16" s="84"/>
      <c r="CD16" s="81"/>
      <c r="CE16" s="85"/>
    </row>
    <row r="17" spans="1:84">
      <c r="A17" s="49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48"/>
      <c r="BW17" s="68"/>
      <c r="BX17" s="69"/>
      <c r="BY17" s="68"/>
      <c r="BZ17" s="57"/>
      <c r="CA17" s="48"/>
      <c r="CB17" s="48"/>
      <c r="CC17" s="70"/>
      <c r="CD17" s="54"/>
    </row>
    <row r="18" spans="1:84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54"/>
      <c r="CE18" s="48"/>
      <c r="CF18" s="48"/>
    </row>
    <row r="19" spans="1:84" s="45" customFormat="1">
      <c r="A19" s="72"/>
      <c r="B19" s="73" t="s">
        <v>121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4"/>
      <c r="CE19" s="72"/>
      <c r="CF19" s="72"/>
    </row>
    <row r="20" spans="1:84" s="45" customFormat="1">
      <c r="A20" s="72"/>
      <c r="B20" s="72"/>
      <c r="C20" s="72"/>
      <c r="D20" s="72"/>
      <c r="E20" s="75"/>
      <c r="F20" s="76" t="s">
        <v>98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25</v>
      </c>
      <c r="M20" s="76" t="s">
        <v>26</v>
      </c>
      <c r="N20" s="76" t="s">
        <v>27</v>
      </c>
      <c r="O20" s="76" t="s">
        <v>28</v>
      </c>
      <c r="P20" s="76" t="s">
        <v>29</v>
      </c>
      <c r="Q20" s="76" t="s">
        <v>30</v>
      </c>
      <c r="R20" s="76" t="s">
        <v>31</v>
      </c>
      <c r="S20" s="76" t="s">
        <v>32</v>
      </c>
      <c r="T20" s="76" t="s">
        <v>33</v>
      </c>
      <c r="U20" s="76" t="s">
        <v>34</v>
      </c>
      <c r="V20" s="76" t="s">
        <v>35</v>
      </c>
      <c r="W20" s="76" t="s">
        <v>36</v>
      </c>
      <c r="X20" s="76" t="s">
        <v>37</v>
      </c>
      <c r="Y20" s="76" t="s">
        <v>38</v>
      </c>
      <c r="Z20" s="76" t="s">
        <v>39</v>
      </c>
      <c r="AA20" s="76" t="s">
        <v>40</v>
      </c>
      <c r="AB20" s="76" t="s">
        <v>41</v>
      </c>
      <c r="AC20" s="76" t="s">
        <v>42</v>
      </c>
      <c r="AD20" s="76" t="s">
        <v>43</v>
      </c>
      <c r="AE20" s="76" t="s">
        <v>44</v>
      </c>
      <c r="AF20" s="76" t="s">
        <v>45</v>
      </c>
      <c r="AG20" s="76" t="s">
        <v>46</v>
      </c>
      <c r="AH20" s="76" t="s">
        <v>47</v>
      </c>
      <c r="AI20" s="76" t="s">
        <v>48</v>
      </c>
      <c r="AJ20" s="76" t="s">
        <v>49</v>
      </c>
      <c r="AK20" s="76" t="s">
        <v>50</v>
      </c>
      <c r="AL20" s="76" t="s">
        <v>51</v>
      </c>
      <c r="AM20" s="76" t="s">
        <v>52</v>
      </c>
      <c r="AN20" s="76" t="s">
        <v>53</v>
      </c>
      <c r="AO20" s="76" t="s">
        <v>54</v>
      </c>
      <c r="AP20" s="76" t="s">
        <v>55</v>
      </c>
      <c r="AQ20" s="76" t="s">
        <v>56</v>
      </c>
      <c r="AR20" s="76" t="s">
        <v>57</v>
      </c>
      <c r="AS20" s="76" t="s">
        <v>58</v>
      </c>
      <c r="AT20" s="76" t="s">
        <v>59</v>
      </c>
      <c r="AU20" s="76" t="s">
        <v>60</v>
      </c>
      <c r="AV20" s="76" t="s">
        <v>61</v>
      </c>
      <c r="AW20" s="76" t="s">
        <v>62</v>
      </c>
      <c r="AX20" s="76" t="s">
        <v>63</v>
      </c>
      <c r="AY20" s="76" t="s">
        <v>64</v>
      </c>
      <c r="AZ20" s="76" t="s">
        <v>65</v>
      </c>
      <c r="BA20" s="76" t="s">
        <v>66</v>
      </c>
      <c r="BB20" s="76" t="s">
        <v>67</v>
      </c>
      <c r="BC20" s="76" t="s">
        <v>68</v>
      </c>
      <c r="BD20" s="76" t="s">
        <v>69</v>
      </c>
      <c r="BE20" s="76" t="s">
        <v>70</v>
      </c>
      <c r="BF20" s="76" t="s">
        <v>71</v>
      </c>
      <c r="BG20" s="76" t="s">
        <v>72</v>
      </c>
      <c r="BH20" s="76" t="s">
        <v>73</v>
      </c>
      <c r="BI20" s="76" t="s">
        <v>74</v>
      </c>
      <c r="BJ20" s="76" t="s">
        <v>75</v>
      </c>
      <c r="BK20" s="76" t="s">
        <v>76</v>
      </c>
      <c r="BL20" s="76" t="s">
        <v>77</v>
      </c>
      <c r="BM20" s="76" t="s">
        <v>78</v>
      </c>
      <c r="BN20" s="76" t="s">
        <v>79</v>
      </c>
      <c r="BO20" s="76" t="s">
        <v>80</v>
      </c>
      <c r="BP20" s="76" t="s">
        <v>81</v>
      </c>
      <c r="BQ20" s="76" t="s">
        <v>82</v>
      </c>
      <c r="BR20" s="76" t="s">
        <v>122</v>
      </c>
      <c r="BS20" s="76" t="s">
        <v>83</v>
      </c>
      <c r="BT20" s="76" t="s">
        <v>84</v>
      </c>
      <c r="BU20" s="76"/>
      <c r="BV20" s="72"/>
      <c r="BW20" s="72"/>
      <c r="BX20" s="72"/>
      <c r="BY20" s="72"/>
      <c r="BZ20" s="72"/>
      <c r="CA20" s="72"/>
      <c r="CB20" s="72"/>
      <c r="CC20" s="72"/>
      <c r="CD20" s="74"/>
      <c r="CE20" s="72"/>
      <c r="CF20" s="72"/>
    </row>
    <row r="21" spans="1:84" s="45" customFormat="1">
      <c r="A21" s="72"/>
      <c r="B21" s="72" t="s">
        <v>8</v>
      </c>
      <c r="C21" s="72"/>
      <c r="D21" s="72"/>
      <c r="E21" s="77" t="s">
        <v>87</v>
      </c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88"/>
      <c r="BV21" s="72"/>
      <c r="BW21" s="72"/>
      <c r="BX21" s="72"/>
      <c r="BY21" s="72"/>
      <c r="BZ21" s="72"/>
      <c r="CA21" s="72"/>
      <c r="CB21" s="72"/>
      <c r="CC21" s="72"/>
      <c r="CD21" s="74"/>
      <c r="CE21" s="72"/>
      <c r="CF21" s="72"/>
    </row>
    <row r="22" spans="1:84" s="45" customFormat="1">
      <c r="A22" s="72"/>
      <c r="B22" s="72" t="s">
        <v>8</v>
      </c>
      <c r="C22" s="72"/>
      <c r="D22" s="72"/>
      <c r="E22" s="77" t="s">
        <v>89</v>
      </c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88"/>
      <c r="BV22" s="72"/>
      <c r="BW22" s="72"/>
      <c r="BX22" s="72"/>
      <c r="BY22" s="72"/>
      <c r="BZ22" s="72"/>
      <c r="CA22" s="72"/>
      <c r="CB22" s="72"/>
      <c r="CC22" s="72"/>
      <c r="CD22" s="74"/>
      <c r="CE22" s="72"/>
      <c r="CF22" s="72"/>
    </row>
    <row r="23" spans="1:84" s="45" customFormat="1">
      <c r="A23" s="72"/>
      <c r="B23" s="72" t="s">
        <v>8</v>
      </c>
      <c r="C23" s="72"/>
      <c r="D23" s="72"/>
      <c r="E23" s="77" t="s">
        <v>91</v>
      </c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88"/>
      <c r="BV23" s="72"/>
      <c r="BW23" s="72"/>
      <c r="BX23" s="72"/>
      <c r="BY23" s="72"/>
      <c r="BZ23" s="72"/>
      <c r="CA23" s="72"/>
      <c r="CB23" s="72"/>
      <c r="CC23" s="72"/>
      <c r="CD23" s="74"/>
      <c r="CE23" s="72"/>
      <c r="CF23" s="72"/>
    </row>
    <row r="24" spans="1:84" s="45" customFormat="1">
      <c r="A24" s="72"/>
      <c r="B24" s="72" t="s">
        <v>8</v>
      </c>
      <c r="C24" s="72"/>
      <c r="D24" s="72"/>
      <c r="E24" s="77" t="s">
        <v>0</v>
      </c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88"/>
      <c r="BV24" s="72"/>
      <c r="BW24" s="72"/>
      <c r="BX24" s="72"/>
      <c r="BY24" s="72"/>
      <c r="BZ24" s="72"/>
      <c r="CA24" s="72"/>
      <c r="CB24" s="72"/>
      <c r="CC24" s="72"/>
      <c r="CD24" s="74"/>
      <c r="CE24" s="72"/>
      <c r="CF24" s="72"/>
    </row>
    <row r="25" spans="1:84" s="45" customFormat="1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4"/>
      <c r="CE25" s="72"/>
      <c r="CF25" s="72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2021-03-03T09:17:10Z</dcterms:modified>
</cp:coreProperties>
</file>