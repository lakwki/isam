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5" yWindow="6390" windowWidth="28830" windowHeight="6435"/>
  </bookViews>
  <sheets>
    <sheet name="SUMM" sheetId="12" r:id="rId1"/>
    <sheet name="HK Sales Summ" sheetId="8" r:id="rId2"/>
    <sheet name="CA Sales Summ" sheetId="7" r:id="rId3"/>
    <sheet name="SH Sales Summ" sheetId="3" r:id="rId4"/>
    <sheet name="VN Sales Summ" sheetId="11" r:id="rId5"/>
    <sheet name="BD Sales Summ" sheetId="5" r:id="rId6"/>
    <sheet name="TR Sales Summ" sheetId="9" r:id="rId7"/>
    <sheet name="LK Sales Summ" sheetId="6" r:id="rId8"/>
    <sheet name="IN Sales Summ" sheetId="4" r:id="rId9"/>
    <sheet name="ND Sales Summ" sheetId="2" r:id="rId10"/>
    <sheet name="SUMM-Obsolete" sheetId="1" r:id="rId11"/>
    <sheet name="Template" sheetId="10" r:id="rId12"/>
    <sheet name="2020BF" sheetId="13" state="hidden" r:id="rId13"/>
  </sheets>
  <calcPr calcId="145621"/>
</workbook>
</file>

<file path=xl/calcChain.xml><?xml version="1.0" encoding="utf-8"?>
<calcChain xmlns="http://schemas.openxmlformats.org/spreadsheetml/2006/main">
  <c r="H6" i="12" l="1"/>
  <c r="N12" i="12" l="1"/>
  <c r="O12" i="12" s="1"/>
  <c r="M6" i="12"/>
  <c r="L6" i="12"/>
  <c r="K6" i="12"/>
  <c r="J6" i="12"/>
  <c r="I6" i="12"/>
  <c r="G6" i="12"/>
  <c r="F6" i="12"/>
  <c r="E6" i="12"/>
  <c r="N5" i="12"/>
  <c r="O5" i="12" s="1"/>
  <c r="N4" i="12"/>
  <c r="O4" i="12" s="1"/>
  <c r="N6" i="12" l="1"/>
  <c r="O6" i="12" s="1"/>
  <c r="CG2" i="11"/>
  <c r="CG2" i="9" l="1"/>
  <c r="CG2" i="8"/>
  <c r="CG2" i="7"/>
  <c r="CG2" i="6"/>
  <c r="CG2" i="5"/>
  <c r="CG2" i="4"/>
  <c r="CG2" i="3"/>
  <c r="CG2" i="2"/>
  <c r="K24" i="1" l="1"/>
  <c r="L24" i="1" s="1"/>
  <c r="I18" i="1"/>
  <c r="I19" i="1"/>
  <c r="I17" i="1"/>
  <c r="H18" i="1"/>
  <c r="H19" i="1"/>
  <c r="H17" i="1"/>
  <c r="G18" i="1"/>
  <c r="G19" i="1"/>
  <c r="G17" i="1"/>
  <c r="F18" i="1"/>
  <c r="F19" i="1"/>
  <c r="F17" i="1"/>
  <c r="E18" i="1"/>
  <c r="E19" i="1"/>
  <c r="E17" i="1"/>
  <c r="D18" i="1"/>
  <c r="D19" i="1"/>
  <c r="D17" i="1"/>
  <c r="C19" i="1"/>
  <c r="C18" i="1"/>
  <c r="C17" i="1"/>
  <c r="B18" i="1"/>
  <c r="B19" i="1"/>
  <c r="B17" i="1"/>
  <c r="D8" i="1"/>
  <c r="E8" i="1"/>
  <c r="F8" i="1"/>
  <c r="G8" i="1"/>
  <c r="H8" i="1"/>
  <c r="I8" i="1"/>
  <c r="D9" i="1"/>
  <c r="E9" i="1"/>
  <c r="F9" i="1"/>
  <c r="G9" i="1"/>
  <c r="H9" i="1"/>
  <c r="I9" i="1"/>
  <c r="C9" i="1"/>
  <c r="C8" i="1"/>
  <c r="B9" i="1"/>
  <c r="B8" i="1"/>
  <c r="B4" i="1"/>
  <c r="B5" i="1"/>
  <c r="I5" i="1"/>
  <c r="I4" i="1"/>
  <c r="H5" i="1"/>
  <c r="H4" i="1"/>
  <c r="G5" i="1"/>
  <c r="G4" i="1"/>
  <c r="F5" i="1"/>
  <c r="F4" i="1"/>
  <c r="E5" i="1"/>
  <c r="E4" i="1"/>
  <c r="D5" i="1"/>
  <c r="D4" i="1"/>
  <c r="C5" i="1"/>
  <c r="C4" i="1"/>
  <c r="H20" i="1" l="1"/>
  <c r="D6" i="1"/>
  <c r="I20" i="1"/>
  <c r="G20" i="1"/>
  <c r="F10" i="1"/>
  <c r="F11" i="1" s="1"/>
  <c r="E20" i="1"/>
  <c r="D10" i="1"/>
  <c r="D11" i="1" s="1"/>
  <c r="B20" i="1"/>
  <c r="H6" i="1"/>
  <c r="C20" i="1"/>
  <c r="D20" i="1"/>
  <c r="E6" i="1"/>
  <c r="B10" i="1"/>
  <c r="B11" i="1" s="1"/>
  <c r="G10" i="1"/>
  <c r="G11" i="1" s="1"/>
  <c r="F6" i="1"/>
  <c r="E10" i="1"/>
  <c r="E11" i="1" s="1"/>
  <c r="F20" i="1"/>
  <c r="K18" i="1"/>
  <c r="L18" i="1" s="1"/>
  <c r="K19" i="1"/>
  <c r="L19" i="1" s="1"/>
  <c r="K17" i="1"/>
  <c r="L17" i="1" s="1"/>
  <c r="G6" i="1"/>
  <c r="H10" i="1"/>
  <c r="H11" i="1" s="1"/>
  <c r="I10" i="1"/>
  <c r="I11" i="1" s="1"/>
  <c r="I6" i="1"/>
  <c r="K4" i="1"/>
  <c r="L4" i="1" s="1"/>
  <c r="K9" i="1"/>
  <c r="L9" i="1" s="1"/>
  <c r="C10" i="1"/>
  <c r="C11" i="1" s="1"/>
  <c r="K8" i="1"/>
  <c r="L8" i="1" s="1"/>
  <c r="B6" i="1"/>
  <c r="K5" i="1"/>
  <c r="C6" i="1"/>
  <c r="L20" i="1" l="1"/>
  <c r="K20" i="1"/>
  <c r="K10" i="1"/>
  <c r="L10" i="1" s="1"/>
  <c r="L11" i="1" s="1"/>
  <c r="K6" i="1"/>
  <c r="L6" i="1" s="1"/>
  <c r="L5" i="1"/>
  <c r="K11" i="1" l="1"/>
</calcChain>
</file>

<file path=xl/comments1.xml><?xml version="1.0" encoding="utf-8"?>
<comments xmlns="http://schemas.openxmlformats.org/spreadsheetml/2006/main">
  <authors>
    <author>Michael Lau (IT)</author>
  </authors>
  <commentList>
    <comment ref="A9" authorId="0">
      <text>
        <r>
          <rPr>
            <b/>
            <sz val="9"/>
            <color indexed="81"/>
            <rFont val="Tahoma"/>
            <family val="2"/>
          </rPr>
          <t>Michael Lau (IT):</t>
        </r>
        <r>
          <rPr>
            <sz val="9"/>
            <color indexed="81"/>
            <rFont val="Tahoma"/>
            <family val="2"/>
          </rPr>
          <t xml:space="preserve">
Settlement Discount / Lab Test Cost for LK Office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Michael Lau (IT):</t>
        </r>
        <r>
          <rPr>
            <sz val="9"/>
            <color indexed="81"/>
            <rFont val="Tahoma"/>
            <family val="2"/>
          </rPr>
          <t xml:space="preserve">
Settlement Discount / Lab Test Cost for LK Office</t>
        </r>
      </text>
    </comment>
  </commentList>
</comments>
</file>

<file path=xl/sharedStrings.xml><?xml version="1.0" encoding="utf-8"?>
<sst xmlns="http://schemas.openxmlformats.org/spreadsheetml/2006/main" count="431" uniqueCount="151">
  <si>
    <t>Commission</t>
  </si>
  <si>
    <t>ND</t>
  </si>
  <si>
    <t>SH</t>
  </si>
  <si>
    <t>IN</t>
  </si>
  <si>
    <t>BD</t>
  </si>
  <si>
    <t>LK</t>
  </si>
  <si>
    <t>CA</t>
  </si>
  <si>
    <t>HK</t>
  </si>
  <si>
    <t>Total</t>
  </si>
  <si>
    <t>Total'K</t>
  </si>
  <si>
    <t>Commission to date</t>
  </si>
  <si>
    <t>Total Cost</t>
  </si>
  <si>
    <t>=SUMPRODUCT(--(RangeX=CondX),--(RangeY=CondY),RangeToSum)</t>
  </si>
  <si>
    <t>FCST</t>
  </si>
  <si>
    <t>Total Comm</t>
  </si>
  <si>
    <t>Total Profit</t>
  </si>
  <si>
    <t>Week 45 commission</t>
  </si>
  <si>
    <t>NS Led Contracts</t>
  </si>
  <si>
    <t>SALES INFORMATION</t>
  </si>
  <si>
    <t>PROFITABILITY</t>
  </si>
  <si>
    <t>Wk1</t>
  </si>
  <si>
    <t>Wk2</t>
  </si>
  <si>
    <t>Wk3</t>
  </si>
  <si>
    <t>Wk4</t>
  </si>
  <si>
    <t>Wk5</t>
  </si>
  <si>
    <t>P1</t>
  </si>
  <si>
    <t>Wk6</t>
  </si>
  <si>
    <t>Wk7</t>
  </si>
  <si>
    <t>Wk8</t>
  </si>
  <si>
    <t>Wk9</t>
  </si>
  <si>
    <t>P2</t>
  </si>
  <si>
    <t>Wk10</t>
  </si>
  <si>
    <t>Wk11</t>
  </si>
  <si>
    <t>Wk12</t>
  </si>
  <si>
    <t>Wk13</t>
  </si>
  <si>
    <t>P3</t>
  </si>
  <si>
    <t>Wk14</t>
  </si>
  <si>
    <t>Wk15</t>
  </si>
  <si>
    <t>Wk16</t>
  </si>
  <si>
    <t>Wk17</t>
  </si>
  <si>
    <t>Wk18</t>
  </si>
  <si>
    <t>P4</t>
  </si>
  <si>
    <t>Wk19</t>
  </si>
  <si>
    <t>Wk20</t>
  </si>
  <si>
    <t>Wk21</t>
  </si>
  <si>
    <t>Wk22</t>
  </si>
  <si>
    <t>P5</t>
  </si>
  <si>
    <t>Wk23</t>
  </si>
  <si>
    <t>Wk24</t>
  </si>
  <si>
    <t>Wk25</t>
  </si>
  <si>
    <t>Wk26</t>
  </si>
  <si>
    <t>P6</t>
  </si>
  <si>
    <t>Wk27</t>
  </si>
  <si>
    <t>Wk28</t>
  </si>
  <si>
    <t>Wk29</t>
  </si>
  <si>
    <t>Wk30</t>
  </si>
  <si>
    <t>Wk31</t>
  </si>
  <si>
    <t>P7</t>
  </si>
  <si>
    <t>Wk32</t>
  </si>
  <si>
    <t>Wk33</t>
  </si>
  <si>
    <t>Wk34</t>
  </si>
  <si>
    <t>Wk35</t>
  </si>
  <si>
    <t>P8</t>
  </si>
  <si>
    <t>Wk36</t>
  </si>
  <si>
    <t>Wk37</t>
  </si>
  <si>
    <t>Wk38</t>
  </si>
  <si>
    <t>Wk39</t>
  </si>
  <si>
    <t>P9</t>
  </si>
  <si>
    <t>Wk40</t>
  </si>
  <si>
    <t>Wk41</t>
  </si>
  <si>
    <t>Wk42</t>
  </si>
  <si>
    <t>Wk43</t>
  </si>
  <si>
    <t>Wk44</t>
  </si>
  <si>
    <t>P10</t>
  </si>
  <si>
    <t>Wk45</t>
  </si>
  <si>
    <t>Wk46</t>
  </si>
  <si>
    <t>Wk47</t>
  </si>
  <si>
    <t>Wk48</t>
  </si>
  <si>
    <t>P11</t>
  </si>
  <si>
    <t>Wk49</t>
  </si>
  <si>
    <t>Wk50</t>
  </si>
  <si>
    <t>Wk51</t>
  </si>
  <si>
    <t>Wk52</t>
  </si>
  <si>
    <t>P12</t>
  </si>
  <si>
    <t>Cum</t>
  </si>
  <si>
    <t>USD</t>
  </si>
  <si>
    <t>Office</t>
  </si>
  <si>
    <t>Description</t>
  </si>
  <si>
    <t>Item</t>
  </si>
  <si>
    <t>Profit/(loss) to date</t>
  </si>
  <si>
    <t>Del Qty</t>
  </si>
  <si>
    <t>Sell thru FP (est)</t>
  </si>
  <si>
    <t>RSV</t>
  </si>
  <si>
    <t>Total Commission (est)</t>
  </si>
  <si>
    <t>Total Profit/(Loss) (est)</t>
  </si>
  <si>
    <t>B/F</t>
  </si>
  <si>
    <t>Mwr</t>
  </si>
  <si>
    <t>FORECAST</t>
  </si>
  <si>
    <t>Wwr</t>
  </si>
  <si>
    <t>Cwr</t>
  </si>
  <si>
    <t>TR</t>
  </si>
  <si>
    <t>No. wks until next sale</t>
  </si>
  <si>
    <t>assumed FP sale thru pw</t>
  </si>
  <si>
    <t>assumed FP sale thru</t>
  </si>
  <si>
    <t>assumed MD sell thru</t>
  </si>
  <si>
    <t>Fcst portion FP Comm</t>
  </si>
  <si>
    <t>Fcst portion MD Comm</t>
  </si>
  <si>
    <t>Total estimate Comm</t>
  </si>
  <si>
    <t>Commission Summary</t>
  </si>
  <si>
    <t>TK</t>
  </si>
  <si>
    <t>Total USD</t>
  </si>
  <si>
    <t>Week</t>
  </si>
  <si>
    <t>VN</t>
  </si>
  <si>
    <t>Period</t>
  </si>
  <si>
    <t>Commission Life to Date</t>
  </si>
  <si>
    <t>Commission 2019 B/F</t>
  </si>
  <si>
    <t>Commission for 2020</t>
  </si>
  <si>
    <t>Commission for 2020 By Week</t>
  </si>
  <si>
    <t>Summary</t>
  </si>
  <si>
    <t>Wk53</t>
  </si>
  <si>
    <t>Supplier Cost</t>
  </si>
  <si>
    <t>Freight Cost</t>
  </si>
  <si>
    <t>sale [USD]</t>
  </si>
  <si>
    <t>Dept</t>
  </si>
  <si>
    <t>Settlement Discount</t>
  </si>
  <si>
    <t>Settlement Disc CPU</t>
  </si>
  <si>
    <t>Duty Cost</t>
  </si>
  <si>
    <t>CPU</t>
  </si>
  <si>
    <t>Expected Unsold</t>
  </si>
  <si>
    <t>NS Sales</t>
  </si>
  <si>
    <t>Sold Qty (Net)</t>
  </si>
  <si>
    <t>Cost</t>
  </si>
  <si>
    <t>Margin</t>
  </si>
  <si>
    <t>Margin %</t>
  </si>
  <si>
    <t>Settlement Disc</t>
  </si>
  <si>
    <t>Provision</t>
  </si>
  <si>
    <t>Total P&amp;L</t>
  </si>
  <si>
    <t>Cum P&amp;L</t>
  </si>
  <si>
    <t>Total BS</t>
  </si>
  <si>
    <t>Cum BS</t>
  </si>
  <si>
    <t>Life</t>
  </si>
  <si>
    <t>Stock.</t>
  </si>
  <si>
    <t>Settlement Disc.</t>
  </si>
  <si>
    <t>Provision.</t>
  </si>
  <si>
    <t>Sold Qty</t>
  </si>
  <si>
    <t>TOTAL P&amp;L</t>
  </si>
  <si>
    <t>Stock</t>
  </si>
  <si>
    <t>TOTAL BS</t>
  </si>
  <si>
    <t>M05395</t>
  </si>
  <si>
    <t>M05396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</si>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</sst>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7">
    <numFmt numFmtId="41" formatCode="_-* #,##0_-;\-* #,##0_-;_-* &quot;-&quot;_-;_-@_-"/>
    <numFmt numFmtId="43" formatCode="_-* #,##0.00_-;\-* #,##0.00_-;_-* &quot;-&quot;??_-;_-@_-"/>
    <numFmt numFmtId="164" formatCode="_-&quot;$&quot;* #,##0_-;\-&quot;$&quot;* #,##0_-;_-&quot;$&quot;* &quot;-&quot;_-;_-@_-"/>
    <numFmt numFmtId="165" formatCode="_-&quot;$&quot;* #,##0.00_-;\-&quot;$&quot;* #,##0.00_-;_-&quot;$&quot;* &quot;-&quot;??_-;_-@_-"/>
    <numFmt numFmtId="166" formatCode="_(* #,##0.00_);_(* \(#,##0.00\);_(* &quot;-&quot;??_);_(@_)"/>
    <numFmt numFmtId="167" formatCode="_(* #,##0_);_(* \(#,##0\);_(* &quot;-&quot;??_);_(@_)"/>
    <numFmt numFmtId="168" formatCode="_(* #,##0.0_);_(* \(#,##0.0\);_(* &quot;-&quot;??_);_(@_)"/>
    <numFmt numFmtId="169" formatCode="0.000"/>
    <numFmt numFmtId="170" formatCode="_(* #,##0_);_(* \(#,##0\);_(* &quot;-&quot;_);_(@_)"/>
    <numFmt numFmtId="171" formatCode="_(* #,##0.0_);_(* \(#,##0.0\);_(* &quot;-&quot;?_);_(@_)"/>
    <numFmt numFmtId="172" formatCode="yyyy"/>
    <numFmt numFmtId="173" formatCode="General_)"/>
    <numFmt numFmtId="174" formatCode="#,##0.0_);\(#,##0.0\)"/>
    <numFmt numFmtId="175" formatCode="#,##0.000_);\(#,##0.000\)"/>
    <numFmt numFmtId="176" formatCode="\(0.00%"/>
    <numFmt numFmtId="177" formatCode="_ * #,##0_ ;_ * \-#,##0_ ;_ * &quot;-&quot;_ ;_ @_ "/>
    <numFmt numFmtId="178" formatCode="_ * #,##0.00_ ;_ * \-#,##0.00_ ;_ * &quot;-&quot;??_ ;_ @_ "/>
    <numFmt numFmtId="179" formatCode="\U\S\$#,##0.00;\(\U\S\$#,##0.00\)"/>
    <numFmt numFmtId="180" formatCode="#,###,###,###,###,###,###,###,###,###.00"/>
    <numFmt numFmtId="181" formatCode="&quot;$&quot;#,##0_);[Red]\(&quot;$&quot;#,##0\)"/>
    <numFmt numFmtId="182" formatCode="&quot;$&quot;#,##0.00_);[Red]\(&quot;$&quot;#,##0.00\)"/>
    <numFmt numFmtId="183" formatCode="0.00_)"/>
    <numFmt numFmtId="184" formatCode="#,##0.000"/>
    <numFmt numFmtId="185" formatCode="\+0.00%\+"/>
    <numFmt numFmtId="186" formatCode="0.00%\)"/>
    <numFmt numFmtId="187" formatCode="#,##0.00_);\(#,##0.00\)"/>
    <numFmt numFmtId="188" formatCode="#,##0_);\(#,##0\)"/>
  </numFmts>
  <fonts count="7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Helv"/>
      <family val="2"/>
    </font>
    <font>
      <sz val="10"/>
      <name val="Helv"/>
      <charset val="204"/>
    </font>
    <font>
      <sz val="11"/>
      <color indexed="60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0"/>
      <name val="Arial"/>
      <family val="2"/>
    </font>
    <font>
      <sz val="9"/>
      <name val="Times New Roman"/>
      <family val="1"/>
    </font>
    <font>
      <sz val="10"/>
      <name val="Courier"/>
      <family val="3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2"/>
      <name val="宋体"/>
      <charset val="134"/>
    </font>
    <font>
      <sz val="10"/>
      <color indexed="8"/>
      <name val="Arial"/>
      <family val="2"/>
    </font>
    <font>
      <i/>
      <sz val="11"/>
      <color indexed="23"/>
      <name val="Calibri"/>
      <family val="2"/>
    </font>
    <font>
      <sz val="12"/>
      <name val="New Times Roman"/>
    </font>
    <font>
      <sz val="12"/>
      <color indexed="2"/>
      <name val="New Times Roman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5"/>
      <color indexed="62"/>
      <name val="Calibri"/>
      <family val="2"/>
    </font>
    <font>
      <b/>
      <sz val="13"/>
      <color indexed="56"/>
      <name val="Calibri"/>
      <family val="2"/>
    </font>
    <font>
      <b/>
      <sz val="13"/>
      <color indexed="62"/>
      <name val="Calibri"/>
      <family val="2"/>
    </font>
    <font>
      <b/>
      <sz val="11"/>
      <color indexed="56"/>
      <name val="Calibri"/>
      <family val="2"/>
    </font>
    <font>
      <b/>
      <sz val="11"/>
      <color indexed="62"/>
      <name val="Calibri"/>
      <family val="2"/>
    </font>
    <font>
      <u/>
      <sz val="10"/>
      <color indexed="12"/>
      <name val="Arial MT"/>
      <family val="2"/>
    </font>
    <font>
      <u/>
      <sz val="10"/>
      <color indexed="12"/>
      <name val="Arial MT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MS Sans Serif"/>
      <family val="2"/>
    </font>
    <font>
      <b/>
      <i/>
      <sz val="16"/>
      <name val="Helv"/>
      <family val="2"/>
    </font>
    <font>
      <sz val="11"/>
      <color theme="1"/>
      <name val="Calibri"/>
      <family val="2"/>
    </font>
    <font>
      <sz val="11"/>
      <color theme="1"/>
      <name val="Calibri"/>
      <family val="1"/>
      <charset val="136"/>
      <scheme val="minor"/>
    </font>
    <font>
      <sz val="10"/>
      <name val="Tahoma"/>
      <family val="2"/>
    </font>
    <font>
      <sz val="12"/>
      <color indexed="32"/>
      <name val="Microsoft Sans Serif"/>
      <family val="2"/>
    </font>
    <font>
      <sz val="12"/>
      <name val="Times New Roman"/>
      <family val="1"/>
    </font>
    <font>
      <sz val="10"/>
      <color indexed="8"/>
      <name val="MS Sans Serif"/>
      <family val="2"/>
    </font>
    <font>
      <sz val="10"/>
      <color rgb="FF000000"/>
      <name val="Times New Roman"/>
      <family val="1"/>
    </font>
    <font>
      <b/>
      <sz val="11"/>
      <color indexed="63"/>
      <name val="Calibri"/>
      <family val="2"/>
    </font>
    <font>
      <sz val="12"/>
      <color indexed="8"/>
      <name val="Times New Roman"/>
      <family val="1"/>
    </font>
    <font>
      <sz val="10"/>
      <name val="Arial MT"/>
      <family val="2"/>
    </font>
    <font>
      <sz val="10"/>
      <name val="Arial MT"/>
    </font>
    <font>
      <b/>
      <sz val="18"/>
      <color indexed="56"/>
      <name val="Cambria"/>
      <family val="1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i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9" tint="-0.249977111117893"/>
      <name val="Calibri"/>
      <family val="2"/>
      <scheme val="minor"/>
    </font>
    <font>
      <sz val="9"/>
      <color theme="2" tint="-0.499984740745262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4392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6" fillId="0" borderId="0"/>
    <xf numFmtId="0" fontId="1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" fillId="10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" fillId="11" borderId="0" applyNumberFormat="0" applyBorder="0" applyAlignment="0" applyProtection="0"/>
    <xf numFmtId="0" fontId="17" fillId="25" borderId="0" applyNumberFormat="0" applyBorder="0" applyAlignment="0" applyProtection="0"/>
    <xf numFmtId="0" fontId="17" fillId="20" borderId="0" applyNumberFormat="0" applyBorder="0" applyAlignment="0" applyProtection="0"/>
    <xf numFmtId="0" fontId="1" fillId="15" borderId="0" applyNumberFormat="0" applyBorder="0" applyAlignment="0" applyProtection="0"/>
    <xf numFmtId="0" fontId="17" fillId="26" borderId="0" applyNumberFormat="0" applyBorder="0" applyAlignment="0" applyProtection="0"/>
    <xf numFmtId="0" fontId="17" fillId="22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3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2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1" fillId="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" fillId="12" borderId="0" applyNumberFormat="0" applyBorder="0" applyAlignment="0" applyProtection="0"/>
    <xf numFmtId="0" fontId="17" fillId="25" borderId="0" applyNumberFormat="0" applyBorder="0" applyAlignment="0" applyProtection="0"/>
    <xf numFmtId="0" fontId="17" fillId="28" borderId="0" applyNumberFormat="0" applyBorder="0" applyAlignment="0" applyProtection="0"/>
    <xf numFmtId="0" fontId="1" fillId="16" borderId="0" applyNumberFormat="0" applyBorder="0" applyAlignment="0" applyProtection="0"/>
    <xf numFmtId="0" fontId="17" fillId="27" borderId="0" applyNumberFormat="0" applyBorder="0" applyAlignment="0" applyProtection="0"/>
    <xf numFmtId="0" fontId="17" fillId="32" borderId="0" applyNumberFormat="0" applyBorder="0" applyAlignment="0" applyProtection="0"/>
    <xf numFmtId="0" fontId="17" fillId="22" borderId="0" applyNumberFormat="0" applyBorder="0" applyAlignment="0" applyProtection="0"/>
    <xf numFmtId="0" fontId="1" fillId="18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25" borderId="0" applyNumberFormat="0" applyBorder="0" applyAlignment="0" applyProtection="0"/>
    <xf numFmtId="0" fontId="17" fillId="27" borderId="0" applyNumberFormat="0" applyBorder="0" applyAlignment="0" applyProtection="0"/>
    <xf numFmtId="0" fontId="17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3" fillId="9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3" fillId="13" borderId="0" applyNumberFormat="0" applyBorder="0" applyAlignment="0" applyProtection="0"/>
    <xf numFmtId="0" fontId="18" fillId="35" borderId="0" applyNumberFormat="0" applyBorder="0" applyAlignment="0" applyProtection="0"/>
    <xf numFmtId="0" fontId="18" fillId="28" borderId="0" applyNumberFormat="0" applyBorder="0" applyAlignment="0" applyProtection="0"/>
    <xf numFmtId="0" fontId="13" fillId="17" borderId="0" applyNumberFormat="0" applyBorder="0" applyAlignment="0" applyProtection="0"/>
    <xf numFmtId="0" fontId="18" fillId="34" borderId="0" applyNumberFormat="0" applyBorder="0" applyAlignment="0" applyProtection="0"/>
    <xf numFmtId="0" fontId="18" fillId="36" borderId="0" applyNumberFormat="0" applyBorder="0" applyAlignment="0" applyProtection="0"/>
    <xf numFmtId="0" fontId="18" fillId="22" borderId="0" applyNumberFormat="0" applyBorder="0" applyAlignment="0" applyProtection="0"/>
    <xf numFmtId="0" fontId="13" fillId="19" borderId="0" applyNumberFormat="0" applyBorder="0" applyAlignment="0" applyProtection="0"/>
    <xf numFmtId="0" fontId="18" fillId="33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5" borderId="0" applyNumberFormat="0" applyBorder="0" applyAlignment="0" applyProtection="0"/>
    <xf numFmtId="0" fontId="18" fillId="34" borderId="0" applyNumberFormat="0" applyBorder="0" applyAlignment="0" applyProtection="0"/>
    <xf numFmtId="0" fontId="18" fillId="36" borderId="0" applyNumberFormat="0" applyBorder="0" applyAlignment="0" applyProtection="0"/>
    <xf numFmtId="0" fontId="18" fillId="37" borderId="0" applyNumberFormat="0" applyBorder="0" applyAlignment="0" applyProtection="0"/>
    <xf numFmtId="0" fontId="18" fillId="34" borderId="0" applyNumberFormat="0" applyBorder="0" applyAlignment="0" applyProtection="0"/>
    <xf numFmtId="0" fontId="13" fillId="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35" borderId="0" applyNumberFormat="0" applyBorder="0" applyAlignment="0" applyProtection="0"/>
    <xf numFmtId="0" fontId="18" fillId="40" borderId="0" applyNumberFormat="0" applyBorder="0" applyAlignment="0" applyProtection="0"/>
    <xf numFmtId="0" fontId="13" fillId="14" borderId="0" applyNumberFormat="0" applyBorder="0" applyAlignment="0" applyProtection="0"/>
    <xf numFmtId="0" fontId="18" fillId="34" borderId="0" applyNumberFormat="0" applyBorder="0" applyAlignment="0" applyProtection="0"/>
    <xf numFmtId="0" fontId="18" fillId="41" borderId="0" applyNumberFormat="0" applyBorder="0" applyAlignment="0" applyProtection="0"/>
    <xf numFmtId="0" fontId="19" fillId="21" borderId="0" applyNumberFormat="0" applyBorder="0" applyAlignment="0" applyProtection="0"/>
    <xf numFmtId="172" fontId="20" fillId="0" borderId="0" applyFill="0" applyBorder="0" applyAlignment="0"/>
    <xf numFmtId="173" fontId="21" fillId="0" borderId="0" applyFill="0" applyBorder="0" applyAlignment="0"/>
    <xf numFmtId="169" fontId="21" fillId="0" borderId="0" applyFill="0" applyBorder="0" applyAlignment="0"/>
    <xf numFmtId="174" fontId="22" fillId="0" borderId="0" applyFill="0" applyBorder="0" applyAlignment="0"/>
    <xf numFmtId="175" fontId="22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23" fillId="28" borderId="15" applyNumberFormat="0" applyAlignment="0" applyProtection="0"/>
    <xf numFmtId="0" fontId="23" fillId="42" borderId="15" applyNumberFormat="0" applyAlignment="0" applyProtection="0"/>
    <xf numFmtId="0" fontId="12" fillId="5" borderId="11" applyNumberFormat="0" applyAlignment="0" applyProtection="0"/>
    <xf numFmtId="0" fontId="24" fillId="43" borderId="16" applyNumberFormat="0" applyAlignment="0" applyProtection="0"/>
    <xf numFmtId="177" fontId="25" fillId="0" borderId="0" applyFont="0" applyFill="0" applyBorder="0" applyAlignment="0" applyProtection="0">
      <alignment vertical="center"/>
    </xf>
    <xf numFmtId="170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26" fillId="0" borderId="0" applyFont="0" applyFill="0" applyBorder="0" applyAlignment="0" applyProtection="0">
      <alignment vertical="top"/>
    </xf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73" fontId="21" fillId="0" borderId="0" applyFont="0" applyFill="0" applyBorder="0" applyAlignment="0" applyProtection="0"/>
    <xf numFmtId="14" fontId="26" fillId="0" borderId="0" applyFill="0" applyBorder="0" applyAlignment="0"/>
    <xf numFmtId="179" fontId="20" fillId="0" borderId="17">
      <alignment vertical="center"/>
    </xf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27" fillId="0" borderId="0" applyNumberFormat="0" applyFill="0" applyBorder="0" applyAlignment="0" applyProtection="0"/>
    <xf numFmtId="0" fontId="28" fillId="0" borderId="0"/>
    <xf numFmtId="180" fontId="28" fillId="0" borderId="0"/>
    <xf numFmtId="180" fontId="29" fillId="0" borderId="0"/>
    <xf numFmtId="0" fontId="30" fillId="23" borderId="0" applyNumberFormat="0" applyBorder="0" applyAlignment="0" applyProtection="0"/>
    <xf numFmtId="38" fontId="31" fillId="44" borderId="0" applyNumberFormat="0" applyBorder="0" applyAlignment="0" applyProtection="0"/>
    <xf numFmtId="0" fontId="32" fillId="0" borderId="18" applyNumberFormat="0" applyAlignment="0" applyProtection="0">
      <alignment horizontal="left" vertical="center"/>
    </xf>
    <xf numFmtId="0" fontId="32" fillId="0" borderId="19">
      <alignment horizontal="left" vertical="center"/>
    </xf>
    <xf numFmtId="0" fontId="33" fillId="0" borderId="20" applyNumberFormat="0" applyFill="0" applyAlignment="0" applyProtection="0"/>
    <xf numFmtId="0" fontId="34" fillId="0" borderId="21" applyNumberFormat="0" applyFill="0" applyAlignment="0" applyProtection="0"/>
    <xf numFmtId="0" fontId="8" fillId="0" borderId="8" applyNumberFormat="0" applyFill="0" applyAlignment="0" applyProtection="0"/>
    <xf numFmtId="0" fontId="35" fillId="0" borderId="22" applyNumberFormat="0" applyFill="0" applyAlignment="0" applyProtection="0"/>
    <xf numFmtId="0" fontId="36" fillId="0" borderId="22" applyNumberFormat="0" applyFill="0" applyAlignment="0" applyProtection="0"/>
    <xf numFmtId="0" fontId="9" fillId="0" borderId="9" applyNumberFormat="0" applyFill="0" applyAlignment="0" applyProtection="0"/>
    <xf numFmtId="0" fontId="37" fillId="0" borderId="23" applyNumberFormat="0" applyFill="0" applyAlignment="0" applyProtection="0"/>
    <xf numFmtId="0" fontId="38" fillId="0" borderId="24" applyNumberFormat="0" applyFill="0" applyAlignment="0" applyProtection="0"/>
    <xf numFmtId="0" fontId="10" fillId="0" borderId="10" applyNumberFormat="0" applyFill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9" fillId="0" borderId="0" applyNumberFormat="0" applyFill="0" applyBorder="0" applyAlignment="0" applyProtection="0">
      <alignment vertical="top"/>
      <protection locked="0"/>
    </xf>
    <xf numFmtId="0" fontId="40" fillId="0" borderId="0" applyNumberFormat="0" applyFill="0" applyBorder="0" applyAlignment="0" applyProtection="0">
      <alignment vertical="top"/>
      <protection locked="0"/>
    </xf>
    <xf numFmtId="10" fontId="31" fillId="45" borderId="1" applyNumberFormat="0" applyBorder="0" applyAlignment="0" applyProtection="0"/>
    <xf numFmtId="0" fontId="41" fillId="22" borderId="15" applyNumberFormat="0" applyAlignment="0" applyProtection="0"/>
    <xf numFmtId="0" fontId="41" fillId="22" borderId="15" applyNumberFormat="0" applyAlignment="0" applyProtection="0"/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42" fillId="0" borderId="25" applyNumberFormat="0" applyFill="0" applyAlignment="0" applyProtection="0"/>
    <xf numFmtId="38" fontId="43" fillId="0" borderId="0" applyFont="0" applyFill="0" applyBorder="0" applyAlignment="0" applyProtection="0"/>
    <xf numFmtId="40" fontId="43" fillId="0" borderId="0" applyFont="0" applyFill="0" applyBorder="0" applyAlignment="0" applyProtection="0"/>
    <xf numFmtId="181" fontId="43" fillId="0" borderId="0" applyFont="0" applyFill="0" applyBorder="0" applyAlignment="0" applyProtection="0"/>
    <xf numFmtId="182" fontId="43" fillId="0" borderId="0" applyFont="0" applyFill="0" applyBorder="0" applyAlignment="0" applyProtection="0"/>
    <xf numFmtId="0" fontId="16" fillId="31" borderId="0" applyNumberFormat="0" applyBorder="0" applyAlignment="0" applyProtection="0"/>
    <xf numFmtId="183" fontId="44" fillId="0" borderId="0"/>
    <xf numFmtId="0" fontId="1" fillId="0" borderId="0"/>
    <xf numFmtId="0" fontId="4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" fillId="0" borderId="0">
      <alignment vertical="top"/>
    </xf>
    <xf numFmtId="0" fontId="1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1" fillId="0" borderId="0"/>
    <xf numFmtId="0" fontId="47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1" fillId="0" borderId="0"/>
    <xf numFmtId="0" fontId="47" fillId="0" borderId="0"/>
    <xf numFmtId="0" fontId="26" fillId="0" borderId="0">
      <alignment vertical="top"/>
    </xf>
    <xf numFmtId="0" fontId="1" fillId="0" borderId="0"/>
    <xf numFmtId="0" fontId="1" fillId="0" borderId="0"/>
    <xf numFmtId="0" fontId="26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7" fillId="0" borderId="0"/>
    <xf numFmtId="0" fontId="20" fillId="0" borderId="0"/>
    <xf numFmtId="0" fontId="1" fillId="0" borderId="0"/>
    <xf numFmtId="0" fontId="20" fillId="0" borderId="0"/>
    <xf numFmtId="0" fontId="48" fillId="0" borderId="0"/>
    <xf numFmtId="0" fontId="17" fillId="0" borderId="0"/>
    <xf numFmtId="0" fontId="20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9" fillId="0" borderId="0"/>
    <xf numFmtId="0" fontId="20" fillId="0" borderId="0"/>
    <xf numFmtId="0" fontId="1" fillId="0" borderId="0"/>
    <xf numFmtId="0" fontId="1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26" fillId="0" borderId="0">
      <alignment vertical="top"/>
    </xf>
    <xf numFmtId="0" fontId="5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31" fillId="24" borderId="26" applyNumberFormat="0" applyFont="0" applyAlignment="0" applyProtection="0"/>
    <xf numFmtId="0" fontId="17" fillId="6" borderId="13" applyNumberFormat="0" applyFont="0" applyAlignment="0" applyProtection="0"/>
    <xf numFmtId="0" fontId="31" fillId="24" borderId="26" applyNumberFormat="0" applyFont="0" applyAlignment="0" applyProtection="0"/>
    <xf numFmtId="0" fontId="1" fillId="6" borderId="13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17" fillId="24" borderId="26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52" fillId="28" borderId="27" applyNumberFormat="0" applyAlignment="0" applyProtection="0"/>
    <xf numFmtId="0" fontId="52" fillId="42" borderId="27" applyNumberFormat="0" applyAlignment="0" applyProtection="0"/>
    <xf numFmtId="0" fontId="11" fillId="5" borderId="12" applyNumberFormat="0" applyAlignment="0" applyProtection="0"/>
    <xf numFmtId="0" fontId="53" fillId="46" borderId="0"/>
    <xf numFmtId="175" fontId="22" fillId="0" borderId="0" applyFont="0" applyFill="0" applyBorder="0" applyAlignment="0" applyProtection="0"/>
    <xf numFmtId="184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43" fillId="0" borderId="28" applyNumberFormat="0" applyBorder="0"/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43" fillId="0" borderId="0" applyNumberFormat="0" applyFont="0" applyFill="0" applyBorder="0" applyAlignment="0" applyProtection="0">
      <alignment horizontal="left"/>
    </xf>
    <xf numFmtId="15" fontId="43" fillId="0" borderId="0" applyFont="0" applyFill="0" applyBorder="0" applyAlignment="0" applyProtection="0"/>
    <xf numFmtId="3" fontId="43" fillId="0" borderId="0" applyFont="0" applyFill="0" applyBorder="0" applyAlignment="0" applyProtection="0"/>
    <xf numFmtId="0" fontId="54" fillId="0" borderId="0"/>
    <xf numFmtId="0" fontId="5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9" fontId="26" fillId="0" borderId="0" applyFill="0" applyBorder="0" applyAlignment="0"/>
    <xf numFmtId="185" fontId="20" fillId="0" borderId="0" applyFill="0" applyBorder="0" applyAlignment="0"/>
    <xf numFmtId="186" fontId="20" fillId="0" borderId="0" applyFill="0" applyBorder="0" applyAlignment="0"/>
    <xf numFmtId="0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58" fillId="0" borderId="29" applyNumberFormat="0" applyFill="0" applyAlignment="0" applyProtection="0"/>
    <xf numFmtId="0" fontId="58" fillId="0" borderId="30" applyNumberFormat="0" applyFill="0" applyAlignment="0" applyProtection="0"/>
    <xf numFmtId="0" fontId="2" fillId="0" borderId="14" applyNumberFormat="0" applyFill="0" applyAlignment="0" applyProtection="0"/>
    <xf numFmtId="41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59" fillId="0" borderId="0" applyNumberFormat="0" applyFill="0" applyBorder="0" applyAlignment="0" applyProtection="0"/>
    <xf numFmtId="39" fontId="31" fillId="0" borderId="0"/>
    <xf numFmtId="0" fontId="16" fillId="31" borderId="0" applyNumberFormat="0" applyBorder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166" fontId="20" fillId="0" borderId="0" applyFont="0" applyFill="0" applyBorder="0" applyAlignment="0" applyProtection="0"/>
    <xf numFmtId="0" fontId="58" fillId="0" borderId="29" applyNumberFormat="0" applyFill="0" applyAlignment="0" applyProtection="0"/>
    <xf numFmtId="0" fontId="58" fillId="0" borderId="29" applyNumberFormat="0" applyFill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60" fillId="21" borderId="0" applyNumberFormat="0" applyBorder="0" applyAlignment="0" applyProtection="0">
      <alignment vertical="center"/>
    </xf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61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49" fillId="0" borderId="0"/>
    <xf numFmtId="0" fontId="56" fillId="0" borderId="0" applyNumberFormat="0" applyFill="0" applyBorder="0" applyAlignment="0" applyProtection="0"/>
    <xf numFmtId="0" fontId="33" fillId="0" borderId="20" applyNumberFormat="0" applyFill="0" applyAlignment="0" applyProtection="0"/>
    <xf numFmtId="0" fontId="35" fillId="0" borderId="22" applyNumberFormat="0" applyFill="0" applyAlignment="0" applyProtection="0"/>
    <xf numFmtId="0" fontId="37" fillId="0" borderId="23" applyNumberFormat="0" applyFill="0" applyAlignment="0" applyProtection="0"/>
    <xf numFmtId="0" fontId="37" fillId="0" borderId="0" applyNumberFormat="0" applyFill="0" applyBorder="0" applyAlignment="0" applyProtection="0"/>
    <xf numFmtId="0" fontId="62" fillId="0" borderId="0" applyNumberFormat="0" applyFill="0" applyBorder="0" applyAlignment="0" applyProtection="0">
      <alignment vertical="center"/>
    </xf>
    <xf numFmtId="0" fontId="24" fillId="43" borderId="16" applyNumberFormat="0" applyAlignment="0" applyProtection="0"/>
    <xf numFmtId="0" fontId="23" fillId="28" borderId="15" applyNumberFormat="0" applyAlignment="0" applyProtection="0"/>
    <xf numFmtId="0" fontId="23" fillId="28" borderId="15" applyNumberFormat="0" applyAlignment="0" applyProtection="0"/>
    <xf numFmtId="0" fontId="27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35" borderId="0" applyNumberFormat="0" applyBorder="0" applyAlignment="0" applyProtection="0"/>
    <xf numFmtId="0" fontId="18" fillId="34" borderId="0" applyNumberFormat="0" applyBorder="0" applyAlignment="0" applyProtection="0"/>
    <xf numFmtId="0" fontId="18" fillId="41" borderId="0" applyNumberFormat="0" applyBorder="0" applyAlignment="0" applyProtection="0"/>
    <xf numFmtId="0" fontId="41" fillId="22" borderId="15" applyNumberFormat="0" applyAlignment="0" applyProtection="0"/>
    <xf numFmtId="0" fontId="41" fillId="22" borderId="15" applyNumberFormat="0" applyAlignment="0" applyProtection="0"/>
    <xf numFmtId="0" fontId="52" fillId="28" borderId="27" applyNumberFormat="0" applyAlignment="0" applyProtection="0"/>
    <xf numFmtId="0" fontId="52" fillId="28" borderId="27" applyNumberFormat="0" applyAlignment="0" applyProtection="0"/>
    <xf numFmtId="0" fontId="42" fillId="0" borderId="25" applyNumberFormat="0" applyFill="0" applyAlignment="0" applyProtection="0"/>
  </cellStyleXfs>
  <cellXfs count="113">
    <xf numFmtId="0" fontId="0" fillId="0" borderId="0" xfId="0"/>
    <xf numFmtId="166" fontId="0" fillId="3" borderId="0" xfId="1" applyFont="1" applyFill="1"/>
    <xf numFmtId="0" fontId="0" fillId="0" borderId="0" xfId="0" quotePrefix="1"/>
    <xf numFmtId="10" fontId="0" fillId="0" borderId="0" xfId="0" applyNumberFormat="1"/>
    <xf numFmtId="0" fontId="0" fillId="0" borderId="0" xfId="0" applyFill="1"/>
    <xf numFmtId="167" fontId="0" fillId="0" borderId="0" xfId="0" applyNumberFormat="1" applyFill="1"/>
    <xf numFmtId="166" fontId="0" fillId="0" borderId="0" xfId="1" applyFont="1"/>
    <xf numFmtId="167" fontId="0" fillId="0" borderId="0" xfId="1" applyNumberFormat="1" applyFont="1"/>
    <xf numFmtId="10" fontId="0" fillId="0" borderId="0" xfId="0" applyNumberFormat="1"/>
    <xf numFmtId="10" fontId="0" fillId="0" borderId="0" xfId="2" applyNumberFormat="1" applyFont="1"/>
    <xf numFmtId="168" fontId="0" fillId="0" borderId="0" xfId="1" applyNumberFormat="1" applyFont="1"/>
    <xf numFmtId="168" fontId="0" fillId="3" borderId="0" xfId="1" applyNumberFormat="1" applyFont="1" applyFill="1"/>
    <xf numFmtId="167" fontId="0" fillId="3" borderId="0" xfId="1" applyNumberFormat="1" applyFont="1" applyFill="1"/>
    <xf numFmtId="167" fontId="0" fillId="0" borderId="0" xfId="1" applyNumberFormat="1" applyFont="1" applyFill="1"/>
    <xf numFmtId="0" fontId="0" fillId="0" borderId="0" xfId="0"/>
    <xf numFmtId="0" fontId="2" fillId="0" borderId="0" xfId="0" applyFont="1"/>
    <xf numFmtId="9" fontId="4" fillId="0" borderId="0" xfId="2" applyNumberFormat="1" applyFont="1"/>
    <xf numFmtId="0" fontId="6" fillId="0" borderId="1" xfId="0" applyFont="1" applyBorder="1"/>
    <xf numFmtId="0" fontId="0" fillId="0" borderId="0" xfId="0" applyAlignment="1">
      <alignment horizontal="left"/>
    </xf>
    <xf numFmtId="0" fontId="0" fillId="0" borderId="0" xfId="0"/>
    <xf numFmtId="0" fontId="3" fillId="0" borderId="0" xfId="0" applyFont="1"/>
    <xf numFmtId="167" fontId="0" fillId="0" borderId="0" xfId="1" applyNumberFormat="1" applyFont="1"/>
    <xf numFmtId="10" fontId="0" fillId="0" borderId="0" xfId="0" applyNumberFormat="1"/>
    <xf numFmtId="0" fontId="0" fillId="3" borderId="0" xfId="0" applyFill="1"/>
    <xf numFmtId="0" fontId="2" fillId="2" borderId="0" xfId="0" applyFont="1" applyFill="1" applyAlignment="1">
      <alignment horizontal="center" wrapText="1"/>
    </xf>
    <xf numFmtId="9" fontId="6" fillId="0" borderId="0" xfId="0" applyNumberFormat="1" applyFont="1" applyAlignment="1">
      <alignment horizontal="left"/>
    </xf>
    <xf numFmtId="0" fontId="0" fillId="0" borderId="2" xfId="0" applyBorder="1"/>
    <xf numFmtId="9" fontId="0" fillId="3" borderId="3" xfId="0" applyNumberFormat="1" applyFill="1" applyBorder="1"/>
    <xf numFmtId="0" fontId="0" fillId="0" borderId="4" xfId="0" applyBorder="1"/>
    <xf numFmtId="9" fontId="0" fillId="3" borderId="5" xfId="0" applyNumberFormat="1" applyFill="1" applyBorder="1"/>
    <xf numFmtId="0" fontId="0" fillId="0" borderId="6" xfId="0" applyBorder="1"/>
    <xf numFmtId="9" fontId="0" fillId="3" borderId="7" xfId="0" applyNumberFormat="1" applyFill="1" applyBorder="1"/>
    <xf numFmtId="169" fontId="5" fillId="0" borderId="0" xfId="0" applyNumberFormat="1" applyFont="1"/>
    <xf numFmtId="170" fontId="0" fillId="0" borderId="0" xfId="0" applyNumberFormat="1" applyFill="1"/>
    <xf numFmtId="171" fontId="0" fillId="0" borderId="0" xfId="0" applyNumberFormat="1" applyFill="1"/>
    <xf numFmtId="0" fontId="0" fillId="0" borderId="0" xfId="0" applyFill="1" applyBorder="1"/>
    <xf numFmtId="170" fontId="0" fillId="0" borderId="0" xfId="0" applyNumberFormat="1" applyFill="1" applyBorder="1"/>
    <xf numFmtId="171" fontId="0" fillId="0" borderId="0" xfId="0" applyNumberFormat="1" applyFill="1" applyBorder="1"/>
    <xf numFmtId="9" fontId="0" fillId="0" borderId="0" xfId="0" applyNumberFormat="1" applyFill="1"/>
    <xf numFmtId="0" fontId="2" fillId="0" borderId="0" xfId="0" applyFont="1" applyFill="1"/>
    <xf numFmtId="0" fontId="2" fillId="47" borderId="0" xfId="0" applyFont="1" applyFill="1"/>
    <xf numFmtId="0" fontId="2" fillId="47" borderId="0" xfId="0" applyFont="1" applyFill="1" applyAlignment="1">
      <alignment horizontal="center"/>
    </xf>
    <xf numFmtId="0" fontId="0" fillId="0" borderId="0" xfId="0" applyFill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0" fontId="2" fillId="48" borderId="0" xfId="0" applyFont="1" applyFill="1"/>
    <xf numFmtId="0" fontId="0" fillId="47" borderId="0" xfId="0" applyFill="1"/>
    <xf numFmtId="0" fontId="66" fillId="0" borderId="1" xfId="0" applyFont="1" applyBorder="1"/>
    <xf numFmtId="166" fontId="67" fillId="0" borderId="1" xfId="1" applyNumberFormat="1" applyFont="1" applyFill="1" applyBorder="1"/>
    <xf numFmtId="0" fontId="4" fillId="0" borderId="0" xfId="0" applyFont="1"/>
    <xf numFmtId="0" fontId="67" fillId="0" borderId="0" xfId="0" applyFont="1" applyAlignment="1">
      <alignment wrapText="1"/>
    </xf>
    <xf numFmtId="0" fontId="67" fillId="0" borderId="0" xfId="0" applyFont="1" applyFill="1" applyAlignment="1">
      <alignment horizontal="center" wrapText="1"/>
    </xf>
    <xf numFmtId="0" fontId="67" fillId="0" borderId="0" xfId="0" applyFont="1" applyAlignment="1">
      <alignment horizontal="center" wrapText="1"/>
    </xf>
    <xf numFmtId="0" fontId="4" fillId="0" borderId="1" xfId="0" applyFont="1" applyBorder="1"/>
    <xf numFmtId="9" fontId="4" fillId="0" borderId="1" xfId="0" applyNumberFormat="1" applyFont="1" applyFill="1" applyBorder="1"/>
    <xf numFmtId="0" fontId="4" fillId="0" borderId="0" xfId="0" applyFont="1" applyAlignment="1">
      <alignment horizontal="left"/>
    </xf>
    <xf numFmtId="0" fontId="4" fillId="4" borderId="0" xfId="0" applyFont="1" applyFill="1"/>
    <xf numFmtId="166" fontId="4" fillId="0" borderId="1" xfId="1" applyNumberFormat="1" applyFont="1" applyFill="1" applyBorder="1"/>
    <xf numFmtId="9" fontId="4" fillId="0" borderId="0" xfId="0" applyNumberFormat="1" applyFont="1" applyBorder="1"/>
    <xf numFmtId="167" fontId="4" fillId="0" borderId="1" xfId="0" applyNumberFormat="1" applyFont="1" applyBorder="1"/>
    <xf numFmtId="10" fontId="4" fillId="3" borderId="0" xfId="2" applyNumberFormat="1" applyFont="1" applyFill="1"/>
    <xf numFmtId="188" fontId="4" fillId="0" borderId="0" xfId="0" applyNumberFormat="1" applyFont="1" applyAlignment="1">
      <alignment horizontal="left"/>
    </xf>
    <xf numFmtId="10" fontId="4" fillId="0" borderId="0" xfId="2" applyNumberFormat="1" applyFont="1"/>
    <xf numFmtId="187" fontId="4" fillId="0" borderId="0" xfId="0" applyNumberFormat="1" applyFont="1" applyAlignment="1">
      <alignment horizontal="left"/>
    </xf>
    <xf numFmtId="9" fontId="4" fillId="0" borderId="0" xfId="2" applyFont="1" applyAlignment="1">
      <alignment horizontal="left" wrapText="1"/>
    </xf>
    <xf numFmtId="9" fontId="4" fillId="0" borderId="1" xfId="0" applyNumberFormat="1" applyFont="1" applyBorder="1"/>
    <xf numFmtId="167" fontId="4" fillId="0" borderId="0" xfId="1" applyNumberFormat="1" applyFont="1"/>
    <xf numFmtId="0" fontId="67" fillId="0" borderId="0" xfId="0" applyFont="1" applyAlignment="1">
      <alignment horizontal="left" wrapText="1"/>
    </xf>
    <xf numFmtId="0" fontId="4" fillId="0" borderId="0" xfId="0" applyFont="1" applyBorder="1"/>
    <xf numFmtId="0" fontId="4" fillId="0" borderId="0" xfId="0" applyFont="1" applyFill="1" applyBorder="1"/>
    <xf numFmtId="9" fontId="4" fillId="0" borderId="0" xfId="0" applyNumberFormat="1" applyFont="1" applyFill="1" applyBorder="1"/>
    <xf numFmtId="9" fontId="4" fillId="0" borderId="0" xfId="2" applyFont="1"/>
    <xf numFmtId="166" fontId="4" fillId="0" borderId="0" xfId="1" applyFont="1"/>
    <xf numFmtId="0" fontId="4" fillId="47" borderId="0" xfId="0" applyFont="1" applyFill="1"/>
    <xf numFmtId="0" fontId="67" fillId="47" borderId="0" xfId="0" applyFont="1" applyFill="1"/>
    <xf numFmtId="0" fontId="4" fillId="47" borderId="0" xfId="0" applyFont="1" applyFill="1" applyAlignment="1">
      <alignment horizontal="left"/>
    </xf>
    <xf numFmtId="0" fontId="67" fillId="47" borderId="0" xfId="0" applyFont="1" applyFill="1" applyAlignment="1">
      <alignment wrapText="1"/>
    </xf>
    <xf numFmtId="0" fontId="67" fillId="47" borderId="0" xfId="0" applyFont="1" applyFill="1" applyAlignment="1">
      <alignment horizontal="center" wrapText="1"/>
    </xf>
    <xf numFmtId="0" fontId="4" fillId="47" borderId="1" xfId="0" applyFont="1" applyFill="1" applyBorder="1"/>
    <xf numFmtId="167" fontId="4" fillId="47" borderId="1" xfId="1" applyNumberFormat="1" applyFont="1" applyFill="1" applyBorder="1"/>
    <xf numFmtId="0" fontId="66" fillId="0" borderId="0" xfId="0" applyFont="1" applyBorder="1"/>
    <xf numFmtId="166" fontId="67" fillId="0" borderId="0" xfId="1" applyNumberFormat="1" applyFont="1" applyFill="1" applyBorder="1"/>
    <xf numFmtId="0" fontId="4" fillId="0" borderId="0" xfId="0" applyFont="1" applyBorder="1" applyAlignment="1">
      <alignment horizontal="left"/>
    </xf>
    <xf numFmtId="167" fontId="4" fillId="0" borderId="0" xfId="0" applyNumberFormat="1" applyFont="1" applyBorder="1"/>
    <xf numFmtId="9" fontId="6" fillId="0" borderId="0" xfId="0" applyNumberFormat="1" applyFont="1" applyBorder="1" applyAlignment="1">
      <alignment horizontal="left"/>
    </xf>
    <xf numFmtId="9" fontId="4" fillId="0" borderId="0" xfId="2" applyFont="1" applyBorder="1"/>
    <xf numFmtId="0" fontId="0" fillId="0" borderId="0" xfId="0" applyBorder="1"/>
    <xf numFmtId="9" fontId="6" fillId="0" borderId="1" xfId="2" applyFont="1" applyBorder="1"/>
    <xf numFmtId="167" fontId="4" fillId="0" borderId="1" xfId="1" applyNumberFormat="1" applyFont="1" applyFill="1" applyBorder="1"/>
    <xf numFmtId="167" fontId="4" fillId="49" borderId="1" xfId="1" applyNumberFormat="1" applyFont="1" applyFill="1" applyBorder="1"/>
    <xf numFmtId="166" fontId="4" fillId="49" borderId="1" xfId="1" applyNumberFormat="1" applyFont="1" applyFill="1" applyBorder="1"/>
    <xf numFmtId="9" fontId="6" fillId="49" borderId="1" xfId="2" applyFont="1" applyFill="1" applyBorder="1"/>
    <xf numFmtId="166" fontId="67" fillId="49" borderId="1" xfId="1" applyNumberFormat="1" applyFont="1" applyFill="1" applyBorder="1"/>
    <xf numFmtId="167" fontId="4" fillId="50" borderId="1" xfId="1" applyNumberFormat="1" applyFont="1" applyFill="1" applyBorder="1"/>
    <xf numFmtId="166" fontId="4" fillId="50" borderId="1" xfId="1" applyNumberFormat="1" applyFont="1" applyFill="1" applyBorder="1"/>
    <xf numFmtId="9" fontId="6" fillId="50" borderId="1" xfId="2" applyFont="1" applyFill="1" applyBorder="1"/>
    <xf numFmtId="166" fontId="67" fillId="50" borderId="1" xfId="1" applyNumberFormat="1" applyFont="1" applyFill="1" applyBorder="1"/>
    <xf numFmtId="175" fontId="4" fillId="0" borderId="0" xfId="0" applyNumberFormat="1" applyFont="1" applyAlignment="1">
      <alignment horizontal="left"/>
    </xf>
    <xf numFmtId="0" fontId="68" fillId="0" borderId="0" xfId="0" applyFont="1" applyAlignment="1">
      <alignment horizontal="left"/>
    </xf>
    <xf numFmtId="166" fontId="4" fillId="47" borderId="1" xfId="1" applyNumberFormat="1" applyFont="1" applyFill="1" applyBorder="1"/>
    <xf numFmtId="0" fontId="6" fillId="47" borderId="1" xfId="0" applyFont="1" applyFill="1" applyBorder="1"/>
    <xf numFmtId="9" fontId="6" fillId="47" borderId="1" xfId="2" applyFont="1" applyFill="1" applyBorder="1"/>
    <xf numFmtId="0" fontId="0" fillId="47" borderId="0" xfId="0" applyFill="1" applyAlignment="1">
      <alignment horizontal="left"/>
    </xf>
    <xf numFmtId="0" fontId="66" fillId="47" borderId="1" xfId="0" applyFont="1" applyFill="1" applyBorder="1"/>
    <xf numFmtId="166" fontId="67" fillId="47" borderId="1" xfId="1" applyNumberFormat="1" applyFont="1" applyFill="1" applyBorder="1"/>
    <xf numFmtId="0" fontId="66" fillId="47" borderId="0" xfId="0" applyFont="1" applyFill="1" applyBorder="1"/>
    <xf numFmtId="166" fontId="67" fillId="47" borderId="0" xfId="1" applyNumberFormat="1" applyFont="1" applyFill="1" applyBorder="1"/>
    <xf numFmtId="0" fontId="69" fillId="0" borderId="0" xfId="0" applyFont="1" applyAlignment="1">
      <alignment wrapText="1"/>
    </xf>
    <xf numFmtId="0" fontId="0" fillId="0" borderId="0" xfId="0" applyFill="1" applyAlignment="1">
      <alignment horizontal="left"/>
    </xf>
    <xf numFmtId="167" fontId="4" fillId="51" borderId="1" xfId="1" applyNumberFormat="1" applyFont="1" applyFill="1" applyBorder="1"/>
    <xf numFmtId="166" fontId="4" fillId="51" borderId="1" xfId="1" applyNumberFormat="1" applyFont="1" applyFill="1" applyBorder="1"/>
    <xf numFmtId="9" fontId="6" fillId="51" borderId="1" xfId="2" applyFont="1" applyFill="1" applyBorder="1"/>
    <xf numFmtId="166" fontId="67" fillId="51" borderId="1" xfId="1" applyNumberFormat="1" applyFont="1" applyFill="1" applyBorder="1"/>
    <xf numFmtId="0" fontId="63" fillId="0" borderId="0" xfId="0" applyFont="1" applyFill="1" applyBorder="1" applyAlignment="1">
      <alignment horizontal="left" wrapText="1"/>
    </xf>
  </cellXfs>
  <cellStyles count="4392">
    <cellStyle name=" 1" xfId="3"/>
    <cellStyle name="_07PERIOD 10" xfId="4"/>
    <cellStyle name="_07PERIOD 11" xfId="5"/>
    <cellStyle name="_07PERIOD 12 ALL" xfId="6"/>
    <cellStyle name="_08PERIOD 01" xfId="7"/>
    <cellStyle name="_08PERIOD 02" xfId="8"/>
    <cellStyle name="_08PERIOD 03" xfId="9"/>
    <cellStyle name="_113-" xfId="10"/>
    <cellStyle name="_113-_AUHKNRl(1320113)P02- Mar 08" xfId="11"/>
    <cellStyle name="_113-_AUHKNRl(1320113)P03-APR 08" xfId="12"/>
    <cellStyle name="_113-_Book5" xfId="13"/>
    <cellStyle name="_113-_HK(1320113)P03- Apr 08" xfId="14"/>
    <cellStyle name="_113-_HK(1320113)P04- MAY 08R" xfId="15"/>
    <cellStyle name="_113-_HK_SH_TH AR P02_09(revised)" xfId="16"/>
    <cellStyle name="_113-_HK_SH_TH AR P03_09" xfId="17"/>
    <cellStyle name="_113-_Lipsy_AR - SH P12" xfId="18"/>
    <cellStyle name="_113-_TH_SCH PD03 (AR)" xfId="19"/>
    <cellStyle name="_113-_TH_SCH PD03 (AR)_OTH REC'B - UK DN" xfId="20"/>
    <cellStyle name="_113-_TH_SCH PD03 (AR)_副本Shanghai DN 20090731 (SH2F) (2)" xfId="21"/>
    <cellStyle name="_113-_UKDN" xfId="22"/>
    <cellStyle name="_113-_UKDN_SHANGHAI_300908 (REVISED ON 2.10.08)" xfId="23"/>
    <cellStyle name="_113-_UKDN_SHANGHAI_300908 (REVISED ON 2.10.08)_OTH REC'B - UK DN" xfId="24"/>
    <cellStyle name="_113-_UKDN_SHANGHAI_300908 (REVISED ON 2.10.08)_副本Shanghai DN 20090731 (SH2F) (2)" xfId="25"/>
    <cellStyle name="_113-_UKDN_SHANGHAI_310808" xfId="26"/>
    <cellStyle name="_113-_UKDN_SHANGHAI_310808_OTH REC'B - UK DN" xfId="27"/>
    <cellStyle name="_113-_UKDN_SHANGHAI_310808_副本Shanghai DN 20090731 (SH2F) (2)" xfId="28"/>
    <cellStyle name="_113-_UKDN_SHANGHAI_311208" xfId="29"/>
    <cellStyle name="_113-_UKDN_SHANGHAI_311208_OTH REC'B - UK DN" xfId="30"/>
    <cellStyle name="_113-_UKDN_SHANGHAI_311208_副本Shanghai DN 20090731 (SH2F) (2)" xfId="31"/>
    <cellStyle name="_113-_UKDN_SHANGHAI_P01-09" xfId="32"/>
    <cellStyle name="_113-_UKDN_SHANGHAI_P01-09_1415201 HK-PROV CLAIMS (P06_09)" xfId="33"/>
    <cellStyle name="_113-_UKDN_SHANGHAI_P01-09_OTH REC'B - UK DN" xfId="34"/>
    <cellStyle name="_113-_UKDN_SHANGHAI_P01-09_副本Shanghai DN 20090731 (SH2F) (2)" xfId="35"/>
    <cellStyle name="_113-_UKDN_SHANGHAI_P02-09" xfId="36"/>
    <cellStyle name="_113-_UKDN_SHANGHAI_P02-09_1415201 HK-PROV CLAIMS (P06_09)" xfId="37"/>
    <cellStyle name="_113-_UKDN_SHANGHAI_P02-09_OTH REC'B - UK DN" xfId="38"/>
    <cellStyle name="_113-_UKDN_SHANGHAI_P02-09_副本Shanghai DN 20090731 (SH2F) (2)" xfId="39"/>
    <cellStyle name="_113-_UKDN_SHANGHAI_P03-09" xfId="40"/>
    <cellStyle name="_113-_UKDN_SHANGHAI_P03-09_1415201 HK-PROV CLAIMS (P06_09)" xfId="41"/>
    <cellStyle name="_113-_UKDN_SHANGHAI_P03-09_OTH REC'B - UK DN" xfId="42"/>
    <cellStyle name="_113-_UKDN_SHANGHAI_P03-09_副本Shanghai DN 20090731 (SH2F) (2)" xfId="43"/>
    <cellStyle name="_113-_UKDN_SHANGHAI_P04-09" xfId="44"/>
    <cellStyle name="_113-_UKDN_SHANGHAI_P04-09 (Revised on 04.06.09)" xfId="45"/>
    <cellStyle name="_113-_UKDN_SHANGHAI_P04-09 (Revised on 04.06.09)_OTH REC'B - UK DN" xfId="46"/>
    <cellStyle name="_113-_UKDN_SHANGHAI_P04-09 (Revised on 04.06.09)_副本Shanghai DN 20090731 (SH2F) (2)" xfId="47"/>
    <cellStyle name="_113-_UKDN_SHANGHAI_P04-09_1415201 HK-PROV CLAIMS (P06_09)" xfId="48"/>
    <cellStyle name="_113-_UKDN_SHANGHAI_P12-08" xfId="49"/>
    <cellStyle name="_113-_UKDN_SHANGHAI_P12-08 (310109)" xfId="50"/>
    <cellStyle name="_113-_UKDN_SHANGHAI_P12-08 (310109)_1415201 HK-PROV CLAIMS (P06_09)" xfId="51"/>
    <cellStyle name="_113-_UKDN_SHANGHAI_P12-08 (310109)_OTH REC'B - UK DN" xfId="52"/>
    <cellStyle name="_113-_UKDN_SHANGHAI_P12-08 (310109)_副本Shanghai DN 20090731 (SH2F) (2)" xfId="53"/>
    <cellStyle name="_113-_UKDN_SHANGHAI_P12-08_1415201 HK-PROV CLAIMS (P06_09)" xfId="54"/>
    <cellStyle name="_113-_UKDN_SHANGHAI_P12-08_OTH REC'B - UK DN" xfId="55"/>
    <cellStyle name="_113-_UKDN_SHANGHAI_P12-08_副本Shanghai DN 20090731 (SH2F) (2)" xfId="56"/>
    <cellStyle name="_113-_UKDN_THAILAND P01-09" xfId="57"/>
    <cellStyle name="_113-_UKDN_THAILAND P01-09_1415201 HK-PROV CLAIMS (P06_09)" xfId="58"/>
    <cellStyle name="_113-_UKDN_THAILAND P01-09_OTH REC'B - UK DN" xfId="59"/>
    <cellStyle name="_113-_UKDN_THAILAND P01-09_副本Shanghai DN 20090731 (SH2F) (2)" xfId="60"/>
    <cellStyle name="_113-_UKDN_THAILAND P02-09" xfId="61"/>
    <cellStyle name="_113-_UKDN_THAILAND P02-09_1415201 HK-PROV CLAIMS (P06_09)" xfId="62"/>
    <cellStyle name="_113-_UKDN_THAILAND P02-09_OTH REC'B - UK DN" xfId="63"/>
    <cellStyle name="_113-_UKDN_THAILAND P02-09_副本Shanghai DN 20090731 (SH2F) (2)" xfId="64"/>
    <cellStyle name="_113-_UKDN_THAILAND P03-09" xfId="65"/>
    <cellStyle name="_113-_UKDN_THAILAND P03-09_1415201 HK-PROV CLAIMS (P06_09)" xfId="66"/>
    <cellStyle name="_113-_UKDN_THAILAND P03-09_OTH REC'B - UK DN" xfId="67"/>
    <cellStyle name="_113-_UKDN_THAILAND P03-09_副本Shanghai DN 20090731 (SH2F) (2)" xfId="68"/>
    <cellStyle name="_113-_UKDN_THAILAND P04-09" xfId="69"/>
    <cellStyle name="_113-_UKDN_THAILAND P04-09_1415201 HK-PROV CLAIMS (P06_09)" xfId="70"/>
    <cellStyle name="_113-_UKDN_THAILAND P05-09" xfId="71"/>
    <cellStyle name="_113-_UKDN_THAILAND P06-09" xfId="72"/>
    <cellStyle name="_113-_UKDN_THAILAND P07-09" xfId="73"/>
    <cellStyle name="_113-_UKDN_THAILAND P08-09" xfId="74"/>
    <cellStyle name="_113-_UKDN_THAILAND P09-09" xfId="75"/>
    <cellStyle name="_113-_UKDN_THAILAND P10-09" xfId="76"/>
    <cellStyle name="_113-_UKDN_THAILAND P11-09" xfId="77"/>
    <cellStyle name="_113-_UKDN_THAILAND P12" xfId="78"/>
    <cellStyle name="_113-_UKDN_THAILAND P12_1415201 HK-PROV CLAIMS (P06_09)" xfId="79"/>
    <cellStyle name="_113-_UKDN_THAILAND P12_OTH REC'B - UK DN" xfId="80"/>
    <cellStyle name="_113-_UKDN_THAILAND P12_副本Shanghai DN 20090731 (SH2F) (2)" xfId="81"/>
    <cellStyle name="_113-_UKDN_THAILAND P12-08 (310109)" xfId="82"/>
    <cellStyle name="_113-_UKDN_THAILAND P12-08 (310109)_1415201 HK-PROV CLAIMS (P06_09)" xfId="83"/>
    <cellStyle name="_113-_UKDN_THAILAND P12-08 (310109)_OTH REC'B - UK DN" xfId="84"/>
    <cellStyle name="_113-_UKDN_THAILAND P12-08 (310109)_副本Shanghai DN 20090731 (SH2F) (2)" xfId="85"/>
    <cellStyle name="_113-_UKDN_THAILAND P12-09" xfId="86"/>
    <cellStyle name="_113-_UKDN_TURKEY_290208" xfId="87"/>
    <cellStyle name="_113-_UKDN_TURKEY_290208_HK(1320113)P03- Apr 08" xfId="88"/>
    <cellStyle name="_113-_UKDN_TURKEY_290208_HK(1320113)P04- MAY 08R" xfId="89"/>
    <cellStyle name="_113-_UKDN_TURKEY_290208_UKDN_SHANGHAI_P02-09" xfId="90"/>
    <cellStyle name="_113-_UKDN_TURKEY_290208_UKDN_TURKEY_300408" xfId="91"/>
    <cellStyle name="_113-_UKDN_TURKEY_290208_UKDN_TURKEY_310508" xfId="92"/>
    <cellStyle name="_113-_UKDN_TURKEY_290208_UKDN-PD0209" xfId="93"/>
    <cellStyle name="_113-_UKDN_TURKEY_290208_UKDN-PD0209_1415201 HK-PROV CLAIMS (P06_09)" xfId="94"/>
    <cellStyle name="_113-_UKDN_TURKEY_290208_UKDN-PD0209_OTH REC'B - UK DN" xfId="95"/>
    <cellStyle name="_113-_UKDN_TURKEY_290208_UKDN-PD0209_副本Shanghai DN 20090731 (SH2F) (2)" xfId="96"/>
    <cellStyle name="_113-_UKDN_TURKEY_300408" xfId="97"/>
    <cellStyle name="_113-_UKDN_TURKEY_300408_1415201 HK-PROV CLAIMS (P06_09)" xfId="98"/>
    <cellStyle name="_113-_UKDN_TURKEY_300408_OTH REC'B - UK DN" xfId="99"/>
    <cellStyle name="_113-_UKDN_TURKEY_300408_副本Shanghai DN 20090731 (SH2F) (2)" xfId="100"/>
    <cellStyle name="_113-_UKDN_TURKEY_310308" xfId="101"/>
    <cellStyle name="_113-_UKDN_TURKEY_310308_HK(1320113)P03- Apr 08" xfId="102"/>
    <cellStyle name="_113-_UKDN_TURKEY_310308_HK(1320113)P04- MAY 08R" xfId="103"/>
    <cellStyle name="_113-_UKDN_TURKEY_310308_UKDN_SHANGHAI_P02-09" xfId="104"/>
    <cellStyle name="_113-_UKDN_TURKEY_310308_UKDN_TURKEY_300408" xfId="105"/>
    <cellStyle name="_113-_UKDN_TURKEY_310308_UKDN_TURKEY_310508" xfId="106"/>
    <cellStyle name="_113-_UKDN_TURKEY_310308_UKDN-PD0209" xfId="107"/>
    <cellStyle name="_113-_UKDN_TURKEY_310308_UKDN-PD0209_1415201 HK-PROV CLAIMS (P06_09)" xfId="108"/>
    <cellStyle name="_113-_UKDN_TURKEY_310308_UKDN-PD0209_OTH REC'B - UK DN" xfId="109"/>
    <cellStyle name="_113-_UKDN_TURKEY_310308_UKDN-PD0209_副本Shanghai DN 20090731 (SH2F) (2)" xfId="110"/>
    <cellStyle name="_113-_UKDN_TURKEY_310508" xfId="111"/>
    <cellStyle name="_113-_UKDN_TURKEY_310508_1415201 HK-PROV CLAIMS (P06_09)" xfId="112"/>
    <cellStyle name="_113-_UKDN_TURKEY_310508_OTH REC'B - UK DN" xfId="113"/>
    <cellStyle name="_113-_UKDN_TURKEY_310508_副本Shanghai DN 20090731 (SH2F) (2)" xfId="114"/>
    <cellStyle name="_113-_UKDN-PD0108" xfId="115"/>
    <cellStyle name="_113-_UKDN-PD0208 (Revised) - April 08" xfId="116"/>
    <cellStyle name="_113-_UKDN-PD0209" xfId="117"/>
    <cellStyle name="_113-_UKDN-PD0308 (2)" xfId="118"/>
    <cellStyle name="_113-_UKDN-PD0708" xfId="119"/>
    <cellStyle name="_1320113-NEXT OTHER EXP-PD0308" xfId="120"/>
    <cellStyle name="_1415201 HK-PROV CLAIMS (P06_09)" xfId="121"/>
    <cellStyle name="_Accrual_Henry per Hyp 04 03 2011" xfId="122"/>
    <cellStyle name="_Accrual_Henry per Hyp 04 03 2011 10" xfId="123"/>
    <cellStyle name="_Accrual_Henry per Hyp 04 03 2011 11" xfId="124"/>
    <cellStyle name="_Accrual_Henry per Hyp 04 03 2011 12" xfId="125"/>
    <cellStyle name="_Accrual_Henry per Hyp 04 03 2011 13" xfId="126"/>
    <cellStyle name="_Accrual_Henry per Hyp 04 03 2011 14" xfId="127"/>
    <cellStyle name="_Accrual_Henry per Hyp 04 03 2011 15" xfId="128"/>
    <cellStyle name="_Accrual_Henry per Hyp 04 03 2011 16" xfId="129"/>
    <cellStyle name="_Accrual_Henry per Hyp 04 03 2011 17" xfId="130"/>
    <cellStyle name="_Accrual_Henry per Hyp 04 03 2011 2" xfId="131"/>
    <cellStyle name="_Accrual_Henry per Hyp 04 03 2011 3" xfId="132"/>
    <cellStyle name="_Accrual_Henry per Hyp 04 03 2011 4" xfId="133"/>
    <cellStyle name="_Accrual_Henry per Hyp 04 03 2011 5" xfId="134"/>
    <cellStyle name="_Accrual_Henry per Hyp 04 03 2011 6" xfId="135"/>
    <cellStyle name="_Accrual_Henry per Hyp 04 03 2011 7" xfId="136"/>
    <cellStyle name="_Accrual_Henry per Hyp 04 03 2011 8" xfId="137"/>
    <cellStyle name="_Accrual_Henry per Hyp 04 03 2011 9" xfId="138"/>
    <cellStyle name="_Accrual_Henry per Hyp 04 03 2011_2011 P12 PnL Vision - with BD" xfId="139"/>
    <cellStyle name="_Accrual_Henry per Hyp 04 03 2011_6017.24" xfId="140"/>
    <cellStyle name="_Accrual_Henry per Hyp 04 03 2011_AccountP (Aug)" xfId="141"/>
    <cellStyle name="_Accrual_Henry per Hyp 04 03 2011_AccountP (Dec)" xfId="142"/>
    <cellStyle name="_Accrual_Henry per Hyp 04 03 2011_AccountP (Feb)" xfId="143"/>
    <cellStyle name="_Accrual_Henry per Hyp 04 03 2011_AccountP (Jan)" xfId="144"/>
    <cellStyle name="_Accrual_Henry per Hyp 04 03 2011_AccountP (Jul)" xfId="145"/>
    <cellStyle name="_Accrual_Henry per Hyp 04 03 2011_AccountP (Jun)" xfId="146"/>
    <cellStyle name="_Accrual_Henry per Hyp 04 03 2011_AccountP (Mar)" xfId="147"/>
    <cellStyle name="_Accrual_Henry per Hyp 04 03 2011_AccountP (Nov)" xfId="148"/>
    <cellStyle name="_Accrual_Henry per Hyp 04 03 2011_AccountP (Oct)" xfId="149"/>
    <cellStyle name="_Accrual_Henry per Hyp 04 03 2011_AccountP (Sep)" xfId="150"/>
    <cellStyle name="_Accrual_Henry per Hyp 04 03 2011_Accrual movement " xfId="151"/>
    <cellStyle name="_Accrual_Henry per Hyp 04 03 2011_Accrual movement  (2)" xfId="152"/>
    <cellStyle name="_Accrual_Henry per Hyp 04 03 2011_App1.3(Computer)" xfId="153"/>
    <cellStyle name="_Accrual_Henry per Hyp 04 03 2011_Appendix 10.1 " xfId="154"/>
    <cellStyle name="_Accrual_Henry per Hyp 04 03 2011_Appendix 10.1  (Apr)" xfId="155"/>
    <cellStyle name="_Accrual_Henry per Hyp 04 03 2011_Appendix 10.1  (Dec)" xfId="156"/>
    <cellStyle name="_Accrual_Henry per Hyp 04 03 2011_Appendix 10.1  (Feb)" xfId="157"/>
    <cellStyle name="_Accrual_Henry per Hyp 04 03 2011_Appendix 10.1  (Jul)" xfId="158"/>
    <cellStyle name="_Accrual_Henry per Hyp 04 03 2011_Appendix 10.1  (May)" xfId="159"/>
    <cellStyle name="_Accrual_Henry per Hyp 04 03 2011_Appendix 10.1  (Nov)" xfId="160"/>
    <cellStyle name="_Accrual_Henry per Hyp 04 03 2011_Appendix 10.1  (Oct)" xfId="161"/>
    <cellStyle name="_Accrual_Henry per Hyp 04 03 2011_Appendix 10.1  (Sep)" xfId="162"/>
    <cellStyle name="_Accrual_Henry per Hyp 04 03 2011_Appendix 10.2" xfId="163"/>
    <cellStyle name="_Accrual_Henry per Hyp 04 03 2011_Appendix 10.2 (Apr)" xfId="164"/>
    <cellStyle name="_Accrual_Henry per Hyp 04 03 2011_Appendix 10.2 (Aug)" xfId="165"/>
    <cellStyle name="_Accrual_Henry per Hyp 04 03 2011_Appendix 10.2 (Dec)" xfId="166"/>
    <cellStyle name="_Accrual_Henry per Hyp 04 03 2011_Appendix 10.2 (Feb)" xfId="167"/>
    <cellStyle name="_Accrual_Henry per Hyp 04 03 2011_Appendix 10.2 (Jul)" xfId="168"/>
    <cellStyle name="_Accrual_Henry per Hyp 04 03 2011_Appendix 10.2 (May)" xfId="169"/>
    <cellStyle name="_Accrual_Henry per Hyp 04 03 2011_Appendix 10.2 (Nov)" xfId="170"/>
    <cellStyle name="_Accrual_Henry per Hyp 04 03 2011_Appendix 10.2 (Oct)" xfId="171"/>
    <cellStyle name="_Accrual_Henry per Hyp 04 03 2011_Appendix 10.3 (Oct)" xfId="172"/>
    <cellStyle name="_Accrual_Henry per Hyp 04 03 2011_Appendix 11 (Aug)" xfId="173"/>
    <cellStyle name="_Accrual_Henry per Hyp 04 03 2011_Appendix 11 (Dec)" xfId="174"/>
    <cellStyle name="_Accrual_Henry per Hyp 04 03 2011_Appendix 11 (Jul)" xfId="175"/>
    <cellStyle name="_Accrual_Henry per Hyp 04 03 2011_Appendix 12.1" xfId="176"/>
    <cellStyle name="_Accrual_Henry per Hyp 04 03 2011_Appendix 12.1 (Aug)" xfId="177"/>
    <cellStyle name="_Accrual_Henry per Hyp 04 03 2011_Appendix 12.1 (Mar)" xfId="178"/>
    <cellStyle name="_Accrual_Henry per Hyp 04 03 2011_Appendix 12.1 (May)" xfId="179"/>
    <cellStyle name="_Accrual_Henry per Hyp 04 03 2011_Appendix 12.1 (Nov)" xfId="180"/>
    <cellStyle name="_Accrual_Henry per Hyp 04 03 2011_Appendix 12.1 (Oct)" xfId="181"/>
    <cellStyle name="_Accrual_Henry per Hyp 04 03 2011_Appendix 12.1 (Sep)" xfId="182"/>
    <cellStyle name="_Accrual_Henry per Hyp 04 03 2011_Appendix 12.13" xfId="183"/>
    <cellStyle name="_Accrual_Henry per Hyp 04 03 2011_Appendix 12.2 (May)" xfId="184"/>
    <cellStyle name="_Accrual_Henry per Hyp 04 03 2011_Appendix 12.4 (May)" xfId="185"/>
    <cellStyle name="_Accrual_Henry per Hyp 04 03 2011_Appendix 12.6 (May)" xfId="186"/>
    <cellStyle name="_Accrual_Henry per Hyp 04 03 2011_Appendix 12.7 (May)" xfId="187"/>
    <cellStyle name="_Accrual_Henry per Hyp 04 03 2011_Appendix 12.7 (Nov)" xfId="188"/>
    <cellStyle name="_Accrual_Henry per Hyp 04 03 2011_Appendix 12.9 (May)" xfId="189"/>
    <cellStyle name="_Accrual_Henry per Hyp 04 03 2011_Appendix 13" xfId="190"/>
    <cellStyle name="_Accrual_Henry per Hyp 04 03 2011_Appendix 14" xfId="191"/>
    <cellStyle name="_Accrual_Henry per Hyp 04 03 2011_Appendix 14 (JRS)" xfId="192"/>
    <cellStyle name="_Accrual_Henry per Hyp 04 03 2011_Appendix 15" xfId="193"/>
    <cellStyle name="_Accrual_Henry per Hyp 04 03 2011_Appendix 15.1" xfId="194"/>
    <cellStyle name="_Accrual_Henry per Hyp 04 03 2011_Appendix 16" xfId="195"/>
    <cellStyle name="_Accrual_Henry per Hyp 04 03 2011_Appendix 17" xfId="196"/>
    <cellStyle name="_Accrual_Henry per Hyp 04 03 2011_Appendix 18" xfId="197"/>
    <cellStyle name="_Accrual_Henry per Hyp 04 03 2011_Appendix 3" xfId="198"/>
    <cellStyle name="_Accrual_Henry per Hyp 04 03 2011_Appendix 3 (SA)" xfId="199"/>
    <cellStyle name="_Accrual_Henry per Hyp 04 03 2011_Appendix 3(SA-p9)" xfId="200"/>
    <cellStyle name="_Accrual_Henry per Hyp 04 03 2011_Appendix 3.1 " xfId="201"/>
    <cellStyle name="_Accrual_Henry per Hyp 04 03 2011_Appendix 3.1  (2)" xfId="202"/>
    <cellStyle name="_Accrual_Henry per Hyp 04 03 2011_Appendix 3.1 (sa)" xfId="203"/>
    <cellStyle name="_Accrual_Henry per Hyp 04 03 2011_Appendix 3.1 (sa) (2)" xfId="204"/>
    <cellStyle name="_Accrual_Henry per Hyp 04 03 2011_Appendix 3.1 (sa-P9)  " xfId="205"/>
    <cellStyle name="_Accrual_Henry per Hyp 04 03 2011_Appendix 5" xfId="206"/>
    <cellStyle name="_Accrual_Henry per Hyp 04 03 2011_Appendix 5 (Apr)" xfId="207"/>
    <cellStyle name="_Accrual_Henry per Hyp 04 03 2011_Appendix 5 (Jul)" xfId="208"/>
    <cellStyle name="_Accrual_Henry per Hyp 04 03 2011_Appendix 5 (Jun)" xfId="209"/>
    <cellStyle name="_Accrual_Henry per Hyp 04 03 2011_Appendix 5 (Oct)" xfId="210"/>
    <cellStyle name="_Accrual_Henry per Hyp 04 03 2011_Appendix 5 (Sep)" xfId="211"/>
    <cellStyle name="_Accrual_Henry per Hyp 04 03 2011_Appendix 6" xfId="212"/>
    <cellStyle name="_Accrual_Henry per Hyp 04 03 2011_Appendix 6 " xfId="213"/>
    <cellStyle name="_Accrual_Henry per Hyp 04 03 2011_Appendix 6 (2)" xfId="214"/>
    <cellStyle name="_Accrual_Henry per Hyp 04 03 2011_Appendix 6 (OK)" xfId="215"/>
    <cellStyle name="_Accrual_Henry per Hyp 04 03 2011_Appendix 7" xfId="216"/>
    <cellStyle name="_Accrual_Henry per Hyp 04 03 2011_Appendix 8 (2)" xfId="217"/>
    <cellStyle name="_Accrual_Henry per Hyp 04 03 2011_Appendix 8 (Aug)" xfId="218"/>
    <cellStyle name="_Accrual_Henry per Hyp 04 03 2011_Appendix 8 (Feb)" xfId="219"/>
    <cellStyle name="_Accrual_Henry per Hyp 04 03 2011_Appendix 8 (Jan)" xfId="220"/>
    <cellStyle name="_Accrual_Henry per Hyp 04 03 2011_Appendix 8 (Jul)" xfId="221"/>
    <cellStyle name="_Accrual_Henry per Hyp 04 03 2011_Appendix 8 (May)" xfId="222"/>
    <cellStyle name="_Accrual_Henry per Hyp 04 03 2011_Appendix 8 (Sep)" xfId="223"/>
    <cellStyle name="_Accrual_Henry per Hyp 04 03 2011_BS" xfId="224"/>
    <cellStyle name="_Accrual_Henry per Hyp 04 03 2011_Cash advance - GBP 5871 07 17 May2011" xfId="225"/>
    <cellStyle name="_Accrual_Henry per Hyp 04 03 2011_Currencylog 31Aug11(SA)" xfId="226"/>
    <cellStyle name="_Accrual_Henry per Hyp 04 03 2011_GBP" xfId="227"/>
    <cellStyle name="_Accrual_Henry per Hyp 04 03 2011_P03 UK -BS Yr11-12(SA)-for refesh" xfId="228"/>
    <cellStyle name="_Accrual_Henry per Hyp 04 03 2011_P1 UK -BS Yr12-13(Miu)" xfId="229"/>
    <cellStyle name="_Accrual_Henry per Hyp 04 03 2011_P10 UK -BS Yr12-13(SA)-for refesh" xfId="230"/>
    <cellStyle name="_Accrual_Henry per Hyp 04 03 2011_P12 2011 UK -BS Yr11-12(SA)-for refesh" xfId="231"/>
    <cellStyle name="_Accrual_Henry per Hyp 04 03 2011_P12 2011 UK -BS Yr11-12(SA)-for refesh-working for tax pack" xfId="232"/>
    <cellStyle name="_Accrual_Henry per Hyp 04 03 2011_P12 UK -BS Yr11-12(SA)-for refesh" xfId="233"/>
    <cellStyle name="_Accrual_Henry per Hyp 04 03 2011_P2 UK -BS Yr11-12 (SA)" xfId="234"/>
    <cellStyle name="_Accrual_Henry per Hyp 04 03 2011_P3 UK -BS Yr11-12 (SA)" xfId="235"/>
    <cellStyle name="_Accrual_Henry per Hyp 04 03 2011_P4 UK -BS Yr11-12" xfId="236"/>
    <cellStyle name="_Accrual_Henry per Hyp 04 03 2011_P4 UK -BS Yr11-12(Miu)" xfId="237"/>
    <cellStyle name="_Accrual_Henry per Hyp 04 03 2011_P4 UK -BS Yr11-12(Miu-1)" xfId="238"/>
    <cellStyle name="_Accrual_Henry per Hyp 04 03 2011_P4 UK -BS Yr11-12(SA)" xfId="239"/>
    <cellStyle name="_Accrual_Henry per Hyp 04 03 2011_P4 UK -BS Yr12-13(Miu)" xfId="240"/>
    <cellStyle name="_Accrual_Henry per Hyp 04 03 2011_P6 UK -BS Yr11-12(SA)" xfId="241"/>
    <cellStyle name="_Accrual_Henry per Hyp 04 03 2011_P7 UK -BS Yr11-12(SA)" xfId="242"/>
    <cellStyle name="_Accrual_Henry per Hyp 04 03 2011_P9 PnL BS only" xfId="243"/>
    <cellStyle name="_Accrual_Henry per Hyp 04 03 2011_P9 PnL BS only- testing" xfId="244"/>
    <cellStyle name="_Accrual_Henry per Hyp 04 03 2011_Petty Cash 30Aug2011(to Cindy)" xfId="245"/>
    <cellStyle name="_Accrual_Henry per Hyp 04 03 2011_temp - P4" xfId="246"/>
    <cellStyle name="_AUHKNRl(1320113)P12-26 JAN 08v1" xfId="247"/>
    <cellStyle name="_AUHKNRl(1320113)P12-26 JAN 08v1_113-" xfId="248"/>
    <cellStyle name="_AUHKNRl(1320113)P12-26 JAN 08v1_AUHKNRl(1320113)P01- FEB 08" xfId="249"/>
    <cellStyle name="_AUHKNRl(1320113)P12-26 JAN 08v1_AUHKNRl(1320113)P02- Mar 08" xfId="250"/>
    <cellStyle name="_AUHKNRl(1320113)P12-26 JAN 08v1_AUHKNRl(1320113)P03-APR 08" xfId="251"/>
    <cellStyle name="_AUHKNRl(1320113)P12-26 JAN 08v1_AUHKNRl(1320113)P12-31 JAN 08" xfId="252"/>
    <cellStyle name="_AUHKNRl(1320113)P12-26 JAN 08v1_AUHKNRl(1320113)P12-31 JAN 08w" xfId="253"/>
    <cellStyle name="_AUHKNRl(1320113)P12-26 JAN 08v1_Book5" xfId="254"/>
    <cellStyle name="_AUHKNRl(1320113)P12-26 JAN 08v1_HK(1320113)P03- Apr 08" xfId="255"/>
    <cellStyle name="_AUHKNRl(1320113)P12-26 JAN 08v1_HK(1320113)P04- MAY 08R" xfId="256"/>
    <cellStyle name="_AUHKNRl(1320113)P12-26 JAN 08v1_UKDN" xfId="257"/>
    <cellStyle name="_AUHKNRl(1320113)P12-26 JAN 08v1_UKDN_SHANGHAI_P02-09" xfId="258"/>
    <cellStyle name="_AUHKNRl(1320113)P12-26 JAN 08v1_UKDN_TURKEY_290208" xfId="259"/>
    <cellStyle name="_AUHKNRl(1320113)P12-26 JAN 08v1_UKDN_TURKEY_300408" xfId="260"/>
    <cellStyle name="_AUHKNRl(1320113)P12-26 JAN 08v1_UKDN_TURKEY_310308" xfId="261"/>
    <cellStyle name="_AUHKNRl(1320113)P12-26 JAN 08v1_UKDN_TURKEY_310508" xfId="262"/>
    <cellStyle name="_AUHKNRl(1320113)P12-26 JAN 08v1_UKDN-PD0108" xfId="263"/>
    <cellStyle name="_AUHKNRl(1320113)P12-26 JAN 08v1_UKDN-PD0209" xfId="264"/>
    <cellStyle name="_AUHKNRl(1320113)P12-26 JAN 08v1_UKDN-PD0308 (2)" xfId="265"/>
    <cellStyle name="_AUHKNRl(1320113)P12-26 JAN 08v1_UKDN-PD0708" xfId="266"/>
    <cellStyle name="_AUHKNRl(1320113)P12-31 JAN 08" xfId="267"/>
    <cellStyle name="_AUHKNRl(1320113)P12-31 JAN 08_AUHKNRl(1320113)P02- Mar 08" xfId="268"/>
    <cellStyle name="_AUHKNRl(1320113)P12-31 JAN 08_AUHKNRl(1320113)P03-APR 08" xfId="269"/>
    <cellStyle name="_AUHKNRl(1320113)P12-31 JAN 08_Book5" xfId="270"/>
    <cellStyle name="_AUHKNRl(1320113)P12-31 JAN 08_HK(1320113)P03- Apr 08" xfId="271"/>
    <cellStyle name="_AUHKNRl(1320113)P12-31 JAN 08_HK(1320113)P04- MAY 08R" xfId="272"/>
    <cellStyle name="_AUHKNRl(1320113)P12-31 JAN 08_HK_SH_TH AR P02_09(revised)" xfId="273"/>
    <cellStyle name="_AUHKNRl(1320113)P12-31 JAN 08_HK_SH_TH AR P03_09" xfId="274"/>
    <cellStyle name="_AUHKNRl(1320113)P12-31 JAN 08_Lipsy_AR - SH P12" xfId="275"/>
    <cellStyle name="_AUHKNRl(1320113)P12-31 JAN 08_TH_SCH PD03 (AR)" xfId="276"/>
    <cellStyle name="_AUHKNRl(1320113)P12-31 JAN 08_TH_SCH PD03 (AR)_OTH REC'B - UK DN" xfId="277"/>
    <cellStyle name="_AUHKNRl(1320113)P12-31 JAN 08_TH_SCH PD03 (AR)_副本Shanghai DN 20090731 (SH2F) (2)" xfId="278"/>
    <cellStyle name="_AUHKNRl(1320113)P12-31 JAN 08_UKDN" xfId="279"/>
    <cellStyle name="_AUHKNRl(1320113)P12-31 JAN 08_UKDN_SHANGHAI_300908 (REVISED ON 2.10.08)" xfId="280"/>
    <cellStyle name="_AUHKNRl(1320113)P12-31 JAN 08_UKDN_SHANGHAI_300908 (REVISED ON 2.10.08)_OTH REC'B - UK DN" xfId="281"/>
    <cellStyle name="_AUHKNRl(1320113)P12-31 JAN 08_UKDN_SHANGHAI_300908 (REVISED ON 2.10.08)_副本Shanghai DN 20090731 (SH2F) (2)" xfId="282"/>
    <cellStyle name="_AUHKNRl(1320113)P12-31 JAN 08_UKDN_SHANGHAI_310808" xfId="283"/>
    <cellStyle name="_AUHKNRl(1320113)P12-31 JAN 08_UKDN_SHANGHAI_310808_OTH REC'B - UK DN" xfId="284"/>
    <cellStyle name="_AUHKNRl(1320113)P12-31 JAN 08_UKDN_SHANGHAI_310808_副本Shanghai DN 20090731 (SH2F) (2)" xfId="285"/>
    <cellStyle name="_AUHKNRl(1320113)P12-31 JAN 08_UKDN_SHANGHAI_311208" xfId="286"/>
    <cellStyle name="_AUHKNRl(1320113)P12-31 JAN 08_UKDN_SHANGHAI_311208_OTH REC'B - UK DN" xfId="287"/>
    <cellStyle name="_AUHKNRl(1320113)P12-31 JAN 08_UKDN_SHANGHAI_311208_副本Shanghai DN 20090731 (SH2F) (2)" xfId="288"/>
    <cellStyle name="_AUHKNRl(1320113)P12-31 JAN 08_UKDN_SHANGHAI_P01-09" xfId="289"/>
    <cellStyle name="_AUHKNRl(1320113)P12-31 JAN 08_UKDN_SHANGHAI_P01-09_1415201 HK-PROV CLAIMS (P06_09)" xfId="290"/>
    <cellStyle name="_AUHKNRl(1320113)P12-31 JAN 08_UKDN_SHANGHAI_P01-09_OTH REC'B - UK DN" xfId="291"/>
    <cellStyle name="_AUHKNRl(1320113)P12-31 JAN 08_UKDN_SHANGHAI_P01-09_副本Shanghai DN 20090731 (SH2F) (2)" xfId="292"/>
    <cellStyle name="_AUHKNRl(1320113)P12-31 JAN 08_UKDN_SHANGHAI_P02-09" xfId="293"/>
    <cellStyle name="_AUHKNRl(1320113)P12-31 JAN 08_UKDN_SHANGHAI_P02-09_1415201 HK-PROV CLAIMS (P06_09)" xfId="294"/>
    <cellStyle name="_AUHKNRl(1320113)P12-31 JAN 08_UKDN_SHANGHAI_P02-09_OTH REC'B - UK DN" xfId="295"/>
    <cellStyle name="_AUHKNRl(1320113)P12-31 JAN 08_UKDN_SHANGHAI_P02-09_副本Shanghai DN 20090731 (SH2F) (2)" xfId="296"/>
    <cellStyle name="_AUHKNRl(1320113)P12-31 JAN 08_UKDN_SHANGHAI_P03-09" xfId="297"/>
    <cellStyle name="_AUHKNRl(1320113)P12-31 JAN 08_UKDN_SHANGHAI_P03-09_1415201 HK-PROV CLAIMS (P06_09)" xfId="298"/>
    <cellStyle name="_AUHKNRl(1320113)P12-31 JAN 08_UKDN_SHANGHAI_P03-09_OTH REC'B - UK DN" xfId="299"/>
    <cellStyle name="_AUHKNRl(1320113)P12-31 JAN 08_UKDN_SHANGHAI_P03-09_副本Shanghai DN 20090731 (SH2F) (2)" xfId="300"/>
    <cellStyle name="_AUHKNRl(1320113)P12-31 JAN 08_UKDN_SHANGHAI_P04-09" xfId="301"/>
    <cellStyle name="_AUHKNRl(1320113)P12-31 JAN 08_UKDN_SHANGHAI_P04-09 (Revised on 04.06.09)" xfId="302"/>
    <cellStyle name="_AUHKNRl(1320113)P12-31 JAN 08_UKDN_SHANGHAI_P04-09 (Revised on 04.06.09)_OTH REC'B - UK DN" xfId="303"/>
    <cellStyle name="_AUHKNRl(1320113)P12-31 JAN 08_UKDN_SHANGHAI_P04-09 (Revised on 04.06.09)_副本Shanghai DN 20090731 (SH2F) (2)" xfId="304"/>
    <cellStyle name="_AUHKNRl(1320113)P12-31 JAN 08_UKDN_SHANGHAI_P04-09_1415201 HK-PROV CLAIMS (P06_09)" xfId="305"/>
    <cellStyle name="_AUHKNRl(1320113)P12-31 JAN 08_UKDN_SHANGHAI_P12-08" xfId="306"/>
    <cellStyle name="_AUHKNRl(1320113)P12-31 JAN 08_UKDN_SHANGHAI_P12-08 (310109)" xfId="307"/>
    <cellStyle name="_AUHKNRl(1320113)P12-31 JAN 08_UKDN_SHANGHAI_P12-08 (310109)_1415201 HK-PROV CLAIMS (P06_09)" xfId="308"/>
    <cellStyle name="_AUHKNRl(1320113)P12-31 JAN 08_UKDN_SHANGHAI_P12-08 (310109)_OTH REC'B - UK DN" xfId="309"/>
    <cellStyle name="_AUHKNRl(1320113)P12-31 JAN 08_UKDN_SHANGHAI_P12-08 (310109)_副本Shanghai DN 20090731 (SH2F) (2)" xfId="310"/>
    <cellStyle name="_AUHKNRl(1320113)P12-31 JAN 08_UKDN_SHANGHAI_P12-08_1415201 HK-PROV CLAIMS (P06_09)" xfId="311"/>
    <cellStyle name="_AUHKNRl(1320113)P12-31 JAN 08_UKDN_SHANGHAI_P12-08_OTH REC'B - UK DN" xfId="312"/>
    <cellStyle name="_AUHKNRl(1320113)P12-31 JAN 08_UKDN_SHANGHAI_P12-08_副本Shanghai DN 20090731 (SH2F) (2)" xfId="313"/>
    <cellStyle name="_AUHKNRl(1320113)P12-31 JAN 08_UKDN_THAILAND P01-09" xfId="314"/>
    <cellStyle name="_AUHKNRl(1320113)P12-31 JAN 08_UKDN_THAILAND P01-09_1415201 HK-PROV CLAIMS (P06_09)" xfId="315"/>
    <cellStyle name="_AUHKNRl(1320113)P12-31 JAN 08_UKDN_THAILAND P01-09_OTH REC'B - UK DN" xfId="316"/>
    <cellStyle name="_AUHKNRl(1320113)P12-31 JAN 08_UKDN_THAILAND P01-09_副本Shanghai DN 20090731 (SH2F) (2)" xfId="317"/>
    <cellStyle name="_AUHKNRl(1320113)P12-31 JAN 08_UKDN_THAILAND P02-09" xfId="318"/>
    <cellStyle name="_AUHKNRl(1320113)P12-31 JAN 08_UKDN_THAILAND P02-09_1415201 HK-PROV CLAIMS (P06_09)" xfId="319"/>
    <cellStyle name="_AUHKNRl(1320113)P12-31 JAN 08_UKDN_THAILAND P02-09_OTH REC'B - UK DN" xfId="320"/>
    <cellStyle name="_AUHKNRl(1320113)P12-31 JAN 08_UKDN_THAILAND P02-09_副本Shanghai DN 20090731 (SH2F) (2)" xfId="321"/>
    <cellStyle name="_AUHKNRl(1320113)P12-31 JAN 08_UKDN_THAILAND P03-09" xfId="322"/>
    <cellStyle name="_AUHKNRl(1320113)P12-31 JAN 08_UKDN_THAILAND P03-09_1415201 HK-PROV CLAIMS (P06_09)" xfId="323"/>
    <cellStyle name="_AUHKNRl(1320113)P12-31 JAN 08_UKDN_THAILAND P03-09_OTH REC'B - UK DN" xfId="324"/>
    <cellStyle name="_AUHKNRl(1320113)P12-31 JAN 08_UKDN_THAILAND P03-09_副本Shanghai DN 20090731 (SH2F) (2)" xfId="325"/>
    <cellStyle name="_AUHKNRl(1320113)P12-31 JAN 08_UKDN_THAILAND P04-09" xfId="326"/>
    <cellStyle name="_AUHKNRl(1320113)P12-31 JAN 08_UKDN_THAILAND P04-09_1415201 HK-PROV CLAIMS (P06_09)" xfId="327"/>
    <cellStyle name="_AUHKNRl(1320113)P12-31 JAN 08_UKDN_THAILAND P05-09" xfId="328"/>
    <cellStyle name="_AUHKNRl(1320113)P12-31 JAN 08_UKDN_THAILAND P06-09" xfId="329"/>
    <cellStyle name="_AUHKNRl(1320113)P12-31 JAN 08_UKDN_THAILAND P07-09" xfId="330"/>
    <cellStyle name="_AUHKNRl(1320113)P12-31 JAN 08_UKDN_THAILAND P08-09" xfId="331"/>
    <cellStyle name="_AUHKNRl(1320113)P12-31 JAN 08_UKDN_THAILAND P09-09" xfId="332"/>
    <cellStyle name="_AUHKNRl(1320113)P12-31 JAN 08_UKDN_THAILAND P10-09" xfId="333"/>
    <cellStyle name="_AUHKNRl(1320113)P12-31 JAN 08_UKDN_THAILAND P11-09" xfId="334"/>
    <cellStyle name="_AUHKNRl(1320113)P12-31 JAN 08_UKDN_THAILAND P12" xfId="335"/>
    <cellStyle name="_AUHKNRl(1320113)P12-31 JAN 08_UKDN_THAILAND P12_1415201 HK-PROV CLAIMS (P06_09)" xfId="336"/>
    <cellStyle name="_AUHKNRl(1320113)P12-31 JAN 08_UKDN_THAILAND P12_OTH REC'B - UK DN" xfId="337"/>
    <cellStyle name="_AUHKNRl(1320113)P12-31 JAN 08_UKDN_THAILAND P12_副本Shanghai DN 20090731 (SH2F) (2)" xfId="338"/>
    <cellStyle name="_AUHKNRl(1320113)P12-31 JAN 08_UKDN_THAILAND P12-08 (310109)" xfId="339"/>
    <cellStyle name="_AUHKNRl(1320113)P12-31 JAN 08_UKDN_THAILAND P12-08 (310109)_1415201 HK-PROV CLAIMS (P06_09)" xfId="340"/>
    <cellStyle name="_AUHKNRl(1320113)P12-31 JAN 08_UKDN_THAILAND P12-08 (310109)_OTH REC'B - UK DN" xfId="341"/>
    <cellStyle name="_AUHKNRl(1320113)P12-31 JAN 08_UKDN_THAILAND P12-08 (310109)_副本Shanghai DN 20090731 (SH2F) (2)" xfId="342"/>
    <cellStyle name="_AUHKNRl(1320113)P12-31 JAN 08_UKDN_THAILAND P12-09" xfId="343"/>
    <cellStyle name="_AUHKNRl(1320113)P12-31 JAN 08_UKDN_TURKEY_290208" xfId="344"/>
    <cellStyle name="_AUHKNRl(1320113)P12-31 JAN 08_UKDN_TURKEY_290208_HK(1320113)P03- Apr 08" xfId="345"/>
    <cellStyle name="_AUHKNRl(1320113)P12-31 JAN 08_UKDN_TURKEY_290208_HK(1320113)P04- MAY 08R" xfId="346"/>
    <cellStyle name="_AUHKNRl(1320113)P12-31 JAN 08_UKDN_TURKEY_290208_UKDN_SHANGHAI_P02-09" xfId="347"/>
    <cellStyle name="_AUHKNRl(1320113)P12-31 JAN 08_UKDN_TURKEY_290208_UKDN_TURKEY_300408" xfId="348"/>
    <cellStyle name="_AUHKNRl(1320113)P12-31 JAN 08_UKDN_TURKEY_290208_UKDN_TURKEY_310508" xfId="349"/>
    <cellStyle name="_AUHKNRl(1320113)P12-31 JAN 08_UKDN_TURKEY_290208_UKDN-PD0209" xfId="350"/>
    <cellStyle name="_AUHKNRl(1320113)P12-31 JAN 08_UKDN_TURKEY_290208_UKDN-PD0209_1415201 HK-PROV CLAIMS (P06_09)" xfId="351"/>
    <cellStyle name="_AUHKNRl(1320113)P12-31 JAN 08_UKDN_TURKEY_290208_UKDN-PD0209_OTH REC'B - UK DN" xfId="352"/>
    <cellStyle name="_AUHKNRl(1320113)P12-31 JAN 08_UKDN_TURKEY_290208_UKDN-PD0209_副本Shanghai DN 20090731 (SH2F) (2)" xfId="353"/>
    <cellStyle name="_AUHKNRl(1320113)P12-31 JAN 08_UKDN_TURKEY_300408" xfId="354"/>
    <cellStyle name="_AUHKNRl(1320113)P12-31 JAN 08_UKDN_TURKEY_300408_1415201 HK-PROV CLAIMS (P06_09)" xfId="355"/>
    <cellStyle name="_AUHKNRl(1320113)P12-31 JAN 08_UKDN_TURKEY_300408_OTH REC'B - UK DN" xfId="356"/>
    <cellStyle name="_AUHKNRl(1320113)P12-31 JAN 08_UKDN_TURKEY_300408_副本Shanghai DN 20090731 (SH2F) (2)" xfId="357"/>
    <cellStyle name="_AUHKNRl(1320113)P12-31 JAN 08_UKDN_TURKEY_310308" xfId="358"/>
    <cellStyle name="_AUHKNRl(1320113)P12-31 JAN 08_UKDN_TURKEY_310308_HK(1320113)P03- Apr 08" xfId="359"/>
    <cellStyle name="_AUHKNRl(1320113)P12-31 JAN 08_UKDN_TURKEY_310308_HK(1320113)P04- MAY 08R" xfId="360"/>
    <cellStyle name="_AUHKNRl(1320113)P12-31 JAN 08_UKDN_TURKEY_310308_UKDN_SHANGHAI_P02-09" xfId="361"/>
    <cellStyle name="_AUHKNRl(1320113)P12-31 JAN 08_UKDN_TURKEY_310308_UKDN_TURKEY_300408" xfId="362"/>
    <cellStyle name="_AUHKNRl(1320113)P12-31 JAN 08_UKDN_TURKEY_310308_UKDN_TURKEY_310508" xfId="363"/>
    <cellStyle name="_AUHKNRl(1320113)P12-31 JAN 08_UKDN_TURKEY_310308_UKDN-PD0209" xfId="364"/>
    <cellStyle name="_AUHKNRl(1320113)P12-31 JAN 08_UKDN_TURKEY_310308_UKDN-PD0209_1415201 HK-PROV CLAIMS (P06_09)" xfId="365"/>
    <cellStyle name="_AUHKNRl(1320113)P12-31 JAN 08_UKDN_TURKEY_310308_UKDN-PD0209_OTH REC'B - UK DN" xfId="366"/>
    <cellStyle name="_AUHKNRl(1320113)P12-31 JAN 08_UKDN_TURKEY_310308_UKDN-PD0209_副本Shanghai DN 20090731 (SH2F) (2)" xfId="367"/>
    <cellStyle name="_AUHKNRl(1320113)P12-31 JAN 08_UKDN_TURKEY_310508" xfId="368"/>
    <cellStyle name="_AUHKNRl(1320113)P12-31 JAN 08_UKDN_TURKEY_310508_1415201 HK-PROV CLAIMS (P06_09)" xfId="369"/>
    <cellStyle name="_AUHKNRl(1320113)P12-31 JAN 08_UKDN_TURKEY_310508_OTH REC'B - UK DN" xfId="370"/>
    <cellStyle name="_AUHKNRl(1320113)P12-31 JAN 08_UKDN_TURKEY_310508_副本Shanghai DN 20090731 (SH2F) (2)" xfId="371"/>
    <cellStyle name="_AUHKNRl(1320113)P12-31 JAN 08_UKDN-PD0108" xfId="372"/>
    <cellStyle name="_AUHKNRl(1320113)P12-31 JAN 08_UKDN-PD0208 (Revised) - April 08" xfId="373"/>
    <cellStyle name="_AUHKNRl(1320113)P12-31 JAN 08_UKDN-PD0209" xfId="374"/>
    <cellStyle name="_AUHKNRl(1320113)P12-31 JAN 08_UKDN-PD0308 (2)" xfId="375"/>
    <cellStyle name="_AUHKNRl(1320113)P12-31 JAN 08_UKDN-PD0708" xfId="376"/>
    <cellStyle name="_AUHKNRl(1320113)P12-31 JAN 08w" xfId="377"/>
    <cellStyle name="_Barclaycard" xfId="378"/>
    <cellStyle name="_Barclaycard 10" xfId="379"/>
    <cellStyle name="_Barclaycard 11" xfId="380"/>
    <cellStyle name="_Barclaycard 12" xfId="381"/>
    <cellStyle name="_Barclaycard 13" xfId="382"/>
    <cellStyle name="_Barclaycard 14" xfId="383"/>
    <cellStyle name="_Barclaycard 15" xfId="384"/>
    <cellStyle name="_Barclaycard 16" xfId="385"/>
    <cellStyle name="_Barclaycard 17" xfId="386"/>
    <cellStyle name="_Barclaycard 2" xfId="387"/>
    <cellStyle name="_Barclaycard 3" xfId="388"/>
    <cellStyle name="_Barclaycard 4" xfId="389"/>
    <cellStyle name="_Barclaycard 5" xfId="390"/>
    <cellStyle name="_Barclaycard 6" xfId="391"/>
    <cellStyle name="_Barclaycard 7" xfId="392"/>
    <cellStyle name="_Barclaycard 8" xfId="393"/>
    <cellStyle name="_Barclaycard 9" xfId="394"/>
    <cellStyle name="_Barclaycard_2011 P12 PnL Vision - with BD" xfId="395"/>
    <cellStyle name="_Barclaycard_6017.24" xfId="396"/>
    <cellStyle name="_Barclaycard_AccountP (Aug)" xfId="397"/>
    <cellStyle name="_Barclaycard_AccountP (Dec)" xfId="398"/>
    <cellStyle name="_Barclaycard_AccountP (Feb)" xfId="399"/>
    <cellStyle name="_Barclaycard_AccountP (Jan)" xfId="400"/>
    <cellStyle name="_Barclaycard_AccountP (Jul)" xfId="401"/>
    <cellStyle name="_Barclaycard_AccountP (Jun)" xfId="402"/>
    <cellStyle name="_Barclaycard_AccountP (Mar)" xfId="403"/>
    <cellStyle name="_Barclaycard_AccountP (Nov)" xfId="404"/>
    <cellStyle name="_Barclaycard_AccountP (Oct)" xfId="405"/>
    <cellStyle name="_Barclaycard_AccountP (Sep)" xfId="406"/>
    <cellStyle name="_Barclaycard_Accrual movement " xfId="407"/>
    <cellStyle name="_Barclaycard_Accrual movement  (2)" xfId="408"/>
    <cellStyle name="_Barclaycard_App1.3(Computer)" xfId="409"/>
    <cellStyle name="_Barclaycard_Appendix 10.1 " xfId="410"/>
    <cellStyle name="_Barclaycard_Appendix 10.1  (Apr)" xfId="411"/>
    <cellStyle name="_Barclaycard_Appendix 10.1  (Dec)" xfId="412"/>
    <cellStyle name="_Barclaycard_Appendix 10.1  (Feb)" xfId="413"/>
    <cellStyle name="_Barclaycard_Appendix 10.1  (Jul)" xfId="414"/>
    <cellStyle name="_Barclaycard_Appendix 10.1  (May)" xfId="415"/>
    <cellStyle name="_Barclaycard_Appendix 10.1  (Nov)" xfId="416"/>
    <cellStyle name="_Barclaycard_Appendix 10.1  (Oct)" xfId="417"/>
    <cellStyle name="_Barclaycard_Appendix 10.1  (Sep)" xfId="418"/>
    <cellStyle name="_Barclaycard_Appendix 10.2" xfId="419"/>
    <cellStyle name="_Barclaycard_Appendix 10.2 (Apr)" xfId="420"/>
    <cellStyle name="_Barclaycard_Appendix 10.2 (Aug)" xfId="421"/>
    <cellStyle name="_Barclaycard_Appendix 10.2 (Dec)" xfId="422"/>
    <cellStyle name="_Barclaycard_Appendix 10.2 (Feb)" xfId="423"/>
    <cellStyle name="_Barclaycard_Appendix 10.2 (Jul)" xfId="424"/>
    <cellStyle name="_Barclaycard_Appendix 10.2 (May)" xfId="425"/>
    <cellStyle name="_Barclaycard_Appendix 10.2 (Nov)" xfId="426"/>
    <cellStyle name="_Barclaycard_Appendix 10.2 (Oct)" xfId="427"/>
    <cellStyle name="_Barclaycard_Appendix 10.3 (Oct)" xfId="428"/>
    <cellStyle name="_Barclaycard_Appendix 11 (Aug)" xfId="429"/>
    <cellStyle name="_Barclaycard_Appendix 11 (Dec)" xfId="430"/>
    <cellStyle name="_Barclaycard_Appendix 11 (Jul)" xfId="431"/>
    <cellStyle name="_Barclaycard_Appendix 12.1" xfId="432"/>
    <cellStyle name="_Barclaycard_Appendix 12.1 (Aug)" xfId="433"/>
    <cellStyle name="_Barclaycard_Appendix 12.1 (Mar)" xfId="434"/>
    <cellStyle name="_Barclaycard_Appendix 12.1 (May)" xfId="435"/>
    <cellStyle name="_Barclaycard_Appendix 12.1 (Nov)" xfId="436"/>
    <cellStyle name="_Barclaycard_Appendix 12.1 (Oct)" xfId="437"/>
    <cellStyle name="_Barclaycard_Appendix 12.1 (Sep)" xfId="438"/>
    <cellStyle name="_Barclaycard_Appendix 12.13" xfId="439"/>
    <cellStyle name="_Barclaycard_Appendix 12.2 (May)" xfId="440"/>
    <cellStyle name="_Barclaycard_Appendix 12.4 (May)" xfId="441"/>
    <cellStyle name="_Barclaycard_Appendix 12.6 (May)" xfId="442"/>
    <cellStyle name="_Barclaycard_Appendix 12.7 (May)" xfId="443"/>
    <cellStyle name="_Barclaycard_Appendix 12.7 (Nov)" xfId="444"/>
    <cellStyle name="_Barclaycard_Appendix 12.9 (May)" xfId="445"/>
    <cellStyle name="_Barclaycard_Appendix 13" xfId="446"/>
    <cellStyle name="_Barclaycard_Appendix 14" xfId="447"/>
    <cellStyle name="_Barclaycard_Appendix 14 (JRS)" xfId="448"/>
    <cellStyle name="_Barclaycard_Appendix 15" xfId="449"/>
    <cellStyle name="_Barclaycard_Appendix 15.1" xfId="450"/>
    <cellStyle name="_Barclaycard_Appendix 16" xfId="451"/>
    <cellStyle name="_Barclaycard_Appendix 17" xfId="452"/>
    <cellStyle name="_Barclaycard_Appendix 18" xfId="453"/>
    <cellStyle name="_Barclaycard_Appendix 3" xfId="454"/>
    <cellStyle name="_Barclaycard_Appendix 3 (SA)" xfId="455"/>
    <cellStyle name="_Barclaycard_Appendix 3(SA-p9)" xfId="456"/>
    <cellStyle name="_Barclaycard_Appendix 3.1 " xfId="457"/>
    <cellStyle name="_Barclaycard_Appendix 3.1  (2)" xfId="458"/>
    <cellStyle name="_Barclaycard_Appendix 3.1 (sa)" xfId="459"/>
    <cellStyle name="_Barclaycard_Appendix 3.1 (sa) (2)" xfId="460"/>
    <cellStyle name="_Barclaycard_Appendix 3.1 (sa-P9)  " xfId="461"/>
    <cellStyle name="_Barclaycard_Appendix 5" xfId="462"/>
    <cellStyle name="_Barclaycard_Appendix 5 (Apr)" xfId="463"/>
    <cellStyle name="_Barclaycard_Appendix 5 (Jul)" xfId="464"/>
    <cellStyle name="_Barclaycard_Appendix 5 (Jun)" xfId="465"/>
    <cellStyle name="_Barclaycard_Appendix 5 (Oct)" xfId="466"/>
    <cellStyle name="_Barclaycard_Appendix 5 (Sep)" xfId="467"/>
    <cellStyle name="_Barclaycard_Appendix 6" xfId="468"/>
    <cellStyle name="_Barclaycard_Appendix 6 " xfId="469"/>
    <cellStyle name="_Barclaycard_Appendix 6 (2)" xfId="470"/>
    <cellStyle name="_Barclaycard_Appendix 6 (OK)" xfId="471"/>
    <cellStyle name="_Barclaycard_Appendix 7" xfId="472"/>
    <cellStyle name="_Barclaycard_Appendix 8 (2)" xfId="473"/>
    <cellStyle name="_Barclaycard_Appendix 8 (Aug)" xfId="474"/>
    <cellStyle name="_Barclaycard_Appendix 8 (Feb)" xfId="475"/>
    <cellStyle name="_Barclaycard_Appendix 8 (Jan)" xfId="476"/>
    <cellStyle name="_Barclaycard_Appendix 8 (Jul)" xfId="477"/>
    <cellStyle name="_Barclaycard_Appendix 8 (May)" xfId="478"/>
    <cellStyle name="_Barclaycard_Appendix 8 (Sep)" xfId="479"/>
    <cellStyle name="_Barclaycard_BS" xfId="480"/>
    <cellStyle name="_Barclaycard_Cash advance - GBP 5871 07 17 May2011" xfId="481"/>
    <cellStyle name="_Barclaycard_Currencylog 31Aug11(SA)" xfId="482"/>
    <cellStyle name="_Barclaycard_GBP" xfId="483"/>
    <cellStyle name="_Barclaycard_P03 UK -BS Yr11-12(SA)-for refesh" xfId="484"/>
    <cellStyle name="_Barclaycard_P1 UK -BS Yr12-13(Miu)" xfId="485"/>
    <cellStyle name="_Barclaycard_P10 UK -BS Yr12-13(SA)-for refesh" xfId="486"/>
    <cellStyle name="_Barclaycard_P12 2011 UK -BS Yr11-12(SA)-for refesh" xfId="487"/>
    <cellStyle name="_Barclaycard_P12 2011 UK -BS Yr11-12(SA)-for refesh-working for tax pack" xfId="488"/>
    <cellStyle name="_Barclaycard_P12 UK -BS Yr11-12(SA)-for refesh" xfId="489"/>
    <cellStyle name="_Barclaycard_P2 UK -BS Yr11-12 (SA)" xfId="490"/>
    <cellStyle name="_Barclaycard_P3 UK -BS Yr11-12 (SA)" xfId="491"/>
    <cellStyle name="_Barclaycard_P4 UK -BS Yr11-12" xfId="492"/>
    <cellStyle name="_Barclaycard_P4 UK -BS Yr11-12(Miu)" xfId="493"/>
    <cellStyle name="_Barclaycard_P4 UK -BS Yr11-12(Miu-1)" xfId="494"/>
    <cellStyle name="_Barclaycard_P4 UK -BS Yr11-12(SA)" xfId="495"/>
    <cellStyle name="_Barclaycard_P4 UK -BS Yr12-13(Miu)" xfId="496"/>
    <cellStyle name="_Barclaycard_P6 UK -BS Yr11-12(SA)" xfId="497"/>
    <cellStyle name="_Barclaycard_P7 UK -BS Yr11-12(SA)" xfId="498"/>
    <cellStyle name="_Barclaycard_P9 PnL BS only" xfId="499"/>
    <cellStyle name="_Barclaycard_P9 PnL BS only- testing" xfId="500"/>
    <cellStyle name="_Barclaycard_Petty Cash 30Aug2011(to Cindy)" xfId="501"/>
    <cellStyle name="_Barclaycard_temp - P4" xfId="502"/>
    <cellStyle name="_Book2" xfId="503"/>
    <cellStyle name="_Book4" xfId="504"/>
    <cellStyle name="_BS+PL P02_1NI - Kapil" xfId="505"/>
    <cellStyle name="_C-86 NSL CURRENT ACCOUNT-P-11-2011-2012" xfId="506"/>
    <cellStyle name="_Copy of Balance Sheet Schedule P9 (3)" xfId="507"/>
    <cellStyle name="_Copy of Balance Sheet Schedule P9 (3)_Accrual movement " xfId="508"/>
    <cellStyle name="_DN_LISTING OCT07" xfId="509"/>
    <cellStyle name="_DN_LISTING OCT07_HK(1320113)P03- Apr 08" xfId="510"/>
    <cellStyle name="_DN_LISTING OCT07_HK(1320113)P04- MAY 08R" xfId="511"/>
    <cellStyle name="_DN_LISTING OCT07_HK_SH_TH AR P02_09(revised)" xfId="512"/>
    <cellStyle name="_DN_LISTING OCT07_HK_SH_TH AR P03_09" xfId="513"/>
    <cellStyle name="_DN_LISTING OCT07_Lipsy_AR - SH P12" xfId="514"/>
    <cellStyle name="_DN_LISTING OCT07_TH_SCH PD03 (AR)" xfId="515"/>
    <cellStyle name="_DN_LISTING OCT07_TH_SCH PD03 (AR)_OTH REC'B - UK DN" xfId="516"/>
    <cellStyle name="_DN_LISTING OCT07_TH_SCH PD03 (AR)_副本Shanghai DN 20090731 (SH2F) (2)" xfId="517"/>
    <cellStyle name="_DN_LISTING OCT07_UKDN_SHANGHAI_300908 (REVISED ON 2.10.08)" xfId="518"/>
    <cellStyle name="_DN_LISTING OCT07_UKDN_SHANGHAI_300908 (REVISED ON 2.10.08)_OTH REC'B - UK DN" xfId="519"/>
    <cellStyle name="_DN_LISTING OCT07_UKDN_SHANGHAI_300908 (REVISED ON 2.10.08)_副本Shanghai DN 20090731 (SH2F) (2)" xfId="520"/>
    <cellStyle name="_DN_LISTING OCT07_UKDN_SHANGHAI_310808" xfId="521"/>
    <cellStyle name="_DN_LISTING OCT07_UKDN_SHANGHAI_310808_OTH REC'B - UK DN" xfId="522"/>
    <cellStyle name="_DN_LISTING OCT07_UKDN_SHANGHAI_310808_副本Shanghai DN 20090731 (SH2F) (2)" xfId="523"/>
    <cellStyle name="_DN_LISTING OCT07_UKDN_SHANGHAI_311208" xfId="524"/>
    <cellStyle name="_DN_LISTING OCT07_UKDN_SHANGHAI_311208_OTH REC'B - UK DN" xfId="525"/>
    <cellStyle name="_DN_LISTING OCT07_UKDN_SHANGHAI_311208_副本Shanghai DN 20090731 (SH2F) (2)" xfId="526"/>
    <cellStyle name="_DN_LISTING OCT07_UKDN_SHANGHAI_P01-09" xfId="527"/>
    <cellStyle name="_DN_LISTING OCT07_UKDN_SHANGHAI_P01-09_1415201 HK-PROV CLAIMS (P06_09)" xfId="528"/>
    <cellStyle name="_DN_LISTING OCT07_UKDN_SHANGHAI_P01-09_OTH REC'B - UK DN" xfId="529"/>
    <cellStyle name="_DN_LISTING OCT07_UKDN_SHANGHAI_P01-09_副本Shanghai DN 20090731 (SH2F) (2)" xfId="530"/>
    <cellStyle name="_DN_LISTING OCT07_UKDN_SHANGHAI_P02-09" xfId="531"/>
    <cellStyle name="_DN_LISTING OCT07_UKDN_SHANGHAI_P02-09_1415201 HK-PROV CLAIMS (P06_09)" xfId="532"/>
    <cellStyle name="_DN_LISTING OCT07_UKDN_SHANGHAI_P02-09_OTH REC'B - UK DN" xfId="533"/>
    <cellStyle name="_DN_LISTING OCT07_UKDN_SHANGHAI_P02-09_副本Shanghai DN 20090731 (SH2F) (2)" xfId="534"/>
    <cellStyle name="_DN_LISTING OCT07_UKDN_SHANGHAI_P03-09" xfId="535"/>
    <cellStyle name="_DN_LISTING OCT07_UKDN_SHANGHAI_P03-09_1415201 HK-PROV CLAIMS (P06_09)" xfId="536"/>
    <cellStyle name="_DN_LISTING OCT07_UKDN_SHANGHAI_P03-09_OTH REC'B - UK DN" xfId="537"/>
    <cellStyle name="_DN_LISTING OCT07_UKDN_SHANGHAI_P03-09_副本Shanghai DN 20090731 (SH2F) (2)" xfId="538"/>
    <cellStyle name="_DN_LISTING OCT07_UKDN_SHANGHAI_P04-09" xfId="539"/>
    <cellStyle name="_DN_LISTING OCT07_UKDN_SHANGHAI_P04-09 (Revised on 04.06.09)" xfId="540"/>
    <cellStyle name="_DN_LISTING OCT07_UKDN_SHANGHAI_P04-09 (Revised on 04.06.09)_OTH REC'B - UK DN" xfId="541"/>
    <cellStyle name="_DN_LISTING OCT07_UKDN_SHANGHAI_P04-09 (Revised on 04.06.09)_副本Shanghai DN 20090731 (SH2F) (2)" xfId="542"/>
    <cellStyle name="_DN_LISTING OCT07_UKDN_SHANGHAI_P04-09_1415201 HK-PROV CLAIMS (P06_09)" xfId="543"/>
    <cellStyle name="_DN_LISTING OCT07_UKDN_SHANGHAI_P12-08" xfId="544"/>
    <cellStyle name="_DN_LISTING OCT07_UKDN_SHANGHAI_P12-08 (310109)" xfId="545"/>
    <cellStyle name="_DN_LISTING OCT07_UKDN_SHANGHAI_P12-08 (310109)_1415201 HK-PROV CLAIMS (P06_09)" xfId="546"/>
    <cellStyle name="_DN_LISTING OCT07_UKDN_SHANGHAI_P12-08 (310109)_OTH REC'B - UK DN" xfId="547"/>
    <cellStyle name="_DN_LISTING OCT07_UKDN_SHANGHAI_P12-08 (310109)_副本Shanghai DN 20090731 (SH2F) (2)" xfId="548"/>
    <cellStyle name="_DN_LISTING OCT07_UKDN_SHANGHAI_P12-08_1415201 HK-PROV CLAIMS (P06_09)" xfId="549"/>
    <cellStyle name="_DN_LISTING OCT07_UKDN_SHANGHAI_P12-08_OTH REC'B - UK DN" xfId="550"/>
    <cellStyle name="_DN_LISTING OCT07_UKDN_SHANGHAI_P12-08_副本Shanghai DN 20090731 (SH2F) (2)" xfId="551"/>
    <cellStyle name="_DN_LISTING OCT07_UKDN_THAILAND P01-09" xfId="552"/>
    <cellStyle name="_DN_LISTING OCT07_UKDN_THAILAND P01-09_1415201 HK-PROV CLAIMS (P06_09)" xfId="553"/>
    <cellStyle name="_DN_LISTING OCT07_UKDN_THAILAND P01-09_OTH REC'B - UK DN" xfId="554"/>
    <cellStyle name="_DN_LISTING OCT07_UKDN_THAILAND P01-09_副本Shanghai DN 20090731 (SH2F) (2)" xfId="555"/>
    <cellStyle name="_DN_LISTING OCT07_UKDN_THAILAND P02-09" xfId="556"/>
    <cellStyle name="_DN_LISTING OCT07_UKDN_THAILAND P02-09_1415201 HK-PROV CLAIMS (P06_09)" xfId="557"/>
    <cellStyle name="_DN_LISTING OCT07_UKDN_THAILAND P02-09_OTH REC'B - UK DN" xfId="558"/>
    <cellStyle name="_DN_LISTING OCT07_UKDN_THAILAND P02-09_副本Shanghai DN 20090731 (SH2F) (2)" xfId="559"/>
    <cellStyle name="_DN_LISTING OCT07_UKDN_THAILAND P03-09" xfId="560"/>
    <cellStyle name="_DN_LISTING OCT07_UKDN_THAILAND P03-09_1415201 HK-PROV CLAIMS (P06_09)" xfId="561"/>
    <cellStyle name="_DN_LISTING OCT07_UKDN_THAILAND P03-09_OTH REC'B - UK DN" xfId="562"/>
    <cellStyle name="_DN_LISTING OCT07_UKDN_THAILAND P03-09_副本Shanghai DN 20090731 (SH2F) (2)" xfId="563"/>
    <cellStyle name="_DN_LISTING OCT07_UKDN_THAILAND P04-09" xfId="564"/>
    <cellStyle name="_DN_LISTING OCT07_UKDN_THAILAND P04-09_1415201 HK-PROV CLAIMS (P06_09)" xfId="565"/>
    <cellStyle name="_DN_LISTING OCT07_UKDN_THAILAND P05-09" xfId="566"/>
    <cellStyle name="_DN_LISTING OCT07_UKDN_THAILAND P06-09" xfId="567"/>
    <cellStyle name="_DN_LISTING OCT07_UKDN_THAILAND P07-09" xfId="568"/>
    <cellStyle name="_DN_LISTING OCT07_UKDN_THAILAND P08-09" xfId="569"/>
    <cellStyle name="_DN_LISTING OCT07_UKDN_THAILAND P09-09" xfId="570"/>
    <cellStyle name="_DN_LISTING OCT07_UKDN_THAILAND P10-09" xfId="571"/>
    <cellStyle name="_DN_LISTING OCT07_UKDN_THAILAND P11-09" xfId="572"/>
    <cellStyle name="_DN_LISTING OCT07_UKDN_THAILAND P12" xfId="573"/>
    <cellStyle name="_DN_LISTING OCT07_UKDN_THAILAND P12_1415201 HK-PROV CLAIMS (P06_09)" xfId="574"/>
    <cellStyle name="_DN_LISTING OCT07_UKDN_THAILAND P12_OTH REC'B - UK DN" xfId="575"/>
    <cellStyle name="_DN_LISTING OCT07_UKDN_THAILAND P12_副本Shanghai DN 20090731 (SH2F) (2)" xfId="576"/>
    <cellStyle name="_DN_LISTING OCT07_UKDN_THAILAND P12-08 (310109)" xfId="577"/>
    <cellStyle name="_DN_LISTING OCT07_UKDN_THAILAND P12-08 (310109)_1415201 HK-PROV CLAIMS (P06_09)" xfId="578"/>
    <cellStyle name="_DN_LISTING OCT07_UKDN_THAILAND P12-08 (310109)_OTH REC'B - UK DN" xfId="579"/>
    <cellStyle name="_DN_LISTING OCT07_UKDN_THAILAND P12-08 (310109)_副本Shanghai DN 20090731 (SH2F) (2)" xfId="580"/>
    <cellStyle name="_DN_LISTING OCT07_UKDN_THAILAND P12-09" xfId="581"/>
    <cellStyle name="_DN_LISTING OCT07_UKDN-PD0208 (Revised) - April 08" xfId="582"/>
    <cellStyle name="_FOB-Next-2011_P01" xfId="583"/>
    <cellStyle name="_GL TK-HK" xfId="584"/>
    <cellStyle name="_GL TK-HK_AUHKNRl(1320113)P02- Mar 08" xfId="585"/>
    <cellStyle name="_GL TK-HK_AUHKNRl(1320113)P03-APR 08" xfId="586"/>
    <cellStyle name="_GL TK-HK_Book5" xfId="587"/>
    <cellStyle name="_GL TK-HK_HK(1320113)P03- Apr 08" xfId="588"/>
    <cellStyle name="_GL TK-HK_HK(1320113)P04- MAY 08R" xfId="589"/>
    <cellStyle name="_GL TK-HK_UKDN" xfId="590"/>
    <cellStyle name="_GL TK-HK_UKDN_SHANGHAI_P02-09" xfId="591"/>
    <cellStyle name="_GL TK-HK_UKDN_TURKEY_300408" xfId="592"/>
    <cellStyle name="_GL TK-HK_UKDN_TURKEY_310508" xfId="593"/>
    <cellStyle name="_GL TK-HK_UKDN-PD0108" xfId="594"/>
    <cellStyle name="_GL TK-HK_UKDN-PD0209" xfId="595"/>
    <cellStyle name="_GL TK-HK_UKDN-PD0308 (2)" xfId="596"/>
    <cellStyle name="_GL TK-HK_UKDN-PD0708" xfId="597"/>
    <cellStyle name="_HK(1320113)P04- MAY 08R" xfId="598"/>
    <cellStyle name="_HK(1320113)P05- JUN 08" xfId="599"/>
    <cellStyle name="_HK(1320113)P06- JUL 08" xfId="600"/>
    <cellStyle name="_HK(1320113)P06-07.08.2008" xfId="601"/>
    <cellStyle name="_HK(1320113)P11R-311208" xfId="602"/>
    <cellStyle name="_HK(1320113)P12" xfId="603"/>
    <cellStyle name="_Hyperion BS - P2 ACT" xfId="604"/>
    <cellStyle name="_Hyperion BS - P2 ACT 2" xfId="605"/>
    <cellStyle name="_Hyperion BS - P5 ACT" xfId="606"/>
    <cellStyle name="_Hyperion BS - P5 ACT 2" xfId="607"/>
    <cellStyle name="_Hyperion P5 Actual - 13 July" xfId="608"/>
    <cellStyle name="_Hyperion report_P6" xfId="609"/>
    <cellStyle name="_Hyperion report_P6_Hyperion-PL Mapping" xfId="610"/>
    <cellStyle name="_Hyperion report_P7" xfId="611"/>
    <cellStyle name="_Hyperion report_P7_Hyperion-PL Mapping" xfId="612"/>
    <cellStyle name="_interco of P5(part1) (2)" xfId="613"/>
    <cellStyle name="_LEDGER" xfId="614"/>
    <cellStyle name="_Ledger + Voucher Template" xfId="615"/>
    <cellStyle name="_Ledger FMT" xfId="616"/>
    <cellStyle name="_Ledger FMT 2" xfId="617"/>
    <cellStyle name="_Ledger FMT_#1310501 P4 (3)" xfId="618"/>
    <cellStyle name="_Ledger FMT_#1310501 P4 (3) 2" xfId="619"/>
    <cellStyle name="_Ledger FMT_#1310501 P4 (3)_ByAccount (10)" xfId="620"/>
    <cellStyle name="_Ledger FMT_#1310501 P4 (3)_ByAccount (12)" xfId="621"/>
    <cellStyle name="_Ledger FMT_#1310501 P4 (3)_ByVoucher" xfId="622"/>
    <cellStyle name="_Ledger FMT_#1310501 P4 (3)_ByVoucher (1NS)" xfId="623"/>
    <cellStyle name="_Ledger FMT_#1310501 P4 (3)_ByVoucher (2)" xfId="624"/>
    <cellStyle name="_Ledger FMT_#1310501 P4 (3)_ByVoucher (3)" xfId="625"/>
    <cellStyle name="_Ledger FMT_#1310501 P4 (3)_Copy of UIN P7 Miu" xfId="626"/>
    <cellStyle name="_Ledger FMT_#1310501 P4 (3)_Copy of UIN P8 Miu" xfId="627"/>
    <cellStyle name="_Ledger FMT_#1310501 P4 (3)_long" xfId="628"/>
    <cellStyle name="_Ledger FMT_#1310501 P4 (3)_Petty Cash (Feb)" xfId="629"/>
    <cellStyle name="_Ledger FMT_#1310501 P4 (3)_TEMP (4)" xfId="630"/>
    <cellStyle name="_Ledger FMT_#1310501 P4 (3)_UDN P6-LC,CC " xfId="631"/>
    <cellStyle name="_Ledger FMT_#1310501 P4 (3)_UDN P6-LC,CC  2" xfId="632"/>
    <cellStyle name="_Ledger FMT_#1310501 P4 (3)_UIN P10 Miu" xfId="633"/>
    <cellStyle name="_Ledger FMT_#1310501 P4 (3)_UIN P10 Miu-R1" xfId="634"/>
    <cellStyle name="_Ledger FMT_#1310501 P4 (3)_UIN P11 Miu" xfId="635"/>
    <cellStyle name="_Ledger FMT_#1310501 P4 (3)_UIN P4 Miu R2" xfId="636"/>
    <cellStyle name="_Ledger FMT_#1310501 P4 (3)_UIN P4 Miu R2 2" xfId="637"/>
    <cellStyle name="_Ledger FMT_#1310501 P4 (3)_UIN P6 Miu" xfId="638"/>
    <cellStyle name="_Ledger FMT_#1310501 P4 (3)_UIN P7 Miu" xfId="639"/>
    <cellStyle name="_Ledger FMT_#1310501 P4 (3)_UIN P8 Miu" xfId="640"/>
    <cellStyle name="_Ledger FMT_#1310501 P4 (3)_UIN P9 Miu" xfId="641"/>
    <cellStyle name="_Ledger FMT_#1310501 P4 (3)_UJV (6)" xfId="642"/>
    <cellStyle name="_Ledger FMT_#1310501 P4 (3)_UJV (6) 2" xfId="643"/>
    <cellStyle name="_Ledger FMT_#1310501 P4 (3)_UJV (Aug) (3)" xfId="644"/>
    <cellStyle name="_Ledger FMT_#1310501 P4 (3)_UJV (Aug) (3) 2" xfId="645"/>
    <cellStyle name="_Ledger FMT_#1310501 P4 (3)_UJV (Oct) (2)" xfId="646"/>
    <cellStyle name="_Ledger FMT_#1310501 P4 (3)_UJV (Oct) (2) 2" xfId="647"/>
    <cellStyle name="_Ledger FMT_#1310501 P4 (3)_VOUCHER PRINTING SA" xfId="648"/>
    <cellStyle name="_Ledger FMT_1410998 outstanding 2011P2" xfId="649"/>
    <cellStyle name="_Ledger FMT_1410998 outstanding 2011P2 2" xfId="650"/>
    <cellStyle name="_Ledger FMT_1410998 outstanding 2011P2_ByAccount (10)" xfId="651"/>
    <cellStyle name="_Ledger FMT_1410998 outstanding 2011P2_ByAccount (12)" xfId="652"/>
    <cellStyle name="_Ledger FMT_1410998 outstanding 2011P2_ByVoucher" xfId="653"/>
    <cellStyle name="_Ledger FMT_1410998 outstanding 2011P2_ByVoucher (1NS)" xfId="654"/>
    <cellStyle name="_Ledger FMT_1410998 outstanding 2011P2_ByVoucher (2)" xfId="655"/>
    <cellStyle name="_Ledger FMT_1410998 outstanding 2011P2_ByVoucher (3)" xfId="656"/>
    <cellStyle name="_Ledger FMT_1410998 outstanding 2011P2_Copy of UIN P7 Miu" xfId="657"/>
    <cellStyle name="_Ledger FMT_1410998 outstanding 2011P2_Copy of UIN P8 Miu" xfId="658"/>
    <cellStyle name="_Ledger FMT_1410998 outstanding 2011P2_long" xfId="659"/>
    <cellStyle name="_Ledger FMT_1410998 outstanding 2011P2_Petty Cash (Feb)" xfId="660"/>
    <cellStyle name="_Ledger FMT_1410998 outstanding 2011P2_TEMP (4)" xfId="661"/>
    <cellStyle name="_Ledger FMT_1410998 outstanding 2011P2_UDN P6-LC,CC " xfId="662"/>
    <cellStyle name="_Ledger FMT_1410998 outstanding 2011P2_UDN P6-LC,CC  2" xfId="663"/>
    <cellStyle name="_Ledger FMT_1410998 outstanding 2011P2_UIN P10 Miu" xfId="664"/>
    <cellStyle name="_Ledger FMT_1410998 outstanding 2011P2_UIN P10 Miu-R1" xfId="665"/>
    <cellStyle name="_Ledger FMT_1410998 outstanding 2011P2_UIN P11 Miu" xfId="666"/>
    <cellStyle name="_Ledger FMT_1410998 outstanding 2011P2_UIN P4 Miu R2" xfId="667"/>
    <cellStyle name="_Ledger FMT_1410998 outstanding 2011P2_UIN P4 Miu R2 2" xfId="668"/>
    <cellStyle name="_Ledger FMT_1410998 outstanding 2011P2_UIN P6 Miu" xfId="669"/>
    <cellStyle name="_Ledger FMT_1410998 outstanding 2011P2_UIN P7 Miu" xfId="670"/>
    <cellStyle name="_Ledger FMT_1410998 outstanding 2011P2_UIN P8 Miu" xfId="671"/>
    <cellStyle name="_Ledger FMT_1410998 outstanding 2011P2_UIN P9 Miu" xfId="672"/>
    <cellStyle name="_Ledger FMT_1410998 outstanding 2011P2_UJV (6)" xfId="673"/>
    <cellStyle name="_Ledger FMT_1410998 outstanding 2011P2_UJV (6) 2" xfId="674"/>
    <cellStyle name="_Ledger FMT_1410998 outstanding 2011P2_UJV (Aug) (3)" xfId="675"/>
    <cellStyle name="_Ledger FMT_1410998 outstanding 2011P2_UJV (Aug) (3) 2" xfId="676"/>
    <cellStyle name="_Ledger FMT_1410998 outstanding 2011P2_UJV (Oct) (2)" xfId="677"/>
    <cellStyle name="_Ledger FMT_1410998 outstanding 2011P2_UJV (Oct) (2) 2" xfId="678"/>
    <cellStyle name="_Ledger FMT_1410998 outstanding 2011P2_VOUCHER PRINTING SA" xfId="679"/>
    <cellStyle name="_Ledger FMT_15. Accruals_Workings" xfId="680"/>
    <cellStyle name="_Ledger FMT_15. Accruals_Workings (2)" xfId="681"/>
    <cellStyle name="_Ledger FMT_15. Accruals_Workings (2) 2" xfId="682"/>
    <cellStyle name="_Ledger FMT_15. Accruals_Workings (2)_ByAccount (10)" xfId="683"/>
    <cellStyle name="_Ledger FMT_15. Accruals_Workings (2)_ByAccount (12)" xfId="684"/>
    <cellStyle name="_Ledger FMT_15. Accruals_Workings (2)_ByVoucher" xfId="685"/>
    <cellStyle name="_Ledger FMT_15. Accruals_Workings (2)_ByVoucher (1NS)" xfId="686"/>
    <cellStyle name="_Ledger FMT_15. Accruals_Workings (2)_ByVoucher (2)" xfId="687"/>
    <cellStyle name="_Ledger FMT_15. Accruals_Workings (2)_ByVoucher (3)" xfId="688"/>
    <cellStyle name="_Ledger FMT_15. Accruals_Workings (2)_Copy of UIN P7 Miu" xfId="689"/>
    <cellStyle name="_Ledger FMT_15. Accruals_Workings (2)_Copy of UIN P8 Miu" xfId="690"/>
    <cellStyle name="_Ledger FMT_15. Accruals_Workings (2)_long" xfId="691"/>
    <cellStyle name="_Ledger FMT_15. Accruals_Workings (2)_Petty Cash (Feb)" xfId="692"/>
    <cellStyle name="_Ledger FMT_15. Accruals_Workings (2)_TEMP (4)" xfId="693"/>
    <cellStyle name="_Ledger FMT_15. Accruals_Workings (2)_UDN P6-LC,CC " xfId="694"/>
    <cellStyle name="_Ledger FMT_15. Accruals_Workings (2)_UDN P6-LC,CC  2" xfId="695"/>
    <cellStyle name="_Ledger FMT_15. Accruals_Workings (2)_UIN P10 Miu" xfId="696"/>
    <cellStyle name="_Ledger FMT_15. Accruals_Workings (2)_UIN P10 Miu-R1" xfId="697"/>
    <cellStyle name="_Ledger FMT_15. Accruals_Workings (2)_UIN P11 Miu" xfId="698"/>
    <cellStyle name="_Ledger FMT_15. Accruals_Workings (2)_UIN P6 Miu" xfId="699"/>
    <cellStyle name="_Ledger FMT_15. Accruals_Workings (2)_UIN P7 Miu" xfId="700"/>
    <cellStyle name="_Ledger FMT_15. Accruals_Workings (2)_UIN P8 Miu" xfId="701"/>
    <cellStyle name="_Ledger FMT_15. Accruals_Workings (2)_UIN P9 Miu" xfId="702"/>
    <cellStyle name="_Ledger FMT_15. Accruals_Workings (2)_UJV (6)" xfId="703"/>
    <cellStyle name="_Ledger FMT_15. Accruals_Workings (2)_UJV (6) 2" xfId="704"/>
    <cellStyle name="_Ledger FMT_15. Accruals_Workings (2)_UJV (Aug) (3)" xfId="705"/>
    <cellStyle name="_Ledger FMT_15. Accruals_Workings (2)_UJV (Aug) (3) 2" xfId="706"/>
    <cellStyle name="_Ledger FMT_15. Accruals_Workings (2)_UJV (Oct) (2)" xfId="707"/>
    <cellStyle name="_Ledger FMT_15. Accruals_Workings (2)_UJV (Oct) (2) 2" xfId="708"/>
    <cellStyle name="_Ledger FMT_15. Accruals_Workings (2)_VOUCHER PRINTING SA" xfId="709"/>
    <cellStyle name="_Ledger FMT_15. Accruals_Workings 10" xfId="710"/>
    <cellStyle name="_Ledger FMT_15. Accruals_Workings 11" xfId="711"/>
    <cellStyle name="_Ledger FMT_15. Accruals_Workings 12" xfId="712"/>
    <cellStyle name="_Ledger FMT_15. Accruals_Workings 13" xfId="713"/>
    <cellStyle name="_Ledger FMT_15. Accruals_Workings 14" xfId="714"/>
    <cellStyle name="_Ledger FMT_15. Accruals_Workings 15" xfId="715"/>
    <cellStyle name="_Ledger FMT_15. Accruals_Workings 16" xfId="716"/>
    <cellStyle name="_Ledger FMT_15. Accruals_Workings 17" xfId="717"/>
    <cellStyle name="_Ledger FMT_15. Accruals_Workings 18" xfId="718"/>
    <cellStyle name="_Ledger FMT_15. Accruals_Workings 19" xfId="719"/>
    <cellStyle name="_Ledger FMT_15. Accruals_Workings 2" xfId="720"/>
    <cellStyle name="_Ledger FMT_15. Accruals_Workings 20" xfId="721"/>
    <cellStyle name="_Ledger FMT_15. Accruals_Workings 21" xfId="722"/>
    <cellStyle name="_Ledger FMT_15. Accruals_Workings 3" xfId="723"/>
    <cellStyle name="_Ledger FMT_15. Accruals_Workings 4" xfId="724"/>
    <cellStyle name="_Ledger FMT_15. Accruals_Workings 5" xfId="725"/>
    <cellStyle name="_Ledger FMT_15. Accruals_Workings 6" xfId="726"/>
    <cellStyle name="_Ledger FMT_15. Accruals_Workings 7" xfId="727"/>
    <cellStyle name="_Ledger FMT_15. Accruals_Workings 8" xfId="728"/>
    <cellStyle name="_Ledger FMT_15. Accruals_Workings 9" xfId="729"/>
    <cellStyle name="_Ledger FMT_15. Accruals_Workings_ByAccount (10)" xfId="730"/>
    <cellStyle name="_Ledger FMT_15. Accruals_Workings_ByAccount (12)" xfId="731"/>
    <cellStyle name="_Ledger FMT_15. Accruals_Workings_ByVoucher" xfId="732"/>
    <cellStyle name="_Ledger FMT_15. Accruals_Workings_ByVoucher (1NS)" xfId="733"/>
    <cellStyle name="_Ledger FMT_15. Accruals_Workings_ByVoucher (2)" xfId="734"/>
    <cellStyle name="_Ledger FMT_15. Accruals_Workings_ByVoucher (3)" xfId="735"/>
    <cellStyle name="_Ledger FMT_15. Accruals_Workings_Copy of UIN P7 Miu" xfId="736"/>
    <cellStyle name="_Ledger FMT_15. Accruals_Workings_Copy of UIN P8 Miu" xfId="737"/>
    <cellStyle name="_Ledger FMT_15. Accruals_Workings_long" xfId="738"/>
    <cellStyle name="_Ledger FMT_15. Accruals_Workings_Petty Cash (Feb)" xfId="739"/>
    <cellStyle name="_Ledger FMT_15. Accruals_Workings_TEMP (4)" xfId="740"/>
    <cellStyle name="_Ledger FMT_15. Accruals_Workings_UDN P6-LC,CC " xfId="741"/>
    <cellStyle name="_Ledger FMT_15. Accruals_Workings_UDN P6-LC,CC  2" xfId="742"/>
    <cellStyle name="_Ledger FMT_15. Accruals_Workings_UIN P10 Miu" xfId="743"/>
    <cellStyle name="_Ledger FMT_15. Accruals_Workings_UIN P10 Miu-R1" xfId="744"/>
    <cellStyle name="_Ledger FMT_15. Accruals_Workings_UIN P11 Miu" xfId="745"/>
    <cellStyle name="_Ledger FMT_15. Accruals_Workings_UIN P6 Miu" xfId="746"/>
    <cellStyle name="_Ledger FMT_15. Accruals_Workings_UIN P7 Miu" xfId="747"/>
    <cellStyle name="_Ledger FMT_15. Accruals_Workings_UIN P8 Miu" xfId="748"/>
    <cellStyle name="_Ledger FMT_15. Accruals_Workings_UIN P9 Miu" xfId="749"/>
    <cellStyle name="_Ledger FMT_15. Accruals_Workings_UJV (6)" xfId="750"/>
    <cellStyle name="_Ledger FMT_15. Accruals_Workings_UJV (6) 2" xfId="751"/>
    <cellStyle name="_Ledger FMT_15. Accruals_Workings_UJV (Aug) (3)" xfId="752"/>
    <cellStyle name="_Ledger FMT_15. Accruals_Workings_UJV (Aug) (3) 2" xfId="753"/>
    <cellStyle name="_Ledger FMT_15. Accruals_Workings_UJV (Oct) (2)" xfId="754"/>
    <cellStyle name="_Ledger FMT_15. Accruals_Workings_UJV (Oct) (2) 2" xfId="755"/>
    <cellStyle name="_Ledger FMT_15. Accruals_Workings_VOUCHER PRINTING SA" xfId="756"/>
    <cellStyle name="_Ledger FMT_28 Dec 2011" xfId="757"/>
    <cellStyle name="_Ledger FMT_28 Dec 2011 2" xfId="758"/>
    <cellStyle name="_Ledger FMT_30 Nov 2011" xfId="759"/>
    <cellStyle name="_Ledger FMT_30 Nov 2011 2" xfId="760"/>
    <cellStyle name="_Ledger FMT_30 Sep 2011" xfId="761"/>
    <cellStyle name="_Ledger FMT_30 Sep 2011 2" xfId="762"/>
    <cellStyle name="_Ledger FMT_31 Oct 2011 (R1)" xfId="763"/>
    <cellStyle name="_Ledger FMT_31 Oct 2011 (R1) 2" xfId="764"/>
    <cellStyle name="_Ledger FMT_AccountP" xfId="765"/>
    <cellStyle name="_Ledger FMT_AccountP (Aug)" xfId="766"/>
    <cellStyle name="_Ledger FMT_AccountP (Aug) 2" xfId="767"/>
    <cellStyle name="_Ledger FMT_AccountP (Dec)" xfId="768"/>
    <cellStyle name="_Ledger FMT_AccountP (Dec) 2" xfId="769"/>
    <cellStyle name="_Ledger FMT_AccountP (Feb)" xfId="770"/>
    <cellStyle name="_Ledger FMT_AccountP (Feb) 2" xfId="771"/>
    <cellStyle name="_Ledger FMT_AccountP (Jan)" xfId="772"/>
    <cellStyle name="_Ledger FMT_AccountP (Jan) 2" xfId="773"/>
    <cellStyle name="_Ledger FMT_AccountP (Jul)" xfId="774"/>
    <cellStyle name="_Ledger FMT_AccountP (Jul) 2" xfId="775"/>
    <cellStyle name="_Ledger FMT_AccountP (Jun)" xfId="776"/>
    <cellStyle name="_Ledger FMT_AccountP (Jun) 2" xfId="777"/>
    <cellStyle name="_Ledger FMT_AccountP (Mar)" xfId="778"/>
    <cellStyle name="_Ledger FMT_AccountP (Mar) 2" xfId="779"/>
    <cellStyle name="_Ledger FMT_AccountP (Nov)" xfId="780"/>
    <cellStyle name="_Ledger FMT_AccountP (Nov) 2" xfId="781"/>
    <cellStyle name="_Ledger FMT_AccountP (Oct)" xfId="782"/>
    <cellStyle name="_Ledger FMT_AccountP (Oct) 2" xfId="783"/>
    <cellStyle name="_Ledger FMT_AccountP (Sep)" xfId="784"/>
    <cellStyle name="_Ledger FMT_AccountP (Sep) 2" xfId="785"/>
    <cellStyle name="_Ledger FMT_AccountP 10" xfId="786"/>
    <cellStyle name="_Ledger FMT_AccountP 11" xfId="787"/>
    <cellStyle name="_Ledger FMT_AccountP 12" xfId="788"/>
    <cellStyle name="_Ledger FMT_AccountP 13" xfId="789"/>
    <cellStyle name="_Ledger FMT_AccountP 14" xfId="790"/>
    <cellStyle name="_Ledger FMT_AccountP 15" xfId="791"/>
    <cellStyle name="_Ledger FMT_AccountP 16" xfId="792"/>
    <cellStyle name="_Ledger FMT_AccountP 17" xfId="793"/>
    <cellStyle name="_Ledger FMT_AccountP 18" xfId="794"/>
    <cellStyle name="_Ledger FMT_AccountP 19" xfId="795"/>
    <cellStyle name="_Ledger FMT_AccountP 2" xfId="796"/>
    <cellStyle name="_Ledger FMT_AccountP 20" xfId="797"/>
    <cellStyle name="_Ledger FMT_AccountP 21" xfId="798"/>
    <cellStyle name="_Ledger FMT_AccountP 3" xfId="799"/>
    <cellStyle name="_Ledger FMT_AccountP 4" xfId="800"/>
    <cellStyle name="_Ledger FMT_AccountP 5" xfId="801"/>
    <cellStyle name="_Ledger FMT_AccountP 6" xfId="802"/>
    <cellStyle name="_Ledger FMT_AccountP 7" xfId="803"/>
    <cellStyle name="_Ledger FMT_AccountP 8" xfId="804"/>
    <cellStyle name="_Ledger FMT_AccountP 9" xfId="805"/>
    <cellStyle name="_Ledger FMT_Accrual movement " xfId="806"/>
    <cellStyle name="_Ledger FMT_Accrual movement  (2)" xfId="807"/>
    <cellStyle name="_Ledger FMT_Accrual movement  (2) 2" xfId="808"/>
    <cellStyle name="_Ledger FMT_Accrual movement  10" xfId="809"/>
    <cellStyle name="_Ledger FMT_Accrual movement  11" xfId="810"/>
    <cellStyle name="_Ledger FMT_Accrual movement  12" xfId="811"/>
    <cellStyle name="_Ledger FMT_Accrual movement  13" xfId="812"/>
    <cellStyle name="_Ledger FMT_Accrual movement  14" xfId="813"/>
    <cellStyle name="_Ledger FMT_Accrual movement  15" xfId="814"/>
    <cellStyle name="_Ledger FMT_Accrual movement  16" xfId="815"/>
    <cellStyle name="_Ledger FMT_Accrual movement  17" xfId="816"/>
    <cellStyle name="_Ledger FMT_Accrual movement  18" xfId="817"/>
    <cellStyle name="_Ledger FMT_Accrual movement  19" xfId="818"/>
    <cellStyle name="_Ledger FMT_Accrual movement  2" xfId="819"/>
    <cellStyle name="_Ledger FMT_Accrual movement  20" xfId="820"/>
    <cellStyle name="_Ledger FMT_Accrual movement  21" xfId="821"/>
    <cellStyle name="_Ledger FMT_Accrual movement  3" xfId="822"/>
    <cellStyle name="_Ledger FMT_Accrual movement  4" xfId="823"/>
    <cellStyle name="_Ledger FMT_Accrual movement  5" xfId="824"/>
    <cellStyle name="_Ledger FMT_Accrual movement  6" xfId="825"/>
    <cellStyle name="_Ledger FMT_Accrual movement  7" xfId="826"/>
    <cellStyle name="_Ledger FMT_Accrual movement  8" xfId="827"/>
    <cellStyle name="_Ledger FMT_Accrual movement  9" xfId="828"/>
    <cellStyle name="_Ledger FMT_App1.3(Computer)" xfId="829"/>
    <cellStyle name="_Ledger FMT_App1.3(Computer) 2" xfId="830"/>
    <cellStyle name="_Ledger FMT_Appendix 10.1 " xfId="831"/>
    <cellStyle name="_Ledger FMT_Appendix 10.1  (Apr)" xfId="832"/>
    <cellStyle name="_Ledger FMT_Appendix 10.1  (Apr) 2" xfId="833"/>
    <cellStyle name="_Ledger FMT_Appendix 10.1  (Dec)" xfId="834"/>
    <cellStyle name="_Ledger FMT_Appendix 10.1  (Dec) 2" xfId="835"/>
    <cellStyle name="_Ledger FMT_Appendix 10.1  (Feb)" xfId="836"/>
    <cellStyle name="_Ledger FMT_Appendix 10.1  (Feb) 2" xfId="837"/>
    <cellStyle name="_Ledger FMT_Appendix 10.1  (Jul)" xfId="838"/>
    <cellStyle name="_Ledger FMT_Appendix 10.1  (May)" xfId="839"/>
    <cellStyle name="_Ledger FMT_Appendix 10.1  (May) 2" xfId="840"/>
    <cellStyle name="_Ledger FMT_Appendix 10.1  (Nov)" xfId="841"/>
    <cellStyle name="_Ledger FMT_Appendix 10.1  (Nov) 2" xfId="842"/>
    <cellStyle name="_Ledger FMT_Appendix 10.1  (Oct)" xfId="843"/>
    <cellStyle name="_Ledger FMT_Appendix 10.1  (Sep)" xfId="844"/>
    <cellStyle name="_Ledger FMT_Appendix 10.1  (Sep) 2" xfId="845"/>
    <cellStyle name="_Ledger FMT_Appendix 10.1  10" xfId="846"/>
    <cellStyle name="_Ledger FMT_Appendix 10.1  11" xfId="847"/>
    <cellStyle name="_Ledger FMT_Appendix 10.1  12" xfId="848"/>
    <cellStyle name="_Ledger FMT_Appendix 10.1  13" xfId="849"/>
    <cellStyle name="_Ledger FMT_Appendix 10.1  14" xfId="850"/>
    <cellStyle name="_Ledger FMT_Appendix 10.1  15" xfId="851"/>
    <cellStyle name="_Ledger FMT_Appendix 10.1  16" xfId="852"/>
    <cellStyle name="_Ledger FMT_Appendix 10.1  17" xfId="853"/>
    <cellStyle name="_Ledger FMT_Appendix 10.1  18" xfId="854"/>
    <cellStyle name="_Ledger FMT_Appendix 10.1  19" xfId="855"/>
    <cellStyle name="_Ledger FMT_Appendix 10.1  2" xfId="856"/>
    <cellStyle name="_Ledger FMT_Appendix 10.1  20" xfId="857"/>
    <cellStyle name="_Ledger FMT_Appendix 10.1  21" xfId="858"/>
    <cellStyle name="_Ledger FMT_Appendix 10.1  3" xfId="859"/>
    <cellStyle name="_Ledger FMT_Appendix 10.1  4" xfId="860"/>
    <cellStyle name="_Ledger FMT_Appendix 10.1  5" xfId="861"/>
    <cellStyle name="_Ledger FMT_Appendix 10.1  6" xfId="862"/>
    <cellStyle name="_Ledger FMT_Appendix 10.1  7" xfId="863"/>
    <cellStyle name="_Ledger FMT_Appendix 10.1  8" xfId="864"/>
    <cellStyle name="_Ledger FMT_Appendix 10.1  9" xfId="865"/>
    <cellStyle name="_Ledger FMT_Appendix 10.2" xfId="866"/>
    <cellStyle name="_Ledger FMT_Appendix 10.2 (Apr)" xfId="867"/>
    <cellStyle name="_Ledger FMT_Appendix 10.2 (Apr) 2" xfId="868"/>
    <cellStyle name="_Ledger FMT_Appendix 10.2 (Aug)" xfId="869"/>
    <cellStyle name="_Ledger FMT_Appendix 10.2 (Dec)" xfId="870"/>
    <cellStyle name="_Ledger FMT_Appendix 10.2 (Dec) 2" xfId="871"/>
    <cellStyle name="_Ledger FMT_Appendix 10.2 (Feb)" xfId="872"/>
    <cellStyle name="_Ledger FMT_Appendix 10.2 (Feb) 2" xfId="873"/>
    <cellStyle name="_Ledger FMT_Appendix 10.2 (Jul)" xfId="874"/>
    <cellStyle name="_Ledger FMT_Appendix 10.2 (May)" xfId="875"/>
    <cellStyle name="_Ledger FMT_Appendix 10.2 (May) 2" xfId="876"/>
    <cellStyle name="_Ledger FMT_Appendix 10.2 (Nov)" xfId="877"/>
    <cellStyle name="_Ledger FMT_Appendix 10.2 (Nov) 2" xfId="878"/>
    <cellStyle name="_Ledger FMT_Appendix 10.2 (Oct)" xfId="879"/>
    <cellStyle name="_Ledger FMT_Appendix 10.2 (Oct) 2" xfId="880"/>
    <cellStyle name="_Ledger FMT_Appendix 10.2 10" xfId="881"/>
    <cellStyle name="_Ledger FMT_Appendix 10.2 11" xfId="882"/>
    <cellStyle name="_Ledger FMT_Appendix 10.2 12" xfId="883"/>
    <cellStyle name="_Ledger FMT_Appendix 10.2 13" xfId="884"/>
    <cellStyle name="_Ledger FMT_Appendix 10.2 14" xfId="885"/>
    <cellStyle name="_Ledger FMT_Appendix 10.2 15" xfId="886"/>
    <cellStyle name="_Ledger FMT_Appendix 10.2 16" xfId="887"/>
    <cellStyle name="_Ledger FMT_Appendix 10.2 17" xfId="888"/>
    <cellStyle name="_Ledger FMT_Appendix 10.2 18" xfId="889"/>
    <cellStyle name="_Ledger FMT_Appendix 10.2 19" xfId="890"/>
    <cellStyle name="_Ledger FMT_Appendix 10.2 2" xfId="891"/>
    <cellStyle name="_Ledger FMT_Appendix 10.2 20" xfId="892"/>
    <cellStyle name="_Ledger FMT_Appendix 10.2 21" xfId="893"/>
    <cellStyle name="_Ledger FMT_Appendix 10.2 3" xfId="894"/>
    <cellStyle name="_Ledger FMT_Appendix 10.2 4" xfId="895"/>
    <cellStyle name="_Ledger FMT_Appendix 10.2 5" xfId="896"/>
    <cellStyle name="_Ledger FMT_Appendix 10.2 6" xfId="897"/>
    <cellStyle name="_Ledger FMT_Appendix 10.2 7" xfId="898"/>
    <cellStyle name="_Ledger FMT_Appendix 10.2 8" xfId="899"/>
    <cellStyle name="_Ledger FMT_Appendix 10.2 9" xfId="900"/>
    <cellStyle name="_Ledger FMT_Appendix 10.3 (Oct)" xfId="901"/>
    <cellStyle name="_Ledger FMT_Appendix 10.3 (Oct) 2" xfId="902"/>
    <cellStyle name="_Ledger FMT_Appendix 11 (Aug)" xfId="903"/>
    <cellStyle name="_Ledger FMT_Appendix 11 (Aug) 2" xfId="904"/>
    <cellStyle name="_Ledger FMT_Appendix 11 (Dec)" xfId="905"/>
    <cellStyle name="_Ledger FMT_Appendix 11 (Dec) 2" xfId="906"/>
    <cellStyle name="_Ledger FMT_Appendix 11 (Jul)" xfId="907"/>
    <cellStyle name="_Ledger FMT_Appendix 12.1" xfId="908"/>
    <cellStyle name="_Ledger FMT_Appendix 12.1 (Aug)" xfId="909"/>
    <cellStyle name="_Ledger FMT_Appendix 12.1 (Aug) 2" xfId="910"/>
    <cellStyle name="_Ledger FMT_Appendix 12.1 (May)" xfId="911"/>
    <cellStyle name="_Ledger FMT_Appendix 12.1 (May) 2" xfId="912"/>
    <cellStyle name="_Ledger FMT_Appendix 12.1 (May)_ByAccount (10)" xfId="913"/>
    <cellStyle name="_Ledger FMT_Appendix 12.1 (May)_ByAccount (12)" xfId="914"/>
    <cellStyle name="_Ledger FMT_Appendix 12.1 (May)_ByVoucher" xfId="915"/>
    <cellStyle name="_Ledger FMT_Appendix 12.1 (May)_ByVoucher (1NS)" xfId="916"/>
    <cellStyle name="_Ledger FMT_Appendix 12.1 (May)_ByVoucher (2)" xfId="917"/>
    <cellStyle name="_Ledger FMT_Appendix 12.1 (May)_ByVoucher (3)" xfId="918"/>
    <cellStyle name="_Ledger FMT_Appendix 12.1 (May)_Copy of UIN P7 Miu" xfId="919"/>
    <cellStyle name="_Ledger FMT_Appendix 12.1 (May)_Copy of UIN P8 Miu" xfId="920"/>
    <cellStyle name="_Ledger FMT_Appendix 12.1 (May)_long" xfId="921"/>
    <cellStyle name="_Ledger FMT_Appendix 12.1 (May)_Petty Cash (Feb)" xfId="922"/>
    <cellStyle name="_Ledger FMT_Appendix 12.1 (May)_TEMP (4)" xfId="923"/>
    <cellStyle name="_Ledger FMT_Appendix 12.1 (May)_UDN P6-LC,CC " xfId="924"/>
    <cellStyle name="_Ledger FMT_Appendix 12.1 (May)_UDN P6-LC,CC  2" xfId="925"/>
    <cellStyle name="_Ledger FMT_Appendix 12.1 (May)_UIN P10 Miu" xfId="926"/>
    <cellStyle name="_Ledger FMT_Appendix 12.1 (May)_UIN P10 Miu-R1" xfId="927"/>
    <cellStyle name="_Ledger FMT_Appendix 12.1 (May)_UIN P11 Miu" xfId="928"/>
    <cellStyle name="_Ledger FMT_Appendix 12.1 (May)_UIN P6 Miu" xfId="929"/>
    <cellStyle name="_Ledger FMT_Appendix 12.1 (May)_UIN P7 Miu" xfId="930"/>
    <cellStyle name="_Ledger FMT_Appendix 12.1 (May)_UIN P8 Miu" xfId="931"/>
    <cellStyle name="_Ledger FMT_Appendix 12.1 (May)_UIN P9 Miu" xfId="932"/>
    <cellStyle name="_Ledger FMT_Appendix 12.1 (May)_UJV (6)" xfId="933"/>
    <cellStyle name="_Ledger FMT_Appendix 12.1 (May)_UJV (6) 2" xfId="934"/>
    <cellStyle name="_Ledger FMT_Appendix 12.1 (May)_UJV (Aug) (3)" xfId="935"/>
    <cellStyle name="_Ledger FMT_Appendix 12.1 (May)_UJV (Aug) (3) 2" xfId="936"/>
    <cellStyle name="_Ledger FMT_Appendix 12.1 (May)_UJV (Oct) (2)" xfId="937"/>
    <cellStyle name="_Ledger FMT_Appendix 12.1 (May)_UJV (Oct) (2) 2" xfId="938"/>
    <cellStyle name="_Ledger FMT_Appendix 12.1 (May)_VOUCHER PRINTING SA" xfId="939"/>
    <cellStyle name="_Ledger FMT_Appendix 12.1 (Nov)" xfId="940"/>
    <cellStyle name="_Ledger FMT_Appendix 12.1 (Nov) 2" xfId="941"/>
    <cellStyle name="_Ledger FMT_Appendix 12.1 (Oct)" xfId="942"/>
    <cellStyle name="_Ledger FMT_Appendix 12.1 (Oct) 2" xfId="943"/>
    <cellStyle name="_Ledger FMT_Appendix 12.1 (Sep)" xfId="944"/>
    <cellStyle name="_Ledger FMT_Appendix 12.1 (Sep) 2" xfId="945"/>
    <cellStyle name="_Ledger FMT_Appendix 12.1 10" xfId="946"/>
    <cellStyle name="_Ledger FMT_Appendix 12.1 11" xfId="947"/>
    <cellStyle name="_Ledger FMT_Appendix 12.1 12" xfId="948"/>
    <cellStyle name="_Ledger FMT_Appendix 12.1 13" xfId="949"/>
    <cellStyle name="_Ledger FMT_Appendix 12.1 14" xfId="950"/>
    <cellStyle name="_Ledger FMT_Appendix 12.1 15" xfId="951"/>
    <cellStyle name="_Ledger FMT_Appendix 12.1 16" xfId="952"/>
    <cellStyle name="_Ledger FMT_Appendix 12.1 17" xfId="953"/>
    <cellStyle name="_Ledger FMT_Appendix 12.1 18" xfId="954"/>
    <cellStyle name="_Ledger FMT_Appendix 12.1 19" xfId="955"/>
    <cellStyle name="_Ledger FMT_Appendix 12.1 2" xfId="956"/>
    <cellStyle name="_Ledger FMT_Appendix 12.1 20" xfId="957"/>
    <cellStyle name="_Ledger FMT_Appendix 12.1 21" xfId="958"/>
    <cellStyle name="_Ledger FMT_Appendix 12.1 3" xfId="959"/>
    <cellStyle name="_Ledger FMT_Appendix 12.1 4" xfId="960"/>
    <cellStyle name="_Ledger FMT_Appendix 12.1 5" xfId="961"/>
    <cellStyle name="_Ledger FMT_Appendix 12.1 6" xfId="962"/>
    <cellStyle name="_Ledger FMT_Appendix 12.1 7" xfId="963"/>
    <cellStyle name="_Ledger FMT_Appendix 12.1 8" xfId="964"/>
    <cellStyle name="_Ledger FMT_Appendix 12.1 9" xfId="965"/>
    <cellStyle name="_Ledger FMT_Appendix 12.13" xfId="966"/>
    <cellStyle name="_Ledger FMT_Appendix 12.13 2" xfId="967"/>
    <cellStyle name="_Ledger FMT_Appendix 12.2 (May)" xfId="968"/>
    <cellStyle name="_Ledger FMT_Appendix 12.2 (May) 2" xfId="969"/>
    <cellStyle name="_Ledger FMT_Appendix 12.2 (May)_ByAccount (10)" xfId="970"/>
    <cellStyle name="_Ledger FMT_Appendix 12.2 (May)_ByAccount (12)" xfId="971"/>
    <cellStyle name="_Ledger FMT_Appendix 12.2 (May)_ByVoucher" xfId="972"/>
    <cellStyle name="_Ledger FMT_Appendix 12.2 (May)_ByVoucher (1NS)" xfId="973"/>
    <cellStyle name="_Ledger FMT_Appendix 12.2 (May)_ByVoucher (2)" xfId="974"/>
    <cellStyle name="_Ledger FMT_Appendix 12.2 (May)_ByVoucher (3)" xfId="975"/>
    <cellStyle name="_Ledger FMT_Appendix 12.2 (May)_Copy of UIN P7 Miu" xfId="976"/>
    <cellStyle name="_Ledger FMT_Appendix 12.2 (May)_Copy of UIN P8 Miu" xfId="977"/>
    <cellStyle name="_Ledger FMT_Appendix 12.2 (May)_long" xfId="978"/>
    <cellStyle name="_Ledger FMT_Appendix 12.2 (May)_Petty Cash (Feb)" xfId="979"/>
    <cellStyle name="_Ledger FMT_Appendix 12.2 (May)_TEMP (4)" xfId="980"/>
    <cellStyle name="_Ledger FMT_Appendix 12.2 (May)_UDN P6-LC,CC " xfId="981"/>
    <cellStyle name="_Ledger FMT_Appendix 12.2 (May)_UDN P6-LC,CC  2" xfId="982"/>
    <cellStyle name="_Ledger FMT_Appendix 12.2 (May)_UIN P10 Miu" xfId="983"/>
    <cellStyle name="_Ledger FMT_Appendix 12.2 (May)_UIN P10 Miu-R1" xfId="984"/>
    <cellStyle name="_Ledger FMT_Appendix 12.2 (May)_UIN P11 Miu" xfId="985"/>
    <cellStyle name="_Ledger FMT_Appendix 12.2 (May)_UIN P6 Miu" xfId="986"/>
    <cellStyle name="_Ledger FMT_Appendix 12.2 (May)_UIN P7 Miu" xfId="987"/>
    <cellStyle name="_Ledger FMT_Appendix 12.2 (May)_UIN P8 Miu" xfId="988"/>
    <cellStyle name="_Ledger FMT_Appendix 12.2 (May)_UIN P9 Miu" xfId="989"/>
    <cellStyle name="_Ledger FMT_Appendix 12.2 (May)_UJV (6)" xfId="990"/>
    <cellStyle name="_Ledger FMT_Appendix 12.2 (May)_UJV (6) 2" xfId="991"/>
    <cellStyle name="_Ledger FMT_Appendix 12.2 (May)_UJV (Aug) (3)" xfId="992"/>
    <cellStyle name="_Ledger FMT_Appendix 12.2 (May)_UJV (Aug) (3) 2" xfId="993"/>
    <cellStyle name="_Ledger FMT_Appendix 12.2 (May)_UJV (Oct) (2)" xfId="994"/>
    <cellStyle name="_Ledger FMT_Appendix 12.2 (May)_UJV (Oct) (2) 2" xfId="995"/>
    <cellStyle name="_Ledger FMT_Appendix 12.2 (May)_VOUCHER PRINTING SA" xfId="996"/>
    <cellStyle name="_Ledger FMT_Appendix 12.4 (May)" xfId="997"/>
    <cellStyle name="_Ledger FMT_Appendix 12.4 (May) 2" xfId="998"/>
    <cellStyle name="_Ledger FMT_Appendix 12.4 (May)_ByAccount (10)" xfId="999"/>
    <cellStyle name="_Ledger FMT_Appendix 12.4 (May)_ByAccount (12)" xfId="1000"/>
    <cellStyle name="_Ledger FMT_Appendix 12.4 (May)_ByVoucher" xfId="1001"/>
    <cellStyle name="_Ledger FMT_Appendix 12.4 (May)_ByVoucher (1NS)" xfId="1002"/>
    <cellStyle name="_Ledger FMT_Appendix 12.4 (May)_ByVoucher (2)" xfId="1003"/>
    <cellStyle name="_Ledger FMT_Appendix 12.4 (May)_ByVoucher (3)" xfId="1004"/>
    <cellStyle name="_Ledger FMT_Appendix 12.4 (May)_Copy of UIN P7 Miu" xfId="1005"/>
    <cellStyle name="_Ledger FMT_Appendix 12.4 (May)_Copy of UIN P8 Miu" xfId="1006"/>
    <cellStyle name="_Ledger FMT_Appendix 12.4 (May)_long" xfId="1007"/>
    <cellStyle name="_Ledger FMT_Appendix 12.4 (May)_Petty Cash (Feb)" xfId="1008"/>
    <cellStyle name="_Ledger FMT_Appendix 12.4 (May)_TEMP (4)" xfId="1009"/>
    <cellStyle name="_Ledger FMT_Appendix 12.4 (May)_UDN P6-LC,CC " xfId="1010"/>
    <cellStyle name="_Ledger FMT_Appendix 12.4 (May)_UDN P6-LC,CC  2" xfId="1011"/>
    <cellStyle name="_Ledger FMT_Appendix 12.4 (May)_UIN P10 Miu" xfId="1012"/>
    <cellStyle name="_Ledger FMT_Appendix 12.4 (May)_UIN P10 Miu-R1" xfId="1013"/>
    <cellStyle name="_Ledger FMT_Appendix 12.4 (May)_UIN P11 Miu" xfId="1014"/>
    <cellStyle name="_Ledger FMT_Appendix 12.4 (May)_UIN P6 Miu" xfId="1015"/>
    <cellStyle name="_Ledger FMT_Appendix 12.4 (May)_UIN P7 Miu" xfId="1016"/>
    <cellStyle name="_Ledger FMT_Appendix 12.4 (May)_UIN P8 Miu" xfId="1017"/>
    <cellStyle name="_Ledger FMT_Appendix 12.4 (May)_UIN P9 Miu" xfId="1018"/>
    <cellStyle name="_Ledger FMT_Appendix 12.4 (May)_UJV (6)" xfId="1019"/>
    <cellStyle name="_Ledger FMT_Appendix 12.4 (May)_UJV (6) 2" xfId="1020"/>
    <cellStyle name="_Ledger FMT_Appendix 12.4 (May)_UJV (Aug) (3)" xfId="1021"/>
    <cellStyle name="_Ledger FMT_Appendix 12.4 (May)_UJV (Aug) (3) 2" xfId="1022"/>
    <cellStyle name="_Ledger FMT_Appendix 12.4 (May)_UJV (Oct) (2)" xfId="1023"/>
    <cellStyle name="_Ledger FMT_Appendix 12.4 (May)_UJV (Oct) (2) 2" xfId="1024"/>
    <cellStyle name="_Ledger FMT_Appendix 12.4 (May)_VOUCHER PRINTING SA" xfId="1025"/>
    <cellStyle name="_Ledger FMT_Appendix 12.6 (May)" xfId="1026"/>
    <cellStyle name="_Ledger FMT_Appendix 12.6 (May) 2" xfId="1027"/>
    <cellStyle name="_Ledger FMT_Appendix 12.6 (May)_ByAccount (10)" xfId="1028"/>
    <cellStyle name="_Ledger FMT_Appendix 12.6 (May)_ByAccount (12)" xfId="1029"/>
    <cellStyle name="_Ledger FMT_Appendix 12.6 (May)_ByVoucher" xfId="1030"/>
    <cellStyle name="_Ledger FMT_Appendix 12.6 (May)_ByVoucher (1NS)" xfId="1031"/>
    <cellStyle name="_Ledger FMT_Appendix 12.6 (May)_ByVoucher (2)" xfId="1032"/>
    <cellStyle name="_Ledger FMT_Appendix 12.6 (May)_ByVoucher (3)" xfId="1033"/>
    <cellStyle name="_Ledger FMT_Appendix 12.6 (May)_Copy of UIN P7 Miu" xfId="1034"/>
    <cellStyle name="_Ledger FMT_Appendix 12.6 (May)_Copy of UIN P8 Miu" xfId="1035"/>
    <cellStyle name="_Ledger FMT_Appendix 12.6 (May)_long" xfId="1036"/>
    <cellStyle name="_Ledger FMT_Appendix 12.6 (May)_Petty Cash (Feb)" xfId="1037"/>
    <cellStyle name="_Ledger FMT_Appendix 12.6 (May)_TEMP (4)" xfId="1038"/>
    <cellStyle name="_Ledger FMT_Appendix 12.6 (May)_UDN P6-LC,CC " xfId="1039"/>
    <cellStyle name="_Ledger FMT_Appendix 12.6 (May)_UDN P6-LC,CC  2" xfId="1040"/>
    <cellStyle name="_Ledger FMT_Appendix 12.6 (May)_UIN P10 Miu" xfId="1041"/>
    <cellStyle name="_Ledger FMT_Appendix 12.6 (May)_UIN P10 Miu-R1" xfId="1042"/>
    <cellStyle name="_Ledger FMT_Appendix 12.6 (May)_UIN P11 Miu" xfId="1043"/>
    <cellStyle name="_Ledger FMT_Appendix 12.6 (May)_UIN P6 Miu" xfId="1044"/>
    <cellStyle name="_Ledger FMT_Appendix 12.6 (May)_UIN P7 Miu" xfId="1045"/>
    <cellStyle name="_Ledger FMT_Appendix 12.6 (May)_UIN P8 Miu" xfId="1046"/>
    <cellStyle name="_Ledger FMT_Appendix 12.6 (May)_UIN P9 Miu" xfId="1047"/>
    <cellStyle name="_Ledger FMT_Appendix 12.6 (May)_UJV (6)" xfId="1048"/>
    <cellStyle name="_Ledger FMT_Appendix 12.6 (May)_UJV (6) 2" xfId="1049"/>
    <cellStyle name="_Ledger FMT_Appendix 12.6 (May)_UJV (Aug) (3)" xfId="1050"/>
    <cellStyle name="_Ledger FMT_Appendix 12.6 (May)_UJV (Aug) (3) 2" xfId="1051"/>
    <cellStyle name="_Ledger FMT_Appendix 12.6 (May)_UJV (Oct) (2)" xfId="1052"/>
    <cellStyle name="_Ledger FMT_Appendix 12.6 (May)_UJV (Oct) (2) 2" xfId="1053"/>
    <cellStyle name="_Ledger FMT_Appendix 12.6 (May)_VOUCHER PRINTING SA" xfId="1054"/>
    <cellStyle name="_Ledger FMT_Appendix 12.7 (May)" xfId="1055"/>
    <cellStyle name="_Ledger FMT_Appendix 12.7 (May) 2" xfId="1056"/>
    <cellStyle name="_Ledger FMT_Appendix 12.7 (May)_ByAccount (10)" xfId="1057"/>
    <cellStyle name="_Ledger FMT_Appendix 12.7 (May)_ByAccount (12)" xfId="1058"/>
    <cellStyle name="_Ledger FMT_Appendix 12.7 (May)_ByVoucher" xfId="1059"/>
    <cellStyle name="_Ledger FMT_Appendix 12.7 (May)_ByVoucher (1NS)" xfId="1060"/>
    <cellStyle name="_Ledger FMT_Appendix 12.7 (May)_ByVoucher (2)" xfId="1061"/>
    <cellStyle name="_Ledger FMT_Appendix 12.7 (May)_ByVoucher (3)" xfId="1062"/>
    <cellStyle name="_Ledger FMT_Appendix 12.7 (May)_Copy of UIN P7 Miu" xfId="1063"/>
    <cellStyle name="_Ledger FMT_Appendix 12.7 (May)_Copy of UIN P8 Miu" xfId="1064"/>
    <cellStyle name="_Ledger FMT_Appendix 12.7 (May)_long" xfId="1065"/>
    <cellStyle name="_Ledger FMT_Appendix 12.7 (May)_Petty Cash (Feb)" xfId="1066"/>
    <cellStyle name="_Ledger FMT_Appendix 12.7 (May)_TEMP (4)" xfId="1067"/>
    <cellStyle name="_Ledger FMT_Appendix 12.7 (May)_UDN P6-LC,CC " xfId="1068"/>
    <cellStyle name="_Ledger FMT_Appendix 12.7 (May)_UDN P6-LC,CC  2" xfId="1069"/>
    <cellStyle name="_Ledger FMT_Appendix 12.7 (May)_UIN P10 Miu" xfId="1070"/>
    <cellStyle name="_Ledger FMT_Appendix 12.7 (May)_UIN P10 Miu-R1" xfId="1071"/>
    <cellStyle name="_Ledger FMT_Appendix 12.7 (May)_UIN P11 Miu" xfId="1072"/>
    <cellStyle name="_Ledger FMT_Appendix 12.7 (May)_UIN P6 Miu" xfId="1073"/>
    <cellStyle name="_Ledger FMT_Appendix 12.7 (May)_UIN P7 Miu" xfId="1074"/>
    <cellStyle name="_Ledger FMT_Appendix 12.7 (May)_UIN P8 Miu" xfId="1075"/>
    <cellStyle name="_Ledger FMT_Appendix 12.7 (May)_UIN P9 Miu" xfId="1076"/>
    <cellStyle name="_Ledger FMT_Appendix 12.7 (May)_UJV (6)" xfId="1077"/>
    <cellStyle name="_Ledger FMT_Appendix 12.7 (May)_UJV (6) 2" xfId="1078"/>
    <cellStyle name="_Ledger FMT_Appendix 12.7 (May)_UJV (Aug) (3)" xfId="1079"/>
    <cellStyle name="_Ledger FMT_Appendix 12.7 (May)_UJV (Aug) (3) 2" xfId="1080"/>
    <cellStyle name="_Ledger FMT_Appendix 12.7 (May)_UJV (Oct) (2)" xfId="1081"/>
    <cellStyle name="_Ledger FMT_Appendix 12.7 (May)_UJV (Oct) (2) 2" xfId="1082"/>
    <cellStyle name="_Ledger FMT_Appendix 12.7 (May)_VOUCHER PRINTING SA" xfId="1083"/>
    <cellStyle name="_Ledger FMT_Appendix 12.7 (Nov)" xfId="1084"/>
    <cellStyle name="_Ledger FMT_Appendix 12.7 (Nov) 2" xfId="1085"/>
    <cellStyle name="_Ledger FMT_Appendix 12.9 (May)" xfId="1086"/>
    <cellStyle name="_Ledger FMT_Appendix 12.9 (May) 2" xfId="1087"/>
    <cellStyle name="_Ledger FMT_Appendix 12.9 (May)_ByAccount (10)" xfId="1088"/>
    <cellStyle name="_Ledger FMT_Appendix 12.9 (May)_ByAccount (12)" xfId="1089"/>
    <cellStyle name="_Ledger FMT_Appendix 12.9 (May)_ByVoucher" xfId="1090"/>
    <cellStyle name="_Ledger FMT_Appendix 12.9 (May)_ByVoucher (1NS)" xfId="1091"/>
    <cellStyle name="_Ledger FMT_Appendix 12.9 (May)_ByVoucher (2)" xfId="1092"/>
    <cellStyle name="_Ledger FMT_Appendix 12.9 (May)_ByVoucher (3)" xfId="1093"/>
    <cellStyle name="_Ledger FMT_Appendix 12.9 (May)_Copy of UIN P7 Miu" xfId="1094"/>
    <cellStyle name="_Ledger FMT_Appendix 12.9 (May)_Copy of UIN P8 Miu" xfId="1095"/>
    <cellStyle name="_Ledger FMT_Appendix 12.9 (May)_long" xfId="1096"/>
    <cellStyle name="_Ledger FMT_Appendix 12.9 (May)_Petty Cash (Feb)" xfId="1097"/>
    <cellStyle name="_Ledger FMT_Appendix 12.9 (May)_TEMP (4)" xfId="1098"/>
    <cellStyle name="_Ledger FMT_Appendix 12.9 (May)_UDN P6-LC,CC " xfId="1099"/>
    <cellStyle name="_Ledger FMT_Appendix 12.9 (May)_UDN P6-LC,CC  2" xfId="1100"/>
    <cellStyle name="_Ledger FMT_Appendix 12.9 (May)_UIN P10 Miu" xfId="1101"/>
    <cellStyle name="_Ledger FMT_Appendix 12.9 (May)_UIN P10 Miu-R1" xfId="1102"/>
    <cellStyle name="_Ledger FMT_Appendix 12.9 (May)_UIN P11 Miu" xfId="1103"/>
    <cellStyle name="_Ledger FMT_Appendix 12.9 (May)_UIN P6 Miu" xfId="1104"/>
    <cellStyle name="_Ledger FMT_Appendix 12.9 (May)_UIN P7 Miu" xfId="1105"/>
    <cellStyle name="_Ledger FMT_Appendix 12.9 (May)_UIN P8 Miu" xfId="1106"/>
    <cellStyle name="_Ledger FMT_Appendix 12.9 (May)_UIN P9 Miu" xfId="1107"/>
    <cellStyle name="_Ledger FMT_Appendix 12.9 (May)_UJV (6)" xfId="1108"/>
    <cellStyle name="_Ledger FMT_Appendix 12.9 (May)_UJV (6) 2" xfId="1109"/>
    <cellStyle name="_Ledger FMT_Appendix 12.9 (May)_UJV (Aug) (3)" xfId="1110"/>
    <cellStyle name="_Ledger FMT_Appendix 12.9 (May)_UJV (Aug) (3) 2" xfId="1111"/>
    <cellStyle name="_Ledger FMT_Appendix 12.9 (May)_UJV (Oct) (2)" xfId="1112"/>
    <cellStyle name="_Ledger FMT_Appendix 12.9 (May)_UJV (Oct) (2) 2" xfId="1113"/>
    <cellStyle name="_Ledger FMT_Appendix 12.9 (May)_VOUCHER PRINTING SA" xfId="1114"/>
    <cellStyle name="_Ledger FMT_Appendix 13" xfId="1115"/>
    <cellStyle name="_Ledger FMT_Appendix 13 2" xfId="1116"/>
    <cellStyle name="_Ledger FMT_Appendix 13_ByAccount (10)" xfId="1117"/>
    <cellStyle name="_Ledger FMT_Appendix 13_ByAccount (12)" xfId="1118"/>
    <cellStyle name="_Ledger FMT_Appendix 13_ByVoucher" xfId="1119"/>
    <cellStyle name="_Ledger FMT_Appendix 13_ByVoucher (1NS)" xfId="1120"/>
    <cellStyle name="_Ledger FMT_Appendix 13_ByVoucher (2)" xfId="1121"/>
    <cellStyle name="_Ledger FMT_Appendix 13_ByVoucher (3)" xfId="1122"/>
    <cellStyle name="_Ledger FMT_Appendix 13_Copy of UIN P7 Miu" xfId="1123"/>
    <cellStyle name="_Ledger FMT_Appendix 13_Copy of UIN P8 Miu" xfId="1124"/>
    <cellStyle name="_Ledger FMT_Appendix 13_long" xfId="1125"/>
    <cellStyle name="_Ledger FMT_Appendix 13_Petty Cash (Feb)" xfId="1126"/>
    <cellStyle name="_Ledger FMT_Appendix 13_TEMP (4)" xfId="1127"/>
    <cellStyle name="_Ledger FMT_Appendix 13_UDN P6-LC,CC " xfId="1128"/>
    <cellStyle name="_Ledger FMT_Appendix 13_UDN P6-LC,CC  2" xfId="1129"/>
    <cellStyle name="_Ledger FMT_Appendix 13_UIN P10 Miu" xfId="1130"/>
    <cellStyle name="_Ledger FMT_Appendix 13_UIN P10 Miu-R1" xfId="1131"/>
    <cellStyle name="_Ledger FMT_Appendix 13_UIN P11 Miu" xfId="1132"/>
    <cellStyle name="_Ledger FMT_Appendix 13_UIN P4 Miu R2" xfId="1133"/>
    <cellStyle name="_Ledger FMT_Appendix 13_UIN P4 Miu R2 2" xfId="1134"/>
    <cellStyle name="_Ledger FMT_Appendix 13_UIN P6 Miu" xfId="1135"/>
    <cellStyle name="_Ledger FMT_Appendix 13_UIN P7 Miu" xfId="1136"/>
    <cellStyle name="_Ledger FMT_Appendix 13_UIN P8 Miu" xfId="1137"/>
    <cellStyle name="_Ledger FMT_Appendix 13_UIN P9 Miu" xfId="1138"/>
    <cellStyle name="_Ledger FMT_Appendix 13_UJV (6)" xfId="1139"/>
    <cellStyle name="_Ledger FMT_Appendix 13_UJV (6) 2" xfId="1140"/>
    <cellStyle name="_Ledger FMT_Appendix 13_UJV (Aug) (3)" xfId="1141"/>
    <cellStyle name="_Ledger FMT_Appendix 13_UJV (Aug) (3) 2" xfId="1142"/>
    <cellStyle name="_Ledger FMT_Appendix 13_UJV (Oct) (2)" xfId="1143"/>
    <cellStyle name="_Ledger FMT_Appendix 13_UJV (Oct) (2) 2" xfId="1144"/>
    <cellStyle name="_Ledger FMT_Appendix 13_VOUCHER PRINTING SA" xfId="1145"/>
    <cellStyle name="_Ledger FMT_Appendix 14" xfId="1146"/>
    <cellStyle name="_Ledger FMT_Appendix 14 (JRS)" xfId="1147"/>
    <cellStyle name="_Ledger FMT_Appendix 14 10" xfId="1148"/>
    <cellStyle name="_Ledger FMT_Appendix 14 11" xfId="1149"/>
    <cellStyle name="_Ledger FMT_Appendix 14 12" xfId="1150"/>
    <cellStyle name="_Ledger FMT_Appendix 14 13" xfId="1151"/>
    <cellStyle name="_Ledger FMT_Appendix 14 14" xfId="1152"/>
    <cellStyle name="_Ledger FMT_Appendix 14 15" xfId="1153"/>
    <cellStyle name="_Ledger FMT_Appendix 14 16" xfId="1154"/>
    <cellStyle name="_Ledger FMT_Appendix 14 17" xfId="1155"/>
    <cellStyle name="_Ledger FMT_Appendix 14 18" xfId="1156"/>
    <cellStyle name="_Ledger FMT_Appendix 14 19" xfId="1157"/>
    <cellStyle name="_Ledger FMT_Appendix 14 2" xfId="1158"/>
    <cellStyle name="_Ledger FMT_Appendix 14 20" xfId="1159"/>
    <cellStyle name="_Ledger FMT_Appendix 14 21" xfId="1160"/>
    <cellStyle name="_Ledger FMT_Appendix 14 3" xfId="1161"/>
    <cellStyle name="_Ledger FMT_Appendix 14 4" xfId="1162"/>
    <cellStyle name="_Ledger FMT_Appendix 14 5" xfId="1163"/>
    <cellStyle name="_Ledger FMT_Appendix 14 6" xfId="1164"/>
    <cellStyle name="_Ledger FMT_Appendix 14 7" xfId="1165"/>
    <cellStyle name="_Ledger FMT_Appendix 14 8" xfId="1166"/>
    <cellStyle name="_Ledger FMT_Appendix 14 9" xfId="1167"/>
    <cellStyle name="_Ledger FMT_Appendix 14_ByAccount (10)" xfId="1168"/>
    <cellStyle name="_Ledger FMT_Appendix 14_ByAccount (12)" xfId="1169"/>
    <cellStyle name="_Ledger FMT_Appendix 14_ByVoucher" xfId="1170"/>
    <cellStyle name="_Ledger FMT_Appendix 14_ByVoucher (1NS)" xfId="1171"/>
    <cellStyle name="_Ledger FMT_Appendix 14_ByVoucher (2)" xfId="1172"/>
    <cellStyle name="_Ledger FMT_Appendix 14_ByVoucher (3)" xfId="1173"/>
    <cellStyle name="_Ledger FMT_Appendix 14_Copy of UIN P7 Miu" xfId="1174"/>
    <cellStyle name="_Ledger FMT_Appendix 14_Copy of UIN P8 Miu" xfId="1175"/>
    <cellStyle name="_Ledger FMT_Appendix 14_long" xfId="1176"/>
    <cellStyle name="_Ledger FMT_Appendix 14_Petty Cash (Feb)" xfId="1177"/>
    <cellStyle name="_Ledger FMT_Appendix 14_TEMP (4)" xfId="1178"/>
    <cellStyle name="_Ledger FMT_Appendix 14_UDN P6-LC,CC " xfId="1179"/>
    <cellStyle name="_Ledger FMT_Appendix 14_UDN P6-LC,CC  2" xfId="1180"/>
    <cellStyle name="_Ledger FMT_Appendix 14_UIN P10 Miu" xfId="1181"/>
    <cellStyle name="_Ledger FMT_Appendix 14_UIN P10 Miu-R1" xfId="1182"/>
    <cellStyle name="_Ledger FMT_Appendix 14_UIN P11 Miu" xfId="1183"/>
    <cellStyle name="_Ledger FMT_Appendix 14_UIN P6 Miu" xfId="1184"/>
    <cellStyle name="_Ledger FMT_Appendix 14_UIN P7 Miu" xfId="1185"/>
    <cellStyle name="_Ledger FMT_Appendix 14_UIN P8 Miu" xfId="1186"/>
    <cellStyle name="_Ledger FMT_Appendix 14_UIN P9 Miu" xfId="1187"/>
    <cellStyle name="_Ledger FMT_Appendix 14_UJV (6)" xfId="1188"/>
    <cellStyle name="_Ledger FMT_Appendix 14_UJV (6) 2" xfId="1189"/>
    <cellStyle name="_Ledger FMT_Appendix 14_UJV (Aug) (3)" xfId="1190"/>
    <cellStyle name="_Ledger FMT_Appendix 14_UJV (Aug) (3) 2" xfId="1191"/>
    <cellStyle name="_Ledger FMT_Appendix 14_UJV (Oct) (2)" xfId="1192"/>
    <cellStyle name="_Ledger FMT_Appendix 14_UJV (Oct) (2) 2" xfId="1193"/>
    <cellStyle name="_Ledger FMT_Appendix 14_VOUCHER PRINTING SA" xfId="1194"/>
    <cellStyle name="_Ledger FMT_Appendix 15.1" xfId="1195"/>
    <cellStyle name="_Ledger FMT_Appendix 15.1 2" xfId="1196"/>
    <cellStyle name="_Ledger FMT_Appendix 16" xfId="1197"/>
    <cellStyle name="_Ledger FMT_Appendix 16 2" xfId="1198"/>
    <cellStyle name="_Ledger FMT_Appendix 16_ByAccount (10)" xfId="1199"/>
    <cellStyle name="_Ledger FMT_Appendix 16_ByAccount (12)" xfId="1200"/>
    <cellStyle name="_Ledger FMT_Appendix 16_ByVoucher" xfId="1201"/>
    <cellStyle name="_Ledger FMT_Appendix 16_ByVoucher (1NS)" xfId="1202"/>
    <cellStyle name="_Ledger FMT_Appendix 16_ByVoucher (2)" xfId="1203"/>
    <cellStyle name="_Ledger FMT_Appendix 16_ByVoucher (3)" xfId="1204"/>
    <cellStyle name="_Ledger FMT_Appendix 16_Copy of UIN P7 Miu" xfId="1205"/>
    <cellStyle name="_Ledger FMT_Appendix 16_Copy of UIN P8 Miu" xfId="1206"/>
    <cellStyle name="_Ledger FMT_Appendix 16_long" xfId="1207"/>
    <cellStyle name="_Ledger FMT_Appendix 16_Petty Cash (Feb)" xfId="1208"/>
    <cellStyle name="_Ledger FMT_Appendix 16_TEMP (4)" xfId="1209"/>
    <cellStyle name="_Ledger FMT_Appendix 16_UDN P6-LC,CC " xfId="1210"/>
    <cellStyle name="_Ledger FMT_Appendix 16_UDN P6-LC,CC  2" xfId="1211"/>
    <cellStyle name="_Ledger FMT_Appendix 16_UIN P10 Miu" xfId="1212"/>
    <cellStyle name="_Ledger FMT_Appendix 16_UIN P10 Miu-R1" xfId="1213"/>
    <cellStyle name="_Ledger FMT_Appendix 16_UIN P11 Miu" xfId="1214"/>
    <cellStyle name="_Ledger FMT_Appendix 16_UIN P6 Miu" xfId="1215"/>
    <cellStyle name="_Ledger FMT_Appendix 16_UIN P7 Miu" xfId="1216"/>
    <cellStyle name="_Ledger FMT_Appendix 16_UIN P8 Miu" xfId="1217"/>
    <cellStyle name="_Ledger FMT_Appendix 16_UIN P9 Miu" xfId="1218"/>
    <cellStyle name="_Ledger FMT_Appendix 16_UJV (6)" xfId="1219"/>
    <cellStyle name="_Ledger FMT_Appendix 16_UJV (6) 2" xfId="1220"/>
    <cellStyle name="_Ledger FMT_Appendix 16_UJV (Aug) (3)" xfId="1221"/>
    <cellStyle name="_Ledger FMT_Appendix 16_UJV (Aug) (3) 2" xfId="1222"/>
    <cellStyle name="_Ledger FMT_Appendix 16_UJV (Oct) (2)" xfId="1223"/>
    <cellStyle name="_Ledger FMT_Appendix 16_UJV (Oct) (2) 2" xfId="1224"/>
    <cellStyle name="_Ledger FMT_Appendix 16_VOUCHER PRINTING SA" xfId="1225"/>
    <cellStyle name="_Ledger FMT_Appendix 17" xfId="1226"/>
    <cellStyle name="_Ledger FMT_Appendix 17 2" xfId="1227"/>
    <cellStyle name="_Ledger FMT_Appendix 17_ByAccount (10)" xfId="1228"/>
    <cellStyle name="_Ledger FMT_Appendix 17_ByAccount (12)" xfId="1229"/>
    <cellStyle name="_Ledger FMT_Appendix 17_ByVoucher" xfId="1230"/>
    <cellStyle name="_Ledger FMT_Appendix 17_ByVoucher (1NS)" xfId="1231"/>
    <cellStyle name="_Ledger FMT_Appendix 17_ByVoucher (2)" xfId="1232"/>
    <cellStyle name="_Ledger FMT_Appendix 17_ByVoucher (3)" xfId="1233"/>
    <cellStyle name="_Ledger FMT_Appendix 17_Copy of UIN P7 Miu" xfId="1234"/>
    <cellStyle name="_Ledger FMT_Appendix 17_Copy of UIN P8 Miu" xfId="1235"/>
    <cellStyle name="_Ledger FMT_Appendix 17_long" xfId="1236"/>
    <cellStyle name="_Ledger FMT_Appendix 17_Petty Cash (Feb)" xfId="1237"/>
    <cellStyle name="_Ledger FMT_Appendix 17_TEMP (4)" xfId="1238"/>
    <cellStyle name="_Ledger FMT_Appendix 17_UDN P6-LC,CC " xfId="1239"/>
    <cellStyle name="_Ledger FMT_Appendix 17_UDN P6-LC,CC  2" xfId="1240"/>
    <cellStyle name="_Ledger FMT_Appendix 17_UIN P10 Miu" xfId="1241"/>
    <cellStyle name="_Ledger FMT_Appendix 17_UIN P10 Miu-R1" xfId="1242"/>
    <cellStyle name="_Ledger FMT_Appendix 17_UIN P11 Miu" xfId="1243"/>
    <cellStyle name="_Ledger FMT_Appendix 17_UIN P6 Miu" xfId="1244"/>
    <cellStyle name="_Ledger FMT_Appendix 17_UIN P7 Miu" xfId="1245"/>
    <cellStyle name="_Ledger FMT_Appendix 17_UIN P8 Miu" xfId="1246"/>
    <cellStyle name="_Ledger FMT_Appendix 17_UIN P9 Miu" xfId="1247"/>
    <cellStyle name="_Ledger FMT_Appendix 17_UJV (6)" xfId="1248"/>
    <cellStyle name="_Ledger FMT_Appendix 17_UJV (6) 2" xfId="1249"/>
    <cellStyle name="_Ledger FMT_Appendix 17_UJV (Aug) (3)" xfId="1250"/>
    <cellStyle name="_Ledger FMT_Appendix 17_UJV (Aug) (3) 2" xfId="1251"/>
    <cellStyle name="_Ledger FMT_Appendix 17_UJV (Oct) (2)" xfId="1252"/>
    <cellStyle name="_Ledger FMT_Appendix 17_UJV (Oct) (2) 2" xfId="1253"/>
    <cellStyle name="_Ledger FMT_Appendix 17_VOUCHER PRINTING SA" xfId="1254"/>
    <cellStyle name="_Ledger FMT_Appendix 18" xfId="1255"/>
    <cellStyle name="_Ledger FMT_Appendix 18 2" xfId="1256"/>
    <cellStyle name="_Ledger FMT_Appendix 18_ByAccount (10)" xfId="1257"/>
    <cellStyle name="_Ledger FMT_Appendix 18_ByAccount (12)" xfId="1258"/>
    <cellStyle name="_Ledger FMT_Appendix 18_ByVoucher" xfId="1259"/>
    <cellStyle name="_Ledger FMT_Appendix 18_ByVoucher (1NS)" xfId="1260"/>
    <cellStyle name="_Ledger FMT_Appendix 18_ByVoucher (2)" xfId="1261"/>
    <cellStyle name="_Ledger FMT_Appendix 18_ByVoucher (3)" xfId="1262"/>
    <cellStyle name="_Ledger FMT_Appendix 18_Copy of UIN P7 Miu" xfId="1263"/>
    <cellStyle name="_Ledger FMT_Appendix 18_Copy of UIN P8 Miu" xfId="1264"/>
    <cellStyle name="_Ledger FMT_Appendix 18_long" xfId="1265"/>
    <cellStyle name="_Ledger FMT_Appendix 18_Petty Cash (Feb)" xfId="1266"/>
    <cellStyle name="_Ledger FMT_Appendix 18_TEMP (4)" xfId="1267"/>
    <cellStyle name="_Ledger FMT_Appendix 18_UDN P6-LC,CC " xfId="1268"/>
    <cellStyle name="_Ledger FMT_Appendix 18_UDN P6-LC,CC  2" xfId="1269"/>
    <cellStyle name="_Ledger FMT_Appendix 18_UIN P10 Miu" xfId="1270"/>
    <cellStyle name="_Ledger FMT_Appendix 18_UIN P10 Miu-R1" xfId="1271"/>
    <cellStyle name="_Ledger FMT_Appendix 18_UIN P11 Miu" xfId="1272"/>
    <cellStyle name="_Ledger FMT_Appendix 18_UIN P6 Miu" xfId="1273"/>
    <cellStyle name="_Ledger FMT_Appendix 18_UIN P7 Miu" xfId="1274"/>
    <cellStyle name="_Ledger FMT_Appendix 18_UIN P8 Miu" xfId="1275"/>
    <cellStyle name="_Ledger FMT_Appendix 18_UIN P9 Miu" xfId="1276"/>
    <cellStyle name="_Ledger FMT_Appendix 18_UJV (6)" xfId="1277"/>
    <cellStyle name="_Ledger FMT_Appendix 18_UJV (6) 2" xfId="1278"/>
    <cellStyle name="_Ledger FMT_Appendix 18_UJV (Aug) (3)" xfId="1279"/>
    <cellStyle name="_Ledger FMT_Appendix 18_UJV (Aug) (3) 2" xfId="1280"/>
    <cellStyle name="_Ledger FMT_Appendix 18_UJV (Oct) (2)" xfId="1281"/>
    <cellStyle name="_Ledger FMT_Appendix 18_UJV (Oct) (2) 2" xfId="1282"/>
    <cellStyle name="_Ledger FMT_Appendix 18_VOUCHER PRINTING SA" xfId="1283"/>
    <cellStyle name="_Ledger FMT_Appendix 3" xfId="1284"/>
    <cellStyle name="_Ledger FMT_Appendix 3 (SA)" xfId="1285"/>
    <cellStyle name="_Ledger FMT_Appendix 3 (SA) 2" xfId="1286"/>
    <cellStyle name="_Ledger FMT_Appendix 3 10" xfId="1287"/>
    <cellStyle name="_Ledger FMT_Appendix 3 11" xfId="1288"/>
    <cellStyle name="_Ledger FMT_Appendix 3 12" xfId="1289"/>
    <cellStyle name="_Ledger FMT_Appendix 3 13" xfId="1290"/>
    <cellStyle name="_Ledger FMT_Appendix 3 14" xfId="1291"/>
    <cellStyle name="_Ledger FMT_Appendix 3 15" xfId="1292"/>
    <cellStyle name="_Ledger FMT_Appendix 3 16" xfId="1293"/>
    <cellStyle name="_Ledger FMT_Appendix 3 17" xfId="1294"/>
    <cellStyle name="_Ledger FMT_Appendix 3 18" xfId="1295"/>
    <cellStyle name="_Ledger FMT_Appendix 3 19" xfId="1296"/>
    <cellStyle name="_Ledger FMT_Appendix 3 2" xfId="1297"/>
    <cellStyle name="_Ledger FMT_Appendix 3 20" xfId="1298"/>
    <cellStyle name="_Ledger FMT_Appendix 3 21" xfId="1299"/>
    <cellStyle name="_Ledger FMT_Appendix 3 3" xfId="1300"/>
    <cellStyle name="_Ledger FMT_Appendix 3 4" xfId="1301"/>
    <cellStyle name="_Ledger FMT_Appendix 3 5" xfId="1302"/>
    <cellStyle name="_Ledger FMT_Appendix 3 6" xfId="1303"/>
    <cellStyle name="_Ledger FMT_Appendix 3 7" xfId="1304"/>
    <cellStyle name="_Ledger FMT_Appendix 3 8" xfId="1305"/>
    <cellStyle name="_Ledger FMT_Appendix 3 9" xfId="1306"/>
    <cellStyle name="_Ledger FMT_Appendix 3(SA-p9)" xfId="1307"/>
    <cellStyle name="_Ledger FMT_Appendix 3(SA-p9) 2" xfId="1308"/>
    <cellStyle name="_Ledger FMT_Appendix 3.1" xfId="1309"/>
    <cellStyle name="_Ledger FMT_Appendix 3.1 " xfId="1310"/>
    <cellStyle name="_Ledger FMT_Appendix 3.1  (2)" xfId="1311"/>
    <cellStyle name="_Ledger FMT_Appendix 3.1  (2) 2" xfId="1312"/>
    <cellStyle name="_Ledger FMT_Appendix 3.1  10" xfId="1313"/>
    <cellStyle name="_Ledger FMT_Appendix 3.1  11" xfId="1314"/>
    <cellStyle name="_Ledger FMT_Appendix 3.1  12" xfId="1315"/>
    <cellStyle name="_Ledger FMT_Appendix 3.1  13" xfId="1316"/>
    <cellStyle name="_Ledger FMT_Appendix 3.1  14" xfId="1317"/>
    <cellStyle name="_Ledger FMT_Appendix 3.1  15" xfId="1318"/>
    <cellStyle name="_Ledger FMT_Appendix 3.1  16" xfId="1319"/>
    <cellStyle name="_Ledger FMT_Appendix 3.1  17" xfId="1320"/>
    <cellStyle name="_Ledger FMT_Appendix 3.1  18" xfId="1321"/>
    <cellStyle name="_Ledger FMT_Appendix 3.1  19" xfId="1322"/>
    <cellStyle name="_Ledger FMT_Appendix 3.1  2" xfId="1323"/>
    <cellStyle name="_Ledger FMT_Appendix 3.1  20" xfId="1324"/>
    <cellStyle name="_Ledger FMT_Appendix 3.1  21" xfId="1325"/>
    <cellStyle name="_Ledger FMT_Appendix 3.1  3" xfId="1326"/>
    <cellStyle name="_Ledger FMT_Appendix 3.1  4" xfId="1327"/>
    <cellStyle name="_Ledger FMT_Appendix 3.1  5" xfId="1328"/>
    <cellStyle name="_Ledger FMT_Appendix 3.1  6" xfId="1329"/>
    <cellStyle name="_Ledger FMT_Appendix 3.1  7" xfId="1330"/>
    <cellStyle name="_Ledger FMT_Appendix 3.1  8" xfId="1331"/>
    <cellStyle name="_Ledger FMT_Appendix 3.1  9" xfId="1332"/>
    <cellStyle name="_Ledger FMT_Appendix 3.1 (sa)" xfId="1333"/>
    <cellStyle name="_Ledger FMT_Appendix 3.1 (sa) (2)" xfId="1334"/>
    <cellStyle name="_Ledger FMT_Appendix 3.1 (sa) (2) 2" xfId="1335"/>
    <cellStyle name="_Ledger FMT_Appendix 3.1 (sa) 10" xfId="1336"/>
    <cellStyle name="_Ledger FMT_Appendix 3.1 (sa) 11" xfId="1337"/>
    <cellStyle name="_Ledger FMT_Appendix 3.1 (sa) 12" xfId="1338"/>
    <cellStyle name="_Ledger FMT_Appendix 3.1 (sa) 13" xfId="1339"/>
    <cellStyle name="_Ledger FMT_Appendix 3.1 (sa) 14" xfId="1340"/>
    <cellStyle name="_Ledger FMT_Appendix 3.1 (sa) 15" xfId="1341"/>
    <cellStyle name="_Ledger FMT_Appendix 3.1 (sa) 16" xfId="1342"/>
    <cellStyle name="_Ledger FMT_Appendix 3.1 (sa) 17" xfId="1343"/>
    <cellStyle name="_Ledger FMT_Appendix 3.1 (sa) 18" xfId="1344"/>
    <cellStyle name="_Ledger FMT_Appendix 3.1 (sa) 19" xfId="1345"/>
    <cellStyle name="_Ledger FMT_Appendix 3.1 (sa) 2" xfId="1346"/>
    <cellStyle name="_Ledger FMT_Appendix 3.1 (sa) 20" xfId="1347"/>
    <cellStyle name="_Ledger FMT_Appendix 3.1 (sa) 21" xfId="1348"/>
    <cellStyle name="_Ledger FMT_Appendix 3.1 (sa) 3" xfId="1349"/>
    <cellStyle name="_Ledger FMT_Appendix 3.1 (sa) 4" xfId="1350"/>
    <cellStyle name="_Ledger FMT_Appendix 3.1 (sa) 5" xfId="1351"/>
    <cellStyle name="_Ledger FMT_Appendix 3.1 (sa) 6" xfId="1352"/>
    <cellStyle name="_Ledger FMT_Appendix 3.1 (sa) 7" xfId="1353"/>
    <cellStyle name="_Ledger FMT_Appendix 3.1 (sa) 8" xfId="1354"/>
    <cellStyle name="_Ledger FMT_Appendix 3.1 (sa) 9" xfId="1355"/>
    <cellStyle name="_Ledger FMT_Appendix 3.1 (sa-P9)  " xfId="1356"/>
    <cellStyle name="_Ledger FMT_Appendix 3.1 (sa-P9)   2" xfId="1357"/>
    <cellStyle name="_Ledger FMT_Appendix 3.1 10" xfId="1358"/>
    <cellStyle name="_Ledger FMT_Appendix 3.1 11" xfId="1359"/>
    <cellStyle name="_Ledger FMT_Appendix 3.1 12" xfId="1360"/>
    <cellStyle name="_Ledger FMT_Appendix 3.1 13" xfId="1361"/>
    <cellStyle name="_Ledger FMT_Appendix 3.1 14" xfId="1362"/>
    <cellStyle name="_Ledger FMT_Appendix 3.1 15" xfId="1363"/>
    <cellStyle name="_Ledger FMT_Appendix 3.1 16" xfId="1364"/>
    <cellStyle name="_Ledger FMT_Appendix 3.1 17" xfId="1365"/>
    <cellStyle name="_Ledger FMT_Appendix 3.1 18" xfId="1366"/>
    <cellStyle name="_Ledger FMT_Appendix 3.1 19" xfId="1367"/>
    <cellStyle name="_Ledger FMT_Appendix 3.1 2" xfId="1368"/>
    <cellStyle name="_Ledger FMT_Appendix 3.1 20" xfId="1369"/>
    <cellStyle name="_Ledger FMT_Appendix 3.1 21" xfId="1370"/>
    <cellStyle name="_Ledger FMT_Appendix 3.1 3" xfId="1371"/>
    <cellStyle name="_Ledger FMT_Appendix 3.1 4" xfId="1372"/>
    <cellStyle name="_Ledger FMT_Appendix 3.1 5" xfId="1373"/>
    <cellStyle name="_Ledger FMT_Appendix 3.1 6" xfId="1374"/>
    <cellStyle name="_Ledger FMT_Appendix 3.1 7" xfId="1375"/>
    <cellStyle name="_Ledger FMT_Appendix 3.1 8" xfId="1376"/>
    <cellStyle name="_Ledger FMT_Appendix 3.1 9" xfId="1377"/>
    <cellStyle name="_Ledger FMT_Appendix 3.1_ByAccount (10)" xfId="1378"/>
    <cellStyle name="_Ledger FMT_Appendix 3.1_ByAccount (12)" xfId="1379"/>
    <cellStyle name="_Ledger FMT_Appendix 3.1_ByVoucher" xfId="1380"/>
    <cellStyle name="_Ledger FMT_Appendix 3.1_ByVoucher (1NS)" xfId="1381"/>
    <cellStyle name="_Ledger FMT_Appendix 3.1_ByVoucher (2)" xfId="1382"/>
    <cellStyle name="_Ledger FMT_Appendix 3.1_ByVoucher (3)" xfId="1383"/>
    <cellStyle name="_Ledger FMT_Appendix 3.1_Copy of UIN P7 Miu" xfId="1384"/>
    <cellStyle name="_Ledger FMT_Appendix 3.1_Copy of UIN P8 Miu" xfId="1385"/>
    <cellStyle name="_Ledger FMT_Appendix 3.1_long" xfId="1386"/>
    <cellStyle name="_Ledger FMT_Appendix 3.1_Petty Cash (Feb)" xfId="1387"/>
    <cellStyle name="_Ledger FMT_Appendix 3.1_TEMP (4)" xfId="1388"/>
    <cellStyle name="_Ledger FMT_Appendix 3.1_UDN P6-LC,CC " xfId="1389"/>
    <cellStyle name="_Ledger FMT_Appendix 3.1_UDN P6-LC,CC  2" xfId="1390"/>
    <cellStyle name="_Ledger FMT_Appendix 3.1_UIN P10 Miu" xfId="1391"/>
    <cellStyle name="_Ledger FMT_Appendix 3.1_UIN P10 Miu-R1" xfId="1392"/>
    <cellStyle name="_Ledger FMT_Appendix 3.1_UIN P11 Miu" xfId="1393"/>
    <cellStyle name="_Ledger FMT_Appendix 3.1_UIN P6 Miu" xfId="1394"/>
    <cellStyle name="_Ledger FMT_Appendix 3.1_UIN P7 Miu" xfId="1395"/>
    <cellStyle name="_Ledger FMT_Appendix 3.1_UIN P8 Miu" xfId="1396"/>
    <cellStyle name="_Ledger FMT_Appendix 3.1_UIN P9 Miu" xfId="1397"/>
    <cellStyle name="_Ledger FMT_Appendix 3.1_UJV (6)" xfId="1398"/>
    <cellStyle name="_Ledger FMT_Appendix 3.1_UJV (6) 2" xfId="1399"/>
    <cellStyle name="_Ledger FMT_Appendix 3.1_UJV (Aug) (3)" xfId="1400"/>
    <cellStyle name="_Ledger FMT_Appendix 3.1_UJV (Aug) (3) 2" xfId="1401"/>
    <cellStyle name="_Ledger FMT_Appendix 3.1_UJV (Oct) (2)" xfId="1402"/>
    <cellStyle name="_Ledger FMT_Appendix 3.1_UJV (Oct) (2) 2" xfId="1403"/>
    <cellStyle name="_Ledger FMT_Appendix 3.1_VOUCHER PRINTING SA" xfId="1404"/>
    <cellStyle name="_Ledger FMT_Appendix 3_ByAccount (10)" xfId="1405"/>
    <cellStyle name="_Ledger FMT_Appendix 3_ByAccount (12)" xfId="1406"/>
    <cellStyle name="_Ledger FMT_Appendix 3_ByVoucher" xfId="1407"/>
    <cellStyle name="_Ledger FMT_Appendix 3_ByVoucher (1NS)" xfId="1408"/>
    <cellStyle name="_Ledger FMT_Appendix 3_ByVoucher (2)" xfId="1409"/>
    <cellStyle name="_Ledger FMT_Appendix 3_ByVoucher (3)" xfId="1410"/>
    <cellStyle name="_Ledger FMT_Appendix 3_Copy of UIN P7 Miu" xfId="1411"/>
    <cellStyle name="_Ledger FMT_Appendix 3_Copy of UIN P8 Miu" xfId="1412"/>
    <cellStyle name="_Ledger FMT_Appendix 3_long" xfId="1413"/>
    <cellStyle name="_Ledger FMT_Appendix 3_Petty Cash (Feb)" xfId="1414"/>
    <cellStyle name="_Ledger FMT_Appendix 3_TEMP (4)" xfId="1415"/>
    <cellStyle name="_Ledger FMT_Appendix 3_UDN P6-LC,CC " xfId="1416"/>
    <cellStyle name="_Ledger FMT_Appendix 3_UDN P6-LC,CC  2" xfId="1417"/>
    <cellStyle name="_Ledger FMT_Appendix 3_UIN P10 Miu" xfId="1418"/>
    <cellStyle name="_Ledger FMT_Appendix 3_UIN P10 Miu-R1" xfId="1419"/>
    <cellStyle name="_Ledger FMT_Appendix 3_UIN P11 Miu" xfId="1420"/>
    <cellStyle name="_Ledger FMT_Appendix 3_UIN P6 Miu" xfId="1421"/>
    <cellStyle name="_Ledger FMT_Appendix 3_UIN P7 Miu" xfId="1422"/>
    <cellStyle name="_Ledger FMT_Appendix 3_UIN P8 Miu" xfId="1423"/>
    <cellStyle name="_Ledger FMT_Appendix 3_UIN P9 Miu" xfId="1424"/>
    <cellStyle name="_Ledger FMT_Appendix 3_UJV (6)" xfId="1425"/>
    <cellStyle name="_Ledger FMT_Appendix 3_UJV (6) 2" xfId="1426"/>
    <cellStyle name="_Ledger FMT_Appendix 3_UJV (Aug) (3)" xfId="1427"/>
    <cellStyle name="_Ledger FMT_Appendix 3_UJV (Aug) (3) 2" xfId="1428"/>
    <cellStyle name="_Ledger FMT_Appendix 3_UJV (Oct) (2)" xfId="1429"/>
    <cellStyle name="_Ledger FMT_Appendix 3_UJV (Oct) (2) 2" xfId="1430"/>
    <cellStyle name="_Ledger FMT_Appendix 3_VOUCHER PRINTING SA" xfId="1431"/>
    <cellStyle name="_Ledger FMT_Appendix 5" xfId="1432"/>
    <cellStyle name="_Ledger FMT_Appendix 5 (4)" xfId="1433"/>
    <cellStyle name="_Ledger FMT_Appendix 5 (4) 2" xfId="1434"/>
    <cellStyle name="_Ledger FMT_Appendix 5 (4)_ByAccount (10)" xfId="1435"/>
    <cellStyle name="_Ledger FMT_Appendix 5 (4)_ByAccount (12)" xfId="1436"/>
    <cellStyle name="_Ledger FMT_Appendix 5 (4)_ByVoucher" xfId="1437"/>
    <cellStyle name="_Ledger FMT_Appendix 5 (4)_ByVoucher (1NS)" xfId="1438"/>
    <cellStyle name="_Ledger FMT_Appendix 5 (4)_ByVoucher (2)" xfId="1439"/>
    <cellStyle name="_Ledger FMT_Appendix 5 (4)_ByVoucher (3)" xfId="1440"/>
    <cellStyle name="_Ledger FMT_Appendix 5 (4)_Copy of UIN P7 Miu" xfId="1441"/>
    <cellStyle name="_Ledger FMT_Appendix 5 (4)_Copy of UIN P8 Miu" xfId="1442"/>
    <cellStyle name="_Ledger FMT_Appendix 5 (4)_long" xfId="1443"/>
    <cellStyle name="_Ledger FMT_Appendix 5 (4)_Petty Cash (Feb)" xfId="1444"/>
    <cellStyle name="_Ledger FMT_Appendix 5 (4)_TEMP (4)" xfId="1445"/>
    <cellStyle name="_Ledger FMT_Appendix 5 (4)_UDN P6-LC,CC " xfId="1446"/>
    <cellStyle name="_Ledger FMT_Appendix 5 (4)_UDN P6-LC,CC  2" xfId="1447"/>
    <cellStyle name="_Ledger FMT_Appendix 5 (4)_UIN P10 Miu" xfId="1448"/>
    <cellStyle name="_Ledger FMT_Appendix 5 (4)_UIN P10 Miu-R1" xfId="1449"/>
    <cellStyle name="_Ledger FMT_Appendix 5 (4)_UIN P11 Miu" xfId="1450"/>
    <cellStyle name="_Ledger FMT_Appendix 5 (4)_UIN P4 Miu R2" xfId="1451"/>
    <cellStyle name="_Ledger FMT_Appendix 5 (4)_UIN P4 Miu R2 2" xfId="1452"/>
    <cellStyle name="_Ledger FMT_Appendix 5 (4)_UIN P6 Miu" xfId="1453"/>
    <cellStyle name="_Ledger FMT_Appendix 5 (4)_UIN P7 Miu" xfId="1454"/>
    <cellStyle name="_Ledger FMT_Appendix 5 (4)_UIN P8 Miu" xfId="1455"/>
    <cellStyle name="_Ledger FMT_Appendix 5 (4)_UIN P9 Miu" xfId="1456"/>
    <cellStyle name="_Ledger FMT_Appendix 5 (4)_UJV (6)" xfId="1457"/>
    <cellStyle name="_Ledger FMT_Appendix 5 (4)_UJV (6) 2" xfId="1458"/>
    <cellStyle name="_Ledger FMT_Appendix 5 (4)_UJV (Aug) (3)" xfId="1459"/>
    <cellStyle name="_Ledger FMT_Appendix 5 (4)_UJV (Aug) (3) 2" xfId="1460"/>
    <cellStyle name="_Ledger FMT_Appendix 5 (4)_UJV (Oct) (2)" xfId="1461"/>
    <cellStyle name="_Ledger FMT_Appendix 5 (4)_UJV (Oct) (2) 2" xfId="1462"/>
    <cellStyle name="_Ledger FMT_Appendix 5 (4)_VOUCHER PRINTING SA" xfId="1463"/>
    <cellStyle name="_Ledger FMT_Appendix 5 (Apr)" xfId="1464"/>
    <cellStyle name="_Ledger FMT_Appendix 5 (Apr) 2" xfId="1465"/>
    <cellStyle name="_Ledger FMT_Appendix 5 (Jul)" xfId="1466"/>
    <cellStyle name="_Ledger FMT_Appendix 5 (Jun)" xfId="1467"/>
    <cellStyle name="_Ledger FMT_Appendix 5 (Jun) 2" xfId="1468"/>
    <cellStyle name="_Ledger FMT_Appendix 5 (Oct)" xfId="1469"/>
    <cellStyle name="_Ledger FMT_Appendix 5 (Sep)" xfId="1470"/>
    <cellStyle name="_Ledger FMT_Appendix 5 10" xfId="1471"/>
    <cellStyle name="_Ledger FMT_Appendix 5 11" xfId="1472"/>
    <cellStyle name="_Ledger FMT_Appendix 5 12" xfId="1473"/>
    <cellStyle name="_Ledger FMT_Appendix 5 13" xfId="1474"/>
    <cellStyle name="_Ledger FMT_Appendix 5 14" xfId="1475"/>
    <cellStyle name="_Ledger FMT_Appendix 5 15" xfId="1476"/>
    <cellStyle name="_Ledger FMT_Appendix 5 16" xfId="1477"/>
    <cellStyle name="_Ledger FMT_Appendix 5 17" xfId="1478"/>
    <cellStyle name="_Ledger FMT_Appendix 5 18" xfId="1479"/>
    <cellStyle name="_Ledger FMT_Appendix 5 19" xfId="1480"/>
    <cellStyle name="_Ledger FMT_Appendix 5 2" xfId="1481"/>
    <cellStyle name="_Ledger FMT_Appendix 5 20" xfId="1482"/>
    <cellStyle name="_Ledger FMT_Appendix 5 21" xfId="1483"/>
    <cellStyle name="_Ledger FMT_Appendix 5 3" xfId="1484"/>
    <cellStyle name="_Ledger FMT_Appendix 5 4" xfId="1485"/>
    <cellStyle name="_Ledger FMT_Appendix 5 5" xfId="1486"/>
    <cellStyle name="_Ledger FMT_Appendix 5 6" xfId="1487"/>
    <cellStyle name="_Ledger FMT_Appendix 5 7" xfId="1488"/>
    <cellStyle name="_Ledger FMT_Appendix 5 8" xfId="1489"/>
    <cellStyle name="_Ledger FMT_Appendix 5 9" xfId="1490"/>
    <cellStyle name="_Ledger FMT_Appendix 6" xfId="1491"/>
    <cellStyle name="_Ledger FMT_Appendix 6 " xfId="1492"/>
    <cellStyle name="_Ledger FMT_Appendix 6  2" xfId="1493"/>
    <cellStyle name="_Ledger FMT_Appendix 6 (2)" xfId="1494"/>
    <cellStyle name="_Ledger FMT_Appendix 6 (2) 2" xfId="1495"/>
    <cellStyle name="_Ledger FMT_Appendix 6 (OK)" xfId="1496"/>
    <cellStyle name="_Ledger FMT_Appendix 6 (OK) 2" xfId="1497"/>
    <cellStyle name="_Ledger FMT_Appendix 6 10" xfId="1498"/>
    <cellStyle name="_Ledger FMT_Appendix 6 11" xfId="1499"/>
    <cellStyle name="_Ledger FMT_Appendix 6 12" xfId="1500"/>
    <cellStyle name="_Ledger FMT_Appendix 6 13" xfId="1501"/>
    <cellStyle name="_Ledger FMT_Appendix 6 14" xfId="1502"/>
    <cellStyle name="_Ledger FMT_Appendix 6 15" xfId="1503"/>
    <cellStyle name="_Ledger FMT_Appendix 6 16" xfId="1504"/>
    <cellStyle name="_Ledger FMT_Appendix 6 17" xfId="1505"/>
    <cellStyle name="_Ledger FMT_Appendix 6 18" xfId="1506"/>
    <cellStyle name="_Ledger FMT_Appendix 6 19" xfId="1507"/>
    <cellStyle name="_Ledger FMT_Appendix 6 2" xfId="1508"/>
    <cellStyle name="_Ledger FMT_Appendix 6 20" xfId="1509"/>
    <cellStyle name="_Ledger FMT_Appendix 6 21" xfId="1510"/>
    <cellStyle name="_Ledger FMT_Appendix 6 3" xfId="1511"/>
    <cellStyle name="_Ledger FMT_Appendix 6 4" xfId="1512"/>
    <cellStyle name="_Ledger FMT_Appendix 6 5" xfId="1513"/>
    <cellStyle name="_Ledger FMT_Appendix 6 6" xfId="1514"/>
    <cellStyle name="_Ledger FMT_Appendix 6 7" xfId="1515"/>
    <cellStyle name="_Ledger FMT_Appendix 6 8" xfId="1516"/>
    <cellStyle name="_Ledger FMT_Appendix 6 9" xfId="1517"/>
    <cellStyle name="_Ledger FMT_Appendix 7" xfId="1518"/>
    <cellStyle name="_Ledger FMT_Appendix 7 2" xfId="1519"/>
    <cellStyle name="_Ledger FMT_Appendix 8 (2)" xfId="1520"/>
    <cellStyle name="_Ledger FMT_Appendix 8 (2) 2" xfId="1521"/>
    <cellStyle name="_Ledger FMT_Appendix 8 (2)_ByAccount (10)" xfId="1522"/>
    <cellStyle name="_Ledger FMT_Appendix 8 (2)_ByAccount (12)" xfId="1523"/>
    <cellStyle name="_Ledger FMT_Appendix 8 (2)_ByVoucher" xfId="1524"/>
    <cellStyle name="_Ledger FMT_Appendix 8 (2)_ByVoucher (1NS)" xfId="1525"/>
    <cellStyle name="_Ledger FMT_Appendix 8 (2)_ByVoucher (2)" xfId="1526"/>
    <cellStyle name="_Ledger FMT_Appendix 8 (2)_ByVoucher (3)" xfId="1527"/>
    <cellStyle name="_Ledger FMT_Appendix 8 (2)_Copy of UIN P7 Miu" xfId="1528"/>
    <cellStyle name="_Ledger FMT_Appendix 8 (2)_Copy of UIN P8 Miu" xfId="1529"/>
    <cellStyle name="_Ledger FMT_Appendix 8 (2)_long" xfId="1530"/>
    <cellStyle name="_Ledger FMT_Appendix 8 (2)_Petty Cash (Feb)" xfId="1531"/>
    <cellStyle name="_Ledger FMT_Appendix 8 (2)_TEMP (4)" xfId="1532"/>
    <cellStyle name="_Ledger FMT_Appendix 8 (2)_UDN P6-LC,CC " xfId="1533"/>
    <cellStyle name="_Ledger FMT_Appendix 8 (2)_UDN P6-LC,CC  2" xfId="1534"/>
    <cellStyle name="_Ledger FMT_Appendix 8 (2)_UIN P10 Miu" xfId="1535"/>
    <cellStyle name="_Ledger FMT_Appendix 8 (2)_UIN P10 Miu-R1" xfId="1536"/>
    <cellStyle name="_Ledger FMT_Appendix 8 (2)_UIN P11 Miu" xfId="1537"/>
    <cellStyle name="_Ledger FMT_Appendix 8 (2)_UIN P6 Miu" xfId="1538"/>
    <cellStyle name="_Ledger FMT_Appendix 8 (2)_UIN P7 Miu" xfId="1539"/>
    <cellStyle name="_Ledger FMT_Appendix 8 (2)_UIN P8 Miu" xfId="1540"/>
    <cellStyle name="_Ledger FMT_Appendix 8 (2)_UIN P9 Miu" xfId="1541"/>
    <cellStyle name="_Ledger FMT_Appendix 8 (2)_UJV (6)" xfId="1542"/>
    <cellStyle name="_Ledger FMT_Appendix 8 (2)_UJV (6) 2" xfId="1543"/>
    <cellStyle name="_Ledger FMT_Appendix 8 (2)_UJV (Aug) (3)" xfId="1544"/>
    <cellStyle name="_Ledger FMT_Appendix 8 (2)_UJV (Aug) (3) 2" xfId="1545"/>
    <cellStyle name="_Ledger FMT_Appendix 8 (2)_UJV (Oct) (2)" xfId="1546"/>
    <cellStyle name="_Ledger FMT_Appendix 8 (2)_UJV (Oct) (2) 2" xfId="1547"/>
    <cellStyle name="_Ledger FMT_Appendix 8 (2)_VOUCHER PRINTING SA" xfId="1548"/>
    <cellStyle name="_Ledger FMT_Appendix 8 (Aug)" xfId="1549"/>
    <cellStyle name="_Ledger FMT_Appendix 8 (Feb)" xfId="1550"/>
    <cellStyle name="_Ledger FMT_Appendix 8 (Feb) 2" xfId="1551"/>
    <cellStyle name="_Ledger FMT_Appendix 8 (Jan)" xfId="1552"/>
    <cellStyle name="_Ledger FMT_Appendix 8 (Jan) 2" xfId="1553"/>
    <cellStyle name="_Ledger FMT_Appendix 8 (Jul)" xfId="1554"/>
    <cellStyle name="_Ledger FMT_Appendix 8 (May)" xfId="1555"/>
    <cellStyle name="_Ledger FMT_Appendix 8 (May) 2" xfId="1556"/>
    <cellStyle name="_Ledger FMT_Appendix 8 (May)_ByAccount (10)" xfId="1557"/>
    <cellStyle name="_Ledger FMT_Appendix 8 (May)_ByAccount (12)" xfId="1558"/>
    <cellStyle name="_Ledger FMT_Appendix 8 (May)_ByVoucher" xfId="1559"/>
    <cellStyle name="_Ledger FMT_Appendix 8 (May)_ByVoucher (1NS)" xfId="1560"/>
    <cellStyle name="_Ledger FMT_Appendix 8 (May)_ByVoucher (2)" xfId="1561"/>
    <cellStyle name="_Ledger FMT_Appendix 8 (May)_ByVoucher (3)" xfId="1562"/>
    <cellStyle name="_Ledger FMT_Appendix 8 (May)_Copy of UIN P7 Miu" xfId="1563"/>
    <cellStyle name="_Ledger FMT_Appendix 8 (May)_Copy of UIN P8 Miu" xfId="1564"/>
    <cellStyle name="_Ledger FMT_Appendix 8 (May)_long" xfId="1565"/>
    <cellStyle name="_Ledger FMT_Appendix 8 (May)_Petty Cash (Feb)" xfId="1566"/>
    <cellStyle name="_Ledger FMT_Appendix 8 (May)_TEMP (4)" xfId="1567"/>
    <cellStyle name="_Ledger FMT_Appendix 8 (May)_UDN P6-LC,CC " xfId="1568"/>
    <cellStyle name="_Ledger FMT_Appendix 8 (May)_UDN P6-LC,CC  2" xfId="1569"/>
    <cellStyle name="_Ledger FMT_Appendix 8 (May)_UIN P10 Miu" xfId="1570"/>
    <cellStyle name="_Ledger FMT_Appendix 8 (May)_UIN P10 Miu-R1" xfId="1571"/>
    <cellStyle name="_Ledger FMT_Appendix 8 (May)_UIN P11 Miu" xfId="1572"/>
    <cellStyle name="_Ledger FMT_Appendix 8 (May)_UIN P6 Miu" xfId="1573"/>
    <cellStyle name="_Ledger FMT_Appendix 8 (May)_UIN P7 Miu" xfId="1574"/>
    <cellStyle name="_Ledger FMT_Appendix 8 (May)_UIN P8 Miu" xfId="1575"/>
    <cellStyle name="_Ledger FMT_Appendix 8 (May)_UIN P9 Miu" xfId="1576"/>
    <cellStyle name="_Ledger FMT_Appendix 8 (May)_UJV (6)" xfId="1577"/>
    <cellStyle name="_Ledger FMT_Appendix 8 (May)_UJV (6) 2" xfId="1578"/>
    <cellStyle name="_Ledger FMT_Appendix 8 (May)_UJV (Aug) (3)" xfId="1579"/>
    <cellStyle name="_Ledger FMT_Appendix 8 (May)_UJV (Aug) (3) 2" xfId="1580"/>
    <cellStyle name="_Ledger FMT_Appendix 8 (May)_UJV (Oct) (2)" xfId="1581"/>
    <cellStyle name="_Ledger FMT_Appendix 8 (May)_UJV (Oct) (2) 2" xfId="1582"/>
    <cellStyle name="_Ledger FMT_Appendix 8 (May)_VOUCHER PRINTING SA" xfId="1583"/>
    <cellStyle name="_Ledger FMT_Appendix 8 (Sep)" xfId="1584"/>
    <cellStyle name="_Ledger FMT_Appendix 8 (Sep) 2" xfId="1585"/>
    <cellStyle name="_Ledger FMT_ByAccount" xfId="1586"/>
    <cellStyle name="_Ledger FMT_ByAccount (10)" xfId="1587"/>
    <cellStyle name="_Ledger FMT_ByAccount (12)" xfId="1588"/>
    <cellStyle name="_Ledger FMT_ByAccount (2)" xfId="1589"/>
    <cellStyle name="_Ledger FMT_ByAccount (3)" xfId="1590"/>
    <cellStyle name="_Ledger FMT_ByAccount (4)" xfId="1591"/>
    <cellStyle name="_Ledger FMT_ByAccount (5)" xfId="1592"/>
    <cellStyle name="_Ledger FMT_ByAccount (8)" xfId="1593"/>
    <cellStyle name="_Ledger FMT_ByAccount (9)" xfId="1594"/>
    <cellStyle name="_Ledger FMT_ByVoucher" xfId="1595"/>
    <cellStyle name="_Ledger FMT_ByVoucher (1NS)" xfId="1596"/>
    <cellStyle name="_Ledger FMT_ByVoucher (2)" xfId="1597"/>
    <cellStyle name="_Ledger FMT_ByVoucher (3)" xfId="1598"/>
    <cellStyle name="_Ledger FMT_ByVoucher (5)" xfId="1599"/>
    <cellStyle name="_Ledger FMT_ByVoucher(long)" xfId="1600"/>
    <cellStyle name="_Ledger FMT_ByVoucher_1" xfId="1601"/>
    <cellStyle name="_Ledger FMT_ByVoucher_1 2" xfId="1602"/>
    <cellStyle name="_Ledger FMT_ByVoucher_1_ByAccount (10)" xfId="1603"/>
    <cellStyle name="_Ledger FMT_ByVoucher_1_ByAccount (12)" xfId="1604"/>
    <cellStyle name="_Ledger FMT_ByVoucher_1_ByVoucher" xfId="1605"/>
    <cellStyle name="_Ledger FMT_ByVoucher_1_ByVoucher (1NS)" xfId="1606"/>
    <cellStyle name="_Ledger FMT_ByVoucher_1_ByVoucher (2)" xfId="1607"/>
    <cellStyle name="_Ledger FMT_ByVoucher_1_ByVoucher (3)" xfId="1608"/>
    <cellStyle name="_Ledger FMT_ByVoucher_1_Copy of UIN P7 Miu" xfId="1609"/>
    <cellStyle name="_Ledger FMT_ByVoucher_1_Copy of UIN P8 Miu" xfId="1610"/>
    <cellStyle name="_Ledger FMT_ByVoucher_1_long" xfId="1611"/>
    <cellStyle name="_Ledger FMT_ByVoucher_1_Petty Cash (Feb)" xfId="1612"/>
    <cellStyle name="_Ledger FMT_ByVoucher_1_TEMP (4)" xfId="1613"/>
    <cellStyle name="_Ledger FMT_ByVoucher_1_UDN P6-LC,CC " xfId="1614"/>
    <cellStyle name="_Ledger FMT_ByVoucher_1_UDN P6-LC,CC  2" xfId="1615"/>
    <cellStyle name="_Ledger FMT_ByVoucher_1_UIN P10 Miu" xfId="1616"/>
    <cellStyle name="_Ledger FMT_ByVoucher_1_UIN P10 Miu-R1" xfId="1617"/>
    <cellStyle name="_Ledger FMT_ByVoucher_1_UIN P11 Miu" xfId="1618"/>
    <cellStyle name="_Ledger FMT_ByVoucher_1_UIN P6 Miu" xfId="1619"/>
    <cellStyle name="_Ledger FMT_ByVoucher_1_UIN P7 Miu" xfId="1620"/>
    <cellStyle name="_Ledger FMT_ByVoucher_1_UIN P8 Miu" xfId="1621"/>
    <cellStyle name="_Ledger FMT_ByVoucher_1_UIN P9 Miu" xfId="1622"/>
    <cellStyle name="_Ledger FMT_ByVoucher_1_UJV (6)" xfId="1623"/>
    <cellStyle name="_Ledger FMT_ByVoucher_1_UJV (6) 2" xfId="1624"/>
    <cellStyle name="_Ledger FMT_ByVoucher_1_UJV (Aug) (3)" xfId="1625"/>
    <cellStyle name="_Ledger FMT_ByVoucher_1_UJV (Aug) (3) 2" xfId="1626"/>
    <cellStyle name="_Ledger FMT_ByVoucher_1_UJV (Oct) (2)" xfId="1627"/>
    <cellStyle name="_Ledger FMT_ByVoucher_1_UJV (Oct) (2) 2" xfId="1628"/>
    <cellStyle name="_Ledger FMT_ByVoucher_1_VOUCHER PRINTING SA" xfId="1629"/>
    <cellStyle name="_Ledger FMT_cash A KS" xfId="1630"/>
    <cellStyle name="_Ledger FMT_COA" xfId="1631"/>
    <cellStyle name="_Ledger FMT_Entries (Teresa)" xfId="1632"/>
    <cellStyle name="_Ledger FMT_Entries (Teresa) 2" xfId="1633"/>
    <cellStyle name="_Ledger FMT_Fixed G acc P10" xfId="1634"/>
    <cellStyle name="_Ledger FMT_GBP" xfId="1635"/>
    <cellStyle name="_Ledger FMT_GBP 2" xfId="1636"/>
    <cellStyle name="_Ledger FMT_GBP_ByAccount (10)" xfId="1637"/>
    <cellStyle name="_Ledger FMT_GBP_ByAccount (12)" xfId="1638"/>
    <cellStyle name="_Ledger FMT_GBP_ByVoucher" xfId="1639"/>
    <cellStyle name="_Ledger FMT_GBP_ByVoucher (1NS)" xfId="1640"/>
    <cellStyle name="_Ledger FMT_GBP_ByVoucher (2)" xfId="1641"/>
    <cellStyle name="_Ledger FMT_GBP_ByVoucher (3)" xfId="1642"/>
    <cellStyle name="_Ledger FMT_GBP_Copy of UIN P7 Miu" xfId="1643"/>
    <cellStyle name="_Ledger FMT_GBP_Copy of UIN P8 Miu" xfId="1644"/>
    <cellStyle name="_Ledger FMT_GBP_long" xfId="1645"/>
    <cellStyle name="_Ledger FMT_GBP_Petty Cash (Feb)" xfId="1646"/>
    <cellStyle name="_Ledger FMT_GBP_TEMP (4)" xfId="1647"/>
    <cellStyle name="_Ledger FMT_GBP_UDN P6-LC,CC " xfId="1648"/>
    <cellStyle name="_Ledger FMT_GBP_UDN P6-LC,CC  2" xfId="1649"/>
    <cellStyle name="_Ledger FMT_GBP_UIN P10 Miu" xfId="1650"/>
    <cellStyle name="_Ledger FMT_GBP_UIN P10 Miu-R1" xfId="1651"/>
    <cellStyle name="_Ledger FMT_GBP_UIN P11 Miu" xfId="1652"/>
    <cellStyle name="_Ledger FMT_GBP_UIN P6 Miu" xfId="1653"/>
    <cellStyle name="_Ledger FMT_GBP_UIN P7 Miu" xfId="1654"/>
    <cellStyle name="_Ledger FMT_GBP_UIN P8 Miu" xfId="1655"/>
    <cellStyle name="_Ledger FMT_GBP_UIN P9 Miu" xfId="1656"/>
    <cellStyle name="_Ledger FMT_GBP_UJV (6)" xfId="1657"/>
    <cellStyle name="_Ledger FMT_GBP_UJV (6) 2" xfId="1658"/>
    <cellStyle name="_Ledger FMT_GBP_UJV (Aug) (3)" xfId="1659"/>
    <cellStyle name="_Ledger FMT_GBP_UJV (Aug) (3) 2" xfId="1660"/>
    <cellStyle name="_Ledger FMT_GBP_UJV (Oct) (2)" xfId="1661"/>
    <cellStyle name="_Ledger FMT_GBP_UJV (Oct) (2) 2" xfId="1662"/>
    <cellStyle name="_Ledger FMT_GBP_VOUCHER PRINTING SA" xfId="1663"/>
    <cellStyle name="_Ledger FMT_Ledger + Voucher Template base" xfId="1664"/>
    <cellStyle name="_Ledger FMT_Ledger + Voucher Template base 2" xfId="1665"/>
    <cellStyle name="_Ledger FMT_Ledger + Voucher Template base_ByAccount (10)" xfId="1666"/>
    <cellStyle name="_Ledger FMT_Ledger + Voucher Template base_ByAccount (12)" xfId="1667"/>
    <cellStyle name="_Ledger FMT_Ledger + Voucher Template base_ByVoucher" xfId="1668"/>
    <cellStyle name="_Ledger FMT_Ledger + Voucher Template base_ByVoucher (1NS)" xfId="1669"/>
    <cellStyle name="_Ledger FMT_Ledger + Voucher Template base_ByVoucher (2)" xfId="1670"/>
    <cellStyle name="_Ledger FMT_Ledger + Voucher Template base_ByVoucher (3)" xfId="1671"/>
    <cellStyle name="_Ledger FMT_Ledger + Voucher Template base_Copy of UIN P7 Miu" xfId="1672"/>
    <cellStyle name="_Ledger FMT_Ledger + Voucher Template base_Copy of UIN P8 Miu" xfId="1673"/>
    <cellStyle name="_Ledger FMT_Ledger + Voucher Template base_long" xfId="1674"/>
    <cellStyle name="_Ledger FMT_Ledger + Voucher Template base_Petty Cash (Feb)" xfId="1675"/>
    <cellStyle name="_Ledger FMT_Ledger + Voucher Template base_TEMP (4)" xfId="1676"/>
    <cellStyle name="_Ledger FMT_Ledger + Voucher Template base_UDN P6-LC,CC " xfId="1677"/>
    <cellStyle name="_Ledger FMT_Ledger + Voucher Template base_UDN P6-LC,CC  2" xfId="1678"/>
    <cellStyle name="_Ledger FMT_Ledger + Voucher Template base_UIN P10 Miu" xfId="1679"/>
    <cellStyle name="_Ledger FMT_Ledger + Voucher Template base_UIN P10 Miu-R1" xfId="1680"/>
    <cellStyle name="_Ledger FMT_Ledger + Voucher Template base_UIN P11 Miu" xfId="1681"/>
    <cellStyle name="_Ledger FMT_Ledger + Voucher Template base_UIN P4 Miu R2" xfId="1682"/>
    <cellStyle name="_Ledger FMT_Ledger + Voucher Template base_UIN P4 Miu R2 2" xfId="1683"/>
    <cellStyle name="_Ledger FMT_Ledger + Voucher Template base_UIN P6 Miu" xfId="1684"/>
    <cellStyle name="_Ledger FMT_Ledger + Voucher Template base_UIN P7 Miu" xfId="1685"/>
    <cellStyle name="_Ledger FMT_Ledger + Voucher Template base_UIN P8 Miu" xfId="1686"/>
    <cellStyle name="_Ledger FMT_Ledger + Voucher Template base_UIN P9 Miu" xfId="1687"/>
    <cellStyle name="_Ledger FMT_Ledger + Voucher Template base_UJV (6)" xfId="1688"/>
    <cellStyle name="_Ledger FMT_Ledger + Voucher Template base_UJV (6) 2" xfId="1689"/>
    <cellStyle name="_Ledger FMT_Ledger + Voucher Template base_UJV (Aug) (3)" xfId="1690"/>
    <cellStyle name="_Ledger FMT_Ledger + Voucher Template base_UJV (Aug) (3) 2" xfId="1691"/>
    <cellStyle name="_Ledger FMT_Ledger + Voucher Template base_UJV (Oct) (2)" xfId="1692"/>
    <cellStyle name="_Ledger FMT_Ledger + Voucher Template base_UJV (Oct) (2) 2" xfId="1693"/>
    <cellStyle name="_Ledger FMT_Ledger + Voucher Template base_VOUCHER PRINTING SA" xfId="1694"/>
    <cellStyle name="_Ledger FMT_Ledger + Voucher Template Miu R1" xfId="1695"/>
    <cellStyle name="_Ledger FMT_Ledger + Voucher Template Miu R1 2" xfId="1696"/>
    <cellStyle name="_Ledger FMT_Ledger + Voucher Template Miu R1_ByAccount (10)" xfId="1697"/>
    <cellStyle name="_Ledger FMT_Ledger + Voucher Template Miu R1_ByAccount (12)" xfId="1698"/>
    <cellStyle name="_Ledger FMT_Ledger + Voucher Template Miu R1_ByVoucher" xfId="1699"/>
    <cellStyle name="_Ledger FMT_Ledger + Voucher Template Miu R1_ByVoucher (1NS)" xfId="1700"/>
    <cellStyle name="_Ledger FMT_Ledger + Voucher Template Miu R1_ByVoucher (2)" xfId="1701"/>
    <cellStyle name="_Ledger FMT_Ledger + Voucher Template Miu R1_ByVoucher (3)" xfId="1702"/>
    <cellStyle name="_Ledger FMT_Ledger + Voucher Template Miu R1_Copy of UIN P7 Miu" xfId="1703"/>
    <cellStyle name="_Ledger FMT_Ledger + Voucher Template Miu R1_Copy of UIN P8 Miu" xfId="1704"/>
    <cellStyle name="_Ledger FMT_Ledger + Voucher Template Miu R1_long" xfId="1705"/>
    <cellStyle name="_Ledger FMT_Ledger + Voucher Template Miu R1_Petty Cash (Feb)" xfId="1706"/>
    <cellStyle name="_Ledger FMT_Ledger + Voucher Template Miu R1_TEMP (4)" xfId="1707"/>
    <cellStyle name="_Ledger FMT_Ledger + Voucher Template Miu R1_UDN P6-LC,CC " xfId="1708"/>
    <cellStyle name="_Ledger FMT_Ledger + Voucher Template Miu R1_UDN P6-LC,CC  2" xfId="1709"/>
    <cellStyle name="_Ledger FMT_Ledger + Voucher Template Miu R1_UIN P10 Miu" xfId="1710"/>
    <cellStyle name="_Ledger FMT_Ledger + Voucher Template Miu R1_UIN P10 Miu-R1" xfId="1711"/>
    <cellStyle name="_Ledger FMT_Ledger + Voucher Template Miu R1_UIN P11 Miu" xfId="1712"/>
    <cellStyle name="_Ledger FMT_Ledger + Voucher Template Miu R1_UIN P4 Miu R2" xfId="1713"/>
    <cellStyle name="_Ledger FMT_Ledger + Voucher Template Miu R1_UIN P4 Miu R2 2" xfId="1714"/>
    <cellStyle name="_Ledger FMT_Ledger + Voucher Template Miu R1_UIN P6 Miu" xfId="1715"/>
    <cellStyle name="_Ledger FMT_Ledger + Voucher Template Miu R1_UIN P7 Miu" xfId="1716"/>
    <cellStyle name="_Ledger FMT_Ledger + Voucher Template Miu R1_UIN P8 Miu" xfId="1717"/>
    <cellStyle name="_Ledger FMT_Ledger + Voucher Template Miu R1_UIN P9 Miu" xfId="1718"/>
    <cellStyle name="_Ledger FMT_Ledger + Voucher Template Miu R1_UJV (6)" xfId="1719"/>
    <cellStyle name="_Ledger FMT_Ledger + Voucher Template Miu R1_UJV (6) 2" xfId="1720"/>
    <cellStyle name="_Ledger FMT_Ledger + Voucher Template Miu R1_UJV (Aug) (3)" xfId="1721"/>
    <cellStyle name="_Ledger FMT_Ledger + Voucher Template Miu R1_UJV (Aug) (3) 2" xfId="1722"/>
    <cellStyle name="_Ledger FMT_Ledger + Voucher Template Miu R1_UJV (Oct) (2)" xfId="1723"/>
    <cellStyle name="_Ledger FMT_Ledger + Voucher Template Miu R1_UJV (Oct) (2) 2" xfId="1724"/>
    <cellStyle name="_Ledger FMT_Ledger + Voucher Template Miu R1_VOUCHER PRINTING SA" xfId="1725"/>
    <cellStyle name="_Ledger FMT_NSL (1320114) P3 - from 1NS" xfId="1726"/>
    <cellStyle name="_Ledger FMT_NSL (1320114) P3 - from 1NS 2" xfId="1727"/>
    <cellStyle name="_Ledger FMT_NSL (1320114) P3 - from 1NS_ByAccount (10)" xfId="1728"/>
    <cellStyle name="_Ledger FMT_NSL (1320114) P3 - from 1NS_ByAccount (12)" xfId="1729"/>
    <cellStyle name="_Ledger FMT_NSL (1320114) P3 - from 1NS_ByVoucher" xfId="1730"/>
    <cellStyle name="_Ledger FMT_NSL (1320114) P3 - from 1NS_ByVoucher (1NS)" xfId="1731"/>
    <cellStyle name="_Ledger FMT_NSL (1320114) P3 - from 1NS_ByVoucher (2)" xfId="1732"/>
    <cellStyle name="_Ledger FMT_NSL (1320114) P3 - from 1NS_ByVoucher (3)" xfId="1733"/>
    <cellStyle name="_Ledger FMT_NSL (1320114) P3 - from 1NS_Copy of UIN P7 Miu" xfId="1734"/>
    <cellStyle name="_Ledger FMT_NSL (1320114) P3 - from 1NS_Copy of UIN P8 Miu" xfId="1735"/>
    <cellStyle name="_Ledger FMT_NSL (1320114) P3 - from 1NS_long" xfId="1736"/>
    <cellStyle name="_Ledger FMT_NSL (1320114) P3 - from 1NS_Petty Cash (Feb)" xfId="1737"/>
    <cellStyle name="_Ledger FMT_NSL (1320114) P3 - from 1NS_TEMP (4)" xfId="1738"/>
    <cellStyle name="_Ledger FMT_NSL (1320114) P3 - from 1NS_UDN P6-LC,CC " xfId="1739"/>
    <cellStyle name="_Ledger FMT_NSL (1320114) P3 - from 1NS_UDN P6-LC,CC  2" xfId="1740"/>
    <cellStyle name="_Ledger FMT_NSL (1320114) P3 - from 1NS_UIN P10 Miu" xfId="1741"/>
    <cellStyle name="_Ledger FMT_NSL (1320114) P3 - from 1NS_UIN P10 Miu-R1" xfId="1742"/>
    <cellStyle name="_Ledger FMT_NSL (1320114) P3 - from 1NS_UIN P11 Miu" xfId="1743"/>
    <cellStyle name="_Ledger FMT_NSL (1320114) P3 - from 1NS_UIN P4 Miu R2" xfId="1744"/>
    <cellStyle name="_Ledger FMT_NSL (1320114) P3 - from 1NS_UIN P4 Miu R2 2" xfId="1745"/>
    <cellStyle name="_Ledger FMT_NSL (1320114) P3 - from 1NS_UIN P6 Miu" xfId="1746"/>
    <cellStyle name="_Ledger FMT_NSL (1320114) P3 - from 1NS_UIN P7 Miu" xfId="1747"/>
    <cellStyle name="_Ledger FMT_NSL (1320114) P3 - from 1NS_UIN P8 Miu" xfId="1748"/>
    <cellStyle name="_Ledger FMT_NSL (1320114) P3 - from 1NS_UIN P9 Miu" xfId="1749"/>
    <cellStyle name="_Ledger FMT_NSL (1320114) P3 - from 1NS_UJV (6)" xfId="1750"/>
    <cellStyle name="_Ledger FMT_NSL (1320114) P3 - from 1NS_UJV (6) 2" xfId="1751"/>
    <cellStyle name="_Ledger FMT_NSL (1320114) P3 - from 1NS_UJV (Aug) (3)" xfId="1752"/>
    <cellStyle name="_Ledger FMT_NSL (1320114) P3 - from 1NS_UJV (Aug) (3) 2" xfId="1753"/>
    <cellStyle name="_Ledger FMT_NSL (1320114) P3 - from 1NS_UJV (Oct) (2)" xfId="1754"/>
    <cellStyle name="_Ledger FMT_NSL (1320114) P3 - from 1NS_UJV (Oct) (2) 2" xfId="1755"/>
    <cellStyle name="_Ledger FMT_NSL (1320114) P3 - from 1NS_VOUCHER PRINTING SA" xfId="1756"/>
    <cellStyle name="_Ledger FMT_NSL UK 1320114 (1NS) P3" xfId="1757"/>
    <cellStyle name="_Ledger FMT_NSL UK 1320114 (1NS) P3 2" xfId="1758"/>
    <cellStyle name="_Ledger FMT_NSL UK 1320114 (1NS) P3_ByAccount (10)" xfId="1759"/>
    <cellStyle name="_Ledger FMT_NSL UK 1320114 (1NS) P3_ByAccount (12)" xfId="1760"/>
    <cellStyle name="_Ledger FMT_NSL UK 1320114 (1NS) P3_ByVoucher" xfId="1761"/>
    <cellStyle name="_Ledger FMT_NSL UK 1320114 (1NS) P3_ByVoucher (1NS)" xfId="1762"/>
    <cellStyle name="_Ledger FMT_NSL UK 1320114 (1NS) P3_ByVoucher (2)" xfId="1763"/>
    <cellStyle name="_Ledger FMT_NSL UK 1320114 (1NS) P3_ByVoucher (3)" xfId="1764"/>
    <cellStyle name="_Ledger FMT_NSL UK 1320114 (1NS) P3_Copy of UIN P7 Miu" xfId="1765"/>
    <cellStyle name="_Ledger FMT_NSL UK 1320114 (1NS) P3_Copy of UIN P8 Miu" xfId="1766"/>
    <cellStyle name="_Ledger FMT_NSL UK 1320114 (1NS) P3_long" xfId="1767"/>
    <cellStyle name="_Ledger FMT_NSL UK 1320114 (1NS) P3_Petty Cash (Feb)" xfId="1768"/>
    <cellStyle name="_Ledger FMT_NSL UK 1320114 (1NS) P3_TEMP (4)" xfId="1769"/>
    <cellStyle name="_Ledger FMT_NSL UK 1320114 (1NS) P3_UDN P6-LC,CC " xfId="1770"/>
    <cellStyle name="_Ledger FMT_NSL UK 1320114 (1NS) P3_UDN P6-LC,CC  2" xfId="1771"/>
    <cellStyle name="_Ledger FMT_NSL UK 1320114 (1NS) P3_UIN P10 Miu" xfId="1772"/>
    <cellStyle name="_Ledger FMT_NSL UK 1320114 (1NS) P3_UIN P10 Miu-R1" xfId="1773"/>
    <cellStyle name="_Ledger FMT_NSL UK 1320114 (1NS) P3_UIN P11 Miu" xfId="1774"/>
    <cellStyle name="_Ledger FMT_NSL UK 1320114 (1NS) P3_UIN P4 Miu R2" xfId="1775"/>
    <cellStyle name="_Ledger FMT_NSL UK 1320114 (1NS) P3_UIN P4 Miu R2 2" xfId="1776"/>
    <cellStyle name="_Ledger FMT_NSL UK 1320114 (1NS) P3_UIN P6 Miu" xfId="1777"/>
    <cellStyle name="_Ledger FMT_NSL UK 1320114 (1NS) P3_UIN P7 Miu" xfId="1778"/>
    <cellStyle name="_Ledger FMT_NSL UK 1320114 (1NS) P3_UIN P8 Miu" xfId="1779"/>
    <cellStyle name="_Ledger FMT_NSL UK 1320114 (1NS) P3_UIN P9 Miu" xfId="1780"/>
    <cellStyle name="_Ledger FMT_NSL UK 1320114 (1NS) P3_UJV (6)" xfId="1781"/>
    <cellStyle name="_Ledger FMT_NSL UK 1320114 (1NS) P3_UJV (6) 2" xfId="1782"/>
    <cellStyle name="_Ledger FMT_NSL UK 1320114 (1NS) P3_UJV (Aug) (3)" xfId="1783"/>
    <cellStyle name="_Ledger FMT_NSL UK 1320114 (1NS) P3_UJV (Aug) (3) 2" xfId="1784"/>
    <cellStyle name="_Ledger FMT_NSL UK 1320114 (1NS) P3_UJV (Oct) (2)" xfId="1785"/>
    <cellStyle name="_Ledger FMT_NSL UK 1320114 (1NS) P3_UJV (Oct) (2) 2" xfId="1786"/>
    <cellStyle name="_Ledger FMT_NSL UK 1320114 (1NS) P3_VOUCHER PRINTING SA" xfId="1787"/>
    <cellStyle name="_Ledger FMT_NUK NRL" xfId="1788"/>
    <cellStyle name="_Ledger FMT_P4 UK -BS Yr11-12(SA)" xfId="1789"/>
    <cellStyle name="_Ledger FMT_Petty Cash (Feb)" xfId="1790"/>
    <cellStyle name="_Ledger FMT_prepaid" xfId="1791"/>
    <cellStyle name="_Ledger FMT_prepaid 2" xfId="1792"/>
    <cellStyle name="_Ledger FMT_prepaid_ByAccount (10)" xfId="1793"/>
    <cellStyle name="_Ledger FMT_prepaid_ByAccount (12)" xfId="1794"/>
    <cellStyle name="_Ledger FMT_prepaid_ByVoucher" xfId="1795"/>
    <cellStyle name="_Ledger FMT_prepaid_ByVoucher (1NS)" xfId="1796"/>
    <cellStyle name="_Ledger FMT_prepaid_ByVoucher (2)" xfId="1797"/>
    <cellStyle name="_Ledger FMT_prepaid_ByVoucher (3)" xfId="1798"/>
    <cellStyle name="_Ledger FMT_prepaid_Copy of UIN P7 Miu" xfId="1799"/>
    <cellStyle name="_Ledger FMT_prepaid_Copy of UIN P8 Miu" xfId="1800"/>
    <cellStyle name="_Ledger FMT_prepaid_long" xfId="1801"/>
    <cellStyle name="_Ledger FMT_prepaid_Petty Cash (Feb)" xfId="1802"/>
    <cellStyle name="_Ledger FMT_prepaid_TEMP (4)" xfId="1803"/>
    <cellStyle name="_Ledger FMT_prepaid_UDN P6-LC,CC " xfId="1804"/>
    <cellStyle name="_Ledger FMT_prepaid_UDN P6-LC,CC  2" xfId="1805"/>
    <cellStyle name="_Ledger FMT_prepaid_UIN P10 Miu" xfId="1806"/>
    <cellStyle name="_Ledger FMT_prepaid_UIN P10 Miu-R1" xfId="1807"/>
    <cellStyle name="_Ledger FMT_prepaid_UIN P11 Miu" xfId="1808"/>
    <cellStyle name="_Ledger FMT_prepaid_UIN P4 Miu R2" xfId="1809"/>
    <cellStyle name="_Ledger FMT_prepaid_UIN P4 Miu R2 2" xfId="1810"/>
    <cellStyle name="_Ledger FMT_prepaid_UIN P6 Miu" xfId="1811"/>
    <cellStyle name="_Ledger FMT_prepaid_UIN P7 Miu" xfId="1812"/>
    <cellStyle name="_Ledger FMT_prepaid_UIN P8 Miu" xfId="1813"/>
    <cellStyle name="_Ledger FMT_prepaid_UIN P9 Miu" xfId="1814"/>
    <cellStyle name="_Ledger FMT_prepaid_UJV (6)" xfId="1815"/>
    <cellStyle name="_Ledger FMT_prepaid_UJV (6) 2" xfId="1816"/>
    <cellStyle name="_Ledger FMT_prepaid_UJV (Aug) (3)" xfId="1817"/>
    <cellStyle name="_Ledger FMT_prepaid_UJV (Aug) (3) 2" xfId="1818"/>
    <cellStyle name="_Ledger FMT_prepaid_UJV (Oct) (2)" xfId="1819"/>
    <cellStyle name="_Ledger FMT_prepaid_UJV (Oct) (2) 2" xfId="1820"/>
    <cellStyle name="_Ledger FMT_prepaid_VOUCHER PRINTING SA" xfId="1821"/>
    <cellStyle name="_Ledger FMT_prepay (2)" xfId="1822"/>
    <cellStyle name="_Ledger FMT_prepay (travel P10)" xfId="1823"/>
    <cellStyle name="_Ledger FMT_prepay (travel P11)" xfId="1824"/>
    <cellStyle name="_Ledger FMT_prepay travel" xfId="1825"/>
    <cellStyle name="_Ledger FMT_sa" xfId="1826"/>
    <cellStyle name="_Ledger FMT_sa (2)" xfId="1827"/>
    <cellStyle name="_Ledger FMT_sa (2) 2" xfId="1828"/>
    <cellStyle name="_Ledger FMT_sa (2)_ByAccount (10)" xfId="1829"/>
    <cellStyle name="_Ledger FMT_sa (2)_ByAccount (12)" xfId="1830"/>
    <cellStyle name="_Ledger FMT_sa (2)_ByVoucher" xfId="1831"/>
    <cellStyle name="_Ledger FMT_sa (2)_ByVoucher (1NS)" xfId="1832"/>
    <cellStyle name="_Ledger FMT_sa (2)_ByVoucher (2)" xfId="1833"/>
    <cellStyle name="_Ledger FMT_sa (2)_ByVoucher (3)" xfId="1834"/>
    <cellStyle name="_Ledger FMT_sa (2)_Copy of UIN P7 Miu" xfId="1835"/>
    <cellStyle name="_Ledger FMT_sa (2)_Copy of UIN P8 Miu" xfId="1836"/>
    <cellStyle name="_Ledger FMT_sa (2)_long" xfId="1837"/>
    <cellStyle name="_Ledger FMT_sa (2)_Petty Cash (Feb)" xfId="1838"/>
    <cellStyle name="_Ledger FMT_sa (2)_TEMP (4)" xfId="1839"/>
    <cellStyle name="_Ledger FMT_sa (2)_UDN P6-LC,CC " xfId="1840"/>
    <cellStyle name="_Ledger FMT_sa (2)_UDN P6-LC,CC  2" xfId="1841"/>
    <cellStyle name="_Ledger FMT_sa (2)_UIN P10 Miu" xfId="1842"/>
    <cellStyle name="_Ledger FMT_sa (2)_UIN P10 Miu-R1" xfId="1843"/>
    <cellStyle name="_Ledger FMT_sa (2)_UIN P11 Miu" xfId="1844"/>
    <cellStyle name="_Ledger FMT_sa (2)_UIN P6 Miu" xfId="1845"/>
    <cellStyle name="_Ledger FMT_sa (2)_UIN P7 Miu" xfId="1846"/>
    <cellStyle name="_Ledger FMT_sa (2)_UIN P8 Miu" xfId="1847"/>
    <cellStyle name="_Ledger FMT_sa (2)_UIN P9 Miu" xfId="1848"/>
    <cellStyle name="_Ledger FMT_sa (2)_UJV (6)" xfId="1849"/>
    <cellStyle name="_Ledger FMT_sa (2)_UJV (6) 2" xfId="1850"/>
    <cellStyle name="_Ledger FMT_sa (2)_UJV (Aug) (3)" xfId="1851"/>
    <cellStyle name="_Ledger FMT_sa (2)_UJV (Aug) (3) 2" xfId="1852"/>
    <cellStyle name="_Ledger FMT_sa (2)_UJV (Oct) (2)" xfId="1853"/>
    <cellStyle name="_Ledger FMT_sa (2)_UJV (Oct) (2) 2" xfId="1854"/>
    <cellStyle name="_Ledger FMT_sa (2)_VOUCHER PRINTING SA" xfId="1855"/>
    <cellStyle name="_Ledger FMT_sa (3)" xfId="1856"/>
    <cellStyle name="_Ledger FMT_sa (3) 2" xfId="1857"/>
    <cellStyle name="_Ledger FMT_sa (3)_ByAccount (10)" xfId="1858"/>
    <cellStyle name="_Ledger FMT_sa (3)_ByAccount (12)" xfId="1859"/>
    <cellStyle name="_Ledger FMT_sa (3)_ByVoucher" xfId="1860"/>
    <cellStyle name="_Ledger FMT_sa (3)_ByVoucher (1NS)" xfId="1861"/>
    <cellStyle name="_Ledger FMT_sa (3)_ByVoucher (2)" xfId="1862"/>
    <cellStyle name="_Ledger FMT_sa (3)_ByVoucher (3)" xfId="1863"/>
    <cellStyle name="_Ledger FMT_sa (3)_Copy of UIN P7 Miu" xfId="1864"/>
    <cellStyle name="_Ledger FMT_sa (3)_Copy of UIN P8 Miu" xfId="1865"/>
    <cellStyle name="_Ledger FMT_sa (3)_long" xfId="1866"/>
    <cellStyle name="_Ledger FMT_sa (3)_Petty Cash (Feb)" xfId="1867"/>
    <cellStyle name="_Ledger FMT_sa (3)_TEMP (4)" xfId="1868"/>
    <cellStyle name="_Ledger FMT_sa (3)_UDN P6-LC,CC " xfId="1869"/>
    <cellStyle name="_Ledger FMT_sa (3)_UDN P6-LC,CC  2" xfId="1870"/>
    <cellStyle name="_Ledger FMT_sa (3)_UIN P10 Miu" xfId="1871"/>
    <cellStyle name="_Ledger FMT_sa (3)_UIN P10 Miu-R1" xfId="1872"/>
    <cellStyle name="_Ledger FMT_sa (3)_UIN P11 Miu" xfId="1873"/>
    <cellStyle name="_Ledger FMT_sa (3)_UIN P6 Miu" xfId="1874"/>
    <cellStyle name="_Ledger FMT_sa (3)_UIN P7 Miu" xfId="1875"/>
    <cellStyle name="_Ledger FMT_sa (3)_UIN P8 Miu" xfId="1876"/>
    <cellStyle name="_Ledger FMT_sa (3)_UIN P9 Miu" xfId="1877"/>
    <cellStyle name="_Ledger FMT_sa (3)_UJV (6)" xfId="1878"/>
    <cellStyle name="_Ledger FMT_sa (3)_UJV (6) 2" xfId="1879"/>
    <cellStyle name="_Ledger FMT_sa (3)_UJV (Aug) (3)" xfId="1880"/>
    <cellStyle name="_Ledger FMT_sa (3)_UJV (Aug) (3) 2" xfId="1881"/>
    <cellStyle name="_Ledger FMT_sa (3)_UJV (Oct) (2)" xfId="1882"/>
    <cellStyle name="_Ledger FMT_sa (3)_UJV (Oct) (2) 2" xfId="1883"/>
    <cellStyle name="_Ledger FMT_sa (3)_VOUCHER PRINTING SA" xfId="1884"/>
    <cellStyle name="_Ledger FMT_sa 10" xfId="1885"/>
    <cellStyle name="_Ledger FMT_sa 11" xfId="1886"/>
    <cellStyle name="_Ledger FMT_sa 12" xfId="1887"/>
    <cellStyle name="_Ledger FMT_sa 13" xfId="1888"/>
    <cellStyle name="_Ledger FMT_sa 14" xfId="1889"/>
    <cellStyle name="_Ledger FMT_sa 15" xfId="1890"/>
    <cellStyle name="_Ledger FMT_sa 16" xfId="1891"/>
    <cellStyle name="_Ledger FMT_sa 17" xfId="1892"/>
    <cellStyle name="_Ledger FMT_sa 18" xfId="1893"/>
    <cellStyle name="_Ledger FMT_sa 19" xfId="1894"/>
    <cellStyle name="_Ledger FMT_sa 2" xfId="1895"/>
    <cellStyle name="_Ledger FMT_sa 20" xfId="1896"/>
    <cellStyle name="_Ledger FMT_sa 21" xfId="1897"/>
    <cellStyle name="_Ledger FMT_sa 3" xfId="1898"/>
    <cellStyle name="_Ledger FMT_sa 4" xfId="1899"/>
    <cellStyle name="_Ledger FMT_sa 5" xfId="1900"/>
    <cellStyle name="_Ledger FMT_sa 6" xfId="1901"/>
    <cellStyle name="_Ledger FMT_sa 7" xfId="1902"/>
    <cellStyle name="_Ledger FMT_sa 8" xfId="1903"/>
    <cellStyle name="_Ledger FMT_sa 9" xfId="1904"/>
    <cellStyle name="_Ledger FMT_sa_ByAccount (10)" xfId="1905"/>
    <cellStyle name="_Ledger FMT_sa_ByAccount (12)" xfId="1906"/>
    <cellStyle name="_Ledger FMT_sa_ByVoucher" xfId="1907"/>
    <cellStyle name="_Ledger FMT_sa_ByVoucher (1NS)" xfId="1908"/>
    <cellStyle name="_Ledger FMT_sa_ByVoucher (2)" xfId="1909"/>
    <cellStyle name="_Ledger FMT_sa_ByVoucher (3)" xfId="1910"/>
    <cellStyle name="_Ledger FMT_sa_Copy of UIN P7 Miu" xfId="1911"/>
    <cellStyle name="_Ledger FMT_sa_Copy of UIN P8 Miu" xfId="1912"/>
    <cellStyle name="_Ledger FMT_sa_long" xfId="1913"/>
    <cellStyle name="_Ledger FMT_sa_Petty Cash (Feb)" xfId="1914"/>
    <cellStyle name="_Ledger FMT_sa_TEMP (4)" xfId="1915"/>
    <cellStyle name="_Ledger FMT_sa_UDN P6-LC,CC " xfId="1916"/>
    <cellStyle name="_Ledger FMT_sa_UDN P6-LC,CC  2" xfId="1917"/>
    <cellStyle name="_Ledger FMT_sa_UIN P10 Miu" xfId="1918"/>
    <cellStyle name="_Ledger FMT_sa_UIN P10 Miu-R1" xfId="1919"/>
    <cellStyle name="_Ledger FMT_sa_UIN P11 Miu" xfId="1920"/>
    <cellStyle name="_Ledger FMT_sa_UIN P6 Miu" xfId="1921"/>
    <cellStyle name="_Ledger FMT_sa_UIN P7 Miu" xfId="1922"/>
    <cellStyle name="_Ledger FMT_sa_UIN P8 Miu" xfId="1923"/>
    <cellStyle name="_Ledger FMT_sa_UIN P9 Miu" xfId="1924"/>
    <cellStyle name="_Ledger FMT_sa_UJV (6)" xfId="1925"/>
    <cellStyle name="_Ledger FMT_sa_UJV (6) 2" xfId="1926"/>
    <cellStyle name="_Ledger FMT_sa_UJV (Aug) (3)" xfId="1927"/>
    <cellStyle name="_Ledger FMT_sa_UJV (Aug) (3) 2" xfId="1928"/>
    <cellStyle name="_Ledger FMT_sa_UJV (Oct) (2)" xfId="1929"/>
    <cellStyle name="_Ledger FMT_sa_UJV (Oct) (2) 2" xfId="1930"/>
    <cellStyle name="_Ledger FMT_sa_VOUCHER PRINTING SA" xfId="1931"/>
    <cellStyle name="_Ledger FMT_Sales" xfId="1932"/>
    <cellStyle name="_Ledger FMT_sarah todd car" xfId="1933"/>
    <cellStyle name="_Ledger FMT_Sheet1" xfId="1934"/>
    <cellStyle name="_Ledger FMT_Sheet4" xfId="1935"/>
    <cellStyle name="_Ledger FMT_Sheet4 2" xfId="1936"/>
    <cellStyle name="_Ledger FMT_Sheet4_ByAccount (10)" xfId="1937"/>
    <cellStyle name="_Ledger FMT_Sheet4_ByAccount (12)" xfId="1938"/>
    <cellStyle name="_Ledger FMT_Sheet4_ByVoucher" xfId="1939"/>
    <cellStyle name="_Ledger FMT_Sheet4_ByVoucher (1NS)" xfId="1940"/>
    <cellStyle name="_Ledger FMT_Sheet4_ByVoucher (2)" xfId="1941"/>
    <cellStyle name="_Ledger FMT_Sheet4_ByVoucher (3)" xfId="1942"/>
    <cellStyle name="_Ledger FMT_Sheet4_Copy of UIN P7 Miu" xfId="1943"/>
    <cellStyle name="_Ledger FMT_Sheet4_Copy of UIN P8 Miu" xfId="1944"/>
    <cellStyle name="_Ledger FMT_Sheet4_long" xfId="1945"/>
    <cellStyle name="_Ledger FMT_Sheet4_Petty Cash (Feb)" xfId="1946"/>
    <cellStyle name="_Ledger FMT_Sheet4_TEMP (4)" xfId="1947"/>
    <cellStyle name="_Ledger FMT_Sheet4_UDN P6-LC,CC " xfId="1948"/>
    <cellStyle name="_Ledger FMT_Sheet4_UDN P6-LC,CC  2" xfId="1949"/>
    <cellStyle name="_Ledger FMT_Sheet4_UIN P10 Miu" xfId="1950"/>
    <cellStyle name="_Ledger FMT_Sheet4_UIN P10 Miu-R1" xfId="1951"/>
    <cellStyle name="_Ledger FMT_Sheet4_UIN P11 Miu" xfId="1952"/>
    <cellStyle name="_Ledger FMT_Sheet4_UIN P6 Miu" xfId="1953"/>
    <cellStyle name="_Ledger FMT_Sheet4_UIN P7 Miu" xfId="1954"/>
    <cellStyle name="_Ledger FMT_Sheet4_UIN P8 Miu" xfId="1955"/>
    <cellStyle name="_Ledger FMT_Sheet4_UIN P9 Miu" xfId="1956"/>
    <cellStyle name="_Ledger FMT_Sheet4_UJV (6)" xfId="1957"/>
    <cellStyle name="_Ledger FMT_Sheet4_UJV (6) 2" xfId="1958"/>
    <cellStyle name="_Ledger FMT_Sheet4_UJV (Aug) (3)" xfId="1959"/>
    <cellStyle name="_Ledger FMT_Sheet4_UJV (Aug) (3) 2" xfId="1960"/>
    <cellStyle name="_Ledger FMT_Sheet4_UJV (Oct) (2)" xfId="1961"/>
    <cellStyle name="_Ledger FMT_Sheet4_UJV (Oct) (2) 2" xfId="1962"/>
    <cellStyle name="_Ledger FMT_Sheet4_VOUCHER PRINTING SA" xfId="1963"/>
    <cellStyle name="_Ledger FMT_SML adj (2)" xfId="1964"/>
    <cellStyle name="_Ledger FMT_temp" xfId="1965"/>
    <cellStyle name="_Ledger FMT_TEMP (4)" xfId="1966"/>
    <cellStyle name="_Ledger FMT_travel acc (P09)" xfId="1967"/>
    <cellStyle name="_Ledger FMT_UDN (Aug) (4)" xfId="1968"/>
    <cellStyle name="_Ledger FMT_UDN (Aug) (4) 2" xfId="1969"/>
    <cellStyle name="_Ledger FMT_UDN (Dec)  (5)" xfId="1970"/>
    <cellStyle name="_Ledger FMT_UDN (Dec)  (5) 2" xfId="1971"/>
    <cellStyle name="_Ledger FMT_UDN (Jul)" xfId="1972"/>
    <cellStyle name="_Ledger FMT_UDN (Jul) (2)" xfId="1973"/>
    <cellStyle name="_Ledger FMT_UDN (Jul) (2)_Copy of UIN P7 Miu" xfId="1974"/>
    <cellStyle name="_Ledger FMT_UDN (Jul) (2)_Copy of UIN P8 Miu" xfId="1975"/>
    <cellStyle name="_Ledger FMT_UDN (Jul) (2)_UDN P6-LC,CC " xfId="1976"/>
    <cellStyle name="_Ledger FMT_UDN (Jul) (2)_UDN P6-LC,CC  2" xfId="1977"/>
    <cellStyle name="_Ledger FMT_UDN (Jul) (2)_UIN P10 Miu" xfId="1978"/>
    <cellStyle name="_Ledger FMT_UDN (Jul) (2)_UIN P10 Miu-R1" xfId="1979"/>
    <cellStyle name="_Ledger FMT_UDN (Jul) (2)_UIN P11 Miu" xfId="1980"/>
    <cellStyle name="_Ledger FMT_UDN (Jul) (2)_UIN P6 Miu" xfId="1981"/>
    <cellStyle name="_Ledger FMT_UDN (Jul) (2)_UIN P7 Miu" xfId="1982"/>
    <cellStyle name="_Ledger FMT_UDN (Jul) (2)_UIN P8 Miu" xfId="1983"/>
    <cellStyle name="_Ledger FMT_UDN (Jul) (2)_UIN P9 Miu" xfId="1984"/>
    <cellStyle name="_Ledger FMT_UDN (Jul) (2)_UJV (6)" xfId="1985"/>
    <cellStyle name="_Ledger FMT_UDN (Jul) (2)_UJV (Aug) (3)" xfId="1986"/>
    <cellStyle name="_Ledger FMT_UDN (Jul) (2)_UJV (Aug) (3) 2" xfId="1987"/>
    <cellStyle name="_Ledger FMT_UDN (Jul)_Copy of UIN P7 Miu" xfId="1988"/>
    <cellStyle name="_Ledger FMT_UDN (Jul)_Copy of UIN P8 Miu" xfId="1989"/>
    <cellStyle name="_Ledger FMT_UDN (Jul)_UDN P6-LC,CC " xfId="1990"/>
    <cellStyle name="_Ledger FMT_UDN (Jul)_UDN P6-LC,CC  2" xfId="1991"/>
    <cellStyle name="_Ledger FMT_UDN (Jul)_UIN P10 Miu" xfId="1992"/>
    <cellStyle name="_Ledger FMT_UDN (Jul)_UIN P10 Miu-R1" xfId="1993"/>
    <cellStyle name="_Ledger FMT_UDN (Jul)_UIN P11 Miu" xfId="1994"/>
    <cellStyle name="_Ledger FMT_UDN (Jul)_UIN P6 Miu" xfId="1995"/>
    <cellStyle name="_Ledger FMT_UDN (Jul)_UIN P7 Miu" xfId="1996"/>
    <cellStyle name="_Ledger FMT_UDN (Jul)_UIN P8 Miu" xfId="1997"/>
    <cellStyle name="_Ledger FMT_UDN (Jul)_UIN P9 Miu" xfId="1998"/>
    <cellStyle name="_Ledger FMT_UDN (Jul)_UJV (6)" xfId="1999"/>
    <cellStyle name="_Ledger FMT_UDN (Jul)_UJV (Aug) (3)" xfId="2000"/>
    <cellStyle name="_Ledger FMT_UDN (Jul)_UJV (Aug) (3) 2" xfId="2001"/>
    <cellStyle name="_Ledger FMT_UDN (Jun) 2" xfId="2002"/>
    <cellStyle name="_Ledger FMT_UDN (Jun) 2 2" xfId="2003"/>
    <cellStyle name="_Ledger FMT_UDN (Jun) 2_ByAccount (10)" xfId="2004"/>
    <cellStyle name="_Ledger FMT_UDN (Jun) 2_ByAccount (12)" xfId="2005"/>
    <cellStyle name="_Ledger FMT_UDN (Jun) 2_ByVoucher" xfId="2006"/>
    <cellStyle name="_Ledger FMT_UDN (Jun) 2_ByVoucher (1NS)" xfId="2007"/>
    <cellStyle name="_Ledger FMT_UDN (Jun) 2_ByVoucher (2)" xfId="2008"/>
    <cellStyle name="_Ledger FMT_UDN (Jun) 2_ByVoucher (3)" xfId="2009"/>
    <cellStyle name="_Ledger FMT_UDN (Jun) 2_Copy of UIN P7 Miu" xfId="2010"/>
    <cellStyle name="_Ledger FMT_UDN (Jun) 2_Copy of UIN P8 Miu" xfId="2011"/>
    <cellStyle name="_Ledger FMT_UDN (Jun) 2_long" xfId="2012"/>
    <cellStyle name="_Ledger FMT_UDN (Jun) 2_Petty Cash (Feb)" xfId="2013"/>
    <cellStyle name="_Ledger FMT_UDN (Jun) 2_TEMP (4)" xfId="2014"/>
    <cellStyle name="_Ledger FMT_UDN (Jun) 2_UDN P6-LC,CC " xfId="2015"/>
    <cellStyle name="_Ledger FMT_UDN (Jun) 2_UDN P6-LC,CC  2" xfId="2016"/>
    <cellStyle name="_Ledger FMT_UDN (Jun) 2_UIN P10 Miu" xfId="2017"/>
    <cellStyle name="_Ledger FMT_UDN (Jun) 2_UIN P10 Miu-R1" xfId="2018"/>
    <cellStyle name="_Ledger FMT_UDN (Jun) 2_UIN P11 Miu" xfId="2019"/>
    <cellStyle name="_Ledger FMT_UDN (Jun) 2_UIN P6 Miu" xfId="2020"/>
    <cellStyle name="_Ledger FMT_UDN (Jun) 2_UIN P7 Miu" xfId="2021"/>
    <cellStyle name="_Ledger FMT_UDN (Jun) 2_UIN P8 Miu" xfId="2022"/>
    <cellStyle name="_Ledger FMT_UDN (Jun) 2_UIN P9 Miu" xfId="2023"/>
    <cellStyle name="_Ledger FMT_UDN (Jun) 2_UJV (6)" xfId="2024"/>
    <cellStyle name="_Ledger FMT_UDN (Jun) 2_UJV (6) 2" xfId="2025"/>
    <cellStyle name="_Ledger FMT_UDN (Jun) 2_UJV (Aug) (3)" xfId="2026"/>
    <cellStyle name="_Ledger FMT_UDN (Jun) 2_UJV (Aug) (3) 2" xfId="2027"/>
    <cellStyle name="_Ledger FMT_UDN (Jun) 2_UJV (Oct) (2)" xfId="2028"/>
    <cellStyle name="_Ledger FMT_UDN (Jun) 2_UJV (Oct) (2) 2" xfId="2029"/>
    <cellStyle name="_Ledger FMT_UDN (Jun) 2_VOUCHER PRINTING SA" xfId="2030"/>
    <cellStyle name="_Ledger FMT_UDN (Jun) 3" xfId="2031"/>
    <cellStyle name="_Ledger FMT_UDN (Jun) 3_Copy of UIN P7 Miu" xfId="2032"/>
    <cellStyle name="_Ledger FMT_UDN (Jun) 3_Copy of UIN P8 Miu" xfId="2033"/>
    <cellStyle name="_Ledger FMT_UDN (Jun) 3_UDN P6-LC,CC " xfId="2034"/>
    <cellStyle name="_Ledger FMT_UDN (Jun) 3_UDN P6-LC,CC  2" xfId="2035"/>
    <cellStyle name="_Ledger FMT_UDN (Jun) 3_UIN P10 Miu" xfId="2036"/>
    <cellStyle name="_Ledger FMT_UDN (Jun) 3_UIN P10 Miu-R1" xfId="2037"/>
    <cellStyle name="_Ledger FMT_UDN (Jun) 3_UIN P11 Miu" xfId="2038"/>
    <cellStyle name="_Ledger FMT_UDN (Jun) 3_UIN P6 Miu" xfId="2039"/>
    <cellStyle name="_Ledger FMT_UDN (Jun) 3_UIN P7 Miu" xfId="2040"/>
    <cellStyle name="_Ledger FMT_UDN (Jun) 3_UIN P8 Miu" xfId="2041"/>
    <cellStyle name="_Ledger FMT_UDN (Jun) 3_UIN P9 Miu" xfId="2042"/>
    <cellStyle name="_Ledger FMT_UDN (Jun) 3_UJV (6)" xfId="2043"/>
    <cellStyle name="_Ledger FMT_UDN (Jun) 3_UJV (Aug) (3)" xfId="2044"/>
    <cellStyle name="_Ledger FMT_UDN (Jun) 3_UJV (Aug) (3) 2" xfId="2045"/>
    <cellStyle name="_Ledger FMT_UDN (Jun) 5" xfId="2046"/>
    <cellStyle name="_Ledger FMT_UDN (Jun) 5_Copy of UIN P7 Miu" xfId="2047"/>
    <cellStyle name="_Ledger FMT_UDN (Jun) 5_Copy of UIN P8 Miu" xfId="2048"/>
    <cellStyle name="_Ledger FMT_UDN (Jun) 5_UDN P6-LC,CC " xfId="2049"/>
    <cellStyle name="_Ledger FMT_UDN (Jun) 5_UDN P6-LC,CC  2" xfId="2050"/>
    <cellStyle name="_Ledger FMT_UDN (Jun) 5_UIN P10 Miu" xfId="2051"/>
    <cellStyle name="_Ledger FMT_UDN (Jun) 5_UIN P10 Miu-R1" xfId="2052"/>
    <cellStyle name="_Ledger FMT_UDN (Jun) 5_UIN P11 Miu" xfId="2053"/>
    <cellStyle name="_Ledger FMT_UDN (Jun) 5_UIN P6 Miu" xfId="2054"/>
    <cellStyle name="_Ledger FMT_UDN (Jun) 5_UIN P7 Miu" xfId="2055"/>
    <cellStyle name="_Ledger FMT_UDN (Jun) 5_UIN P8 Miu" xfId="2056"/>
    <cellStyle name="_Ledger FMT_UDN (Jun) 5_UIN P9 Miu" xfId="2057"/>
    <cellStyle name="_Ledger FMT_UDN (Jun) 5_UJV (6)" xfId="2058"/>
    <cellStyle name="_Ledger FMT_UDN (Jun) 5_UJV (Aug) (3)" xfId="2059"/>
    <cellStyle name="_Ledger FMT_UDN (Jun) 5_UJV (Aug) (3) 2" xfId="2060"/>
    <cellStyle name="_Ledger FMT_UDN (Jun) 6" xfId="2061"/>
    <cellStyle name="_Ledger FMT_UDN (Jun) 6_Copy of UIN P7 Miu" xfId="2062"/>
    <cellStyle name="_Ledger FMT_UDN (Jun) 6_Copy of UIN P8 Miu" xfId="2063"/>
    <cellStyle name="_Ledger FMT_UDN (Jun) 6_UDN P6-LC,CC " xfId="2064"/>
    <cellStyle name="_Ledger FMT_UDN (Jun) 6_UDN P6-LC,CC  2" xfId="2065"/>
    <cellStyle name="_Ledger FMT_UDN (Jun) 6_UIN P10 Miu" xfId="2066"/>
    <cellStyle name="_Ledger FMT_UDN (Jun) 6_UIN P10 Miu-R1" xfId="2067"/>
    <cellStyle name="_Ledger FMT_UDN (Jun) 6_UIN P11 Miu" xfId="2068"/>
    <cellStyle name="_Ledger FMT_UDN (Jun) 6_UIN P6 Miu" xfId="2069"/>
    <cellStyle name="_Ledger FMT_UDN (Jun) 6_UIN P7 Miu" xfId="2070"/>
    <cellStyle name="_Ledger FMT_UDN (Jun) 6_UIN P8 Miu" xfId="2071"/>
    <cellStyle name="_Ledger FMT_UDN (Jun) 6_UIN P9 Miu" xfId="2072"/>
    <cellStyle name="_Ledger FMT_UDN (Jun) 6_UJV (6)" xfId="2073"/>
    <cellStyle name="_Ledger FMT_UDN (Jun) 6_UJV (Aug) (3)" xfId="2074"/>
    <cellStyle name="_Ledger FMT_UDN (Jun) 6_UJV (Aug) (3) 2" xfId="2075"/>
    <cellStyle name="_Ledger FMT_UDN (May) 8" xfId="2076"/>
    <cellStyle name="_Ledger FMT_UDN (May) 8 (2)" xfId="2077"/>
    <cellStyle name="_Ledger FMT_UDN (May) 8 (2) 2" xfId="2078"/>
    <cellStyle name="_Ledger FMT_UDN (May) 8 10" xfId="2079"/>
    <cellStyle name="_Ledger FMT_UDN (May) 8 11" xfId="2080"/>
    <cellStyle name="_Ledger FMT_UDN (May) 8 12" xfId="2081"/>
    <cellStyle name="_Ledger FMT_UDN (May) 8 13" xfId="2082"/>
    <cellStyle name="_Ledger FMT_UDN (May) 8 14" xfId="2083"/>
    <cellStyle name="_Ledger FMT_UDN (May) 8 15" xfId="2084"/>
    <cellStyle name="_Ledger FMT_UDN (May) 8 16" xfId="2085"/>
    <cellStyle name="_Ledger FMT_UDN (May) 8 17" xfId="2086"/>
    <cellStyle name="_Ledger FMT_UDN (May) 8 18" xfId="2087"/>
    <cellStyle name="_Ledger FMT_UDN (May) 8 19" xfId="2088"/>
    <cellStyle name="_Ledger FMT_UDN (May) 8 2" xfId="2089"/>
    <cellStyle name="_Ledger FMT_UDN (May) 8 20" xfId="2090"/>
    <cellStyle name="_Ledger FMT_UDN (May) 8 21" xfId="2091"/>
    <cellStyle name="_Ledger FMT_UDN (May) 8 3" xfId="2092"/>
    <cellStyle name="_Ledger FMT_UDN (May) 8 4" xfId="2093"/>
    <cellStyle name="_Ledger FMT_UDN (May) 8 5" xfId="2094"/>
    <cellStyle name="_Ledger FMT_UDN (May) 8 6" xfId="2095"/>
    <cellStyle name="_Ledger FMT_UDN (May) 8 7" xfId="2096"/>
    <cellStyle name="_Ledger FMT_UDN (May) 8 8" xfId="2097"/>
    <cellStyle name="_Ledger FMT_UDN (May) 8 9" xfId="2098"/>
    <cellStyle name="_Ledger FMT_UDN (May) 8_ByAccount (10)" xfId="2099"/>
    <cellStyle name="_Ledger FMT_UDN (May) 8_ByAccount (12)" xfId="2100"/>
    <cellStyle name="_Ledger FMT_UDN (May) 8_ByVoucher" xfId="2101"/>
    <cellStyle name="_Ledger FMT_UDN (May) 8_ByVoucher (1NS)" xfId="2102"/>
    <cellStyle name="_Ledger FMT_UDN (May) 8_ByVoucher (2)" xfId="2103"/>
    <cellStyle name="_Ledger FMT_UDN (May) 8_ByVoucher (3)" xfId="2104"/>
    <cellStyle name="_Ledger FMT_UDN (May) 8_Copy of UIN P7 Miu" xfId="2105"/>
    <cellStyle name="_Ledger FMT_UDN (May) 8_Copy of UIN P8 Miu" xfId="2106"/>
    <cellStyle name="_Ledger FMT_UDN (May) 8_long" xfId="2107"/>
    <cellStyle name="_Ledger FMT_UDN (May) 8_Petty Cash (Feb)" xfId="2108"/>
    <cellStyle name="_Ledger FMT_UDN (May) 8_TEMP (4)" xfId="2109"/>
    <cellStyle name="_Ledger FMT_UDN (May) 8_UDN P6-LC,CC " xfId="2110"/>
    <cellStyle name="_Ledger FMT_UDN (May) 8_UDN P6-LC,CC  2" xfId="2111"/>
    <cellStyle name="_Ledger FMT_UDN (May) 8_UIN P10 Miu" xfId="2112"/>
    <cellStyle name="_Ledger FMT_UDN (May) 8_UIN P10 Miu-R1" xfId="2113"/>
    <cellStyle name="_Ledger FMT_UDN (May) 8_UIN P11 Miu" xfId="2114"/>
    <cellStyle name="_Ledger FMT_UDN (May) 8_UIN P4 Miu R2" xfId="2115"/>
    <cellStyle name="_Ledger FMT_UDN (May) 8_UIN P4 Miu R2 2" xfId="2116"/>
    <cellStyle name="_Ledger FMT_UDN (May) 8_UIN P6 Miu" xfId="2117"/>
    <cellStyle name="_Ledger FMT_UDN (May) 8_UIN P7 Miu" xfId="2118"/>
    <cellStyle name="_Ledger FMT_UDN (May) 8_UIN P8 Miu" xfId="2119"/>
    <cellStyle name="_Ledger FMT_UDN (May) 8_UIN P9 Miu" xfId="2120"/>
    <cellStyle name="_Ledger FMT_UDN (May) 8_UJV (6)" xfId="2121"/>
    <cellStyle name="_Ledger FMT_UDN (May) 8_UJV (6) 2" xfId="2122"/>
    <cellStyle name="_Ledger FMT_UDN (May) 8_UJV (Aug) (3)" xfId="2123"/>
    <cellStyle name="_Ledger FMT_UDN (May) 8_UJV (Aug) (3) 2" xfId="2124"/>
    <cellStyle name="_Ledger FMT_UDN (May) 8_UJV (Oct) (2)" xfId="2125"/>
    <cellStyle name="_Ledger FMT_UDN (May) 8_UJV (Oct) (2) 2" xfId="2126"/>
    <cellStyle name="_Ledger FMT_UDN (May) 8_VOUCHER PRINTING SA" xfId="2127"/>
    <cellStyle name="_Ledger FMT_UDN (Nov)  (2)" xfId="2128"/>
    <cellStyle name="_Ledger FMT_UDN (Nov)  (2) 2" xfId="2129"/>
    <cellStyle name="_Ledger FMT_UDN (Sep)" xfId="2130"/>
    <cellStyle name="_Ledger FMT_UDN (Sep) 2" xfId="2131"/>
    <cellStyle name="_Ledger FMT_UIN (Sep) (4)" xfId="2132"/>
    <cellStyle name="_Ledger FMT_UIN (Sep) (4) 2" xfId="2133"/>
    <cellStyle name="_Ledger FMT_UJV" xfId="2134"/>
    <cellStyle name="_Ledger FMT_UJV (6)" xfId="2135"/>
    <cellStyle name="_Ledger FMT_UJV (6) 2" xfId="2136"/>
    <cellStyle name="_Ledger FMT_UJV (Dec) 2" xfId="2137"/>
    <cellStyle name="_Ledger FMT_UJV (Dec) 2 2" xfId="2138"/>
    <cellStyle name="_Ledger FMT_UJV (Jul) " xfId="2139"/>
    <cellStyle name="_Ledger FMT_UJV (Jul) _Copy of UIN P7 Miu" xfId="2140"/>
    <cellStyle name="_Ledger FMT_UJV (Jul) _Copy of UIN P8 Miu" xfId="2141"/>
    <cellStyle name="_Ledger FMT_UJV (Jul) _UDN P6-LC,CC " xfId="2142"/>
    <cellStyle name="_Ledger FMT_UJV (Jul) _UDN P6-LC,CC  2" xfId="2143"/>
    <cellStyle name="_Ledger FMT_UJV (Jul) _UIN P10 Miu" xfId="2144"/>
    <cellStyle name="_Ledger FMT_UJV (Jul) _UIN P10 Miu-R1" xfId="2145"/>
    <cellStyle name="_Ledger FMT_UJV (Jul) _UIN P11 Miu" xfId="2146"/>
    <cellStyle name="_Ledger FMT_UJV (Jul) _UIN P6 Miu" xfId="2147"/>
    <cellStyle name="_Ledger FMT_UJV (Jul) _UIN P7 Miu" xfId="2148"/>
    <cellStyle name="_Ledger FMT_UJV (Jul) _UIN P8 Miu" xfId="2149"/>
    <cellStyle name="_Ledger FMT_UJV (Jul) _UIN P9 Miu" xfId="2150"/>
    <cellStyle name="_Ledger FMT_UJV (Jul) _UJV (6)" xfId="2151"/>
    <cellStyle name="_Ledger FMT_UJV (Jul) _UJV (Aug) (3)" xfId="2152"/>
    <cellStyle name="_Ledger FMT_UJV (Jul) _UJV (Aug) (3) 2" xfId="2153"/>
    <cellStyle name="_Ledger FMT_UJV (Jun)" xfId="2154"/>
    <cellStyle name="_Ledger FMT_UJV (Jun) 2" xfId="2155"/>
    <cellStyle name="_Ledger FMT_UJV (Jun) 3" xfId="2156"/>
    <cellStyle name="_Ledger FMT_UJV (Jun) 3_Copy of UIN P7 Miu" xfId="2157"/>
    <cellStyle name="_Ledger FMT_UJV (Jun) 3_Copy of UIN P8 Miu" xfId="2158"/>
    <cellStyle name="_Ledger FMT_UJV (Jun) 3_UDN P6-LC,CC " xfId="2159"/>
    <cellStyle name="_Ledger FMT_UJV (Jun) 3_UIN P10 Miu" xfId="2160"/>
    <cellStyle name="_Ledger FMT_UJV (Jun) 3_UIN P10 Miu-R1" xfId="2161"/>
    <cellStyle name="_Ledger FMT_UJV (Jun) 3_UIN P11 Miu" xfId="2162"/>
    <cellStyle name="_Ledger FMT_UJV (Jun) 3_UIN P6 Miu" xfId="2163"/>
    <cellStyle name="_Ledger FMT_UJV (Jun) 3_UIN P7 Miu" xfId="2164"/>
    <cellStyle name="_Ledger FMT_UJV (Jun) 3_UIN P8 Miu" xfId="2165"/>
    <cellStyle name="_Ledger FMT_UJV (Jun) 3_UIN P9 Miu" xfId="2166"/>
    <cellStyle name="_Ledger FMT_UJV (Jun) 3_UJV (6)" xfId="2167"/>
    <cellStyle name="_Ledger FMT_UJV (Jun) 3_UJV (Aug) (3)" xfId="2168"/>
    <cellStyle name="_Ledger FMT_UJV (Jun)_ByAccount (10)" xfId="2169"/>
    <cellStyle name="_Ledger FMT_UJV (Jun)_ByAccount (12)" xfId="2170"/>
    <cellStyle name="_Ledger FMT_UJV (Jun)_ByVoucher" xfId="2171"/>
    <cellStyle name="_Ledger FMT_UJV (Jun)_ByVoucher (1NS)" xfId="2172"/>
    <cellStyle name="_Ledger FMT_UJV (Jun)_ByVoucher (2)" xfId="2173"/>
    <cellStyle name="_Ledger FMT_UJV (Jun)_ByVoucher (3)" xfId="2174"/>
    <cellStyle name="_Ledger FMT_UJV (Jun)_Copy of UIN P7 Miu" xfId="2175"/>
    <cellStyle name="_Ledger FMT_UJV (Jun)_Copy of UIN P8 Miu" xfId="2176"/>
    <cellStyle name="_Ledger FMT_UJV (Jun)_long" xfId="2177"/>
    <cellStyle name="_Ledger FMT_UJV (Jun)_Petty Cash (Feb)" xfId="2178"/>
    <cellStyle name="_Ledger FMT_UJV (Jun)_TEMP (4)" xfId="2179"/>
    <cellStyle name="_Ledger FMT_UJV (Jun)_UDN P6-LC,CC " xfId="2180"/>
    <cellStyle name="_Ledger FMT_UJV (Jun)_UDN P6-LC,CC  2" xfId="2181"/>
    <cellStyle name="_Ledger FMT_UJV (Jun)_UIN P10 Miu" xfId="2182"/>
    <cellStyle name="_Ledger FMT_UJV (Jun)_UIN P10 Miu-R1" xfId="2183"/>
    <cellStyle name="_Ledger FMT_UJV (Jun)_UIN P11 Miu" xfId="2184"/>
    <cellStyle name="_Ledger FMT_UJV (Jun)_UIN P6 Miu" xfId="2185"/>
    <cellStyle name="_Ledger FMT_UJV (Jun)_UIN P7 Miu" xfId="2186"/>
    <cellStyle name="_Ledger FMT_UJV (Jun)_UIN P8 Miu" xfId="2187"/>
    <cellStyle name="_Ledger FMT_UJV (Jun)_UIN P9 Miu" xfId="2188"/>
    <cellStyle name="_Ledger FMT_UJV (Jun)_UJV (6)" xfId="2189"/>
    <cellStyle name="_Ledger FMT_UJV (Jun)_UJV (6) 2" xfId="2190"/>
    <cellStyle name="_Ledger FMT_UJV (Jun)_UJV (Aug) (3)" xfId="2191"/>
    <cellStyle name="_Ledger FMT_UJV (Jun)_UJV (Aug) (3) 2" xfId="2192"/>
    <cellStyle name="_Ledger FMT_UJV (Jun)_UJV (Oct) (2)" xfId="2193"/>
    <cellStyle name="_Ledger FMT_UJV (Jun)_UJV (Oct) (2) 2" xfId="2194"/>
    <cellStyle name="_Ledger FMT_UJV (Jun)_VOUCHER PRINTING SA" xfId="2195"/>
    <cellStyle name="_Ledger FMT_UJV (Oct) (2)" xfId="2196"/>
    <cellStyle name="_Ledger FMT_UJV (Oct) (2) 2" xfId="2197"/>
    <cellStyle name="_Ledger FMT_UJV (Sep) (3)" xfId="2198"/>
    <cellStyle name="_Ledger FMT_UJV (Sep) (3) 2" xfId="2199"/>
    <cellStyle name="_Ledger FMT_UJV 10" xfId="2200"/>
    <cellStyle name="_Ledger FMT_UJV 11" xfId="2201"/>
    <cellStyle name="_Ledger FMT_UJV 12" xfId="2202"/>
    <cellStyle name="_Ledger FMT_UJV 13" xfId="2203"/>
    <cellStyle name="_Ledger FMT_UJV 14" xfId="2204"/>
    <cellStyle name="_Ledger FMT_UJV 15" xfId="2205"/>
    <cellStyle name="_Ledger FMT_UJV 16" xfId="2206"/>
    <cellStyle name="_Ledger FMT_UJV 17" xfId="2207"/>
    <cellStyle name="_Ledger FMT_UJV 18" xfId="2208"/>
    <cellStyle name="_Ledger FMT_UJV 19" xfId="2209"/>
    <cellStyle name="_Ledger FMT_UJV 2" xfId="2210"/>
    <cellStyle name="_Ledger FMT_UJV 20" xfId="2211"/>
    <cellStyle name="_Ledger FMT_UJV 21" xfId="2212"/>
    <cellStyle name="_Ledger FMT_UJV 3" xfId="2213"/>
    <cellStyle name="_Ledger FMT_UJV 4" xfId="2214"/>
    <cellStyle name="_Ledger FMT_UJV 5" xfId="2215"/>
    <cellStyle name="_Ledger FMT_UJV 6" xfId="2216"/>
    <cellStyle name="_Ledger FMT_UJV 7" xfId="2217"/>
    <cellStyle name="_Ledger FMT_UJV 8" xfId="2218"/>
    <cellStyle name="_Ledger FMT_UJV 9" xfId="2219"/>
    <cellStyle name="_Ledger FMT_UJV_ByAccount (10)" xfId="2220"/>
    <cellStyle name="_Ledger FMT_UJV_ByAccount (12)" xfId="2221"/>
    <cellStyle name="_Ledger FMT_UJV_ByVoucher" xfId="2222"/>
    <cellStyle name="_Ledger FMT_UJV_ByVoucher (1NS)" xfId="2223"/>
    <cellStyle name="_Ledger FMT_UJV_ByVoucher (2)" xfId="2224"/>
    <cellStyle name="_Ledger FMT_UJV_ByVoucher (3)" xfId="2225"/>
    <cellStyle name="_Ledger FMT_UJV_Copy of UIN P7 Miu" xfId="2226"/>
    <cellStyle name="_Ledger FMT_UJV_Copy of UIN P8 Miu" xfId="2227"/>
    <cellStyle name="_Ledger FMT_UJV_long" xfId="2228"/>
    <cellStyle name="_Ledger FMT_UJV_Petty Cash (Feb)" xfId="2229"/>
    <cellStyle name="_Ledger FMT_UJV_TEMP (4)" xfId="2230"/>
    <cellStyle name="_Ledger FMT_UJV_UDN P6-LC,CC " xfId="2231"/>
    <cellStyle name="_Ledger FMT_UJV_UDN P6-LC,CC  2" xfId="2232"/>
    <cellStyle name="_Ledger FMT_UJV_UIN P10 Miu" xfId="2233"/>
    <cellStyle name="_Ledger FMT_UJV_UIN P10 Miu-R1" xfId="2234"/>
    <cellStyle name="_Ledger FMT_UJV_UIN P11 Miu" xfId="2235"/>
    <cellStyle name="_Ledger FMT_UJV_UIN P4 Miu R2" xfId="2236"/>
    <cellStyle name="_Ledger FMT_UJV_UIN P4 Miu R2 2" xfId="2237"/>
    <cellStyle name="_Ledger FMT_UJV_UIN P6 Miu" xfId="2238"/>
    <cellStyle name="_Ledger FMT_UJV_UIN P7 Miu" xfId="2239"/>
    <cellStyle name="_Ledger FMT_UJV_UIN P8 Miu" xfId="2240"/>
    <cellStyle name="_Ledger FMT_UJV_UIN P9 Miu" xfId="2241"/>
    <cellStyle name="_Ledger FMT_UJV_UJV (6)" xfId="2242"/>
    <cellStyle name="_Ledger FMT_UJV_UJV (6) 2" xfId="2243"/>
    <cellStyle name="_Ledger FMT_UJV_UJV (Aug) (3)" xfId="2244"/>
    <cellStyle name="_Ledger FMT_UJV_UJV (Aug) (3) 2" xfId="2245"/>
    <cellStyle name="_Ledger FMT_UJV_UJV (Oct) (2)" xfId="2246"/>
    <cellStyle name="_Ledger FMT_UJV_UJV (Oct) (2) 2" xfId="2247"/>
    <cellStyle name="_Ledger FMT_UJV_VOUCHER PRINTING SA" xfId="2248"/>
    <cellStyle name="_Ledger FMT_UPV (Jan) Bank (2)" xfId="2249"/>
    <cellStyle name="_Ledger FMT_UPV (Jul) Bank" xfId="2250"/>
    <cellStyle name="_Ledger FMT_UPV (Jul) Bank_Copy of UIN P7 Miu" xfId="2251"/>
    <cellStyle name="_Ledger FMT_UPV (Jul) Bank_Copy of UIN P8 Miu" xfId="2252"/>
    <cellStyle name="_Ledger FMT_UPV (Jul) Bank_UDN P6-LC,CC " xfId="2253"/>
    <cellStyle name="_Ledger FMT_UPV (Jul) Bank_UDN P6-LC,CC  2" xfId="2254"/>
    <cellStyle name="_Ledger FMT_UPV (Jul) Bank_UIN P10 Miu" xfId="2255"/>
    <cellStyle name="_Ledger FMT_UPV (Jul) Bank_UIN P10 Miu-R1" xfId="2256"/>
    <cellStyle name="_Ledger FMT_UPV (Jul) Bank_UIN P11 Miu" xfId="2257"/>
    <cellStyle name="_Ledger FMT_UPV (Jul) Bank_UIN P6 Miu" xfId="2258"/>
    <cellStyle name="_Ledger FMT_UPV (Jul) Bank_UIN P7 Miu" xfId="2259"/>
    <cellStyle name="_Ledger FMT_UPV (Jul) Bank_UIN P8 Miu" xfId="2260"/>
    <cellStyle name="_Ledger FMT_UPV (Jul) Bank_UIN P9 Miu" xfId="2261"/>
    <cellStyle name="_Ledger FMT_UPV (Jul) Bank_UJV (6)" xfId="2262"/>
    <cellStyle name="_Ledger FMT_UPV (Jul) Bank_UJV (Aug) (3)" xfId="2263"/>
    <cellStyle name="_Ledger FMT_UPV (Jul) Bank_UJV (Aug) (3) 2" xfId="2264"/>
    <cellStyle name="_Ledger FMT_URE (Jul)" xfId="2265"/>
    <cellStyle name="_Ledger FMT_URE (Jul)_Copy of UIN P7 Miu" xfId="2266"/>
    <cellStyle name="_Ledger FMT_URE (Jul)_Copy of UIN P8 Miu" xfId="2267"/>
    <cellStyle name="_Ledger FMT_URE (Jul)_UDN P6-LC,CC " xfId="2268"/>
    <cellStyle name="_Ledger FMT_URE (Jul)_UDN P6-LC,CC  2" xfId="2269"/>
    <cellStyle name="_Ledger FMT_URE (Jul)_UIN P10 Miu" xfId="2270"/>
    <cellStyle name="_Ledger FMT_URE (Jul)_UIN P10 Miu-R1" xfId="2271"/>
    <cellStyle name="_Ledger FMT_URE (Jul)_UIN P11 Miu" xfId="2272"/>
    <cellStyle name="_Ledger FMT_URE (Jul)_UIN P6 Miu" xfId="2273"/>
    <cellStyle name="_Ledger FMT_URE (Jul)_UIN P7 Miu" xfId="2274"/>
    <cellStyle name="_Ledger FMT_URE (Jul)_UIN P8 Miu" xfId="2275"/>
    <cellStyle name="_Ledger FMT_URE (Jul)_UIN P9 Miu" xfId="2276"/>
    <cellStyle name="_Ledger FMT_URE (Jul)_UJV (6)" xfId="2277"/>
    <cellStyle name="_Ledger FMT_URE (Jul)_UJV (Aug) (3)" xfId="2278"/>
    <cellStyle name="_Ledger FMT_URE (Jul)_UJV (Aug) (3) 2" xfId="2279"/>
    <cellStyle name="_Ledger FMT_URE (Nov)  (8)" xfId="2280"/>
    <cellStyle name="_Ledger FMT_URE (Nov)  (8) 2" xfId="2281"/>
    <cellStyle name="_Ledger FMT_USD Bank Recon" xfId="2282"/>
    <cellStyle name="_Ledger FMT_USD Bank Recon 2" xfId="2283"/>
    <cellStyle name="_Ledger FMT_USD Bank Recon_ByAccount (10)" xfId="2284"/>
    <cellStyle name="_Ledger FMT_USD Bank Recon_ByAccount (12)" xfId="2285"/>
    <cellStyle name="_Ledger FMT_USD Bank Recon_ByVoucher" xfId="2286"/>
    <cellStyle name="_Ledger FMT_USD Bank Recon_ByVoucher (1NS)" xfId="2287"/>
    <cellStyle name="_Ledger FMT_USD Bank Recon_ByVoucher (2)" xfId="2288"/>
    <cellStyle name="_Ledger FMT_USD Bank Recon_ByVoucher (3)" xfId="2289"/>
    <cellStyle name="_Ledger FMT_USD Bank Recon_Copy of UIN P7 Miu" xfId="2290"/>
    <cellStyle name="_Ledger FMT_USD Bank Recon_Copy of UIN P8 Miu" xfId="2291"/>
    <cellStyle name="_Ledger FMT_USD Bank Recon_long" xfId="2292"/>
    <cellStyle name="_Ledger FMT_USD Bank Recon_Petty Cash (Feb)" xfId="2293"/>
    <cellStyle name="_Ledger FMT_USD Bank Recon_TEMP (4)" xfId="2294"/>
    <cellStyle name="_Ledger FMT_USD Bank Recon_UDN P6-LC,CC " xfId="2295"/>
    <cellStyle name="_Ledger FMT_USD Bank Recon_UDN P6-LC,CC  2" xfId="2296"/>
    <cellStyle name="_Ledger FMT_USD Bank Recon_UIN P10 Miu" xfId="2297"/>
    <cellStyle name="_Ledger FMT_USD Bank Recon_UIN P10 Miu-R1" xfId="2298"/>
    <cellStyle name="_Ledger FMT_USD Bank Recon_UIN P11 Miu" xfId="2299"/>
    <cellStyle name="_Ledger FMT_USD Bank Recon_UIN P4 Miu R2" xfId="2300"/>
    <cellStyle name="_Ledger FMT_USD Bank Recon_UIN P4 Miu R2 2" xfId="2301"/>
    <cellStyle name="_Ledger FMT_USD Bank Recon_UIN P6 Miu" xfId="2302"/>
    <cellStyle name="_Ledger FMT_USD Bank Recon_UIN P7 Miu" xfId="2303"/>
    <cellStyle name="_Ledger FMT_USD Bank Recon_UIN P8 Miu" xfId="2304"/>
    <cellStyle name="_Ledger FMT_USD Bank Recon_UIN P9 Miu" xfId="2305"/>
    <cellStyle name="_Ledger FMT_USD Bank Recon_UJV (6)" xfId="2306"/>
    <cellStyle name="_Ledger FMT_USD Bank Recon_UJV (6) 2" xfId="2307"/>
    <cellStyle name="_Ledger FMT_USD Bank Recon_UJV (Aug) (3)" xfId="2308"/>
    <cellStyle name="_Ledger FMT_USD Bank Recon_UJV (Aug) (3) 2" xfId="2309"/>
    <cellStyle name="_Ledger FMT_USD Bank Recon_UJV (Oct) (2)" xfId="2310"/>
    <cellStyle name="_Ledger FMT_USD Bank Recon_UJV (Oct) (2) 2" xfId="2311"/>
    <cellStyle name="_Ledger FMT_USD Bank Recon_VOUCHER PRINTING SA" xfId="2312"/>
    <cellStyle name="_LEDGER_HK(1320113)P03- Apr 08" xfId="2313"/>
    <cellStyle name="_LEDGER_HK(1320113)P04- MAY 08R" xfId="2314"/>
    <cellStyle name="_LEDGER_HK_SH_TH AR P02_09(revised)" xfId="2315"/>
    <cellStyle name="_LEDGER_HK_SH_TH AR P03_09" xfId="2316"/>
    <cellStyle name="_LEDGER_Lipsy_AR - SH P12" xfId="2317"/>
    <cellStyle name="_LEDGER_TH_SCH PD03 (AR)" xfId="2318"/>
    <cellStyle name="_LEDGER_TH_SCH PD03 (AR)_OTH REC'B - UK DN" xfId="2319"/>
    <cellStyle name="_LEDGER_TH_SCH PD03 (AR)_副本Shanghai DN 20090731 (SH2F) (2)" xfId="2320"/>
    <cellStyle name="_LEDGER_UKDN_SHANGHAI_300908 (REVISED ON 2.10.08)" xfId="2321"/>
    <cellStyle name="_LEDGER_UKDN_SHANGHAI_300908 (REVISED ON 2.10.08)_OTH REC'B - UK DN" xfId="2322"/>
    <cellStyle name="_LEDGER_UKDN_SHANGHAI_300908 (REVISED ON 2.10.08)_副本Shanghai DN 20090731 (SH2F) (2)" xfId="2323"/>
    <cellStyle name="_LEDGER_UKDN_SHANGHAI_310808" xfId="2324"/>
    <cellStyle name="_LEDGER_UKDN_SHANGHAI_310808_OTH REC'B - UK DN" xfId="2325"/>
    <cellStyle name="_LEDGER_UKDN_SHANGHAI_310808_副本Shanghai DN 20090731 (SH2F) (2)" xfId="2326"/>
    <cellStyle name="_LEDGER_UKDN_SHANGHAI_311208" xfId="2327"/>
    <cellStyle name="_LEDGER_UKDN_SHANGHAI_311208_OTH REC'B - UK DN" xfId="2328"/>
    <cellStyle name="_LEDGER_UKDN_SHANGHAI_311208_副本Shanghai DN 20090731 (SH2F) (2)" xfId="2329"/>
    <cellStyle name="_LEDGER_UKDN_SHANGHAI_P01-09" xfId="2330"/>
    <cellStyle name="_LEDGER_UKDN_SHANGHAI_P01-09_1415201 HK-PROV CLAIMS (P06_09)" xfId="2331"/>
    <cellStyle name="_LEDGER_UKDN_SHANGHAI_P01-09_OTH REC'B - UK DN" xfId="2332"/>
    <cellStyle name="_LEDGER_UKDN_SHANGHAI_P01-09_副本Shanghai DN 20090731 (SH2F) (2)" xfId="2333"/>
    <cellStyle name="_LEDGER_UKDN_SHANGHAI_P02-09" xfId="2334"/>
    <cellStyle name="_LEDGER_UKDN_SHANGHAI_P02-09_1415201 HK-PROV CLAIMS (P06_09)" xfId="2335"/>
    <cellStyle name="_LEDGER_UKDN_SHANGHAI_P02-09_OTH REC'B - UK DN" xfId="2336"/>
    <cellStyle name="_LEDGER_UKDN_SHANGHAI_P02-09_副本Shanghai DN 20090731 (SH2F) (2)" xfId="2337"/>
    <cellStyle name="_LEDGER_UKDN_SHANGHAI_P03-09" xfId="2338"/>
    <cellStyle name="_LEDGER_UKDN_SHANGHAI_P03-09_1415201 HK-PROV CLAIMS (P06_09)" xfId="2339"/>
    <cellStyle name="_LEDGER_UKDN_SHANGHAI_P03-09_OTH REC'B - UK DN" xfId="2340"/>
    <cellStyle name="_LEDGER_UKDN_SHANGHAI_P03-09_副本Shanghai DN 20090731 (SH2F) (2)" xfId="2341"/>
    <cellStyle name="_LEDGER_UKDN_SHANGHAI_P04-09" xfId="2342"/>
    <cellStyle name="_LEDGER_UKDN_SHANGHAI_P04-09 (Revised on 04.06.09)" xfId="2343"/>
    <cellStyle name="_LEDGER_UKDN_SHANGHAI_P04-09 (Revised on 04.06.09)_OTH REC'B - UK DN" xfId="2344"/>
    <cellStyle name="_LEDGER_UKDN_SHANGHAI_P04-09 (Revised on 04.06.09)_副本Shanghai DN 20090731 (SH2F) (2)" xfId="2345"/>
    <cellStyle name="_LEDGER_UKDN_SHANGHAI_P04-09_1415201 HK-PROV CLAIMS (P06_09)" xfId="2346"/>
    <cellStyle name="_LEDGER_UKDN_SHANGHAI_P12-08" xfId="2347"/>
    <cellStyle name="_LEDGER_UKDN_SHANGHAI_P12-08 (310109)" xfId="2348"/>
    <cellStyle name="_LEDGER_UKDN_SHANGHAI_P12-08 (310109)_1415201 HK-PROV CLAIMS (P06_09)" xfId="2349"/>
    <cellStyle name="_LEDGER_UKDN_SHANGHAI_P12-08 (310109)_OTH REC'B - UK DN" xfId="2350"/>
    <cellStyle name="_LEDGER_UKDN_SHANGHAI_P12-08 (310109)_副本Shanghai DN 20090731 (SH2F) (2)" xfId="2351"/>
    <cellStyle name="_LEDGER_UKDN_SHANGHAI_P12-08_1415201 HK-PROV CLAIMS (P06_09)" xfId="2352"/>
    <cellStyle name="_LEDGER_UKDN_SHANGHAI_P12-08_OTH REC'B - UK DN" xfId="2353"/>
    <cellStyle name="_LEDGER_UKDN_SHANGHAI_P12-08_副本Shanghai DN 20090731 (SH2F) (2)" xfId="2354"/>
    <cellStyle name="_LEDGER_UKDN_THAILAND P01-09" xfId="2355"/>
    <cellStyle name="_LEDGER_UKDN_THAILAND P01-09_1415201 HK-PROV CLAIMS (P06_09)" xfId="2356"/>
    <cellStyle name="_LEDGER_UKDN_THAILAND P01-09_OTH REC'B - UK DN" xfId="2357"/>
    <cellStyle name="_LEDGER_UKDN_THAILAND P01-09_副本Shanghai DN 20090731 (SH2F) (2)" xfId="2358"/>
    <cellStyle name="_LEDGER_UKDN_THAILAND P02-09" xfId="2359"/>
    <cellStyle name="_LEDGER_UKDN_THAILAND P02-09_1415201 HK-PROV CLAIMS (P06_09)" xfId="2360"/>
    <cellStyle name="_LEDGER_UKDN_THAILAND P02-09_OTH REC'B - UK DN" xfId="2361"/>
    <cellStyle name="_LEDGER_UKDN_THAILAND P02-09_副本Shanghai DN 20090731 (SH2F) (2)" xfId="2362"/>
    <cellStyle name="_LEDGER_UKDN_THAILAND P03-09" xfId="2363"/>
    <cellStyle name="_LEDGER_UKDN_THAILAND P03-09_1415201 HK-PROV CLAIMS (P06_09)" xfId="2364"/>
    <cellStyle name="_LEDGER_UKDN_THAILAND P03-09_OTH REC'B - UK DN" xfId="2365"/>
    <cellStyle name="_LEDGER_UKDN_THAILAND P03-09_副本Shanghai DN 20090731 (SH2F) (2)" xfId="2366"/>
    <cellStyle name="_LEDGER_UKDN_THAILAND P04-09" xfId="2367"/>
    <cellStyle name="_LEDGER_UKDN_THAILAND P04-09_1415201 HK-PROV CLAIMS (P06_09)" xfId="2368"/>
    <cellStyle name="_LEDGER_UKDN_THAILAND P05-09" xfId="2369"/>
    <cellStyle name="_LEDGER_UKDN_THAILAND P06-09" xfId="2370"/>
    <cellStyle name="_LEDGER_UKDN_THAILAND P07-09" xfId="2371"/>
    <cellStyle name="_LEDGER_UKDN_THAILAND P08-09" xfId="2372"/>
    <cellStyle name="_LEDGER_UKDN_THAILAND P09-09" xfId="2373"/>
    <cellStyle name="_LEDGER_UKDN_THAILAND P10-09" xfId="2374"/>
    <cellStyle name="_LEDGER_UKDN_THAILAND P11-09" xfId="2375"/>
    <cellStyle name="_LEDGER_UKDN_THAILAND P12" xfId="2376"/>
    <cellStyle name="_LEDGER_UKDN_THAILAND P12_1415201 HK-PROV CLAIMS (P06_09)" xfId="2377"/>
    <cellStyle name="_LEDGER_UKDN_THAILAND P12_OTH REC'B - UK DN" xfId="2378"/>
    <cellStyle name="_LEDGER_UKDN_THAILAND P12_副本Shanghai DN 20090731 (SH2F) (2)" xfId="2379"/>
    <cellStyle name="_LEDGER_UKDN_THAILAND P12-08 (310109)" xfId="2380"/>
    <cellStyle name="_LEDGER_UKDN_THAILAND P12-08 (310109)_1415201 HK-PROV CLAIMS (P06_09)" xfId="2381"/>
    <cellStyle name="_LEDGER_UKDN_THAILAND P12-08 (310109)_OTH REC'B - UK DN" xfId="2382"/>
    <cellStyle name="_LEDGER_UKDN_THAILAND P12-08 (310109)_副本Shanghai DN 20090731 (SH2F) (2)" xfId="2383"/>
    <cellStyle name="_LEDGER_UKDN_THAILAND P12-09" xfId="2384"/>
    <cellStyle name="_LEDGER_UKDN-PD0208 (Revised) - April 08" xfId="2385"/>
    <cellStyle name="_Next Sourcing VM - P5Working" xfId="2386"/>
    <cellStyle name="_Next Sourcing VM - P5Working 2" xfId="2387"/>
    <cellStyle name="_Notes" xfId="2388"/>
    <cellStyle name="_Notes_Hyperion-PL Mapping" xfId="2389"/>
    <cellStyle name="_OTH REC'B - UK DN" xfId="2390"/>
    <cellStyle name="_P04 1320171 Sales Interco with NML" xfId="2391"/>
    <cellStyle name="_P1 Prepayment Schedules" xfId="2392"/>
    <cellStyle name="_P1 Prepayment Schedules 10" xfId="2393"/>
    <cellStyle name="_P1 Prepayment Schedules 11" xfId="2394"/>
    <cellStyle name="_P1 Prepayment Schedules 12" xfId="2395"/>
    <cellStyle name="_P1 Prepayment Schedules 13" xfId="2396"/>
    <cellStyle name="_P1 Prepayment Schedules 14" xfId="2397"/>
    <cellStyle name="_P1 Prepayment Schedules 15" xfId="2398"/>
    <cellStyle name="_P1 Prepayment Schedules 16" xfId="2399"/>
    <cellStyle name="_P1 Prepayment Schedules 17" xfId="2400"/>
    <cellStyle name="_P1 Prepayment Schedules 2" xfId="2401"/>
    <cellStyle name="_P1 Prepayment Schedules 3" xfId="2402"/>
    <cellStyle name="_P1 Prepayment Schedules 4" xfId="2403"/>
    <cellStyle name="_P1 Prepayment Schedules 5" xfId="2404"/>
    <cellStyle name="_P1 Prepayment Schedules 6" xfId="2405"/>
    <cellStyle name="_P1 Prepayment Schedules 7" xfId="2406"/>
    <cellStyle name="_P1 Prepayment Schedules 8" xfId="2407"/>
    <cellStyle name="_P1 Prepayment Schedules 9" xfId="2408"/>
    <cellStyle name="_P1 Prepayment Schedules_2011 P12 PnL Vision - with BD" xfId="2409"/>
    <cellStyle name="_P1 Prepayment Schedules_6017.24" xfId="2410"/>
    <cellStyle name="_P1 Prepayment Schedules_AccountP (Aug)" xfId="2411"/>
    <cellStyle name="_P1 Prepayment Schedules_AccountP (Dec)" xfId="2412"/>
    <cellStyle name="_P1 Prepayment Schedules_AccountP (Feb)" xfId="2413"/>
    <cellStyle name="_P1 Prepayment Schedules_AccountP (Jan)" xfId="2414"/>
    <cellStyle name="_P1 Prepayment Schedules_AccountP (Jul)" xfId="2415"/>
    <cellStyle name="_P1 Prepayment Schedules_AccountP (Jun)" xfId="2416"/>
    <cellStyle name="_P1 Prepayment Schedules_AccountP (Mar)" xfId="2417"/>
    <cellStyle name="_P1 Prepayment Schedules_AccountP (Nov)" xfId="2418"/>
    <cellStyle name="_P1 Prepayment Schedules_AccountP (Oct)" xfId="2419"/>
    <cellStyle name="_P1 Prepayment Schedules_AccountP (Sep)" xfId="2420"/>
    <cellStyle name="_P1 Prepayment Schedules_Accrual movement " xfId="2421"/>
    <cellStyle name="_P1 Prepayment Schedules_Accrual movement  (2)" xfId="2422"/>
    <cellStyle name="_P1 Prepayment Schedules_App1.3(Computer)" xfId="2423"/>
    <cellStyle name="_P1 Prepayment Schedules_Appendix 10.1 " xfId="2424"/>
    <cellStyle name="_P1 Prepayment Schedules_Appendix 10.1  (Apr)" xfId="2425"/>
    <cellStyle name="_P1 Prepayment Schedules_Appendix 10.1  (Dec)" xfId="2426"/>
    <cellStyle name="_P1 Prepayment Schedules_Appendix 10.1  (Feb)" xfId="2427"/>
    <cellStyle name="_P1 Prepayment Schedules_Appendix 10.1  (Jul)" xfId="2428"/>
    <cellStyle name="_P1 Prepayment Schedules_Appendix 10.1  (May)" xfId="2429"/>
    <cellStyle name="_P1 Prepayment Schedules_Appendix 10.1  (Nov)" xfId="2430"/>
    <cellStyle name="_P1 Prepayment Schedules_Appendix 10.1  (Oct)" xfId="2431"/>
    <cellStyle name="_P1 Prepayment Schedules_Appendix 10.1  (Sep)" xfId="2432"/>
    <cellStyle name="_P1 Prepayment Schedules_Appendix 10.2" xfId="2433"/>
    <cellStyle name="_P1 Prepayment Schedules_Appendix 10.2 (Apr)" xfId="2434"/>
    <cellStyle name="_P1 Prepayment Schedules_Appendix 10.2 (Aug)" xfId="2435"/>
    <cellStyle name="_P1 Prepayment Schedules_Appendix 10.2 (Dec)" xfId="2436"/>
    <cellStyle name="_P1 Prepayment Schedules_Appendix 10.2 (Feb)" xfId="2437"/>
    <cellStyle name="_P1 Prepayment Schedules_Appendix 10.2 (Jul)" xfId="2438"/>
    <cellStyle name="_P1 Prepayment Schedules_Appendix 10.2 (May)" xfId="2439"/>
    <cellStyle name="_P1 Prepayment Schedules_Appendix 10.2 (Nov)" xfId="2440"/>
    <cellStyle name="_P1 Prepayment Schedules_Appendix 10.2 (Oct)" xfId="2441"/>
    <cellStyle name="_P1 Prepayment Schedules_Appendix 10.3 (Oct)" xfId="2442"/>
    <cellStyle name="_P1 Prepayment Schedules_Appendix 11 (Aug)" xfId="2443"/>
    <cellStyle name="_P1 Prepayment Schedules_Appendix 11 (Dec)" xfId="2444"/>
    <cellStyle name="_P1 Prepayment Schedules_Appendix 11 (Jul)" xfId="2445"/>
    <cellStyle name="_P1 Prepayment Schedules_Appendix 12.1" xfId="2446"/>
    <cellStyle name="_P1 Prepayment Schedules_Appendix 12.1 (Aug)" xfId="2447"/>
    <cellStyle name="_P1 Prepayment Schedules_Appendix 12.1 (Mar)" xfId="2448"/>
    <cellStyle name="_P1 Prepayment Schedules_Appendix 12.1 (May)" xfId="2449"/>
    <cellStyle name="_P1 Prepayment Schedules_Appendix 12.1 (Nov)" xfId="2450"/>
    <cellStyle name="_P1 Prepayment Schedules_Appendix 12.1 (Oct)" xfId="2451"/>
    <cellStyle name="_P1 Prepayment Schedules_Appendix 12.1 (Sep)" xfId="2452"/>
    <cellStyle name="_P1 Prepayment Schedules_Appendix 12.13" xfId="2453"/>
    <cellStyle name="_P1 Prepayment Schedules_Appendix 12.2 (May)" xfId="2454"/>
    <cellStyle name="_P1 Prepayment Schedules_Appendix 12.4 (May)" xfId="2455"/>
    <cellStyle name="_P1 Prepayment Schedules_Appendix 12.6 (May)" xfId="2456"/>
    <cellStyle name="_P1 Prepayment Schedules_Appendix 12.7 (May)" xfId="2457"/>
    <cellStyle name="_P1 Prepayment Schedules_Appendix 12.7 (Nov)" xfId="2458"/>
    <cellStyle name="_P1 Prepayment Schedules_Appendix 12.9 (May)" xfId="2459"/>
    <cellStyle name="_P1 Prepayment Schedules_Appendix 13" xfId="2460"/>
    <cellStyle name="_P1 Prepayment Schedules_Appendix 14" xfId="2461"/>
    <cellStyle name="_P1 Prepayment Schedules_Appendix 14 (JRS)" xfId="2462"/>
    <cellStyle name="_P1 Prepayment Schedules_Appendix 15" xfId="2463"/>
    <cellStyle name="_P1 Prepayment Schedules_Appendix 15.1" xfId="2464"/>
    <cellStyle name="_P1 Prepayment Schedules_Appendix 16" xfId="2465"/>
    <cellStyle name="_P1 Prepayment Schedules_Appendix 17" xfId="2466"/>
    <cellStyle name="_P1 Prepayment Schedules_Appendix 18" xfId="2467"/>
    <cellStyle name="_P1 Prepayment Schedules_Appendix 3" xfId="2468"/>
    <cellStyle name="_P1 Prepayment Schedules_Appendix 3 (SA)" xfId="2469"/>
    <cellStyle name="_P1 Prepayment Schedules_Appendix 3(SA-p9)" xfId="2470"/>
    <cellStyle name="_P1 Prepayment Schedules_Appendix 3.1 " xfId="2471"/>
    <cellStyle name="_P1 Prepayment Schedules_Appendix 3.1  (2)" xfId="2472"/>
    <cellStyle name="_P1 Prepayment Schedules_Appendix 3.1 (sa)" xfId="2473"/>
    <cellStyle name="_P1 Prepayment Schedules_Appendix 3.1 (sa) (2)" xfId="2474"/>
    <cellStyle name="_P1 Prepayment Schedules_Appendix 3.1 (sa-P9)  " xfId="2475"/>
    <cellStyle name="_P1 Prepayment Schedules_Appendix 5" xfId="2476"/>
    <cellStyle name="_P1 Prepayment Schedules_Appendix 5 (Apr)" xfId="2477"/>
    <cellStyle name="_P1 Prepayment Schedules_Appendix 5 (Jul)" xfId="2478"/>
    <cellStyle name="_P1 Prepayment Schedules_Appendix 5 (Jun)" xfId="2479"/>
    <cellStyle name="_P1 Prepayment Schedules_Appendix 5 (Oct)" xfId="2480"/>
    <cellStyle name="_P1 Prepayment Schedules_Appendix 5 (Sep)" xfId="2481"/>
    <cellStyle name="_P1 Prepayment Schedules_Appendix 6" xfId="2482"/>
    <cellStyle name="_P1 Prepayment Schedules_Appendix 6 " xfId="2483"/>
    <cellStyle name="_P1 Prepayment Schedules_Appendix 6 (2)" xfId="2484"/>
    <cellStyle name="_P1 Prepayment Schedules_Appendix 6 (OK)" xfId="2485"/>
    <cellStyle name="_P1 Prepayment Schedules_Appendix 7" xfId="2486"/>
    <cellStyle name="_P1 Prepayment Schedules_Appendix 8 (2)" xfId="2487"/>
    <cellStyle name="_P1 Prepayment Schedules_Appendix 8 (Aug)" xfId="2488"/>
    <cellStyle name="_P1 Prepayment Schedules_Appendix 8 (Feb)" xfId="2489"/>
    <cellStyle name="_P1 Prepayment Schedules_Appendix 8 (Jan)" xfId="2490"/>
    <cellStyle name="_P1 Prepayment Schedules_Appendix 8 (Jul)" xfId="2491"/>
    <cellStyle name="_P1 Prepayment Schedules_Appendix 8 (May)" xfId="2492"/>
    <cellStyle name="_P1 Prepayment Schedules_Appendix 8 (Sep)" xfId="2493"/>
    <cellStyle name="_P1 Prepayment Schedules_BS" xfId="2494"/>
    <cellStyle name="_P1 Prepayment Schedules_Cash advance - GBP 5871 07 17 May2011" xfId="2495"/>
    <cellStyle name="_P1 Prepayment Schedules_Currencylog 31Aug11(SA)" xfId="2496"/>
    <cellStyle name="_P1 Prepayment Schedules_GBP" xfId="2497"/>
    <cellStyle name="_P1 Prepayment Schedules_P03 UK -BS Yr11-12(SA)-for refesh" xfId="2498"/>
    <cellStyle name="_P1 Prepayment Schedules_P1 UK -BS Yr12-13(Miu)" xfId="2499"/>
    <cellStyle name="_P1 Prepayment Schedules_P10 UK -BS Yr12-13(SA)-for refesh" xfId="2500"/>
    <cellStyle name="_P1 Prepayment Schedules_P12 2011 UK -BS Yr11-12(SA)-for refesh" xfId="2501"/>
    <cellStyle name="_P1 Prepayment Schedules_P12 2011 UK -BS Yr11-12(SA)-for refesh-working for tax pack" xfId="2502"/>
    <cellStyle name="_P1 Prepayment Schedules_P12 UK -BS Yr11-12(SA)-for refesh" xfId="2503"/>
    <cellStyle name="_P1 Prepayment Schedules_P2 UK -BS Yr11-12 (SA)" xfId="2504"/>
    <cellStyle name="_P1 Prepayment Schedules_P3 UK -BS Yr11-12 (SA)" xfId="2505"/>
    <cellStyle name="_P1 Prepayment Schedules_P4 UK -BS Yr11-12" xfId="2506"/>
    <cellStyle name="_P1 Prepayment Schedules_P4 UK -BS Yr11-12(Miu)" xfId="2507"/>
    <cellStyle name="_P1 Prepayment Schedules_P4 UK -BS Yr11-12(Miu-1)" xfId="2508"/>
    <cellStyle name="_P1 Prepayment Schedules_P4 UK -BS Yr11-12(SA)" xfId="2509"/>
    <cellStyle name="_P1 Prepayment Schedules_P4 UK -BS Yr12-13(Miu)" xfId="2510"/>
    <cellStyle name="_P1 Prepayment Schedules_P6 UK -BS Yr11-12(SA)" xfId="2511"/>
    <cellStyle name="_P1 Prepayment Schedules_P7 UK -BS Yr11-12(SA)" xfId="2512"/>
    <cellStyle name="_P1 Prepayment Schedules_P9 PnL BS only" xfId="2513"/>
    <cellStyle name="_P1 Prepayment Schedules_P9 PnL BS only- testing" xfId="2514"/>
    <cellStyle name="_P1 Prepayment Schedules_Petty Cash 30Aug2011(to Cindy)" xfId="2515"/>
    <cellStyle name="_P1 Prepayment Schedules_temp - P4" xfId="2516"/>
    <cellStyle name="_P11 SL-CA 1320171 - NML LIST" xfId="2517"/>
    <cellStyle name="_P11 SL-CA 1320172 - NNEM Testing" xfId="2518"/>
    <cellStyle name="_P11 SL-CA 1320173 - NML DN &amp; OTHERS" xfId="2519"/>
    <cellStyle name="_P12 SL-ICO 1320171 - NML Sales" xfId="2520"/>
    <cellStyle name="_P2 UK -BS Yr11-12 (SA)" xfId="2521"/>
    <cellStyle name="_P25" xfId="2522"/>
    <cellStyle name="_P25_Hyperion P5 Actual" xfId="2523"/>
    <cellStyle name="_P25_Hyperion P5 Actual - 12 July - v" xfId="2524"/>
    <cellStyle name="_P25_Hyperion Pack" xfId="2525"/>
    <cellStyle name="_P25_Hyperion Pack 31.7.10 (v3)" xfId="2526"/>
    <cellStyle name="_P25_Hyperion Pack P6 2011 - update to P6" xfId="2527"/>
    <cellStyle name="_P25_Hyperion Pack P6 2011 (Full Formula Version) - UK - P6 (sa) B" xfId="2528"/>
    <cellStyle name="_P25_Management Accounts P4" xfId="2529"/>
    <cellStyle name="_P25_Sheet1" xfId="2530"/>
    <cellStyle name="_PREPAYMENTS_UK" xfId="2531"/>
    <cellStyle name="_PREPAYMENTS_UK 10" xfId="2532"/>
    <cellStyle name="_PREPAYMENTS_UK 11" xfId="2533"/>
    <cellStyle name="_PREPAYMENTS_UK 12" xfId="2534"/>
    <cellStyle name="_PREPAYMENTS_UK 13" xfId="2535"/>
    <cellStyle name="_PREPAYMENTS_UK 14" xfId="2536"/>
    <cellStyle name="_PREPAYMENTS_UK 15" xfId="2537"/>
    <cellStyle name="_PREPAYMENTS_UK 16" xfId="2538"/>
    <cellStyle name="_PREPAYMENTS_UK 17" xfId="2539"/>
    <cellStyle name="_PREPAYMENTS_UK 2" xfId="2540"/>
    <cellStyle name="_PREPAYMENTS_UK 3" xfId="2541"/>
    <cellStyle name="_PREPAYMENTS_UK 4" xfId="2542"/>
    <cellStyle name="_PREPAYMENTS_UK 5" xfId="2543"/>
    <cellStyle name="_PREPAYMENTS_UK 6" xfId="2544"/>
    <cellStyle name="_PREPAYMENTS_UK 7" xfId="2545"/>
    <cellStyle name="_PREPAYMENTS_UK 8" xfId="2546"/>
    <cellStyle name="_PREPAYMENTS_UK 9" xfId="2547"/>
    <cellStyle name="_PREPAYMENTS_UK_2011 P12 PnL Vision - with BD" xfId="2548"/>
    <cellStyle name="_PREPAYMENTS_UK_6017.24" xfId="2549"/>
    <cellStyle name="_PREPAYMENTS_UK_AccountP (Aug)" xfId="2550"/>
    <cellStyle name="_PREPAYMENTS_UK_AccountP (Dec)" xfId="2551"/>
    <cellStyle name="_PREPAYMENTS_UK_AccountP (Feb)" xfId="2552"/>
    <cellStyle name="_PREPAYMENTS_UK_AccountP (Jan)" xfId="2553"/>
    <cellStyle name="_PREPAYMENTS_UK_AccountP (Jul)" xfId="2554"/>
    <cellStyle name="_PREPAYMENTS_UK_AccountP (Jun)" xfId="2555"/>
    <cellStyle name="_PREPAYMENTS_UK_AccountP (Mar)" xfId="2556"/>
    <cellStyle name="_PREPAYMENTS_UK_AccountP (Nov)" xfId="2557"/>
    <cellStyle name="_PREPAYMENTS_UK_AccountP (Oct)" xfId="2558"/>
    <cellStyle name="_PREPAYMENTS_UK_AccountP (Sep)" xfId="2559"/>
    <cellStyle name="_PREPAYMENTS_UK_Accrual movement " xfId="2560"/>
    <cellStyle name="_PREPAYMENTS_UK_Accrual movement  (2)" xfId="2561"/>
    <cellStyle name="_PREPAYMENTS_UK_App1.3(Computer)" xfId="2562"/>
    <cellStyle name="_PREPAYMENTS_UK_Appendix 10.1 " xfId="2563"/>
    <cellStyle name="_PREPAYMENTS_UK_Appendix 10.1  (Apr)" xfId="2564"/>
    <cellStyle name="_PREPAYMENTS_UK_Appendix 10.1  (Dec)" xfId="2565"/>
    <cellStyle name="_PREPAYMENTS_UK_Appendix 10.1  (Feb)" xfId="2566"/>
    <cellStyle name="_PREPAYMENTS_UK_Appendix 10.1  (Jul)" xfId="2567"/>
    <cellStyle name="_PREPAYMENTS_UK_Appendix 10.1  (May)" xfId="2568"/>
    <cellStyle name="_PREPAYMENTS_UK_Appendix 10.1  (Nov)" xfId="2569"/>
    <cellStyle name="_PREPAYMENTS_UK_Appendix 10.1  (Oct)" xfId="2570"/>
    <cellStyle name="_PREPAYMENTS_UK_Appendix 10.1  (Sep)" xfId="2571"/>
    <cellStyle name="_PREPAYMENTS_UK_Appendix 10.2" xfId="2572"/>
    <cellStyle name="_PREPAYMENTS_UK_Appendix 10.2 (Apr)" xfId="2573"/>
    <cellStyle name="_PREPAYMENTS_UK_Appendix 10.2 (Aug)" xfId="2574"/>
    <cellStyle name="_PREPAYMENTS_UK_Appendix 10.2 (Dec)" xfId="2575"/>
    <cellStyle name="_PREPAYMENTS_UK_Appendix 10.2 (Feb)" xfId="2576"/>
    <cellStyle name="_PREPAYMENTS_UK_Appendix 10.2 (Jul)" xfId="2577"/>
    <cellStyle name="_PREPAYMENTS_UK_Appendix 10.2 (May)" xfId="2578"/>
    <cellStyle name="_PREPAYMENTS_UK_Appendix 10.2 (Nov)" xfId="2579"/>
    <cellStyle name="_PREPAYMENTS_UK_Appendix 10.2 (Oct)" xfId="2580"/>
    <cellStyle name="_PREPAYMENTS_UK_Appendix 10.3 (Oct)" xfId="2581"/>
    <cellStyle name="_PREPAYMENTS_UK_Appendix 11 (Aug)" xfId="2582"/>
    <cellStyle name="_PREPAYMENTS_UK_Appendix 11 (Dec)" xfId="2583"/>
    <cellStyle name="_PREPAYMENTS_UK_Appendix 11 (Jul)" xfId="2584"/>
    <cellStyle name="_PREPAYMENTS_UK_Appendix 12.1" xfId="2585"/>
    <cellStyle name="_PREPAYMENTS_UK_Appendix 12.1 (Aug)" xfId="2586"/>
    <cellStyle name="_PREPAYMENTS_UK_Appendix 12.1 (Mar)" xfId="2587"/>
    <cellStyle name="_PREPAYMENTS_UK_Appendix 12.1 (May)" xfId="2588"/>
    <cellStyle name="_PREPAYMENTS_UK_Appendix 12.1 (Nov)" xfId="2589"/>
    <cellStyle name="_PREPAYMENTS_UK_Appendix 12.1 (Oct)" xfId="2590"/>
    <cellStyle name="_PREPAYMENTS_UK_Appendix 12.1 (Sep)" xfId="2591"/>
    <cellStyle name="_PREPAYMENTS_UK_Appendix 12.13" xfId="2592"/>
    <cellStyle name="_PREPAYMENTS_UK_Appendix 12.2 (May)" xfId="2593"/>
    <cellStyle name="_PREPAYMENTS_UK_Appendix 12.4 (May)" xfId="2594"/>
    <cellStyle name="_PREPAYMENTS_UK_Appendix 12.6 (May)" xfId="2595"/>
    <cellStyle name="_PREPAYMENTS_UK_Appendix 12.7 (May)" xfId="2596"/>
    <cellStyle name="_PREPAYMENTS_UK_Appendix 12.7 (Nov)" xfId="2597"/>
    <cellStyle name="_PREPAYMENTS_UK_Appendix 12.9 (May)" xfId="2598"/>
    <cellStyle name="_PREPAYMENTS_UK_Appendix 13" xfId="2599"/>
    <cellStyle name="_PREPAYMENTS_UK_Appendix 14" xfId="2600"/>
    <cellStyle name="_PREPAYMENTS_UK_Appendix 14 (JRS)" xfId="2601"/>
    <cellStyle name="_PREPAYMENTS_UK_Appendix 15" xfId="2602"/>
    <cellStyle name="_PREPAYMENTS_UK_Appendix 15.1" xfId="2603"/>
    <cellStyle name="_PREPAYMENTS_UK_Appendix 16" xfId="2604"/>
    <cellStyle name="_PREPAYMENTS_UK_Appendix 17" xfId="2605"/>
    <cellStyle name="_PREPAYMENTS_UK_Appendix 18" xfId="2606"/>
    <cellStyle name="_PREPAYMENTS_UK_Appendix 3" xfId="2607"/>
    <cellStyle name="_PREPAYMENTS_UK_Appendix 3 (SA)" xfId="2608"/>
    <cellStyle name="_PREPAYMENTS_UK_Appendix 3(SA-p9)" xfId="2609"/>
    <cellStyle name="_PREPAYMENTS_UK_Appendix 3.1 " xfId="2610"/>
    <cellStyle name="_PREPAYMENTS_UK_Appendix 3.1  (2)" xfId="2611"/>
    <cellStyle name="_PREPAYMENTS_UK_Appendix 3.1 (sa)" xfId="2612"/>
    <cellStyle name="_PREPAYMENTS_UK_Appendix 3.1 (sa) (2)" xfId="2613"/>
    <cellStyle name="_PREPAYMENTS_UK_Appendix 3.1 (sa-P9)  " xfId="2614"/>
    <cellStyle name="_PREPAYMENTS_UK_Appendix 5" xfId="2615"/>
    <cellStyle name="_PREPAYMENTS_UK_Appendix 5 (Apr)" xfId="2616"/>
    <cellStyle name="_PREPAYMENTS_UK_Appendix 5 (Jul)" xfId="2617"/>
    <cellStyle name="_PREPAYMENTS_UK_Appendix 5 (Jun)" xfId="2618"/>
    <cellStyle name="_PREPAYMENTS_UK_Appendix 5 (Oct)" xfId="2619"/>
    <cellStyle name="_PREPAYMENTS_UK_Appendix 5 (Sep)" xfId="2620"/>
    <cellStyle name="_PREPAYMENTS_UK_Appendix 6" xfId="2621"/>
    <cellStyle name="_PREPAYMENTS_UK_Appendix 6 " xfId="2622"/>
    <cellStyle name="_PREPAYMENTS_UK_Appendix 6 (2)" xfId="2623"/>
    <cellStyle name="_PREPAYMENTS_UK_Appendix 6 (OK)" xfId="2624"/>
    <cellStyle name="_PREPAYMENTS_UK_Appendix 7" xfId="2625"/>
    <cellStyle name="_PREPAYMENTS_UK_Appendix 8 (2)" xfId="2626"/>
    <cellStyle name="_PREPAYMENTS_UK_Appendix 8 (Aug)" xfId="2627"/>
    <cellStyle name="_PREPAYMENTS_UK_Appendix 8 (Feb)" xfId="2628"/>
    <cellStyle name="_PREPAYMENTS_UK_Appendix 8 (Jan)" xfId="2629"/>
    <cellStyle name="_PREPAYMENTS_UK_Appendix 8 (Jul)" xfId="2630"/>
    <cellStyle name="_PREPAYMENTS_UK_Appendix 8 (May)" xfId="2631"/>
    <cellStyle name="_PREPAYMENTS_UK_Appendix 8 (Sep)" xfId="2632"/>
    <cellStyle name="_PREPAYMENTS_UK_BS" xfId="2633"/>
    <cellStyle name="_PREPAYMENTS_UK_Cash advance - GBP 5871 07 17 May2011" xfId="2634"/>
    <cellStyle name="_PREPAYMENTS_UK_Currencylog 31Aug11(SA)" xfId="2635"/>
    <cellStyle name="_PREPAYMENTS_UK_GBP" xfId="2636"/>
    <cellStyle name="_PREPAYMENTS_UK_P03 UK -BS Yr11-12(SA)-for refesh" xfId="2637"/>
    <cellStyle name="_PREPAYMENTS_UK_P1 UK -BS Yr12-13(Miu)" xfId="2638"/>
    <cellStyle name="_PREPAYMENTS_UK_P10 UK -BS Yr12-13(SA)-for refesh" xfId="2639"/>
    <cellStyle name="_PREPAYMENTS_UK_P12 2011 UK -BS Yr11-12(SA)-for refesh" xfId="2640"/>
    <cellStyle name="_PREPAYMENTS_UK_P12 2011 UK -BS Yr11-12(SA)-for refesh-working for tax pack" xfId="2641"/>
    <cellStyle name="_PREPAYMENTS_UK_P12 UK -BS Yr11-12(SA)-for refesh" xfId="2642"/>
    <cellStyle name="_PREPAYMENTS_UK_P2 UK -BS Yr11-12 (SA)" xfId="2643"/>
    <cellStyle name="_PREPAYMENTS_UK_P3 UK -BS Yr11-12 (SA)" xfId="2644"/>
    <cellStyle name="_PREPAYMENTS_UK_P4 UK -BS Yr11-12" xfId="2645"/>
    <cellStyle name="_PREPAYMENTS_UK_P4 UK -BS Yr11-12(Miu)" xfId="2646"/>
    <cellStyle name="_PREPAYMENTS_UK_P4 UK -BS Yr11-12(Miu-1)" xfId="2647"/>
    <cellStyle name="_PREPAYMENTS_UK_P4 UK -BS Yr11-12(SA)" xfId="2648"/>
    <cellStyle name="_PREPAYMENTS_UK_P4 UK -BS Yr12-13(Miu)" xfId="2649"/>
    <cellStyle name="_PREPAYMENTS_UK_P6 UK -BS Yr11-12(SA)" xfId="2650"/>
    <cellStyle name="_PREPAYMENTS_UK_P7 UK -BS Yr11-12(SA)" xfId="2651"/>
    <cellStyle name="_PREPAYMENTS_UK_P9 PnL BS only" xfId="2652"/>
    <cellStyle name="_PREPAYMENTS_UK_P9 PnL BS only- testing" xfId="2653"/>
    <cellStyle name="_PREPAYMENTS_UK_Petty Cash 30Aug2011(to Cindy)" xfId="2654"/>
    <cellStyle name="_PREPAYMENTS_UK_temp - P4" xfId="2655"/>
    <cellStyle name="_reconcilation-2011-April-direct" xfId="2656"/>
    <cellStyle name="_reconcilation-2011-August-direct" xfId="2657"/>
    <cellStyle name="_reconcilation-2011-August-NTN" xfId="2658"/>
    <cellStyle name="_reconcilation-2011-December-direct" xfId="2659"/>
    <cellStyle name="_reconcilation-2011-December-NTN" xfId="2660"/>
    <cellStyle name="_reconcilation-2011-July-direct" xfId="2661"/>
    <cellStyle name="_reconcilation-2011-July-NTN" xfId="2662"/>
    <cellStyle name="_reconcilation-2011-June-direct" xfId="2663"/>
    <cellStyle name="_reconcilation-2011-June-NTN" xfId="2664"/>
    <cellStyle name="_reconcilation-2011-September-direct" xfId="2665"/>
    <cellStyle name="_reconcilation-2011-September-NTN" xfId="2666"/>
    <cellStyle name="_reconcilation-2012-January-direct" xfId="2667"/>
    <cellStyle name="_reconcilation-2012-January-NTN" xfId="2668"/>
    <cellStyle name="_SCHEDULE 10.07" xfId="2669"/>
    <cellStyle name="_Shanghai DN08-09 (1)" xfId="2670"/>
    <cellStyle name="_SUN Ledger-1320113" xfId="2671"/>
    <cellStyle name="_SUN Ledger-1320113 2" xfId="2672"/>
    <cellStyle name="_SUN Ledger-1320113_1415201 HK-PROV CLAIMS (P06_09)" xfId="2673"/>
    <cellStyle name="_SUN Ledger-1320113_OTH REC'B - UK DN" xfId="2674"/>
    <cellStyle name="_SUN Ledger-1320113_副本Shanghai DN 20090731 (SH2F) (2)" xfId="2675"/>
    <cellStyle name="_TH outstanding DN" xfId="2676"/>
    <cellStyle name="_TH outstanding DN_1415201 HK-PROV CLAIMS (P06_09)" xfId="2677"/>
    <cellStyle name="_TH outstanding DN_OTH REC'B - UK DN" xfId="2678"/>
    <cellStyle name="_TH outstanding DN_副本Shanghai DN 20090731 (SH2F) (2)" xfId="2679"/>
    <cellStyle name="_TK FOB 07 P12 - 31JAN08" xfId="2680"/>
    <cellStyle name="_TK FOB 07 P12 - 31JAN08_HK(1320113)P03- Apr 08" xfId="2681"/>
    <cellStyle name="_TK FOB 07 P12 - 31JAN08_HK(1320113)P04- MAY 08R" xfId="2682"/>
    <cellStyle name="_TK FOB 07 P12 - 31JAN08_HK_SH_TH AR P02_09(revised)" xfId="2683"/>
    <cellStyle name="_TK FOB 07 P12 - 31JAN08_HK_SH_TH AR P03_09" xfId="2684"/>
    <cellStyle name="_TK FOB 07 P12 - 31JAN08_Lipsy_AR - SH P12" xfId="2685"/>
    <cellStyle name="_TK FOB 07 P12 - 31JAN08_TH_SCH PD03 (AR)" xfId="2686"/>
    <cellStyle name="_TK FOB 07 P12 - 31JAN08_TH_SCH PD03 (AR)_OTH REC'B - UK DN" xfId="2687"/>
    <cellStyle name="_TK FOB 07 P12 - 31JAN08_TH_SCH PD03 (AR)_副本Shanghai DN 20090731 (SH2F) (2)" xfId="2688"/>
    <cellStyle name="_TK FOB 07 P12 - 31JAN08_UKDN_SHANGHAI_300908 (REVISED ON 2.10.08)" xfId="2689"/>
    <cellStyle name="_TK FOB 07 P12 - 31JAN08_UKDN_SHANGHAI_300908 (REVISED ON 2.10.08)_OTH REC'B - UK DN" xfId="2690"/>
    <cellStyle name="_TK FOB 07 P12 - 31JAN08_UKDN_SHANGHAI_300908 (REVISED ON 2.10.08)_副本Shanghai DN 20090731 (SH2F) (2)" xfId="2691"/>
    <cellStyle name="_TK FOB 07 P12 - 31JAN08_UKDN_SHANGHAI_310808" xfId="2692"/>
    <cellStyle name="_TK FOB 07 P12 - 31JAN08_UKDN_SHANGHAI_310808_OTH REC'B - UK DN" xfId="2693"/>
    <cellStyle name="_TK FOB 07 P12 - 31JAN08_UKDN_SHANGHAI_310808_副本Shanghai DN 20090731 (SH2F) (2)" xfId="2694"/>
    <cellStyle name="_TK FOB 07 P12 - 31JAN08_UKDN_SHANGHAI_311208" xfId="2695"/>
    <cellStyle name="_TK FOB 07 P12 - 31JAN08_UKDN_SHANGHAI_311208_OTH REC'B - UK DN" xfId="2696"/>
    <cellStyle name="_TK FOB 07 P12 - 31JAN08_UKDN_SHANGHAI_311208_副本Shanghai DN 20090731 (SH2F) (2)" xfId="2697"/>
    <cellStyle name="_TK FOB 07 P12 - 31JAN08_UKDN_SHANGHAI_P01-09" xfId="2698"/>
    <cellStyle name="_TK FOB 07 P12 - 31JAN08_UKDN_SHANGHAI_P01-09_1415201 HK-PROV CLAIMS (P06_09)" xfId="2699"/>
    <cellStyle name="_TK FOB 07 P12 - 31JAN08_UKDN_SHANGHAI_P01-09_OTH REC'B - UK DN" xfId="2700"/>
    <cellStyle name="_TK FOB 07 P12 - 31JAN08_UKDN_SHANGHAI_P01-09_副本Shanghai DN 20090731 (SH2F) (2)" xfId="2701"/>
    <cellStyle name="_TK FOB 07 P12 - 31JAN08_UKDN_SHANGHAI_P02-09" xfId="2702"/>
    <cellStyle name="_TK FOB 07 P12 - 31JAN08_UKDN_SHANGHAI_P02-09_1415201 HK-PROV CLAIMS (P06_09)" xfId="2703"/>
    <cellStyle name="_TK FOB 07 P12 - 31JAN08_UKDN_SHANGHAI_P02-09_OTH REC'B - UK DN" xfId="2704"/>
    <cellStyle name="_TK FOB 07 P12 - 31JAN08_UKDN_SHANGHAI_P02-09_副本Shanghai DN 20090731 (SH2F) (2)" xfId="2705"/>
    <cellStyle name="_TK FOB 07 P12 - 31JAN08_UKDN_SHANGHAI_P03-09" xfId="2706"/>
    <cellStyle name="_TK FOB 07 P12 - 31JAN08_UKDN_SHANGHAI_P03-09_1415201 HK-PROV CLAIMS (P06_09)" xfId="2707"/>
    <cellStyle name="_TK FOB 07 P12 - 31JAN08_UKDN_SHANGHAI_P03-09_OTH REC'B - UK DN" xfId="2708"/>
    <cellStyle name="_TK FOB 07 P12 - 31JAN08_UKDN_SHANGHAI_P03-09_副本Shanghai DN 20090731 (SH2F) (2)" xfId="2709"/>
    <cellStyle name="_TK FOB 07 P12 - 31JAN08_UKDN_SHANGHAI_P04-09" xfId="2710"/>
    <cellStyle name="_TK FOB 07 P12 - 31JAN08_UKDN_SHANGHAI_P04-09 (Revised on 04.06.09)" xfId="2711"/>
    <cellStyle name="_TK FOB 07 P12 - 31JAN08_UKDN_SHANGHAI_P04-09 (Revised on 04.06.09)_OTH REC'B - UK DN" xfId="2712"/>
    <cellStyle name="_TK FOB 07 P12 - 31JAN08_UKDN_SHANGHAI_P04-09 (Revised on 04.06.09)_副本Shanghai DN 20090731 (SH2F) (2)" xfId="2713"/>
    <cellStyle name="_TK FOB 07 P12 - 31JAN08_UKDN_SHANGHAI_P04-09_1415201 HK-PROV CLAIMS (P06_09)" xfId="2714"/>
    <cellStyle name="_TK FOB 07 P12 - 31JAN08_UKDN_SHANGHAI_P12-08" xfId="2715"/>
    <cellStyle name="_TK FOB 07 P12 - 31JAN08_UKDN_SHANGHAI_P12-08 (310109)" xfId="2716"/>
    <cellStyle name="_TK FOB 07 P12 - 31JAN08_UKDN_SHANGHAI_P12-08 (310109)_1415201 HK-PROV CLAIMS (P06_09)" xfId="2717"/>
    <cellStyle name="_TK FOB 07 P12 - 31JAN08_UKDN_SHANGHAI_P12-08 (310109)_OTH REC'B - UK DN" xfId="2718"/>
    <cellStyle name="_TK FOB 07 P12 - 31JAN08_UKDN_SHANGHAI_P12-08 (310109)_副本Shanghai DN 20090731 (SH2F) (2)" xfId="2719"/>
    <cellStyle name="_TK FOB 07 P12 - 31JAN08_UKDN_SHANGHAI_P12-08_1415201 HK-PROV CLAIMS (P06_09)" xfId="2720"/>
    <cellStyle name="_TK FOB 07 P12 - 31JAN08_UKDN_SHANGHAI_P12-08_OTH REC'B - UK DN" xfId="2721"/>
    <cellStyle name="_TK FOB 07 P12 - 31JAN08_UKDN_SHANGHAI_P12-08_副本Shanghai DN 20090731 (SH2F) (2)" xfId="2722"/>
    <cellStyle name="_TK FOB 07 P12 - 31JAN08_UKDN_THAILAND P01-09" xfId="2723"/>
    <cellStyle name="_TK FOB 07 P12 - 31JAN08_UKDN_THAILAND P01-09_1415201 HK-PROV CLAIMS (P06_09)" xfId="2724"/>
    <cellStyle name="_TK FOB 07 P12 - 31JAN08_UKDN_THAILAND P01-09_OTH REC'B - UK DN" xfId="2725"/>
    <cellStyle name="_TK FOB 07 P12 - 31JAN08_UKDN_THAILAND P01-09_副本Shanghai DN 20090731 (SH2F) (2)" xfId="2726"/>
    <cellStyle name="_TK FOB 07 P12 - 31JAN08_UKDN_THAILAND P02-09" xfId="2727"/>
    <cellStyle name="_TK FOB 07 P12 - 31JAN08_UKDN_THAILAND P02-09_1415201 HK-PROV CLAIMS (P06_09)" xfId="2728"/>
    <cellStyle name="_TK FOB 07 P12 - 31JAN08_UKDN_THAILAND P02-09_OTH REC'B - UK DN" xfId="2729"/>
    <cellStyle name="_TK FOB 07 P12 - 31JAN08_UKDN_THAILAND P02-09_副本Shanghai DN 20090731 (SH2F) (2)" xfId="2730"/>
    <cellStyle name="_TK FOB 07 P12 - 31JAN08_UKDN_THAILAND P03-09" xfId="2731"/>
    <cellStyle name="_TK FOB 07 P12 - 31JAN08_UKDN_THAILAND P03-09_1415201 HK-PROV CLAIMS (P06_09)" xfId="2732"/>
    <cellStyle name="_TK FOB 07 P12 - 31JAN08_UKDN_THAILAND P03-09_OTH REC'B - UK DN" xfId="2733"/>
    <cellStyle name="_TK FOB 07 P12 - 31JAN08_UKDN_THAILAND P03-09_副本Shanghai DN 20090731 (SH2F) (2)" xfId="2734"/>
    <cellStyle name="_TK FOB 07 P12 - 31JAN08_UKDN_THAILAND P04-09" xfId="2735"/>
    <cellStyle name="_TK FOB 07 P12 - 31JAN08_UKDN_THAILAND P04-09_1415201 HK-PROV CLAIMS (P06_09)" xfId="2736"/>
    <cellStyle name="_TK FOB 07 P12 - 31JAN08_UKDN_THAILAND P05-09" xfId="2737"/>
    <cellStyle name="_TK FOB 07 P12 - 31JAN08_UKDN_THAILAND P06-09" xfId="2738"/>
    <cellStyle name="_TK FOB 07 P12 - 31JAN08_UKDN_THAILAND P07-09" xfId="2739"/>
    <cellStyle name="_TK FOB 07 P12 - 31JAN08_UKDN_THAILAND P08-09" xfId="2740"/>
    <cellStyle name="_TK FOB 07 P12 - 31JAN08_UKDN_THAILAND P09-09" xfId="2741"/>
    <cellStyle name="_TK FOB 07 P12 - 31JAN08_UKDN_THAILAND P10-09" xfId="2742"/>
    <cellStyle name="_TK FOB 07 P12 - 31JAN08_UKDN_THAILAND P11-09" xfId="2743"/>
    <cellStyle name="_TK FOB 07 P12 - 31JAN08_UKDN_THAILAND P12" xfId="2744"/>
    <cellStyle name="_TK FOB 07 P12 - 31JAN08_UKDN_THAILAND P12_1415201 HK-PROV CLAIMS (P06_09)" xfId="2745"/>
    <cellStyle name="_TK FOB 07 P12 - 31JAN08_UKDN_THAILAND P12_OTH REC'B - UK DN" xfId="2746"/>
    <cellStyle name="_TK FOB 07 P12 - 31JAN08_UKDN_THAILAND P12_副本Shanghai DN 20090731 (SH2F) (2)" xfId="2747"/>
    <cellStyle name="_TK FOB 07 P12 - 31JAN08_UKDN_THAILAND P12-08 (310109)" xfId="2748"/>
    <cellStyle name="_TK FOB 07 P12 - 31JAN08_UKDN_THAILAND P12-08 (310109)_1415201 HK-PROV CLAIMS (P06_09)" xfId="2749"/>
    <cellStyle name="_TK FOB 07 P12 - 31JAN08_UKDN_THAILAND P12-08 (310109)_OTH REC'B - UK DN" xfId="2750"/>
    <cellStyle name="_TK FOB 07 P12 - 31JAN08_UKDN_THAILAND P12-08 (310109)_副本Shanghai DN 20090731 (SH2F) (2)" xfId="2751"/>
    <cellStyle name="_TK FOB 07 P12 - 31JAN08_UKDN_THAILAND P12-09" xfId="2752"/>
    <cellStyle name="_TK FOB 07 P12 - 31JAN08_UKDN-PD0208 (Revised) - April 08" xfId="2753"/>
    <cellStyle name="_TK07 P08 07" xfId="2754"/>
    <cellStyle name="_TK07 P08 07_HK(1320113)P03- Apr 08" xfId="2755"/>
    <cellStyle name="_TK07 P08 07_HK(1320113)P04- MAY 08R" xfId="2756"/>
    <cellStyle name="_TK07 P08 07_HK_SH_TH AR P02_09(revised)" xfId="2757"/>
    <cellStyle name="_TK07 P08 07_HK_SH_TH AR P03_09" xfId="2758"/>
    <cellStyle name="_TK07 P08 07_Lipsy_AR - SH P12" xfId="2759"/>
    <cellStyle name="_TK07 P08 07_TH_SCH PD03 (AR)" xfId="2760"/>
    <cellStyle name="_TK07 P08 07_TH_SCH PD03 (AR)_OTH REC'B - UK DN" xfId="2761"/>
    <cellStyle name="_TK07 P08 07_TH_SCH PD03 (AR)_副本Shanghai DN 20090731 (SH2F) (2)" xfId="2762"/>
    <cellStyle name="_TK07 P08 07_UKDN_SHANGHAI_300908 (REVISED ON 2.10.08)" xfId="2763"/>
    <cellStyle name="_TK07 P08 07_UKDN_SHANGHAI_300908 (REVISED ON 2.10.08)_OTH REC'B - UK DN" xfId="2764"/>
    <cellStyle name="_TK07 P08 07_UKDN_SHANGHAI_300908 (REVISED ON 2.10.08)_副本Shanghai DN 20090731 (SH2F) (2)" xfId="2765"/>
    <cellStyle name="_TK07 P08 07_UKDN_SHANGHAI_310808" xfId="2766"/>
    <cellStyle name="_TK07 P08 07_UKDN_SHANGHAI_310808_OTH REC'B - UK DN" xfId="2767"/>
    <cellStyle name="_TK07 P08 07_UKDN_SHANGHAI_310808_副本Shanghai DN 20090731 (SH2F) (2)" xfId="2768"/>
    <cellStyle name="_TK07 P08 07_UKDN_SHANGHAI_311208" xfId="2769"/>
    <cellStyle name="_TK07 P08 07_UKDN_SHANGHAI_311208_OTH REC'B - UK DN" xfId="2770"/>
    <cellStyle name="_TK07 P08 07_UKDN_SHANGHAI_311208_副本Shanghai DN 20090731 (SH2F) (2)" xfId="2771"/>
    <cellStyle name="_TK07 P08 07_UKDN_SHANGHAI_P01-09" xfId="2772"/>
    <cellStyle name="_TK07 P08 07_UKDN_SHANGHAI_P01-09_1415201 HK-PROV CLAIMS (P06_09)" xfId="2773"/>
    <cellStyle name="_TK07 P08 07_UKDN_SHANGHAI_P01-09_OTH REC'B - UK DN" xfId="2774"/>
    <cellStyle name="_TK07 P08 07_UKDN_SHANGHAI_P01-09_副本Shanghai DN 20090731 (SH2F) (2)" xfId="2775"/>
    <cellStyle name="_TK07 P08 07_UKDN_SHANGHAI_P02-09" xfId="2776"/>
    <cellStyle name="_TK07 P08 07_UKDN_SHANGHAI_P02-09_1415201 HK-PROV CLAIMS (P06_09)" xfId="2777"/>
    <cellStyle name="_TK07 P08 07_UKDN_SHANGHAI_P02-09_OTH REC'B - UK DN" xfId="2778"/>
    <cellStyle name="_TK07 P08 07_UKDN_SHANGHAI_P02-09_副本Shanghai DN 20090731 (SH2F) (2)" xfId="2779"/>
    <cellStyle name="_TK07 P08 07_UKDN_SHANGHAI_P03-09" xfId="2780"/>
    <cellStyle name="_TK07 P08 07_UKDN_SHANGHAI_P03-09_1415201 HK-PROV CLAIMS (P06_09)" xfId="2781"/>
    <cellStyle name="_TK07 P08 07_UKDN_SHANGHAI_P03-09_OTH REC'B - UK DN" xfId="2782"/>
    <cellStyle name="_TK07 P08 07_UKDN_SHANGHAI_P03-09_副本Shanghai DN 20090731 (SH2F) (2)" xfId="2783"/>
    <cellStyle name="_TK07 P08 07_UKDN_SHANGHAI_P04-09" xfId="2784"/>
    <cellStyle name="_TK07 P08 07_UKDN_SHANGHAI_P04-09 (Revised on 04.06.09)" xfId="2785"/>
    <cellStyle name="_TK07 P08 07_UKDN_SHANGHAI_P04-09 (Revised on 04.06.09)_OTH REC'B - UK DN" xfId="2786"/>
    <cellStyle name="_TK07 P08 07_UKDN_SHANGHAI_P04-09 (Revised on 04.06.09)_副本Shanghai DN 20090731 (SH2F) (2)" xfId="2787"/>
    <cellStyle name="_TK07 P08 07_UKDN_SHANGHAI_P04-09_1415201 HK-PROV CLAIMS (P06_09)" xfId="2788"/>
    <cellStyle name="_TK07 P08 07_UKDN_SHANGHAI_P12-08" xfId="2789"/>
    <cellStyle name="_TK07 P08 07_UKDN_SHANGHAI_P12-08 (310109)" xfId="2790"/>
    <cellStyle name="_TK07 P08 07_UKDN_SHANGHAI_P12-08 (310109)_1415201 HK-PROV CLAIMS (P06_09)" xfId="2791"/>
    <cellStyle name="_TK07 P08 07_UKDN_SHANGHAI_P12-08 (310109)_OTH REC'B - UK DN" xfId="2792"/>
    <cellStyle name="_TK07 P08 07_UKDN_SHANGHAI_P12-08 (310109)_副本Shanghai DN 20090731 (SH2F) (2)" xfId="2793"/>
    <cellStyle name="_TK07 P08 07_UKDN_SHANGHAI_P12-08_1415201 HK-PROV CLAIMS (P06_09)" xfId="2794"/>
    <cellStyle name="_TK07 P08 07_UKDN_SHANGHAI_P12-08_OTH REC'B - UK DN" xfId="2795"/>
    <cellStyle name="_TK07 P08 07_UKDN_SHANGHAI_P12-08_副本Shanghai DN 20090731 (SH2F) (2)" xfId="2796"/>
    <cellStyle name="_TK07 P08 07_UKDN_THAILAND P01-09" xfId="2797"/>
    <cellStyle name="_TK07 P08 07_UKDN_THAILAND P01-09_1415201 HK-PROV CLAIMS (P06_09)" xfId="2798"/>
    <cellStyle name="_TK07 P08 07_UKDN_THAILAND P01-09_OTH REC'B - UK DN" xfId="2799"/>
    <cellStyle name="_TK07 P08 07_UKDN_THAILAND P01-09_副本Shanghai DN 20090731 (SH2F) (2)" xfId="2800"/>
    <cellStyle name="_TK07 P08 07_UKDN_THAILAND P02-09" xfId="2801"/>
    <cellStyle name="_TK07 P08 07_UKDN_THAILAND P02-09_1415201 HK-PROV CLAIMS (P06_09)" xfId="2802"/>
    <cellStyle name="_TK07 P08 07_UKDN_THAILAND P02-09_OTH REC'B - UK DN" xfId="2803"/>
    <cellStyle name="_TK07 P08 07_UKDN_THAILAND P02-09_副本Shanghai DN 20090731 (SH2F) (2)" xfId="2804"/>
    <cellStyle name="_TK07 P08 07_UKDN_THAILAND P03-09" xfId="2805"/>
    <cellStyle name="_TK07 P08 07_UKDN_THAILAND P03-09_1415201 HK-PROV CLAIMS (P06_09)" xfId="2806"/>
    <cellStyle name="_TK07 P08 07_UKDN_THAILAND P03-09_OTH REC'B - UK DN" xfId="2807"/>
    <cellStyle name="_TK07 P08 07_UKDN_THAILAND P03-09_副本Shanghai DN 20090731 (SH2F) (2)" xfId="2808"/>
    <cellStyle name="_TK07 P08 07_UKDN_THAILAND P04-09" xfId="2809"/>
    <cellStyle name="_TK07 P08 07_UKDN_THAILAND P04-09_1415201 HK-PROV CLAIMS (P06_09)" xfId="2810"/>
    <cellStyle name="_TK07 P08 07_UKDN_THAILAND P05-09" xfId="2811"/>
    <cellStyle name="_TK07 P08 07_UKDN_THAILAND P06-09" xfId="2812"/>
    <cellStyle name="_TK07 P08 07_UKDN_THAILAND P07-09" xfId="2813"/>
    <cellStyle name="_TK07 P08 07_UKDN_THAILAND P08-09" xfId="2814"/>
    <cellStyle name="_TK07 P08 07_UKDN_THAILAND P09-09" xfId="2815"/>
    <cellStyle name="_TK07 P08 07_UKDN_THAILAND P10-09" xfId="2816"/>
    <cellStyle name="_TK07 P08 07_UKDN_THAILAND P11-09" xfId="2817"/>
    <cellStyle name="_TK07 P08 07_UKDN_THAILAND P12" xfId="2818"/>
    <cellStyle name="_TK07 P08 07_UKDN_THAILAND P12_1415201 HK-PROV CLAIMS (P06_09)" xfId="2819"/>
    <cellStyle name="_TK07 P08 07_UKDN_THAILAND P12_OTH REC'B - UK DN" xfId="2820"/>
    <cellStyle name="_TK07 P08 07_UKDN_THAILAND P12_副本Shanghai DN 20090731 (SH2F) (2)" xfId="2821"/>
    <cellStyle name="_TK07 P08 07_UKDN_THAILAND P12-08 (310109)" xfId="2822"/>
    <cellStyle name="_TK07 P08 07_UKDN_THAILAND P12-08 (310109)_1415201 HK-PROV CLAIMS (P06_09)" xfId="2823"/>
    <cellStyle name="_TK07 P08 07_UKDN_THAILAND P12-08 (310109)_OTH REC'B - UK DN" xfId="2824"/>
    <cellStyle name="_TK07 P08 07_UKDN_THAILAND P12-08 (310109)_副本Shanghai DN 20090731 (SH2F) (2)" xfId="2825"/>
    <cellStyle name="_TK07 P08 07_UKDN_THAILAND P12-09" xfId="2826"/>
    <cellStyle name="_TK07 P08 07_UKDN-PD0208 (Revised) - April 08" xfId="2827"/>
    <cellStyle name="_TK07 P09 07" xfId="2828"/>
    <cellStyle name="_TK07 P09 07_HK(1320113)P03- Apr 08" xfId="2829"/>
    <cellStyle name="_TK07 P09 07_HK(1320113)P04- MAY 08R" xfId="2830"/>
    <cellStyle name="_TK07 P09 07_HK_SH_TH AR P02_09(revised)" xfId="2831"/>
    <cellStyle name="_TK07 P09 07_HK_SH_TH AR P03_09" xfId="2832"/>
    <cellStyle name="_TK07 P09 07_Lipsy_AR - SH P12" xfId="2833"/>
    <cellStyle name="_TK07 P09 07_TH_SCH PD03 (AR)" xfId="2834"/>
    <cellStyle name="_TK07 P09 07_TH_SCH PD03 (AR)_OTH REC'B - UK DN" xfId="2835"/>
    <cellStyle name="_TK07 P09 07_TH_SCH PD03 (AR)_副本Shanghai DN 20090731 (SH2F) (2)" xfId="2836"/>
    <cellStyle name="_TK07 P09 07_UKDN_SHANGHAI_300908 (REVISED ON 2.10.08)" xfId="2837"/>
    <cellStyle name="_TK07 P09 07_UKDN_SHANGHAI_300908 (REVISED ON 2.10.08)_OTH REC'B - UK DN" xfId="2838"/>
    <cellStyle name="_TK07 P09 07_UKDN_SHANGHAI_300908 (REVISED ON 2.10.08)_副本Shanghai DN 20090731 (SH2F) (2)" xfId="2839"/>
    <cellStyle name="_TK07 P09 07_UKDN_SHANGHAI_310808" xfId="2840"/>
    <cellStyle name="_TK07 P09 07_UKDN_SHANGHAI_310808_OTH REC'B - UK DN" xfId="2841"/>
    <cellStyle name="_TK07 P09 07_UKDN_SHANGHAI_310808_副本Shanghai DN 20090731 (SH2F) (2)" xfId="2842"/>
    <cellStyle name="_TK07 P09 07_UKDN_SHANGHAI_311208" xfId="2843"/>
    <cellStyle name="_TK07 P09 07_UKDN_SHANGHAI_311208_OTH REC'B - UK DN" xfId="2844"/>
    <cellStyle name="_TK07 P09 07_UKDN_SHANGHAI_311208_副本Shanghai DN 20090731 (SH2F) (2)" xfId="2845"/>
    <cellStyle name="_TK07 P09 07_UKDN_SHANGHAI_P01-09" xfId="2846"/>
    <cellStyle name="_TK07 P09 07_UKDN_SHANGHAI_P01-09_1415201 HK-PROV CLAIMS (P06_09)" xfId="2847"/>
    <cellStyle name="_TK07 P09 07_UKDN_SHANGHAI_P01-09_OTH REC'B - UK DN" xfId="2848"/>
    <cellStyle name="_TK07 P09 07_UKDN_SHANGHAI_P01-09_副本Shanghai DN 20090731 (SH2F) (2)" xfId="2849"/>
    <cellStyle name="_TK07 P09 07_UKDN_SHANGHAI_P02-09" xfId="2850"/>
    <cellStyle name="_TK07 P09 07_UKDN_SHANGHAI_P02-09_1415201 HK-PROV CLAIMS (P06_09)" xfId="2851"/>
    <cellStyle name="_TK07 P09 07_UKDN_SHANGHAI_P02-09_OTH REC'B - UK DN" xfId="2852"/>
    <cellStyle name="_TK07 P09 07_UKDN_SHANGHAI_P02-09_副本Shanghai DN 20090731 (SH2F) (2)" xfId="2853"/>
    <cellStyle name="_TK07 P09 07_UKDN_SHANGHAI_P03-09" xfId="2854"/>
    <cellStyle name="_TK07 P09 07_UKDN_SHANGHAI_P03-09_1415201 HK-PROV CLAIMS (P06_09)" xfId="2855"/>
    <cellStyle name="_TK07 P09 07_UKDN_SHANGHAI_P03-09_OTH REC'B - UK DN" xfId="2856"/>
    <cellStyle name="_TK07 P09 07_UKDN_SHANGHAI_P03-09_副本Shanghai DN 20090731 (SH2F) (2)" xfId="2857"/>
    <cellStyle name="_TK07 P09 07_UKDN_SHANGHAI_P04-09" xfId="2858"/>
    <cellStyle name="_TK07 P09 07_UKDN_SHANGHAI_P04-09 (Revised on 04.06.09)" xfId="2859"/>
    <cellStyle name="_TK07 P09 07_UKDN_SHANGHAI_P04-09 (Revised on 04.06.09)_OTH REC'B - UK DN" xfId="2860"/>
    <cellStyle name="_TK07 P09 07_UKDN_SHANGHAI_P04-09 (Revised on 04.06.09)_副本Shanghai DN 20090731 (SH2F) (2)" xfId="2861"/>
    <cellStyle name="_TK07 P09 07_UKDN_SHANGHAI_P04-09_1415201 HK-PROV CLAIMS (P06_09)" xfId="2862"/>
    <cellStyle name="_TK07 P09 07_UKDN_SHANGHAI_P12-08" xfId="2863"/>
    <cellStyle name="_TK07 P09 07_UKDN_SHANGHAI_P12-08 (310109)" xfId="2864"/>
    <cellStyle name="_TK07 P09 07_UKDN_SHANGHAI_P12-08 (310109)_1415201 HK-PROV CLAIMS (P06_09)" xfId="2865"/>
    <cellStyle name="_TK07 P09 07_UKDN_SHANGHAI_P12-08 (310109)_OTH REC'B - UK DN" xfId="2866"/>
    <cellStyle name="_TK07 P09 07_UKDN_SHANGHAI_P12-08 (310109)_副本Shanghai DN 20090731 (SH2F) (2)" xfId="2867"/>
    <cellStyle name="_TK07 P09 07_UKDN_SHANGHAI_P12-08_1415201 HK-PROV CLAIMS (P06_09)" xfId="2868"/>
    <cellStyle name="_TK07 P09 07_UKDN_SHANGHAI_P12-08_OTH REC'B - UK DN" xfId="2869"/>
    <cellStyle name="_TK07 P09 07_UKDN_SHANGHAI_P12-08_副本Shanghai DN 20090731 (SH2F) (2)" xfId="2870"/>
    <cellStyle name="_TK07 P09 07_UKDN_THAILAND P01-09" xfId="2871"/>
    <cellStyle name="_TK07 P09 07_UKDN_THAILAND P01-09_1415201 HK-PROV CLAIMS (P06_09)" xfId="2872"/>
    <cellStyle name="_TK07 P09 07_UKDN_THAILAND P01-09_OTH REC'B - UK DN" xfId="2873"/>
    <cellStyle name="_TK07 P09 07_UKDN_THAILAND P01-09_副本Shanghai DN 20090731 (SH2F) (2)" xfId="2874"/>
    <cellStyle name="_TK07 P09 07_UKDN_THAILAND P02-09" xfId="2875"/>
    <cellStyle name="_TK07 P09 07_UKDN_THAILAND P02-09_1415201 HK-PROV CLAIMS (P06_09)" xfId="2876"/>
    <cellStyle name="_TK07 P09 07_UKDN_THAILAND P02-09_OTH REC'B - UK DN" xfId="2877"/>
    <cellStyle name="_TK07 P09 07_UKDN_THAILAND P02-09_副本Shanghai DN 20090731 (SH2F) (2)" xfId="2878"/>
    <cellStyle name="_TK07 P09 07_UKDN_THAILAND P03-09" xfId="2879"/>
    <cellStyle name="_TK07 P09 07_UKDN_THAILAND P03-09_1415201 HK-PROV CLAIMS (P06_09)" xfId="2880"/>
    <cellStyle name="_TK07 P09 07_UKDN_THAILAND P03-09_OTH REC'B - UK DN" xfId="2881"/>
    <cellStyle name="_TK07 P09 07_UKDN_THAILAND P03-09_副本Shanghai DN 20090731 (SH2F) (2)" xfId="2882"/>
    <cellStyle name="_TK07 P09 07_UKDN_THAILAND P04-09" xfId="2883"/>
    <cellStyle name="_TK07 P09 07_UKDN_THAILAND P04-09_1415201 HK-PROV CLAIMS (P06_09)" xfId="2884"/>
    <cellStyle name="_TK07 P09 07_UKDN_THAILAND P05-09" xfId="2885"/>
    <cellStyle name="_TK07 P09 07_UKDN_THAILAND P06-09" xfId="2886"/>
    <cellStyle name="_TK07 P09 07_UKDN_THAILAND P07-09" xfId="2887"/>
    <cellStyle name="_TK07 P09 07_UKDN_THAILAND P08-09" xfId="2888"/>
    <cellStyle name="_TK07 P09 07_UKDN_THAILAND P09-09" xfId="2889"/>
    <cellStyle name="_TK07 P09 07_UKDN_THAILAND P10-09" xfId="2890"/>
    <cellStyle name="_TK07 P09 07_UKDN_THAILAND P11-09" xfId="2891"/>
    <cellStyle name="_TK07 P09 07_UKDN_THAILAND P12" xfId="2892"/>
    <cellStyle name="_TK07 P09 07_UKDN_THAILAND P12_1415201 HK-PROV CLAIMS (P06_09)" xfId="2893"/>
    <cellStyle name="_TK07 P09 07_UKDN_THAILAND P12_OTH REC'B - UK DN" xfId="2894"/>
    <cellStyle name="_TK07 P09 07_UKDN_THAILAND P12_副本Shanghai DN 20090731 (SH2F) (2)" xfId="2895"/>
    <cellStyle name="_TK07 P09 07_UKDN_THAILAND P12-08 (310109)" xfId="2896"/>
    <cellStyle name="_TK07 P09 07_UKDN_THAILAND P12-08 (310109)_1415201 HK-PROV CLAIMS (P06_09)" xfId="2897"/>
    <cellStyle name="_TK07 P09 07_UKDN_THAILAND P12-08 (310109)_OTH REC'B - UK DN" xfId="2898"/>
    <cellStyle name="_TK07 P09 07_UKDN_THAILAND P12-08 (310109)_副本Shanghai DN 20090731 (SH2F) (2)" xfId="2899"/>
    <cellStyle name="_TK07 P09 07_UKDN_THAILAND P12-09" xfId="2900"/>
    <cellStyle name="_TK07 P09 07_UKDN-PD0208 (Revised) - April 08" xfId="2901"/>
    <cellStyle name="_TK-Next Retail - OE-1320113" xfId="2902"/>
    <cellStyle name="_Turkey, JRS Interco" xfId="2903"/>
    <cellStyle name="_Turkey, JRS Interco_30 Nov 2011" xfId="2904"/>
    <cellStyle name="_Turkey, JRS Interco_30 Nov 2011 2" xfId="2905"/>
    <cellStyle name="_Turkey, JRS Interco_31 Oct 2011 (R1)" xfId="2906"/>
    <cellStyle name="_Turkey, JRS Interco_31 Oct 2011 (R1) 2" xfId="2907"/>
    <cellStyle name="_Turkey, JRS Interco_AccountP (Aug)" xfId="2908"/>
    <cellStyle name="_Turkey, JRS Interco_AccountP (Aug) 2" xfId="2909"/>
    <cellStyle name="_Turkey, JRS Interco_AccountP (Dec)" xfId="2910"/>
    <cellStyle name="_Turkey, JRS Interco_AccountP (Dec) 2" xfId="2911"/>
    <cellStyle name="_Turkey, JRS Interco_AccountP (Feb)" xfId="2912"/>
    <cellStyle name="_Turkey, JRS Interco_AccountP (Feb) 2" xfId="2913"/>
    <cellStyle name="_Turkey, JRS Interco_AccountP (Jan)" xfId="2914"/>
    <cellStyle name="_Turkey, JRS Interco_AccountP (Jan) 2" xfId="2915"/>
    <cellStyle name="_Turkey, JRS Interco_AccountP (Jul)" xfId="2916"/>
    <cellStyle name="_Turkey, JRS Interco_AccountP (Jul) 2" xfId="2917"/>
    <cellStyle name="_Turkey, JRS Interco_AccountP (Jun)" xfId="2918"/>
    <cellStyle name="_Turkey, JRS Interco_AccountP (Jun) 2" xfId="2919"/>
    <cellStyle name="_Turkey, JRS Interco_AccountP (Mar)" xfId="2920"/>
    <cellStyle name="_Turkey, JRS Interco_AccountP (Mar) 2" xfId="2921"/>
    <cellStyle name="_Turkey, JRS Interco_AccountP (Nov)" xfId="2922"/>
    <cellStyle name="_Turkey, JRS Interco_AccountP (Nov) 2" xfId="2923"/>
    <cellStyle name="_Turkey, JRS Interco_AccountP (Oct)" xfId="2924"/>
    <cellStyle name="_Turkey, JRS Interco_AccountP (Oct) 2" xfId="2925"/>
    <cellStyle name="_Turkey, JRS Interco_AccountP (Sep)" xfId="2926"/>
    <cellStyle name="_Turkey, JRS Interco_AccountP (Sep) 2" xfId="2927"/>
    <cellStyle name="_Turkey, JRS Interco_Accrual movement " xfId="2928"/>
    <cellStyle name="_Turkey, JRS Interco_Accrual movement  (2)" xfId="2929"/>
    <cellStyle name="_Turkey, JRS Interco_Accrual movement  (2) 2" xfId="2930"/>
    <cellStyle name="_Turkey, JRS Interco_Accrual movement  10" xfId="2931"/>
    <cellStyle name="_Turkey, JRS Interco_Accrual movement  11" xfId="2932"/>
    <cellStyle name="_Turkey, JRS Interco_Accrual movement  12" xfId="2933"/>
    <cellStyle name="_Turkey, JRS Interco_Accrual movement  13" xfId="2934"/>
    <cellStyle name="_Turkey, JRS Interco_Accrual movement  14" xfId="2935"/>
    <cellStyle name="_Turkey, JRS Interco_Accrual movement  15" xfId="2936"/>
    <cellStyle name="_Turkey, JRS Interco_Accrual movement  16" xfId="2937"/>
    <cellStyle name="_Turkey, JRS Interco_Accrual movement  17" xfId="2938"/>
    <cellStyle name="_Turkey, JRS Interco_Accrual movement  18" xfId="2939"/>
    <cellStyle name="_Turkey, JRS Interco_Accrual movement  19" xfId="2940"/>
    <cellStyle name="_Turkey, JRS Interco_Accrual movement  2" xfId="2941"/>
    <cellStyle name="_Turkey, JRS Interco_Accrual movement  20" xfId="2942"/>
    <cellStyle name="_Turkey, JRS Interco_Accrual movement  21" xfId="2943"/>
    <cellStyle name="_Turkey, JRS Interco_Accrual movement  3" xfId="2944"/>
    <cellStyle name="_Turkey, JRS Interco_Accrual movement  4" xfId="2945"/>
    <cellStyle name="_Turkey, JRS Interco_Accrual movement  5" xfId="2946"/>
    <cellStyle name="_Turkey, JRS Interco_Accrual movement  6" xfId="2947"/>
    <cellStyle name="_Turkey, JRS Interco_Accrual movement  7" xfId="2948"/>
    <cellStyle name="_Turkey, JRS Interco_Accrual movement  8" xfId="2949"/>
    <cellStyle name="_Turkey, JRS Interco_Accrual movement  9" xfId="2950"/>
    <cellStyle name="_Turkey, JRS Interco_Appendix 10.1 " xfId="2951"/>
    <cellStyle name="_Turkey, JRS Interco_Appendix 10.1  (Apr)" xfId="2952"/>
    <cellStyle name="_Turkey, JRS Interco_Appendix 10.1  (Apr) 2" xfId="2953"/>
    <cellStyle name="_Turkey, JRS Interco_Appendix 10.1  (Dec)" xfId="2954"/>
    <cellStyle name="_Turkey, JRS Interco_Appendix 10.1  (Dec) 2" xfId="2955"/>
    <cellStyle name="_Turkey, JRS Interco_Appendix 10.1  (Feb)" xfId="2956"/>
    <cellStyle name="_Turkey, JRS Interco_Appendix 10.1  (Feb) 2" xfId="2957"/>
    <cellStyle name="_Turkey, JRS Interco_Appendix 10.1  (Jul)" xfId="2958"/>
    <cellStyle name="_Turkey, JRS Interco_Appendix 10.1  (May)" xfId="2959"/>
    <cellStyle name="_Turkey, JRS Interco_Appendix 10.1  (May) 2" xfId="2960"/>
    <cellStyle name="_Turkey, JRS Interco_Appendix 10.1  (Nov)" xfId="2961"/>
    <cellStyle name="_Turkey, JRS Interco_Appendix 10.1  (Nov) 2" xfId="2962"/>
    <cellStyle name="_Turkey, JRS Interco_Appendix 10.1  (Oct)" xfId="2963"/>
    <cellStyle name="_Turkey, JRS Interco_Appendix 10.1  (Sep)" xfId="2964"/>
    <cellStyle name="_Turkey, JRS Interco_Appendix 10.1  (Sep) 2" xfId="2965"/>
    <cellStyle name="_Turkey, JRS Interco_Appendix 10.1  10" xfId="2966"/>
    <cellStyle name="_Turkey, JRS Interco_Appendix 10.1  11" xfId="2967"/>
    <cellStyle name="_Turkey, JRS Interco_Appendix 10.1  12" xfId="2968"/>
    <cellStyle name="_Turkey, JRS Interco_Appendix 10.1  13" xfId="2969"/>
    <cellStyle name="_Turkey, JRS Interco_Appendix 10.1  14" xfId="2970"/>
    <cellStyle name="_Turkey, JRS Interco_Appendix 10.1  15" xfId="2971"/>
    <cellStyle name="_Turkey, JRS Interco_Appendix 10.1  16" xfId="2972"/>
    <cellStyle name="_Turkey, JRS Interco_Appendix 10.1  17" xfId="2973"/>
    <cellStyle name="_Turkey, JRS Interco_Appendix 10.1  18" xfId="2974"/>
    <cellStyle name="_Turkey, JRS Interco_Appendix 10.1  19" xfId="2975"/>
    <cellStyle name="_Turkey, JRS Interco_Appendix 10.1  2" xfId="2976"/>
    <cellStyle name="_Turkey, JRS Interco_Appendix 10.1  20" xfId="2977"/>
    <cellStyle name="_Turkey, JRS Interco_Appendix 10.1  21" xfId="2978"/>
    <cellStyle name="_Turkey, JRS Interco_Appendix 10.1  3" xfId="2979"/>
    <cellStyle name="_Turkey, JRS Interco_Appendix 10.1  4" xfId="2980"/>
    <cellStyle name="_Turkey, JRS Interco_Appendix 10.1  5" xfId="2981"/>
    <cellStyle name="_Turkey, JRS Interco_Appendix 10.1  6" xfId="2982"/>
    <cellStyle name="_Turkey, JRS Interco_Appendix 10.1  7" xfId="2983"/>
    <cellStyle name="_Turkey, JRS Interco_Appendix 10.1  8" xfId="2984"/>
    <cellStyle name="_Turkey, JRS Interco_Appendix 10.1  9" xfId="2985"/>
    <cellStyle name="_Turkey, JRS Interco_Appendix 10.2" xfId="2986"/>
    <cellStyle name="_Turkey, JRS Interco_Appendix 10.2 (Apr)" xfId="2987"/>
    <cellStyle name="_Turkey, JRS Interco_Appendix 10.2 (Apr) 2" xfId="2988"/>
    <cellStyle name="_Turkey, JRS Interco_Appendix 10.2 (Aug)" xfId="2989"/>
    <cellStyle name="_Turkey, JRS Interco_Appendix 10.2 (Dec)" xfId="2990"/>
    <cellStyle name="_Turkey, JRS Interco_Appendix 10.2 (Dec) 2" xfId="2991"/>
    <cellStyle name="_Turkey, JRS Interco_Appendix 10.2 (Feb)" xfId="2992"/>
    <cellStyle name="_Turkey, JRS Interco_Appendix 10.2 (Feb) 2" xfId="2993"/>
    <cellStyle name="_Turkey, JRS Interco_Appendix 10.2 (Jul)" xfId="2994"/>
    <cellStyle name="_Turkey, JRS Interco_Appendix 10.2 (May)" xfId="2995"/>
    <cellStyle name="_Turkey, JRS Interco_Appendix 10.2 (May) 2" xfId="2996"/>
    <cellStyle name="_Turkey, JRS Interco_Appendix 10.2 (Nov)" xfId="2997"/>
    <cellStyle name="_Turkey, JRS Interco_Appendix 10.2 (Nov) 2" xfId="2998"/>
    <cellStyle name="_Turkey, JRS Interco_Appendix 10.2 (Oct)" xfId="2999"/>
    <cellStyle name="_Turkey, JRS Interco_Appendix 10.2 (Oct) 2" xfId="3000"/>
    <cellStyle name="_Turkey, JRS Interco_Appendix 10.2 10" xfId="3001"/>
    <cellStyle name="_Turkey, JRS Interco_Appendix 10.2 11" xfId="3002"/>
    <cellStyle name="_Turkey, JRS Interco_Appendix 10.2 12" xfId="3003"/>
    <cellStyle name="_Turkey, JRS Interco_Appendix 10.2 13" xfId="3004"/>
    <cellStyle name="_Turkey, JRS Interco_Appendix 10.2 14" xfId="3005"/>
    <cellStyle name="_Turkey, JRS Interco_Appendix 10.2 15" xfId="3006"/>
    <cellStyle name="_Turkey, JRS Interco_Appendix 10.2 16" xfId="3007"/>
    <cellStyle name="_Turkey, JRS Interco_Appendix 10.2 17" xfId="3008"/>
    <cellStyle name="_Turkey, JRS Interco_Appendix 10.2 18" xfId="3009"/>
    <cellStyle name="_Turkey, JRS Interco_Appendix 10.2 19" xfId="3010"/>
    <cellStyle name="_Turkey, JRS Interco_Appendix 10.2 2" xfId="3011"/>
    <cellStyle name="_Turkey, JRS Interco_Appendix 10.2 20" xfId="3012"/>
    <cellStyle name="_Turkey, JRS Interco_Appendix 10.2 21" xfId="3013"/>
    <cellStyle name="_Turkey, JRS Interco_Appendix 10.2 3" xfId="3014"/>
    <cellStyle name="_Turkey, JRS Interco_Appendix 10.2 4" xfId="3015"/>
    <cellStyle name="_Turkey, JRS Interco_Appendix 10.2 5" xfId="3016"/>
    <cellStyle name="_Turkey, JRS Interco_Appendix 10.2 6" xfId="3017"/>
    <cellStyle name="_Turkey, JRS Interco_Appendix 10.2 7" xfId="3018"/>
    <cellStyle name="_Turkey, JRS Interco_Appendix 10.2 8" xfId="3019"/>
    <cellStyle name="_Turkey, JRS Interco_Appendix 10.2 9" xfId="3020"/>
    <cellStyle name="_Turkey, JRS Interco_Appendix 10.3 (Oct)" xfId="3021"/>
    <cellStyle name="_Turkey, JRS Interco_Appendix 10.3 (Oct) 2" xfId="3022"/>
    <cellStyle name="_Turkey, JRS Interco_Appendix 11 (Aug)" xfId="3023"/>
    <cellStyle name="_Turkey, JRS Interco_Appendix 11 (Aug) 2" xfId="3024"/>
    <cellStyle name="_Turkey, JRS Interco_Appendix 11 (Dec)" xfId="3025"/>
    <cellStyle name="_Turkey, JRS Interco_Appendix 11 (Dec) 2" xfId="3026"/>
    <cellStyle name="_Turkey, JRS Interco_Appendix 11 (Jul)" xfId="3027"/>
    <cellStyle name="_Turkey, JRS Interco_Appendix 12.1 (Aug)" xfId="3028"/>
    <cellStyle name="_Turkey, JRS Interco_Appendix 12.1 (Aug) 2" xfId="3029"/>
    <cellStyle name="_Turkey, JRS Interco_Appendix 12.1 (May)" xfId="3030"/>
    <cellStyle name="_Turkey, JRS Interco_Appendix 12.1 (May) 2" xfId="3031"/>
    <cellStyle name="_Turkey, JRS Interco_Appendix 12.1 (May)_ByAccount (10)" xfId="3032"/>
    <cellStyle name="_Turkey, JRS Interco_Appendix 12.1 (May)_ByAccount (12)" xfId="3033"/>
    <cellStyle name="_Turkey, JRS Interco_Appendix 12.1 (May)_ByVoucher" xfId="3034"/>
    <cellStyle name="_Turkey, JRS Interco_Appendix 12.1 (May)_ByVoucher (1NS)" xfId="3035"/>
    <cellStyle name="_Turkey, JRS Interco_Appendix 12.1 (May)_ByVoucher (2)" xfId="3036"/>
    <cellStyle name="_Turkey, JRS Interco_Appendix 12.1 (May)_ByVoucher (3)" xfId="3037"/>
    <cellStyle name="_Turkey, JRS Interco_Appendix 12.1 (May)_Copy of UIN P7 Miu" xfId="3038"/>
    <cellStyle name="_Turkey, JRS Interco_Appendix 12.1 (May)_Copy of UIN P8 Miu" xfId="3039"/>
    <cellStyle name="_Turkey, JRS Interco_Appendix 12.1 (May)_long" xfId="3040"/>
    <cellStyle name="_Turkey, JRS Interco_Appendix 12.1 (May)_Petty Cash (Feb)" xfId="3041"/>
    <cellStyle name="_Turkey, JRS Interco_Appendix 12.1 (May)_TEMP (4)" xfId="3042"/>
    <cellStyle name="_Turkey, JRS Interco_Appendix 12.1 (May)_UDN P6-LC,CC " xfId="3043"/>
    <cellStyle name="_Turkey, JRS Interco_Appendix 12.1 (May)_UDN P6-LC,CC  2" xfId="3044"/>
    <cellStyle name="_Turkey, JRS Interco_Appendix 12.1 (May)_UIN P10 Miu" xfId="3045"/>
    <cellStyle name="_Turkey, JRS Interco_Appendix 12.1 (May)_UIN P10 Miu-R1" xfId="3046"/>
    <cellStyle name="_Turkey, JRS Interco_Appendix 12.1 (May)_UIN P11 Miu" xfId="3047"/>
    <cellStyle name="_Turkey, JRS Interco_Appendix 12.1 (May)_UIN P6 Miu" xfId="3048"/>
    <cellStyle name="_Turkey, JRS Interco_Appendix 12.1 (May)_UIN P7 Miu" xfId="3049"/>
    <cellStyle name="_Turkey, JRS Interco_Appendix 12.1 (May)_UIN P8 Miu" xfId="3050"/>
    <cellStyle name="_Turkey, JRS Interco_Appendix 12.1 (May)_UIN P9 Miu" xfId="3051"/>
    <cellStyle name="_Turkey, JRS Interco_Appendix 12.1 (May)_UJV (6)" xfId="3052"/>
    <cellStyle name="_Turkey, JRS Interco_Appendix 12.1 (May)_UJV (6) 2" xfId="3053"/>
    <cellStyle name="_Turkey, JRS Interco_Appendix 12.1 (May)_UJV (Aug) (3)" xfId="3054"/>
    <cellStyle name="_Turkey, JRS Interco_Appendix 12.1 (May)_UJV (Aug) (3) 2" xfId="3055"/>
    <cellStyle name="_Turkey, JRS Interco_Appendix 12.1 (May)_UJV (Oct) (2)" xfId="3056"/>
    <cellStyle name="_Turkey, JRS Interco_Appendix 12.1 (May)_UJV (Oct) (2) 2" xfId="3057"/>
    <cellStyle name="_Turkey, JRS Interco_Appendix 12.1 (May)_VOUCHER PRINTING SA" xfId="3058"/>
    <cellStyle name="_Turkey, JRS Interco_Appendix 12.1 (Nov)" xfId="3059"/>
    <cellStyle name="_Turkey, JRS Interco_Appendix 12.1 (Nov) 2" xfId="3060"/>
    <cellStyle name="_Turkey, JRS Interco_Appendix 12.1 (Oct)" xfId="3061"/>
    <cellStyle name="_Turkey, JRS Interco_Appendix 12.1 (Oct) 2" xfId="3062"/>
    <cellStyle name="_Turkey, JRS Interco_Appendix 12.1 (Sep)" xfId="3063"/>
    <cellStyle name="_Turkey, JRS Interco_Appendix 12.1 (Sep) 2" xfId="3064"/>
    <cellStyle name="_Turkey, JRS Interco_Appendix 12.13" xfId="3065"/>
    <cellStyle name="_Turkey, JRS Interco_Appendix 12.13 2" xfId="3066"/>
    <cellStyle name="_Turkey, JRS Interco_Appendix 12.2 (May)" xfId="3067"/>
    <cellStyle name="_Turkey, JRS Interco_Appendix 12.2 (May) 2" xfId="3068"/>
    <cellStyle name="_Turkey, JRS Interco_Appendix 12.2 (May)_ByAccount (10)" xfId="3069"/>
    <cellStyle name="_Turkey, JRS Interco_Appendix 12.2 (May)_ByAccount (12)" xfId="3070"/>
    <cellStyle name="_Turkey, JRS Interco_Appendix 12.2 (May)_ByVoucher" xfId="3071"/>
    <cellStyle name="_Turkey, JRS Interco_Appendix 12.2 (May)_ByVoucher (1NS)" xfId="3072"/>
    <cellStyle name="_Turkey, JRS Interco_Appendix 12.2 (May)_ByVoucher (2)" xfId="3073"/>
    <cellStyle name="_Turkey, JRS Interco_Appendix 12.2 (May)_ByVoucher (3)" xfId="3074"/>
    <cellStyle name="_Turkey, JRS Interco_Appendix 12.2 (May)_Copy of UIN P7 Miu" xfId="3075"/>
    <cellStyle name="_Turkey, JRS Interco_Appendix 12.2 (May)_Copy of UIN P8 Miu" xfId="3076"/>
    <cellStyle name="_Turkey, JRS Interco_Appendix 12.2 (May)_long" xfId="3077"/>
    <cellStyle name="_Turkey, JRS Interco_Appendix 12.2 (May)_Petty Cash (Feb)" xfId="3078"/>
    <cellStyle name="_Turkey, JRS Interco_Appendix 12.2 (May)_TEMP (4)" xfId="3079"/>
    <cellStyle name="_Turkey, JRS Interco_Appendix 12.2 (May)_UDN P6-LC,CC " xfId="3080"/>
    <cellStyle name="_Turkey, JRS Interco_Appendix 12.2 (May)_UDN P6-LC,CC  2" xfId="3081"/>
    <cellStyle name="_Turkey, JRS Interco_Appendix 12.2 (May)_UIN P10 Miu" xfId="3082"/>
    <cellStyle name="_Turkey, JRS Interco_Appendix 12.2 (May)_UIN P10 Miu-R1" xfId="3083"/>
    <cellStyle name="_Turkey, JRS Interco_Appendix 12.2 (May)_UIN P11 Miu" xfId="3084"/>
    <cellStyle name="_Turkey, JRS Interco_Appendix 12.2 (May)_UIN P6 Miu" xfId="3085"/>
    <cellStyle name="_Turkey, JRS Interco_Appendix 12.2 (May)_UIN P7 Miu" xfId="3086"/>
    <cellStyle name="_Turkey, JRS Interco_Appendix 12.2 (May)_UIN P8 Miu" xfId="3087"/>
    <cellStyle name="_Turkey, JRS Interco_Appendix 12.2 (May)_UIN P9 Miu" xfId="3088"/>
    <cellStyle name="_Turkey, JRS Interco_Appendix 12.2 (May)_UJV (6)" xfId="3089"/>
    <cellStyle name="_Turkey, JRS Interco_Appendix 12.2 (May)_UJV (6) 2" xfId="3090"/>
    <cellStyle name="_Turkey, JRS Interco_Appendix 12.2 (May)_UJV (Aug) (3)" xfId="3091"/>
    <cellStyle name="_Turkey, JRS Interco_Appendix 12.2 (May)_UJV (Aug) (3) 2" xfId="3092"/>
    <cellStyle name="_Turkey, JRS Interco_Appendix 12.2 (May)_UJV (Oct) (2)" xfId="3093"/>
    <cellStyle name="_Turkey, JRS Interco_Appendix 12.2 (May)_UJV (Oct) (2) 2" xfId="3094"/>
    <cellStyle name="_Turkey, JRS Interco_Appendix 12.2 (May)_VOUCHER PRINTING SA" xfId="3095"/>
    <cellStyle name="_Turkey, JRS Interco_Appendix 12.4 (May)" xfId="3096"/>
    <cellStyle name="_Turkey, JRS Interco_Appendix 12.4 (May) 2" xfId="3097"/>
    <cellStyle name="_Turkey, JRS Interco_Appendix 12.4 (May)_ByAccount (10)" xfId="3098"/>
    <cellStyle name="_Turkey, JRS Interco_Appendix 12.4 (May)_ByAccount (12)" xfId="3099"/>
    <cellStyle name="_Turkey, JRS Interco_Appendix 12.4 (May)_ByVoucher" xfId="3100"/>
    <cellStyle name="_Turkey, JRS Interco_Appendix 12.4 (May)_ByVoucher (1NS)" xfId="3101"/>
    <cellStyle name="_Turkey, JRS Interco_Appendix 12.4 (May)_ByVoucher (2)" xfId="3102"/>
    <cellStyle name="_Turkey, JRS Interco_Appendix 12.4 (May)_ByVoucher (3)" xfId="3103"/>
    <cellStyle name="_Turkey, JRS Interco_Appendix 12.4 (May)_Copy of UIN P7 Miu" xfId="3104"/>
    <cellStyle name="_Turkey, JRS Interco_Appendix 12.4 (May)_Copy of UIN P8 Miu" xfId="3105"/>
    <cellStyle name="_Turkey, JRS Interco_Appendix 12.4 (May)_long" xfId="3106"/>
    <cellStyle name="_Turkey, JRS Interco_Appendix 12.4 (May)_Petty Cash (Feb)" xfId="3107"/>
    <cellStyle name="_Turkey, JRS Interco_Appendix 12.4 (May)_TEMP (4)" xfId="3108"/>
    <cellStyle name="_Turkey, JRS Interco_Appendix 12.4 (May)_UDN P6-LC,CC " xfId="3109"/>
    <cellStyle name="_Turkey, JRS Interco_Appendix 12.4 (May)_UDN P6-LC,CC  2" xfId="3110"/>
    <cellStyle name="_Turkey, JRS Interco_Appendix 12.4 (May)_UIN P10 Miu" xfId="3111"/>
    <cellStyle name="_Turkey, JRS Interco_Appendix 12.4 (May)_UIN P10 Miu-R1" xfId="3112"/>
    <cellStyle name="_Turkey, JRS Interco_Appendix 12.4 (May)_UIN P11 Miu" xfId="3113"/>
    <cellStyle name="_Turkey, JRS Interco_Appendix 12.4 (May)_UIN P6 Miu" xfId="3114"/>
    <cellStyle name="_Turkey, JRS Interco_Appendix 12.4 (May)_UIN P7 Miu" xfId="3115"/>
    <cellStyle name="_Turkey, JRS Interco_Appendix 12.4 (May)_UIN P8 Miu" xfId="3116"/>
    <cellStyle name="_Turkey, JRS Interco_Appendix 12.4 (May)_UIN P9 Miu" xfId="3117"/>
    <cellStyle name="_Turkey, JRS Interco_Appendix 12.4 (May)_UJV (6)" xfId="3118"/>
    <cellStyle name="_Turkey, JRS Interco_Appendix 12.4 (May)_UJV (6) 2" xfId="3119"/>
    <cellStyle name="_Turkey, JRS Interco_Appendix 12.4 (May)_UJV (Aug) (3)" xfId="3120"/>
    <cellStyle name="_Turkey, JRS Interco_Appendix 12.4 (May)_UJV (Aug) (3) 2" xfId="3121"/>
    <cellStyle name="_Turkey, JRS Interco_Appendix 12.4 (May)_UJV (Oct) (2)" xfId="3122"/>
    <cellStyle name="_Turkey, JRS Interco_Appendix 12.4 (May)_UJV (Oct) (2) 2" xfId="3123"/>
    <cellStyle name="_Turkey, JRS Interco_Appendix 12.4 (May)_VOUCHER PRINTING SA" xfId="3124"/>
    <cellStyle name="_Turkey, JRS Interco_Appendix 12.6 (May)" xfId="3125"/>
    <cellStyle name="_Turkey, JRS Interco_Appendix 12.6 (May) 2" xfId="3126"/>
    <cellStyle name="_Turkey, JRS Interco_Appendix 12.6 (May)_ByAccount (10)" xfId="3127"/>
    <cellStyle name="_Turkey, JRS Interco_Appendix 12.6 (May)_ByAccount (12)" xfId="3128"/>
    <cellStyle name="_Turkey, JRS Interco_Appendix 12.6 (May)_ByVoucher" xfId="3129"/>
    <cellStyle name="_Turkey, JRS Interco_Appendix 12.6 (May)_ByVoucher (1NS)" xfId="3130"/>
    <cellStyle name="_Turkey, JRS Interco_Appendix 12.6 (May)_ByVoucher (2)" xfId="3131"/>
    <cellStyle name="_Turkey, JRS Interco_Appendix 12.6 (May)_ByVoucher (3)" xfId="3132"/>
    <cellStyle name="_Turkey, JRS Interco_Appendix 12.6 (May)_Copy of UIN P7 Miu" xfId="3133"/>
    <cellStyle name="_Turkey, JRS Interco_Appendix 12.6 (May)_Copy of UIN P8 Miu" xfId="3134"/>
    <cellStyle name="_Turkey, JRS Interco_Appendix 12.6 (May)_long" xfId="3135"/>
    <cellStyle name="_Turkey, JRS Interco_Appendix 12.6 (May)_Petty Cash (Feb)" xfId="3136"/>
    <cellStyle name="_Turkey, JRS Interco_Appendix 12.6 (May)_TEMP (4)" xfId="3137"/>
    <cellStyle name="_Turkey, JRS Interco_Appendix 12.6 (May)_UDN P6-LC,CC " xfId="3138"/>
    <cellStyle name="_Turkey, JRS Interco_Appendix 12.6 (May)_UDN P6-LC,CC  2" xfId="3139"/>
    <cellStyle name="_Turkey, JRS Interco_Appendix 12.6 (May)_UIN P10 Miu" xfId="3140"/>
    <cellStyle name="_Turkey, JRS Interco_Appendix 12.6 (May)_UIN P10 Miu-R1" xfId="3141"/>
    <cellStyle name="_Turkey, JRS Interco_Appendix 12.6 (May)_UIN P11 Miu" xfId="3142"/>
    <cellStyle name="_Turkey, JRS Interco_Appendix 12.6 (May)_UIN P6 Miu" xfId="3143"/>
    <cellStyle name="_Turkey, JRS Interco_Appendix 12.6 (May)_UIN P7 Miu" xfId="3144"/>
    <cellStyle name="_Turkey, JRS Interco_Appendix 12.6 (May)_UIN P8 Miu" xfId="3145"/>
    <cellStyle name="_Turkey, JRS Interco_Appendix 12.6 (May)_UIN P9 Miu" xfId="3146"/>
    <cellStyle name="_Turkey, JRS Interco_Appendix 12.6 (May)_UJV (6)" xfId="3147"/>
    <cellStyle name="_Turkey, JRS Interco_Appendix 12.6 (May)_UJV (6) 2" xfId="3148"/>
    <cellStyle name="_Turkey, JRS Interco_Appendix 12.6 (May)_UJV (Aug) (3)" xfId="3149"/>
    <cellStyle name="_Turkey, JRS Interco_Appendix 12.6 (May)_UJV (Aug) (3) 2" xfId="3150"/>
    <cellStyle name="_Turkey, JRS Interco_Appendix 12.6 (May)_UJV (Oct) (2)" xfId="3151"/>
    <cellStyle name="_Turkey, JRS Interco_Appendix 12.6 (May)_UJV (Oct) (2) 2" xfId="3152"/>
    <cellStyle name="_Turkey, JRS Interco_Appendix 12.6 (May)_VOUCHER PRINTING SA" xfId="3153"/>
    <cellStyle name="_Turkey, JRS Interco_Appendix 12.7 (May)" xfId="3154"/>
    <cellStyle name="_Turkey, JRS Interco_Appendix 12.7 (May) 2" xfId="3155"/>
    <cellStyle name="_Turkey, JRS Interco_Appendix 12.7 (May)_ByAccount (10)" xfId="3156"/>
    <cellStyle name="_Turkey, JRS Interco_Appendix 12.7 (May)_ByAccount (12)" xfId="3157"/>
    <cellStyle name="_Turkey, JRS Interco_Appendix 12.7 (May)_ByVoucher" xfId="3158"/>
    <cellStyle name="_Turkey, JRS Interco_Appendix 12.7 (May)_ByVoucher (1NS)" xfId="3159"/>
    <cellStyle name="_Turkey, JRS Interco_Appendix 12.7 (May)_ByVoucher (2)" xfId="3160"/>
    <cellStyle name="_Turkey, JRS Interco_Appendix 12.7 (May)_ByVoucher (3)" xfId="3161"/>
    <cellStyle name="_Turkey, JRS Interco_Appendix 12.7 (May)_Copy of UIN P7 Miu" xfId="3162"/>
    <cellStyle name="_Turkey, JRS Interco_Appendix 12.7 (May)_Copy of UIN P8 Miu" xfId="3163"/>
    <cellStyle name="_Turkey, JRS Interco_Appendix 12.7 (May)_long" xfId="3164"/>
    <cellStyle name="_Turkey, JRS Interco_Appendix 12.7 (May)_Petty Cash (Feb)" xfId="3165"/>
    <cellStyle name="_Turkey, JRS Interco_Appendix 12.7 (May)_TEMP (4)" xfId="3166"/>
    <cellStyle name="_Turkey, JRS Interco_Appendix 12.7 (May)_UDN P6-LC,CC " xfId="3167"/>
    <cellStyle name="_Turkey, JRS Interco_Appendix 12.7 (May)_UDN P6-LC,CC  2" xfId="3168"/>
    <cellStyle name="_Turkey, JRS Interco_Appendix 12.7 (May)_UIN P10 Miu" xfId="3169"/>
    <cellStyle name="_Turkey, JRS Interco_Appendix 12.7 (May)_UIN P10 Miu-R1" xfId="3170"/>
    <cellStyle name="_Turkey, JRS Interco_Appendix 12.7 (May)_UIN P11 Miu" xfId="3171"/>
    <cellStyle name="_Turkey, JRS Interco_Appendix 12.7 (May)_UIN P6 Miu" xfId="3172"/>
    <cellStyle name="_Turkey, JRS Interco_Appendix 12.7 (May)_UIN P7 Miu" xfId="3173"/>
    <cellStyle name="_Turkey, JRS Interco_Appendix 12.7 (May)_UIN P8 Miu" xfId="3174"/>
    <cellStyle name="_Turkey, JRS Interco_Appendix 12.7 (May)_UIN P9 Miu" xfId="3175"/>
    <cellStyle name="_Turkey, JRS Interco_Appendix 12.7 (May)_UJV (6)" xfId="3176"/>
    <cellStyle name="_Turkey, JRS Interco_Appendix 12.7 (May)_UJV (6) 2" xfId="3177"/>
    <cellStyle name="_Turkey, JRS Interco_Appendix 12.7 (May)_UJV (Aug) (3)" xfId="3178"/>
    <cellStyle name="_Turkey, JRS Interco_Appendix 12.7 (May)_UJV (Aug) (3) 2" xfId="3179"/>
    <cellStyle name="_Turkey, JRS Interco_Appendix 12.7 (May)_UJV (Oct) (2)" xfId="3180"/>
    <cellStyle name="_Turkey, JRS Interco_Appendix 12.7 (May)_UJV (Oct) (2) 2" xfId="3181"/>
    <cellStyle name="_Turkey, JRS Interco_Appendix 12.7 (May)_VOUCHER PRINTING SA" xfId="3182"/>
    <cellStyle name="_Turkey, JRS Interco_Appendix 12.7 (Nov)" xfId="3183"/>
    <cellStyle name="_Turkey, JRS Interco_Appendix 12.7 (Nov) 2" xfId="3184"/>
    <cellStyle name="_Turkey, JRS Interco_Appendix 12.9 (May)" xfId="3185"/>
    <cellStyle name="_Turkey, JRS Interco_Appendix 12.9 (May) 2" xfId="3186"/>
    <cellStyle name="_Turkey, JRS Interco_Appendix 12.9 (May)_ByAccount (10)" xfId="3187"/>
    <cellStyle name="_Turkey, JRS Interco_Appendix 12.9 (May)_ByAccount (12)" xfId="3188"/>
    <cellStyle name="_Turkey, JRS Interco_Appendix 12.9 (May)_ByVoucher" xfId="3189"/>
    <cellStyle name="_Turkey, JRS Interco_Appendix 12.9 (May)_ByVoucher (1NS)" xfId="3190"/>
    <cellStyle name="_Turkey, JRS Interco_Appendix 12.9 (May)_ByVoucher (2)" xfId="3191"/>
    <cellStyle name="_Turkey, JRS Interco_Appendix 12.9 (May)_ByVoucher (3)" xfId="3192"/>
    <cellStyle name="_Turkey, JRS Interco_Appendix 12.9 (May)_Copy of UIN P7 Miu" xfId="3193"/>
    <cellStyle name="_Turkey, JRS Interco_Appendix 12.9 (May)_Copy of UIN P8 Miu" xfId="3194"/>
    <cellStyle name="_Turkey, JRS Interco_Appendix 12.9 (May)_long" xfId="3195"/>
    <cellStyle name="_Turkey, JRS Interco_Appendix 12.9 (May)_Petty Cash (Feb)" xfId="3196"/>
    <cellStyle name="_Turkey, JRS Interco_Appendix 12.9 (May)_TEMP (4)" xfId="3197"/>
    <cellStyle name="_Turkey, JRS Interco_Appendix 12.9 (May)_UDN P6-LC,CC " xfId="3198"/>
    <cellStyle name="_Turkey, JRS Interco_Appendix 12.9 (May)_UDN P6-LC,CC  2" xfId="3199"/>
    <cellStyle name="_Turkey, JRS Interco_Appendix 12.9 (May)_UIN P10 Miu" xfId="3200"/>
    <cellStyle name="_Turkey, JRS Interco_Appendix 12.9 (May)_UIN P10 Miu-R1" xfId="3201"/>
    <cellStyle name="_Turkey, JRS Interco_Appendix 12.9 (May)_UIN P11 Miu" xfId="3202"/>
    <cellStyle name="_Turkey, JRS Interco_Appendix 12.9 (May)_UIN P6 Miu" xfId="3203"/>
    <cellStyle name="_Turkey, JRS Interco_Appendix 12.9 (May)_UIN P7 Miu" xfId="3204"/>
    <cellStyle name="_Turkey, JRS Interco_Appendix 12.9 (May)_UIN P8 Miu" xfId="3205"/>
    <cellStyle name="_Turkey, JRS Interco_Appendix 12.9 (May)_UIN P9 Miu" xfId="3206"/>
    <cellStyle name="_Turkey, JRS Interco_Appendix 12.9 (May)_UJV (6)" xfId="3207"/>
    <cellStyle name="_Turkey, JRS Interco_Appendix 12.9 (May)_UJV (6) 2" xfId="3208"/>
    <cellStyle name="_Turkey, JRS Interco_Appendix 12.9 (May)_UJV (Aug) (3)" xfId="3209"/>
    <cellStyle name="_Turkey, JRS Interco_Appendix 12.9 (May)_UJV (Aug) (3) 2" xfId="3210"/>
    <cellStyle name="_Turkey, JRS Interco_Appendix 12.9 (May)_UJV (Oct) (2)" xfId="3211"/>
    <cellStyle name="_Turkey, JRS Interco_Appendix 12.9 (May)_UJV (Oct) (2) 2" xfId="3212"/>
    <cellStyle name="_Turkey, JRS Interco_Appendix 12.9 (May)_VOUCHER PRINTING SA" xfId="3213"/>
    <cellStyle name="_Turkey, JRS Interco_Appendix 13" xfId="3214"/>
    <cellStyle name="_Turkey, JRS Interco_Appendix 13 2" xfId="3215"/>
    <cellStyle name="_Turkey, JRS Interco_Appendix 13_ByAccount (10)" xfId="3216"/>
    <cellStyle name="_Turkey, JRS Interco_Appendix 13_ByAccount (12)" xfId="3217"/>
    <cellStyle name="_Turkey, JRS Interco_Appendix 13_ByVoucher" xfId="3218"/>
    <cellStyle name="_Turkey, JRS Interco_Appendix 13_ByVoucher (1NS)" xfId="3219"/>
    <cellStyle name="_Turkey, JRS Interco_Appendix 13_ByVoucher (2)" xfId="3220"/>
    <cellStyle name="_Turkey, JRS Interco_Appendix 13_ByVoucher (3)" xfId="3221"/>
    <cellStyle name="_Turkey, JRS Interco_Appendix 13_Copy of UIN P7 Miu" xfId="3222"/>
    <cellStyle name="_Turkey, JRS Interco_Appendix 13_Copy of UIN P8 Miu" xfId="3223"/>
    <cellStyle name="_Turkey, JRS Interco_Appendix 13_long" xfId="3224"/>
    <cellStyle name="_Turkey, JRS Interco_Appendix 13_Petty Cash (Feb)" xfId="3225"/>
    <cellStyle name="_Turkey, JRS Interco_Appendix 13_TEMP (4)" xfId="3226"/>
    <cellStyle name="_Turkey, JRS Interco_Appendix 13_UDN P6-LC,CC " xfId="3227"/>
    <cellStyle name="_Turkey, JRS Interco_Appendix 13_UDN P6-LC,CC  2" xfId="3228"/>
    <cellStyle name="_Turkey, JRS Interco_Appendix 13_UIN P10 Miu" xfId="3229"/>
    <cellStyle name="_Turkey, JRS Interco_Appendix 13_UIN P10 Miu-R1" xfId="3230"/>
    <cellStyle name="_Turkey, JRS Interco_Appendix 13_UIN P11 Miu" xfId="3231"/>
    <cellStyle name="_Turkey, JRS Interco_Appendix 13_UIN P4 Miu R2" xfId="3232"/>
    <cellStyle name="_Turkey, JRS Interco_Appendix 13_UIN P4 Miu R2 2" xfId="3233"/>
    <cellStyle name="_Turkey, JRS Interco_Appendix 13_UIN P6 Miu" xfId="3234"/>
    <cellStyle name="_Turkey, JRS Interco_Appendix 13_UIN P7 Miu" xfId="3235"/>
    <cellStyle name="_Turkey, JRS Interco_Appendix 13_UIN P8 Miu" xfId="3236"/>
    <cellStyle name="_Turkey, JRS Interco_Appendix 13_UIN P9 Miu" xfId="3237"/>
    <cellStyle name="_Turkey, JRS Interco_Appendix 13_UJV (6)" xfId="3238"/>
    <cellStyle name="_Turkey, JRS Interco_Appendix 13_UJV (6) 2" xfId="3239"/>
    <cellStyle name="_Turkey, JRS Interco_Appendix 13_UJV (Aug) (3)" xfId="3240"/>
    <cellStyle name="_Turkey, JRS Interco_Appendix 13_UJV (Aug) (3) 2" xfId="3241"/>
    <cellStyle name="_Turkey, JRS Interco_Appendix 13_UJV (Oct) (2)" xfId="3242"/>
    <cellStyle name="_Turkey, JRS Interco_Appendix 13_UJV (Oct) (2) 2" xfId="3243"/>
    <cellStyle name="_Turkey, JRS Interco_Appendix 13_VOUCHER PRINTING SA" xfId="3244"/>
    <cellStyle name="_Turkey, JRS Interco_Appendix 14" xfId="3245"/>
    <cellStyle name="_Turkey, JRS Interco_Appendix 14 (JRS)" xfId="3246"/>
    <cellStyle name="_Turkey, JRS Interco_Appendix 14 10" xfId="3247"/>
    <cellStyle name="_Turkey, JRS Interco_Appendix 14 11" xfId="3248"/>
    <cellStyle name="_Turkey, JRS Interco_Appendix 14 12" xfId="3249"/>
    <cellStyle name="_Turkey, JRS Interco_Appendix 14 13" xfId="3250"/>
    <cellStyle name="_Turkey, JRS Interco_Appendix 14 14" xfId="3251"/>
    <cellStyle name="_Turkey, JRS Interco_Appendix 14 15" xfId="3252"/>
    <cellStyle name="_Turkey, JRS Interco_Appendix 14 16" xfId="3253"/>
    <cellStyle name="_Turkey, JRS Interco_Appendix 14 17" xfId="3254"/>
    <cellStyle name="_Turkey, JRS Interco_Appendix 14 18" xfId="3255"/>
    <cellStyle name="_Turkey, JRS Interco_Appendix 14 19" xfId="3256"/>
    <cellStyle name="_Turkey, JRS Interco_Appendix 14 2" xfId="3257"/>
    <cellStyle name="_Turkey, JRS Interco_Appendix 14 20" xfId="3258"/>
    <cellStyle name="_Turkey, JRS Interco_Appendix 14 21" xfId="3259"/>
    <cellStyle name="_Turkey, JRS Interco_Appendix 14 3" xfId="3260"/>
    <cellStyle name="_Turkey, JRS Interco_Appendix 14 4" xfId="3261"/>
    <cellStyle name="_Turkey, JRS Interco_Appendix 14 5" xfId="3262"/>
    <cellStyle name="_Turkey, JRS Interco_Appendix 14 6" xfId="3263"/>
    <cellStyle name="_Turkey, JRS Interco_Appendix 14 7" xfId="3264"/>
    <cellStyle name="_Turkey, JRS Interco_Appendix 14 8" xfId="3265"/>
    <cellStyle name="_Turkey, JRS Interco_Appendix 14 9" xfId="3266"/>
    <cellStyle name="_Turkey, JRS Interco_Appendix 15.1" xfId="3267"/>
    <cellStyle name="_Turkey, JRS Interco_Appendix 15.1 2" xfId="3268"/>
    <cellStyle name="_Turkey, JRS Interco_Appendix 16" xfId="3269"/>
    <cellStyle name="_Turkey, JRS Interco_Appendix 16 2" xfId="3270"/>
    <cellStyle name="_Turkey, JRS Interco_Appendix 17" xfId="3271"/>
    <cellStyle name="_Turkey, JRS Interco_Appendix 17 2" xfId="3272"/>
    <cellStyle name="_Turkey, JRS Interco_Appendix 18" xfId="3273"/>
    <cellStyle name="_Turkey, JRS Interco_Appendix 18 2" xfId="3274"/>
    <cellStyle name="_Turkey, JRS Interco_Appendix 3" xfId="3275"/>
    <cellStyle name="_Turkey, JRS Interco_Appendix 3 (SA)" xfId="3276"/>
    <cellStyle name="_Turkey, JRS Interco_Appendix 3 (SA) 2" xfId="3277"/>
    <cellStyle name="_Turkey, JRS Interco_Appendix 3 10" xfId="3278"/>
    <cellStyle name="_Turkey, JRS Interco_Appendix 3 11" xfId="3279"/>
    <cellStyle name="_Turkey, JRS Interco_Appendix 3 12" xfId="3280"/>
    <cellStyle name="_Turkey, JRS Interco_Appendix 3 13" xfId="3281"/>
    <cellStyle name="_Turkey, JRS Interco_Appendix 3 14" xfId="3282"/>
    <cellStyle name="_Turkey, JRS Interco_Appendix 3 15" xfId="3283"/>
    <cellStyle name="_Turkey, JRS Interco_Appendix 3 16" xfId="3284"/>
    <cellStyle name="_Turkey, JRS Interco_Appendix 3 17" xfId="3285"/>
    <cellStyle name="_Turkey, JRS Interco_Appendix 3 18" xfId="3286"/>
    <cellStyle name="_Turkey, JRS Interco_Appendix 3 19" xfId="3287"/>
    <cellStyle name="_Turkey, JRS Interco_Appendix 3 2" xfId="3288"/>
    <cellStyle name="_Turkey, JRS Interco_Appendix 3 20" xfId="3289"/>
    <cellStyle name="_Turkey, JRS Interco_Appendix 3 21" xfId="3290"/>
    <cellStyle name="_Turkey, JRS Interco_Appendix 3 3" xfId="3291"/>
    <cellStyle name="_Turkey, JRS Interco_Appendix 3 4" xfId="3292"/>
    <cellStyle name="_Turkey, JRS Interco_Appendix 3 5" xfId="3293"/>
    <cellStyle name="_Turkey, JRS Interco_Appendix 3 6" xfId="3294"/>
    <cellStyle name="_Turkey, JRS Interco_Appendix 3 7" xfId="3295"/>
    <cellStyle name="_Turkey, JRS Interco_Appendix 3 8" xfId="3296"/>
    <cellStyle name="_Turkey, JRS Interco_Appendix 3 9" xfId="3297"/>
    <cellStyle name="_Turkey, JRS Interco_Appendix 3(SA-p9)" xfId="3298"/>
    <cellStyle name="_Turkey, JRS Interco_Appendix 3(SA-p9) 2" xfId="3299"/>
    <cellStyle name="_Turkey, JRS Interco_Appendix 3.1 " xfId="3300"/>
    <cellStyle name="_Turkey, JRS Interco_Appendix 3.1  2" xfId="3301"/>
    <cellStyle name="_Turkey, JRS Interco_Appendix 3.1 (sa)" xfId="3302"/>
    <cellStyle name="_Turkey, JRS Interco_Appendix 3.1 (sa) 2" xfId="3303"/>
    <cellStyle name="_Turkey, JRS Interco_Appendix 3.1 (sa-P9)  " xfId="3304"/>
    <cellStyle name="_Turkey, JRS Interco_Appendix 3.1 (sa-P9)   2" xfId="3305"/>
    <cellStyle name="_Turkey, JRS Interco_Appendix 5" xfId="3306"/>
    <cellStyle name="_Turkey, JRS Interco_Appendix 5 (Apr)" xfId="3307"/>
    <cellStyle name="_Turkey, JRS Interco_Appendix 5 (Apr) 2" xfId="3308"/>
    <cellStyle name="_Turkey, JRS Interco_Appendix 5 (Jul)" xfId="3309"/>
    <cellStyle name="_Turkey, JRS Interco_Appendix 5 (Jun)" xfId="3310"/>
    <cellStyle name="_Turkey, JRS Interco_Appendix 5 (Jun) 2" xfId="3311"/>
    <cellStyle name="_Turkey, JRS Interco_Appendix 5 (Oct)" xfId="3312"/>
    <cellStyle name="_Turkey, JRS Interco_Appendix 5 (Sep)" xfId="3313"/>
    <cellStyle name="_Turkey, JRS Interco_Appendix 5 10" xfId="3314"/>
    <cellStyle name="_Turkey, JRS Interco_Appendix 5 11" xfId="3315"/>
    <cellStyle name="_Turkey, JRS Interco_Appendix 5 12" xfId="3316"/>
    <cellStyle name="_Turkey, JRS Interco_Appendix 5 13" xfId="3317"/>
    <cellStyle name="_Turkey, JRS Interco_Appendix 5 14" xfId="3318"/>
    <cellStyle name="_Turkey, JRS Interco_Appendix 5 15" xfId="3319"/>
    <cellStyle name="_Turkey, JRS Interco_Appendix 5 16" xfId="3320"/>
    <cellStyle name="_Turkey, JRS Interco_Appendix 5 17" xfId="3321"/>
    <cellStyle name="_Turkey, JRS Interco_Appendix 5 18" xfId="3322"/>
    <cellStyle name="_Turkey, JRS Interco_Appendix 5 19" xfId="3323"/>
    <cellStyle name="_Turkey, JRS Interco_Appendix 5 2" xfId="3324"/>
    <cellStyle name="_Turkey, JRS Interco_Appendix 5 20" xfId="3325"/>
    <cellStyle name="_Turkey, JRS Interco_Appendix 5 21" xfId="3326"/>
    <cellStyle name="_Turkey, JRS Interco_Appendix 5 3" xfId="3327"/>
    <cellStyle name="_Turkey, JRS Interco_Appendix 5 4" xfId="3328"/>
    <cellStyle name="_Turkey, JRS Interco_Appendix 5 5" xfId="3329"/>
    <cellStyle name="_Turkey, JRS Interco_Appendix 5 6" xfId="3330"/>
    <cellStyle name="_Turkey, JRS Interco_Appendix 5 7" xfId="3331"/>
    <cellStyle name="_Turkey, JRS Interco_Appendix 5 8" xfId="3332"/>
    <cellStyle name="_Turkey, JRS Interco_Appendix 5 9" xfId="3333"/>
    <cellStyle name="_Turkey, JRS Interco_Appendix 6" xfId="3334"/>
    <cellStyle name="_Turkey, JRS Interco_Appendix 6 (OK)" xfId="3335"/>
    <cellStyle name="_Turkey, JRS Interco_Appendix 6 (OK) 2" xfId="3336"/>
    <cellStyle name="_Turkey, JRS Interco_Appendix 6 10" xfId="3337"/>
    <cellStyle name="_Turkey, JRS Interco_Appendix 6 11" xfId="3338"/>
    <cellStyle name="_Turkey, JRS Interco_Appendix 6 12" xfId="3339"/>
    <cellStyle name="_Turkey, JRS Interco_Appendix 6 13" xfId="3340"/>
    <cellStyle name="_Turkey, JRS Interco_Appendix 6 14" xfId="3341"/>
    <cellStyle name="_Turkey, JRS Interco_Appendix 6 15" xfId="3342"/>
    <cellStyle name="_Turkey, JRS Interco_Appendix 6 16" xfId="3343"/>
    <cellStyle name="_Turkey, JRS Interco_Appendix 6 17" xfId="3344"/>
    <cellStyle name="_Turkey, JRS Interco_Appendix 6 18" xfId="3345"/>
    <cellStyle name="_Turkey, JRS Interco_Appendix 6 19" xfId="3346"/>
    <cellStyle name="_Turkey, JRS Interco_Appendix 6 2" xfId="3347"/>
    <cellStyle name="_Turkey, JRS Interco_Appendix 6 20" xfId="3348"/>
    <cellStyle name="_Turkey, JRS Interco_Appendix 6 21" xfId="3349"/>
    <cellStyle name="_Turkey, JRS Interco_Appendix 6 3" xfId="3350"/>
    <cellStyle name="_Turkey, JRS Interco_Appendix 6 4" xfId="3351"/>
    <cellStyle name="_Turkey, JRS Interco_Appendix 6 5" xfId="3352"/>
    <cellStyle name="_Turkey, JRS Interco_Appendix 6 6" xfId="3353"/>
    <cellStyle name="_Turkey, JRS Interco_Appendix 6 7" xfId="3354"/>
    <cellStyle name="_Turkey, JRS Interco_Appendix 6 8" xfId="3355"/>
    <cellStyle name="_Turkey, JRS Interco_Appendix 6 9" xfId="3356"/>
    <cellStyle name="_Turkey, JRS Interco_Appendix 7" xfId="3357"/>
    <cellStyle name="_Turkey, JRS Interco_Appendix 7 2" xfId="3358"/>
    <cellStyle name="_Turkey, JRS Interco_Appendix 8 (2)" xfId="3359"/>
    <cellStyle name="_Turkey, JRS Interco_Appendix 8 (2) 2" xfId="3360"/>
    <cellStyle name="_Turkey, JRS Interco_Appendix 8 (2)_ByAccount (10)" xfId="3361"/>
    <cellStyle name="_Turkey, JRS Interco_Appendix 8 (2)_ByAccount (12)" xfId="3362"/>
    <cellStyle name="_Turkey, JRS Interco_Appendix 8 (2)_ByVoucher" xfId="3363"/>
    <cellStyle name="_Turkey, JRS Interco_Appendix 8 (2)_ByVoucher (1NS)" xfId="3364"/>
    <cellStyle name="_Turkey, JRS Interco_Appendix 8 (2)_ByVoucher (2)" xfId="3365"/>
    <cellStyle name="_Turkey, JRS Interco_Appendix 8 (2)_ByVoucher (3)" xfId="3366"/>
    <cellStyle name="_Turkey, JRS Interco_Appendix 8 (2)_Copy of UIN P7 Miu" xfId="3367"/>
    <cellStyle name="_Turkey, JRS Interco_Appendix 8 (2)_Copy of UIN P8 Miu" xfId="3368"/>
    <cellStyle name="_Turkey, JRS Interco_Appendix 8 (2)_long" xfId="3369"/>
    <cellStyle name="_Turkey, JRS Interco_Appendix 8 (2)_Petty Cash (Feb)" xfId="3370"/>
    <cellStyle name="_Turkey, JRS Interco_Appendix 8 (2)_TEMP (4)" xfId="3371"/>
    <cellStyle name="_Turkey, JRS Interco_Appendix 8 (2)_UDN P6-LC,CC " xfId="3372"/>
    <cellStyle name="_Turkey, JRS Interco_Appendix 8 (2)_UDN P6-LC,CC  2" xfId="3373"/>
    <cellStyle name="_Turkey, JRS Interco_Appendix 8 (2)_UIN P10 Miu" xfId="3374"/>
    <cellStyle name="_Turkey, JRS Interco_Appendix 8 (2)_UIN P10 Miu-R1" xfId="3375"/>
    <cellStyle name="_Turkey, JRS Interco_Appendix 8 (2)_UIN P11 Miu" xfId="3376"/>
    <cellStyle name="_Turkey, JRS Interco_Appendix 8 (2)_UIN P6 Miu" xfId="3377"/>
    <cellStyle name="_Turkey, JRS Interco_Appendix 8 (2)_UIN P7 Miu" xfId="3378"/>
    <cellStyle name="_Turkey, JRS Interco_Appendix 8 (2)_UIN P8 Miu" xfId="3379"/>
    <cellStyle name="_Turkey, JRS Interco_Appendix 8 (2)_UIN P9 Miu" xfId="3380"/>
    <cellStyle name="_Turkey, JRS Interco_Appendix 8 (2)_UJV (6)" xfId="3381"/>
    <cellStyle name="_Turkey, JRS Interco_Appendix 8 (2)_UJV (6) 2" xfId="3382"/>
    <cellStyle name="_Turkey, JRS Interco_Appendix 8 (2)_UJV (Aug) (3)" xfId="3383"/>
    <cellStyle name="_Turkey, JRS Interco_Appendix 8 (2)_UJV (Aug) (3) 2" xfId="3384"/>
    <cellStyle name="_Turkey, JRS Interco_Appendix 8 (2)_UJV (Oct) (2)" xfId="3385"/>
    <cellStyle name="_Turkey, JRS Interco_Appendix 8 (2)_UJV (Oct) (2) 2" xfId="3386"/>
    <cellStyle name="_Turkey, JRS Interco_Appendix 8 (2)_VOUCHER PRINTING SA" xfId="3387"/>
    <cellStyle name="_Turkey, JRS Interco_Appendix 8 (Aug)" xfId="3388"/>
    <cellStyle name="_Turkey, JRS Interco_Appendix 8 (Feb)" xfId="3389"/>
    <cellStyle name="_Turkey, JRS Interco_Appendix 8 (Feb) 2" xfId="3390"/>
    <cellStyle name="_Turkey, JRS Interco_Appendix 8 (Jan)" xfId="3391"/>
    <cellStyle name="_Turkey, JRS Interco_Appendix 8 (Jan) 2" xfId="3392"/>
    <cellStyle name="_Turkey, JRS Interco_Appendix 8 (Jul)" xfId="3393"/>
    <cellStyle name="_Turkey, JRS Interco_Appendix 8 (May)" xfId="3394"/>
    <cellStyle name="_Turkey, JRS Interco_Appendix 8 (May) 2" xfId="3395"/>
    <cellStyle name="_Turkey, JRS Interco_Appendix 8 (May)_ByAccount (10)" xfId="3396"/>
    <cellStyle name="_Turkey, JRS Interco_Appendix 8 (May)_ByAccount (12)" xfId="3397"/>
    <cellStyle name="_Turkey, JRS Interco_Appendix 8 (May)_ByVoucher" xfId="3398"/>
    <cellStyle name="_Turkey, JRS Interco_Appendix 8 (May)_ByVoucher (1NS)" xfId="3399"/>
    <cellStyle name="_Turkey, JRS Interco_Appendix 8 (May)_ByVoucher (2)" xfId="3400"/>
    <cellStyle name="_Turkey, JRS Interco_Appendix 8 (May)_ByVoucher (3)" xfId="3401"/>
    <cellStyle name="_Turkey, JRS Interco_Appendix 8 (May)_Copy of UIN P7 Miu" xfId="3402"/>
    <cellStyle name="_Turkey, JRS Interco_Appendix 8 (May)_Copy of UIN P8 Miu" xfId="3403"/>
    <cellStyle name="_Turkey, JRS Interco_Appendix 8 (May)_long" xfId="3404"/>
    <cellStyle name="_Turkey, JRS Interco_Appendix 8 (May)_Petty Cash (Feb)" xfId="3405"/>
    <cellStyle name="_Turkey, JRS Interco_Appendix 8 (May)_TEMP (4)" xfId="3406"/>
    <cellStyle name="_Turkey, JRS Interco_Appendix 8 (May)_UDN P6-LC,CC " xfId="3407"/>
    <cellStyle name="_Turkey, JRS Interco_Appendix 8 (May)_UDN P6-LC,CC  2" xfId="3408"/>
    <cellStyle name="_Turkey, JRS Interco_Appendix 8 (May)_UIN P10 Miu" xfId="3409"/>
    <cellStyle name="_Turkey, JRS Interco_Appendix 8 (May)_UIN P10 Miu-R1" xfId="3410"/>
    <cellStyle name="_Turkey, JRS Interco_Appendix 8 (May)_UIN P11 Miu" xfId="3411"/>
    <cellStyle name="_Turkey, JRS Interco_Appendix 8 (May)_UIN P6 Miu" xfId="3412"/>
    <cellStyle name="_Turkey, JRS Interco_Appendix 8 (May)_UIN P7 Miu" xfId="3413"/>
    <cellStyle name="_Turkey, JRS Interco_Appendix 8 (May)_UIN P8 Miu" xfId="3414"/>
    <cellStyle name="_Turkey, JRS Interco_Appendix 8 (May)_UIN P9 Miu" xfId="3415"/>
    <cellStyle name="_Turkey, JRS Interco_Appendix 8 (May)_UJV (6)" xfId="3416"/>
    <cellStyle name="_Turkey, JRS Interco_Appendix 8 (May)_UJV (6) 2" xfId="3417"/>
    <cellStyle name="_Turkey, JRS Interco_Appendix 8 (May)_UJV (Aug) (3)" xfId="3418"/>
    <cellStyle name="_Turkey, JRS Interco_Appendix 8 (May)_UJV (Aug) (3) 2" xfId="3419"/>
    <cellStyle name="_Turkey, JRS Interco_Appendix 8 (May)_UJV (Oct) (2)" xfId="3420"/>
    <cellStyle name="_Turkey, JRS Interco_Appendix 8 (May)_UJV (Oct) (2) 2" xfId="3421"/>
    <cellStyle name="_Turkey, JRS Interco_Appendix 8 (May)_VOUCHER PRINTING SA" xfId="3422"/>
    <cellStyle name="_Turkey, JRS Interco_Appendix 8 (Sep)" xfId="3423"/>
    <cellStyle name="_Turkey, JRS Interco_Appendix 8 (Sep) 2" xfId="3424"/>
    <cellStyle name="_Turkey, JRS Interco_Bev" xfId="3425"/>
    <cellStyle name="_Turkey, JRS Interco_ByAccount" xfId="3426"/>
    <cellStyle name="_Turkey, JRS Interco_ByAccount (10)" xfId="3427"/>
    <cellStyle name="_Turkey, JRS Interco_ByAccount (12)" xfId="3428"/>
    <cellStyle name="_Turkey, JRS Interco_ByVoucher" xfId="3429"/>
    <cellStyle name="_Turkey, JRS Interco_ByVoucher (1NS)" xfId="3430"/>
    <cellStyle name="_Turkey, JRS Interco_ByVoucher (2)" xfId="3431"/>
    <cellStyle name="_Turkey, JRS Interco_ByVoucher (3)" xfId="3432"/>
    <cellStyle name="_Turkey, JRS Interco_ByVoucher (5)" xfId="3433"/>
    <cellStyle name="_Turkey, JRS Interco_ByVoucher(long)" xfId="3434"/>
    <cellStyle name="_Turkey, JRS Interco_cash A KS" xfId="3435"/>
    <cellStyle name="_Turkey, JRS Interco_COA" xfId="3436"/>
    <cellStyle name="_Turkey, JRS Interco_Copy of Ledger + Voucher Template basic" xfId="3437"/>
    <cellStyle name="_Turkey, JRS Interco_currency" xfId="3438"/>
    <cellStyle name="_Turkey, JRS Interco_Currency acc (P10)" xfId="3439"/>
    <cellStyle name="_Turkey, JRS Interco_Fixed G acc P10" xfId="3440"/>
    <cellStyle name="_Turkey, JRS Interco_GBP" xfId="3441"/>
    <cellStyle name="_Turkey, JRS Interco_GBP 2" xfId="3442"/>
    <cellStyle name="_Turkey, JRS Interco_GBP_ByAccount (10)" xfId="3443"/>
    <cellStyle name="_Turkey, JRS Interco_GBP_ByAccount (12)" xfId="3444"/>
    <cellStyle name="_Turkey, JRS Interco_GBP_ByVoucher" xfId="3445"/>
    <cellStyle name="_Turkey, JRS Interco_GBP_ByVoucher (1NS)" xfId="3446"/>
    <cellStyle name="_Turkey, JRS Interco_GBP_ByVoucher (2)" xfId="3447"/>
    <cellStyle name="_Turkey, JRS Interco_GBP_ByVoucher (3)" xfId="3448"/>
    <cellStyle name="_Turkey, JRS Interco_GBP_Copy of UIN P7 Miu" xfId="3449"/>
    <cellStyle name="_Turkey, JRS Interco_GBP_Copy of UIN P8 Miu" xfId="3450"/>
    <cellStyle name="_Turkey, JRS Interco_GBP_long" xfId="3451"/>
    <cellStyle name="_Turkey, JRS Interco_GBP_Petty Cash (Feb)" xfId="3452"/>
    <cellStyle name="_Turkey, JRS Interco_GBP_TEMP (4)" xfId="3453"/>
    <cellStyle name="_Turkey, JRS Interco_GBP_UDN P6-LC,CC " xfId="3454"/>
    <cellStyle name="_Turkey, JRS Interco_GBP_UDN P6-LC,CC  2" xfId="3455"/>
    <cellStyle name="_Turkey, JRS Interco_GBP_UIN P10 Miu" xfId="3456"/>
    <cellStyle name="_Turkey, JRS Interco_GBP_UIN P10 Miu-R1" xfId="3457"/>
    <cellStyle name="_Turkey, JRS Interco_GBP_UIN P11 Miu" xfId="3458"/>
    <cellStyle name="_Turkey, JRS Interco_GBP_UIN P6 Miu" xfId="3459"/>
    <cellStyle name="_Turkey, JRS Interco_GBP_UIN P7 Miu" xfId="3460"/>
    <cellStyle name="_Turkey, JRS Interco_GBP_UIN P8 Miu" xfId="3461"/>
    <cellStyle name="_Turkey, JRS Interco_GBP_UIN P9 Miu" xfId="3462"/>
    <cellStyle name="_Turkey, JRS Interco_GBP_UJV (6)" xfId="3463"/>
    <cellStyle name="_Turkey, JRS Interco_GBP_UJV (6) 2" xfId="3464"/>
    <cellStyle name="_Turkey, JRS Interco_GBP_UJV (Aug) (3)" xfId="3465"/>
    <cellStyle name="_Turkey, JRS Interco_GBP_UJV (Aug) (3) 2" xfId="3466"/>
    <cellStyle name="_Turkey, JRS Interco_GBP_UJV (Oct) (2)" xfId="3467"/>
    <cellStyle name="_Turkey, JRS Interco_GBP_UJV (Oct) (2) 2" xfId="3468"/>
    <cellStyle name="_Turkey, JRS Interco_GBP_VOUCHER PRINTING SA" xfId="3469"/>
    <cellStyle name="_Turkey, JRS Interco_general acc P8" xfId="3470"/>
    <cellStyle name="_Turkey, JRS Interco_Ledger + Voucher Template Miu R1" xfId="3471"/>
    <cellStyle name="_Turkey, JRS Interco_Ledger + Voucher Template Miu R1 2" xfId="3472"/>
    <cellStyle name="_Turkey, JRS Interco_Ledger + Voucher Template Miu R1_ByAccount (10)" xfId="3473"/>
    <cellStyle name="_Turkey, JRS Interco_Ledger + Voucher Template Miu R1_ByAccount (12)" xfId="3474"/>
    <cellStyle name="_Turkey, JRS Interco_Ledger + Voucher Template Miu R1_ByVoucher" xfId="3475"/>
    <cellStyle name="_Turkey, JRS Interco_Ledger + Voucher Template Miu R1_ByVoucher (1NS)" xfId="3476"/>
    <cellStyle name="_Turkey, JRS Interco_Ledger + Voucher Template Miu R1_ByVoucher (2)" xfId="3477"/>
    <cellStyle name="_Turkey, JRS Interco_Ledger + Voucher Template Miu R1_ByVoucher (3)" xfId="3478"/>
    <cellStyle name="_Turkey, JRS Interco_Ledger + Voucher Template Miu R1_Copy of UIN P7 Miu" xfId="3479"/>
    <cellStyle name="_Turkey, JRS Interco_Ledger + Voucher Template Miu R1_Copy of UIN P8 Miu" xfId="3480"/>
    <cellStyle name="_Turkey, JRS Interco_Ledger + Voucher Template Miu R1_long" xfId="3481"/>
    <cellStyle name="_Turkey, JRS Interco_Ledger + Voucher Template Miu R1_Petty Cash (Feb)" xfId="3482"/>
    <cellStyle name="_Turkey, JRS Interco_Ledger + Voucher Template Miu R1_TEMP (4)" xfId="3483"/>
    <cellStyle name="_Turkey, JRS Interco_Ledger + Voucher Template Miu R1_UDN P6-LC,CC " xfId="3484"/>
    <cellStyle name="_Turkey, JRS Interco_Ledger + Voucher Template Miu R1_UDN P6-LC,CC  2" xfId="3485"/>
    <cellStyle name="_Turkey, JRS Interco_Ledger + Voucher Template Miu R1_UIN P10 Miu" xfId="3486"/>
    <cellStyle name="_Turkey, JRS Interco_Ledger + Voucher Template Miu R1_UIN P10 Miu-R1" xfId="3487"/>
    <cellStyle name="_Turkey, JRS Interco_Ledger + Voucher Template Miu R1_UIN P11 Miu" xfId="3488"/>
    <cellStyle name="_Turkey, JRS Interco_Ledger + Voucher Template Miu R1_UIN P4 Miu R2" xfId="3489"/>
    <cellStyle name="_Turkey, JRS Interco_Ledger + Voucher Template Miu R1_UIN P4 Miu R2 2" xfId="3490"/>
    <cellStyle name="_Turkey, JRS Interco_Ledger + Voucher Template Miu R1_UIN P6 Miu" xfId="3491"/>
    <cellStyle name="_Turkey, JRS Interco_Ledger + Voucher Template Miu R1_UIN P7 Miu" xfId="3492"/>
    <cellStyle name="_Turkey, JRS Interco_Ledger + Voucher Template Miu R1_UIN P8 Miu" xfId="3493"/>
    <cellStyle name="_Turkey, JRS Interco_Ledger + Voucher Template Miu R1_UIN P9 Miu" xfId="3494"/>
    <cellStyle name="_Turkey, JRS Interco_Ledger + Voucher Template Miu R1_UJV (6)" xfId="3495"/>
    <cellStyle name="_Turkey, JRS Interco_Ledger + Voucher Template Miu R1_UJV (6) 2" xfId="3496"/>
    <cellStyle name="_Turkey, JRS Interco_Ledger + Voucher Template Miu R1_UJV (Aug) (3)" xfId="3497"/>
    <cellStyle name="_Turkey, JRS Interco_Ledger + Voucher Template Miu R1_UJV (Aug) (3) 2" xfId="3498"/>
    <cellStyle name="_Turkey, JRS Interco_Ledger + Voucher Template Miu R1_UJV (Oct) (2)" xfId="3499"/>
    <cellStyle name="_Turkey, JRS Interco_Ledger + Voucher Template Miu R1_UJV (Oct) (2) 2" xfId="3500"/>
    <cellStyle name="_Turkey, JRS Interco_Ledger + Voucher Template Miu R1_VOUCHER PRINTING SA" xfId="3501"/>
    <cellStyle name="_Turkey, JRS Interco_NUK NRL" xfId="3502"/>
    <cellStyle name="_Turkey, JRS Interco_P4 UK -BS Yr11-12(SA)" xfId="3503"/>
    <cellStyle name="_Turkey, JRS Interco_Petty Cash (Feb)" xfId="3504"/>
    <cellStyle name="_Turkey, JRS Interco_prepay (2)" xfId="3505"/>
    <cellStyle name="_Turkey, JRS Interco_prepay (travel P10)" xfId="3506"/>
    <cellStyle name="_Turkey, JRS Interco_prepay (travel P11)" xfId="3507"/>
    <cellStyle name="_Turkey, JRS Interco_prepay travel" xfId="3508"/>
    <cellStyle name="_Turkey, JRS Interco_Sales" xfId="3509"/>
    <cellStyle name="_Turkey, JRS Interco_sarah todd car" xfId="3510"/>
    <cellStyle name="_Turkey, JRS Interco_SML adj (2)" xfId="3511"/>
    <cellStyle name="_Turkey, JRS Interco_temp" xfId="3512"/>
    <cellStyle name="_Turkey, JRS Interco_TEMP (4)" xfId="3513"/>
    <cellStyle name="_Turkey, JRS Interco_travel acc (P09)" xfId="3514"/>
    <cellStyle name="_Turkey, JRS Interco_UDN (May) 8 (2)" xfId="3515"/>
    <cellStyle name="_Turkey, JRS Interco_UDN (May) 8 (2) 2" xfId="3516"/>
    <cellStyle name="_Turkey, JRS Interco_UDN HK SIG" xfId="3517"/>
    <cellStyle name="_Turkey, JRS Interco_UJV (6)" xfId="3518"/>
    <cellStyle name="_Turkey, JRS Interco_UJV (6) 2" xfId="3519"/>
    <cellStyle name="_Turkey, JRS Interco_UJV (Dec) 2" xfId="3520"/>
    <cellStyle name="_Turkey, JRS Interco_UJV (Dec) 2 2" xfId="3521"/>
    <cellStyle name="_Turkey, JRS Interco_VOUCHER PRINTING SA" xfId="3522"/>
    <cellStyle name="_UKDN_SHANGHAI_300908 (REVISED ON 2.10.08)" xfId="3523"/>
    <cellStyle name="_UKDN_SHANGHAI_310808" xfId="3524"/>
    <cellStyle name="_UKDN_SHANGHAI_311208" xfId="3525"/>
    <cellStyle name="_UKDN_SHANGHAI_P01-09" xfId="3526"/>
    <cellStyle name="_UKDN_SHANGHAI_P02-09" xfId="3527"/>
    <cellStyle name="_UKDN_SHANGHAI_P03-09" xfId="3528"/>
    <cellStyle name="_UKDN_SHANGHAI_P04-09" xfId="3529"/>
    <cellStyle name="_UKDN_SHANGHAI_P04-09 (Revised on 04.06.09)" xfId="3530"/>
    <cellStyle name="_UKDN_SHANGHAI_P12-08" xfId="3531"/>
    <cellStyle name="_UKDN_SHANGHAI_P12-08 (310109)" xfId="3532"/>
    <cellStyle name="_UKDN_THAILAND P01-09" xfId="3533"/>
    <cellStyle name="_UKDN_THAILAND P02-09" xfId="3534"/>
    <cellStyle name="_UKDN_THAILAND P03-09" xfId="3535"/>
    <cellStyle name="_UKDN_THAILAND P04-09" xfId="3536"/>
    <cellStyle name="_UKDN_THAILAND P05-09" xfId="3537"/>
    <cellStyle name="_UKDN_THAILAND P06-09" xfId="3538"/>
    <cellStyle name="_UKDN_THAILAND P07-09" xfId="3539"/>
    <cellStyle name="_UKDN_THAILAND P08-09" xfId="3540"/>
    <cellStyle name="_UKDN_THAILAND P09-09" xfId="3541"/>
    <cellStyle name="_UKDN_THAILAND P10-09" xfId="3542"/>
    <cellStyle name="_UKDN_THAILAND P11-09" xfId="3543"/>
    <cellStyle name="_UKDN_THAILAND P12" xfId="3544"/>
    <cellStyle name="_UKDN_THAILAND P12-08 (310109)" xfId="3545"/>
    <cellStyle name="_UKDN_THAILAND P12-09" xfId="3546"/>
    <cellStyle name="_UKDN_TURKEY_300408" xfId="3547"/>
    <cellStyle name="_UKDN_TURKEY_300608" xfId="3548"/>
    <cellStyle name="_UKDN_TURKEY_301108" xfId="3549"/>
    <cellStyle name="_UKDN_TURKEY_310109" xfId="3550"/>
    <cellStyle name="_UKDN_TURKEY_311208" xfId="3551"/>
    <cellStyle name="_UKDN_TURKEY_P01-09" xfId="3552"/>
    <cellStyle name="_UKDN_TURKEY_P02-09" xfId="3553"/>
    <cellStyle name="_UKDN_TURKEY_P03-09" xfId="3554"/>
    <cellStyle name="_UKDN_TURKEY_P05-09" xfId="3555"/>
    <cellStyle name="_UKDN_TURKEY_P06-09" xfId="3556"/>
    <cellStyle name="_UKDN_TURKEY_P07-09" xfId="3557"/>
    <cellStyle name="_UKDN_TURKEY_P08-09" xfId="3558"/>
    <cellStyle name="_UKDN_VM TURKEY_P03-09" xfId="3559"/>
    <cellStyle name="_UKDN-PD0208 (Revised) - April 08" xfId="3560"/>
    <cellStyle name="_VM TKY P02-09" xfId="3561"/>
    <cellStyle name="_副本Shanghai DN 20090731 (SH2F) (2)" xfId="3562"/>
    <cellStyle name="20% - Accent1 2" xfId="3563"/>
    <cellStyle name="20% - Accent2 2" xfId="3564"/>
    <cellStyle name="20% - Accent2 2 2" xfId="3565"/>
    <cellStyle name="20% - Accent2 3" xfId="3566"/>
    <cellStyle name="20% - Accent3 2" xfId="3567"/>
    <cellStyle name="20% - Accent3 2 2" xfId="3568"/>
    <cellStyle name="20% - Accent3 3" xfId="3569"/>
    <cellStyle name="20% - Accent4 2" xfId="3570"/>
    <cellStyle name="20% - Accent4 2 2" xfId="3571"/>
    <cellStyle name="20% - Accent4 3" xfId="3572"/>
    <cellStyle name="20% - Accent5 2" xfId="3573"/>
    <cellStyle name="20% - Accent6 2" xfId="3574"/>
    <cellStyle name="20% - 輔色1" xfId="3575"/>
    <cellStyle name="20% - 輔色2" xfId="3576"/>
    <cellStyle name="20% - 輔色3" xfId="3577"/>
    <cellStyle name="20% - 輔色4" xfId="3578"/>
    <cellStyle name="20% - 輔色5" xfId="3579"/>
    <cellStyle name="20% - 輔色6" xfId="3580"/>
    <cellStyle name="40% - Accent1 2" xfId="3581"/>
    <cellStyle name="40% - Accent1 2 2" xfId="3582"/>
    <cellStyle name="40% - Accent1 3" xfId="3583"/>
    <cellStyle name="40% - Accent2 2" xfId="3584"/>
    <cellStyle name="40% - Accent3 2" xfId="3585"/>
    <cellStyle name="40% - Accent3 2 2" xfId="3586"/>
    <cellStyle name="40% - Accent3 3" xfId="3587"/>
    <cellStyle name="40% - Accent4 2" xfId="3588"/>
    <cellStyle name="40% - Accent4 2 2" xfId="3589"/>
    <cellStyle name="40% - Accent4 3" xfId="3590"/>
    <cellStyle name="40% - Accent5 2" xfId="3591"/>
    <cellStyle name="40% - Accent6 2" xfId="3592"/>
    <cellStyle name="40% - Accent6 2 2" xfId="3593"/>
    <cellStyle name="40% - Accent6 3" xfId="3594"/>
    <cellStyle name="40% - 輔色1" xfId="3595"/>
    <cellStyle name="40% - 輔色2" xfId="3596"/>
    <cellStyle name="40% - 輔色3" xfId="3597"/>
    <cellStyle name="40% - 輔色4" xfId="3598"/>
    <cellStyle name="40% - 輔色5" xfId="3599"/>
    <cellStyle name="40% - 輔色6" xfId="3600"/>
    <cellStyle name="60% - Accent1 2" xfId="3601"/>
    <cellStyle name="60% - Accent1 2 2" xfId="3602"/>
    <cellStyle name="60% - Accent1 3" xfId="3603"/>
    <cellStyle name="60% - Accent2 2" xfId="3604"/>
    <cellStyle name="60% - Accent3 2" xfId="3605"/>
    <cellStyle name="60% - Accent3 2 2" xfId="3606"/>
    <cellStyle name="60% - Accent3 3" xfId="3607"/>
    <cellStyle name="60% - Accent4 2" xfId="3608"/>
    <cellStyle name="60% - Accent4 2 2" xfId="3609"/>
    <cellStyle name="60% - Accent4 3" xfId="3610"/>
    <cellStyle name="60% - Accent5 2" xfId="3611"/>
    <cellStyle name="60% - Accent6 2" xfId="3612"/>
    <cellStyle name="60% - Accent6 2 2" xfId="3613"/>
    <cellStyle name="60% - Accent6 3" xfId="3614"/>
    <cellStyle name="60% - 輔色1" xfId="3615"/>
    <cellStyle name="60% - 輔色2" xfId="3616"/>
    <cellStyle name="60% - 輔色3" xfId="3617"/>
    <cellStyle name="60% - 輔色4" xfId="3618"/>
    <cellStyle name="60% - 輔色5" xfId="3619"/>
    <cellStyle name="60% - 輔色6" xfId="3620"/>
    <cellStyle name="Accent1 2" xfId="3621"/>
    <cellStyle name="Accent1 2 2" xfId="3622"/>
    <cellStyle name="Accent1 3" xfId="3623"/>
    <cellStyle name="Accent2 2" xfId="3624"/>
    <cellStyle name="Accent3 2" xfId="3625"/>
    <cellStyle name="Accent4 2" xfId="3626"/>
    <cellStyle name="Accent4 2 2" xfId="3627"/>
    <cellStyle name="Accent4 3" xfId="3628"/>
    <cellStyle name="Accent5 2" xfId="3629"/>
    <cellStyle name="Accent6 2" xfId="3630"/>
    <cellStyle name="Bad 2" xfId="3631"/>
    <cellStyle name="Calc Currency (0)" xfId="3632"/>
    <cellStyle name="Calc Currency (2)" xfId="3633"/>
    <cellStyle name="Calc Percent (0)" xfId="3634"/>
    <cellStyle name="Calc Percent (1)" xfId="3635"/>
    <cellStyle name="Calc Percent (2)" xfId="3636"/>
    <cellStyle name="Calc Units (0)" xfId="3637"/>
    <cellStyle name="Calc Units (1)" xfId="3638"/>
    <cellStyle name="Calc Units (2)" xfId="3639"/>
    <cellStyle name="Calculation 2" xfId="3640"/>
    <cellStyle name="Calculation 2 2" xfId="3641"/>
    <cellStyle name="Calculation 3" xfId="3642"/>
    <cellStyle name="Check Cell 2" xfId="3643"/>
    <cellStyle name="Comma" xfId="1" builtinId="3"/>
    <cellStyle name="Comma [0] 2" xfId="3644"/>
    <cellStyle name="Comma [0] 3" xfId="3645"/>
    <cellStyle name="Comma [00]" xfId="3646"/>
    <cellStyle name="Comma 10" xfId="3647"/>
    <cellStyle name="Comma 10 2" xfId="3648"/>
    <cellStyle name="Comma 11" xfId="3649"/>
    <cellStyle name="Comma 11 2" xfId="3650"/>
    <cellStyle name="Comma 12" xfId="3651"/>
    <cellStyle name="Comma 12 2" xfId="3652"/>
    <cellStyle name="Comma 13" xfId="3653"/>
    <cellStyle name="Comma 13 2" xfId="3654"/>
    <cellStyle name="Comma 14" xfId="3655"/>
    <cellStyle name="Comma 14 2" xfId="3656"/>
    <cellStyle name="Comma 15" xfId="3657"/>
    <cellStyle name="Comma 15 2" xfId="3658"/>
    <cellStyle name="Comma 16" xfId="3659"/>
    <cellStyle name="Comma 16 2" xfId="3660"/>
    <cellStyle name="Comma 17" xfId="3661"/>
    <cellStyle name="Comma 17 2" xfId="3662"/>
    <cellStyle name="Comma 18" xfId="3663"/>
    <cellStyle name="Comma 18 2" xfId="3664"/>
    <cellStyle name="Comma 19" xfId="3665"/>
    <cellStyle name="Comma 19 2" xfId="3666"/>
    <cellStyle name="Comma 2" xfId="3667"/>
    <cellStyle name="Comma 2 10" xfId="3668"/>
    <cellStyle name="Comma 2 11" xfId="3669"/>
    <cellStyle name="Comma 2 12" xfId="3670"/>
    <cellStyle name="Comma 2 13" xfId="3671"/>
    <cellStyle name="Comma 2 14" xfId="3672"/>
    <cellStyle name="Comma 2 15" xfId="3673"/>
    <cellStyle name="Comma 2 16" xfId="3674"/>
    <cellStyle name="Comma 2 17" xfId="3675"/>
    <cellStyle name="Comma 2 18" xfId="3676"/>
    <cellStyle name="Comma 2 19" xfId="3677"/>
    <cellStyle name="Comma 2 2" xfId="3678"/>
    <cellStyle name="Comma 2 2 2" xfId="3679"/>
    <cellStyle name="Comma 2 3" xfId="3680"/>
    <cellStyle name="Comma 2 4" xfId="3681"/>
    <cellStyle name="Comma 2 5" xfId="3682"/>
    <cellStyle name="Comma 2 6" xfId="3683"/>
    <cellStyle name="Comma 2 7" xfId="3684"/>
    <cellStyle name="Comma 2 8" xfId="3685"/>
    <cellStyle name="Comma 2 9" xfId="3686"/>
    <cellStyle name="Comma 2_ByAccount (7)" xfId="3687"/>
    <cellStyle name="Comma 20" xfId="3688"/>
    <cellStyle name="Comma 21" xfId="3689"/>
    <cellStyle name="Comma 21 2" xfId="3690"/>
    <cellStyle name="Comma 21 2 2" xfId="3691"/>
    <cellStyle name="Comma 22" xfId="3692"/>
    <cellStyle name="Comma 22 2" xfId="3693"/>
    <cellStyle name="Comma 23" xfId="3694"/>
    <cellStyle name="Comma 23 2" xfId="3695"/>
    <cellStyle name="Comma 24" xfId="3696"/>
    <cellStyle name="Comma 24 2" xfId="3697"/>
    <cellStyle name="Comma 24 3" xfId="3698"/>
    <cellStyle name="Comma 25" xfId="3699"/>
    <cellStyle name="Comma 25 2" xfId="3700"/>
    <cellStyle name="Comma 26" xfId="3701"/>
    <cellStyle name="Comma 26 2" xfId="3702"/>
    <cellStyle name="Comma 27" xfId="3703"/>
    <cellStyle name="Comma 28" xfId="3704"/>
    <cellStyle name="Comma 29" xfId="3705"/>
    <cellStyle name="Comma 3" xfId="3706"/>
    <cellStyle name="Comma 3 2" xfId="3707"/>
    <cellStyle name="Comma 30" xfId="3708"/>
    <cellStyle name="Comma 31" xfId="3709"/>
    <cellStyle name="Comma 32" xfId="3710"/>
    <cellStyle name="Comma 33" xfId="3711"/>
    <cellStyle name="Comma 34" xfId="3712"/>
    <cellStyle name="Comma 35" xfId="3713"/>
    <cellStyle name="Comma 36" xfId="3714"/>
    <cellStyle name="Comma 37" xfId="3715"/>
    <cellStyle name="Comma 38" xfId="3716"/>
    <cellStyle name="Comma 39" xfId="3717"/>
    <cellStyle name="Comma 4" xfId="3718"/>
    <cellStyle name="Comma 4 2" xfId="3719"/>
    <cellStyle name="Comma 40" xfId="3720"/>
    <cellStyle name="Comma 41" xfId="3721"/>
    <cellStyle name="Comma 42" xfId="3722"/>
    <cellStyle name="Comma 43" xfId="3723"/>
    <cellStyle name="Comma 44" xfId="3724"/>
    <cellStyle name="Comma 45" xfId="3725"/>
    <cellStyle name="Comma 46" xfId="3726"/>
    <cellStyle name="Comma 47" xfId="3727"/>
    <cellStyle name="Comma 48" xfId="3728"/>
    <cellStyle name="Comma 49" xfId="3729"/>
    <cellStyle name="Comma 5" xfId="3730"/>
    <cellStyle name="Comma 5 2" xfId="3731"/>
    <cellStyle name="Comma 50" xfId="3732"/>
    <cellStyle name="Comma 51" xfId="3733"/>
    <cellStyle name="Comma 52" xfId="3734"/>
    <cellStyle name="Comma 53" xfId="3735"/>
    <cellStyle name="Comma 54" xfId="3736"/>
    <cellStyle name="Comma 55" xfId="3737"/>
    <cellStyle name="Comma 56" xfId="3738"/>
    <cellStyle name="Comma 57" xfId="3739"/>
    <cellStyle name="Comma 58" xfId="3740"/>
    <cellStyle name="Comma 59" xfId="3741"/>
    <cellStyle name="Comma 6" xfId="3742"/>
    <cellStyle name="Comma 6 10" xfId="3743"/>
    <cellStyle name="Comma 6 11" xfId="3744"/>
    <cellStyle name="Comma 6 12" xfId="3745"/>
    <cellStyle name="Comma 6 13" xfId="3746"/>
    <cellStyle name="Comma 6 14" xfId="3747"/>
    <cellStyle name="Comma 6 15" xfId="3748"/>
    <cellStyle name="Comma 6 16" xfId="3749"/>
    <cellStyle name="Comma 6 17" xfId="3750"/>
    <cellStyle name="Comma 6 2" xfId="3751"/>
    <cellStyle name="Comma 6 3" xfId="3752"/>
    <cellStyle name="Comma 6 4" xfId="3753"/>
    <cellStyle name="Comma 6 5" xfId="3754"/>
    <cellStyle name="Comma 6 6" xfId="3755"/>
    <cellStyle name="Comma 6 7" xfId="3756"/>
    <cellStyle name="Comma 6 8" xfId="3757"/>
    <cellStyle name="Comma 6 9" xfId="3758"/>
    <cellStyle name="Comma 60" xfId="3759"/>
    <cellStyle name="Comma 61" xfId="3760"/>
    <cellStyle name="Comma 62" xfId="3761"/>
    <cellStyle name="Comma 63" xfId="3762"/>
    <cellStyle name="Comma 64" xfId="3763"/>
    <cellStyle name="Comma 65" xfId="3764"/>
    <cellStyle name="Comma 66" xfId="3765"/>
    <cellStyle name="Comma 67" xfId="3766"/>
    <cellStyle name="Comma 68" xfId="3767"/>
    <cellStyle name="Comma 69" xfId="3768"/>
    <cellStyle name="Comma 7" xfId="3769"/>
    <cellStyle name="Comma 7 2" xfId="3770"/>
    <cellStyle name="Comma 70" xfId="3771"/>
    <cellStyle name="Comma 71" xfId="3772"/>
    <cellStyle name="Comma 72" xfId="3773"/>
    <cellStyle name="Comma 73" xfId="3774"/>
    <cellStyle name="Comma 74" xfId="3775"/>
    <cellStyle name="Comma 75" xfId="3776"/>
    <cellStyle name="Comma 76" xfId="3777"/>
    <cellStyle name="Comma 77" xfId="3778"/>
    <cellStyle name="Comma 78" xfId="3779"/>
    <cellStyle name="Comma 79" xfId="3780"/>
    <cellStyle name="Comma 8" xfId="3781"/>
    <cellStyle name="Comma 8 2" xfId="3782"/>
    <cellStyle name="Comma 80" xfId="3783"/>
    <cellStyle name="Comma 81" xfId="3784"/>
    <cellStyle name="Comma 82" xfId="3785"/>
    <cellStyle name="Comma 83" xfId="3786"/>
    <cellStyle name="Comma 84" xfId="3787"/>
    <cellStyle name="Comma 85" xfId="3788"/>
    <cellStyle name="Comma 86" xfId="3789"/>
    <cellStyle name="Comma 9" xfId="3790"/>
    <cellStyle name="Comma 9 2" xfId="3791"/>
    <cellStyle name="Currency [00]" xfId="3792"/>
    <cellStyle name="Date Short" xfId="3793"/>
    <cellStyle name="DELTA" xfId="3794"/>
    <cellStyle name="Enter Currency (0)" xfId="3795"/>
    <cellStyle name="Enter Currency (2)" xfId="3796"/>
    <cellStyle name="Enter Units (0)" xfId="3797"/>
    <cellStyle name="Enter Units (1)" xfId="3798"/>
    <cellStyle name="Enter Units (2)" xfId="3799"/>
    <cellStyle name="Explanatory Text 2" xfId="3800"/>
    <cellStyle name="F0" xfId="3801"/>
    <cellStyle name="F1" xfId="3802"/>
    <cellStyle name="F2" xfId="3803"/>
    <cellStyle name="Good 2" xfId="3804"/>
    <cellStyle name="Grey" xfId="3805"/>
    <cellStyle name="Header1" xfId="3806"/>
    <cellStyle name="Header2" xfId="3807"/>
    <cellStyle name="Heading 1 2" xfId="3808"/>
    <cellStyle name="Heading 1 2 2" xfId="3809"/>
    <cellStyle name="Heading 1 3" xfId="3810"/>
    <cellStyle name="Heading 2 2" xfId="3811"/>
    <cellStyle name="Heading 2 2 2" xfId="3812"/>
    <cellStyle name="Heading 2 3" xfId="3813"/>
    <cellStyle name="Heading 3 2" xfId="3814"/>
    <cellStyle name="Heading 3 2 2" xfId="3815"/>
    <cellStyle name="Heading 3 3" xfId="3816"/>
    <cellStyle name="Heading 4 2" xfId="3817"/>
    <cellStyle name="Heading 4 2 2" xfId="3818"/>
    <cellStyle name="Heading 4 3" xfId="3819"/>
    <cellStyle name="Hyperlink 2" xfId="3820"/>
    <cellStyle name="Hyperlink 2 2" xfId="3821"/>
    <cellStyle name="Input [yellow]" xfId="3822"/>
    <cellStyle name="Input 2" xfId="3823"/>
    <cellStyle name="Input 3" xfId="3824"/>
    <cellStyle name="Link Currency (0)" xfId="3825"/>
    <cellStyle name="Link Currency (2)" xfId="3826"/>
    <cellStyle name="Link Units (0)" xfId="3827"/>
    <cellStyle name="Link Units (1)" xfId="3828"/>
    <cellStyle name="Link Units (2)" xfId="3829"/>
    <cellStyle name="Linked Cell 2" xfId="3830"/>
    <cellStyle name="Milliers [0]_AR1194" xfId="3831"/>
    <cellStyle name="Milliers_AR1194" xfId="3832"/>
    <cellStyle name="Monétaire [0]_AR1194" xfId="3833"/>
    <cellStyle name="Monétaire_AR1194" xfId="3834"/>
    <cellStyle name="Neutral 2" xfId="3835"/>
    <cellStyle name="Normal" xfId="0" builtinId="0"/>
    <cellStyle name="Normal - Style1" xfId="3836"/>
    <cellStyle name="Normal 10" xfId="3837"/>
    <cellStyle name="Normal 10 2" xfId="3838"/>
    <cellStyle name="Normal 100" xfId="3839"/>
    <cellStyle name="Normal 101" xfId="3840"/>
    <cellStyle name="Normal 102" xfId="3841"/>
    <cellStyle name="Normal 103" xfId="3842"/>
    <cellStyle name="Normal 104" xfId="3843"/>
    <cellStyle name="Normal 105" xfId="3844"/>
    <cellStyle name="Normal 106" xfId="3845"/>
    <cellStyle name="Normal 107" xfId="3846"/>
    <cellStyle name="Normal 108" xfId="3847"/>
    <cellStyle name="Normal 109" xfId="3848"/>
    <cellStyle name="Normal 11" xfId="3849"/>
    <cellStyle name="Normal 11 2" xfId="3850"/>
    <cellStyle name="Normal 11 2 2" xfId="3851"/>
    <cellStyle name="Normal 110" xfId="3852"/>
    <cellStyle name="Normal 111" xfId="3853"/>
    <cellStyle name="Normal 112" xfId="3854"/>
    <cellStyle name="Normal 113" xfId="3855"/>
    <cellStyle name="Normal 114" xfId="3856"/>
    <cellStyle name="Normal 115" xfId="3857"/>
    <cellStyle name="Normal 116" xfId="3858"/>
    <cellStyle name="Normal 117" xfId="3859"/>
    <cellStyle name="Normal 118" xfId="3860"/>
    <cellStyle name="Normal 119" xfId="3861"/>
    <cellStyle name="Normal 12" xfId="3862"/>
    <cellStyle name="Normal 12 2" xfId="3863"/>
    <cellStyle name="Normal 12 3" xfId="3864"/>
    <cellStyle name="Normal 120" xfId="3865"/>
    <cellStyle name="Normal 121" xfId="3866"/>
    <cellStyle name="Normal 122" xfId="3867"/>
    <cellStyle name="Normal 123" xfId="3868"/>
    <cellStyle name="Normal 124" xfId="3869"/>
    <cellStyle name="Normal 125" xfId="3870"/>
    <cellStyle name="Normal 126" xfId="3871"/>
    <cellStyle name="Normal 127" xfId="3872"/>
    <cellStyle name="Normal 128" xfId="3873"/>
    <cellStyle name="Normal 129" xfId="3874"/>
    <cellStyle name="Normal 13" xfId="3875"/>
    <cellStyle name="Normal 13 2" xfId="3876"/>
    <cellStyle name="Normal 130" xfId="3877"/>
    <cellStyle name="Normal 131" xfId="3878"/>
    <cellStyle name="Normal 132" xfId="3879"/>
    <cellStyle name="Normal 133" xfId="3880"/>
    <cellStyle name="Normal 134" xfId="3881"/>
    <cellStyle name="Normal 135" xfId="3882"/>
    <cellStyle name="Normal 136" xfId="3883"/>
    <cellStyle name="Normal 137" xfId="3884"/>
    <cellStyle name="Normal 138" xfId="3885"/>
    <cellStyle name="Normal 139" xfId="3886"/>
    <cellStyle name="Normal 14" xfId="3887"/>
    <cellStyle name="Normal 14 2" xfId="3888"/>
    <cellStyle name="Normal 140" xfId="3889"/>
    <cellStyle name="Normal 141" xfId="3890"/>
    <cellStyle name="Normal 142" xfId="3891"/>
    <cellStyle name="Normal 143" xfId="3892"/>
    <cellStyle name="Normal 144" xfId="3893"/>
    <cellStyle name="Normal 145" xfId="3894"/>
    <cellStyle name="Normal 146" xfId="3895"/>
    <cellStyle name="Normal 147" xfId="3896"/>
    <cellStyle name="Normal 148" xfId="3897"/>
    <cellStyle name="Normal 149" xfId="3898"/>
    <cellStyle name="Normal 15" xfId="3899"/>
    <cellStyle name="Normal 15 2" xfId="3900"/>
    <cellStyle name="Normal 15 3" xfId="3901"/>
    <cellStyle name="Normal 15 4" xfId="3902"/>
    <cellStyle name="Normal 150" xfId="3903"/>
    <cellStyle name="Normal 151" xfId="3904"/>
    <cellStyle name="Normal 152" xfId="3905"/>
    <cellStyle name="Normal 153" xfId="3906"/>
    <cellStyle name="Normal 154" xfId="3907"/>
    <cellStyle name="Normal 155" xfId="3908"/>
    <cellStyle name="Normal 156" xfId="3909"/>
    <cellStyle name="Normal 157" xfId="3910"/>
    <cellStyle name="Normal 158" xfId="3911"/>
    <cellStyle name="Normal 159" xfId="3912"/>
    <cellStyle name="Normal 16" xfId="3913"/>
    <cellStyle name="Normal 16 2" xfId="3914"/>
    <cellStyle name="Normal 160" xfId="3915"/>
    <cellStyle name="Normal 161" xfId="3916"/>
    <cellStyle name="Normal 162" xfId="3917"/>
    <cellStyle name="Normal 163" xfId="3918"/>
    <cellStyle name="Normal 164" xfId="3919"/>
    <cellStyle name="Normal 165" xfId="3920"/>
    <cellStyle name="Normal 166" xfId="3921"/>
    <cellStyle name="Normal 167" xfId="3922"/>
    <cellStyle name="Normal 168" xfId="3923"/>
    <cellStyle name="Normal 169" xfId="3924"/>
    <cellStyle name="Normal 17" xfId="3925"/>
    <cellStyle name="Normal 17 2" xfId="3926"/>
    <cellStyle name="Normal 170" xfId="3927"/>
    <cellStyle name="Normal 18" xfId="3928"/>
    <cellStyle name="Normal 19" xfId="3929"/>
    <cellStyle name="Normal 2" xfId="3930"/>
    <cellStyle name="Normal 2 10" xfId="3931"/>
    <cellStyle name="Normal 2 11" xfId="3932"/>
    <cellStyle name="Normal 2 12" xfId="3933"/>
    <cellStyle name="Normal 2 13" xfId="3934"/>
    <cellStyle name="Normal 2 14" xfId="3935"/>
    <cellStyle name="Normal 2 15" xfId="3936"/>
    <cellStyle name="Normal 2 16" xfId="3937"/>
    <cellStyle name="Normal 2 17" xfId="3938"/>
    <cellStyle name="Normal 2 18" xfId="3939"/>
    <cellStyle name="Normal 2 19" xfId="3940"/>
    <cellStyle name="Normal 2 2" xfId="3941"/>
    <cellStyle name="Normal 2 2 2" xfId="3942"/>
    <cellStyle name="Normal 2 20" xfId="3943"/>
    <cellStyle name="Normal 2 21" xfId="3944"/>
    <cellStyle name="Normal 2 22" xfId="3945"/>
    <cellStyle name="Normal 2 3" xfId="3946"/>
    <cellStyle name="Normal 2 3 2" xfId="3947"/>
    <cellStyle name="Normal 2 4" xfId="3948"/>
    <cellStyle name="Normal 2 5" xfId="3949"/>
    <cellStyle name="Normal 2 6" xfId="3950"/>
    <cellStyle name="Normal 2 7" xfId="3951"/>
    <cellStyle name="Normal 2 8" xfId="3952"/>
    <cellStyle name="Normal 2 9" xfId="3953"/>
    <cellStyle name="Normal 2_30 Nov 2011" xfId="3954"/>
    <cellStyle name="Normal 20" xfId="3955"/>
    <cellStyle name="Normal 21" xfId="3956"/>
    <cellStyle name="Normal 22" xfId="3957"/>
    <cellStyle name="Normal 23" xfId="3958"/>
    <cellStyle name="Normal 24" xfId="3959"/>
    <cellStyle name="Normal 25" xfId="3960"/>
    <cellStyle name="Normal 26" xfId="3961"/>
    <cellStyle name="Normal 27" xfId="3962"/>
    <cellStyle name="Normal 28" xfId="3963"/>
    <cellStyle name="Normal 29" xfId="3964"/>
    <cellStyle name="Normal 3" xfId="3965"/>
    <cellStyle name="Normal 3 2" xfId="3966"/>
    <cellStyle name="Normal 3 2 2" xfId="3967"/>
    <cellStyle name="Normal 3 3" xfId="3968"/>
    <cellStyle name="Normal 3 3 2" xfId="3969"/>
    <cellStyle name="Normal 3 3 3" xfId="3970"/>
    <cellStyle name="Normal 3 3 4" xfId="3971"/>
    <cellStyle name="Normal 3 3 5" xfId="3972"/>
    <cellStyle name="Normal 3 4" xfId="3973"/>
    <cellStyle name="Normal 3 5" xfId="3974"/>
    <cellStyle name="Normal 3_Bev" xfId="3975"/>
    <cellStyle name="Normal 30" xfId="3976"/>
    <cellStyle name="Normal 31" xfId="3977"/>
    <cellStyle name="Normal 32" xfId="3978"/>
    <cellStyle name="Normal 33" xfId="3979"/>
    <cellStyle name="Normal 34" xfId="3980"/>
    <cellStyle name="Normal 35" xfId="3981"/>
    <cellStyle name="Normal 36" xfId="3982"/>
    <cellStyle name="Normal 37" xfId="3983"/>
    <cellStyle name="Normal 38" xfId="3984"/>
    <cellStyle name="Normal 39" xfId="3985"/>
    <cellStyle name="Normal 4" xfId="3986"/>
    <cellStyle name="Normal 4 10" xfId="3987"/>
    <cellStyle name="Normal 4 11" xfId="3988"/>
    <cellStyle name="Normal 4 12" xfId="3989"/>
    <cellStyle name="Normal 4 13" xfId="3990"/>
    <cellStyle name="Normal 4 14" xfId="3991"/>
    <cellStyle name="Normal 4 15" xfId="3992"/>
    <cellStyle name="Normal 4 16" xfId="3993"/>
    <cellStyle name="Normal 4 17" xfId="3994"/>
    <cellStyle name="Normal 4 18" xfId="3995"/>
    <cellStyle name="Normal 4 19" xfId="3996"/>
    <cellStyle name="Normal 4 19 2" xfId="3997"/>
    <cellStyle name="Normal 4 19 3" xfId="3998"/>
    <cellStyle name="Normal 4 19 4" xfId="3999"/>
    <cellStyle name="Normal 4 2" xfId="4000"/>
    <cellStyle name="Normal 4 3" xfId="4001"/>
    <cellStyle name="Normal 4 4" xfId="4002"/>
    <cellStyle name="Normal 4 5" xfId="4003"/>
    <cellStyle name="Normal 4 6" xfId="4004"/>
    <cellStyle name="Normal 4 7" xfId="4005"/>
    <cellStyle name="Normal 4 8" xfId="4006"/>
    <cellStyle name="Normal 4 9" xfId="4007"/>
    <cellStyle name="Normal 4_AccountP (Dec)" xfId="4008"/>
    <cellStyle name="Normal 40" xfId="4009"/>
    <cellStyle name="Normal 41" xfId="4010"/>
    <cellStyle name="Normal 42" xfId="4011"/>
    <cellStyle name="Normal 43" xfId="4012"/>
    <cellStyle name="Normal 44" xfId="4013"/>
    <cellStyle name="Normal 45" xfId="4014"/>
    <cellStyle name="Normal 46" xfId="4015"/>
    <cellStyle name="Normal 47" xfId="4016"/>
    <cellStyle name="Normal 48" xfId="4017"/>
    <cellStyle name="Normal 49" xfId="4018"/>
    <cellStyle name="Normal 5" xfId="4019"/>
    <cellStyle name="Normal 5 2" xfId="4020"/>
    <cellStyle name="Normal 50" xfId="4021"/>
    <cellStyle name="Normal 51" xfId="4022"/>
    <cellStyle name="Normal 52" xfId="4023"/>
    <cellStyle name="Normal 53" xfId="4024"/>
    <cellStyle name="Normal 54" xfId="4025"/>
    <cellStyle name="Normal 55" xfId="4026"/>
    <cellStyle name="Normal 56" xfId="4027"/>
    <cellStyle name="Normal 57" xfId="4028"/>
    <cellStyle name="Normal 58" xfId="4029"/>
    <cellStyle name="Normal 59" xfId="4030"/>
    <cellStyle name="Normal 6" xfId="4031"/>
    <cellStyle name="Normal 6 2" xfId="4032"/>
    <cellStyle name="Normal 60" xfId="4033"/>
    <cellStyle name="Normal 61" xfId="4034"/>
    <cellStyle name="Normal 62" xfId="4035"/>
    <cellStyle name="Normal 63" xfId="4036"/>
    <cellStyle name="Normal 64" xfId="4037"/>
    <cellStyle name="Normal 65" xfId="4038"/>
    <cellStyle name="Normal 66" xfId="4039"/>
    <cellStyle name="Normal 67" xfId="4040"/>
    <cellStyle name="Normal 68" xfId="4041"/>
    <cellStyle name="Normal 69" xfId="4042"/>
    <cellStyle name="Normal 7" xfId="4043"/>
    <cellStyle name="Normal 70" xfId="4044"/>
    <cellStyle name="Normal 71" xfId="4045"/>
    <cellStyle name="Normal 72" xfId="4046"/>
    <cellStyle name="Normal 73" xfId="4047"/>
    <cellStyle name="Normal 74" xfId="4048"/>
    <cellStyle name="Normal 75" xfId="4049"/>
    <cellStyle name="Normal 76" xfId="4050"/>
    <cellStyle name="Normal 77" xfId="4051"/>
    <cellStyle name="Normal 78" xfId="4052"/>
    <cellStyle name="Normal 79" xfId="4053"/>
    <cellStyle name="Normal 8" xfId="4054"/>
    <cellStyle name="Normal 80" xfId="4055"/>
    <cellStyle name="Normal 81" xfId="4056"/>
    <cellStyle name="Normal 82" xfId="4057"/>
    <cellStyle name="Normal 83" xfId="4058"/>
    <cellStyle name="Normal 84" xfId="4059"/>
    <cellStyle name="Normal 85" xfId="4060"/>
    <cellStyle name="Normal 86" xfId="4061"/>
    <cellStyle name="Normal 87" xfId="4062"/>
    <cellStyle name="Normal 88" xfId="4063"/>
    <cellStyle name="Normal 89" xfId="4064"/>
    <cellStyle name="Normal 9" xfId="4065"/>
    <cellStyle name="Normal 9 2" xfId="4066"/>
    <cellStyle name="Normal 90" xfId="4067"/>
    <cellStyle name="Normal 91" xfId="4068"/>
    <cellStyle name="Normal 92" xfId="4069"/>
    <cellStyle name="Normal 93" xfId="4070"/>
    <cellStyle name="Normal 94" xfId="4071"/>
    <cellStyle name="Normal 95" xfId="4072"/>
    <cellStyle name="Normal 96" xfId="4073"/>
    <cellStyle name="Normal 97" xfId="4074"/>
    <cellStyle name="Normal 98" xfId="4075"/>
    <cellStyle name="Normal 99" xfId="4076"/>
    <cellStyle name="Note 10" xfId="4077"/>
    <cellStyle name="Note 10 2" xfId="4078"/>
    <cellStyle name="Note 10 2 2" xfId="4079"/>
    <cellStyle name="Note 10 3" xfId="4080"/>
    <cellStyle name="Note 10 3 2" xfId="4081"/>
    <cellStyle name="Note 10 4" xfId="4082"/>
    <cellStyle name="Note 10 4 2" xfId="4083"/>
    <cellStyle name="Note 10 5" xfId="4084"/>
    <cellStyle name="Note 10 5 2" xfId="4085"/>
    <cellStyle name="Note 10 6" xfId="4086"/>
    <cellStyle name="Note 10_AccountP (Jun)" xfId="4087"/>
    <cellStyle name="Note 11" xfId="4088"/>
    <cellStyle name="Note 11 2" xfId="4089"/>
    <cellStyle name="Note 11 2 2" xfId="4090"/>
    <cellStyle name="Note 11 3" xfId="4091"/>
    <cellStyle name="Note 11 3 2" xfId="4092"/>
    <cellStyle name="Note 11 4" xfId="4093"/>
    <cellStyle name="Note 11 4 2" xfId="4094"/>
    <cellStyle name="Note 11 5" xfId="4095"/>
    <cellStyle name="Note 11 5 2" xfId="4096"/>
    <cellStyle name="Note 11 6" xfId="4097"/>
    <cellStyle name="Note 11_AccountP (Jun)" xfId="4098"/>
    <cellStyle name="Note 12" xfId="4099"/>
    <cellStyle name="Note 12 2" xfId="4100"/>
    <cellStyle name="Note 12 2 2" xfId="4101"/>
    <cellStyle name="Note 12 3" xfId="4102"/>
    <cellStyle name="Note 12 3 2" xfId="4103"/>
    <cellStyle name="Note 12 4" xfId="4104"/>
    <cellStyle name="Note 12 4 2" xfId="4105"/>
    <cellStyle name="Note 12 5" xfId="4106"/>
    <cellStyle name="Note 12 5 2" xfId="4107"/>
    <cellStyle name="Note 12 6" xfId="4108"/>
    <cellStyle name="Note 12_AccountP (Jun)" xfId="4109"/>
    <cellStyle name="Note 13" xfId="4110"/>
    <cellStyle name="Note 13 2" xfId="4111"/>
    <cellStyle name="Note 13 2 2" xfId="4112"/>
    <cellStyle name="Note 13 3" xfId="4113"/>
    <cellStyle name="Note 13 3 2" xfId="4114"/>
    <cellStyle name="Note 13 4" xfId="4115"/>
    <cellStyle name="Note 13 4 2" xfId="4116"/>
    <cellStyle name="Note 13 5" xfId="4117"/>
    <cellStyle name="Note 13_AccountP (Jun)" xfId="4118"/>
    <cellStyle name="Note 14" xfId="4119"/>
    <cellStyle name="Note 14 2" xfId="4120"/>
    <cellStyle name="Note 15" xfId="4121"/>
    <cellStyle name="Note 15 2" xfId="4122"/>
    <cellStyle name="Note 16" xfId="4123"/>
    <cellStyle name="Note 16 2" xfId="4124"/>
    <cellStyle name="Note 17" xfId="4125"/>
    <cellStyle name="Note 17 2" xfId="4126"/>
    <cellStyle name="Note 18" xfId="4127"/>
    <cellStyle name="Note 18 2" xfId="4128"/>
    <cellStyle name="Note 2" xfId="4129"/>
    <cellStyle name="Note 2 10" xfId="4130"/>
    <cellStyle name="Note 2 10 2" xfId="4131"/>
    <cellStyle name="Note 2 11" xfId="4132"/>
    <cellStyle name="Note 2 11 2" xfId="4133"/>
    <cellStyle name="Note 2 12" xfId="4134"/>
    <cellStyle name="Note 2 12 2" xfId="4135"/>
    <cellStyle name="Note 2 13" xfId="4136"/>
    <cellStyle name="Note 2 13 2" xfId="4137"/>
    <cellStyle name="Note 2 14" xfId="4138"/>
    <cellStyle name="Note 2 14 2" xfId="4139"/>
    <cellStyle name="Note 2 15" xfId="4140"/>
    <cellStyle name="Note 2 15 2" xfId="4141"/>
    <cellStyle name="Note 2 16" xfId="4142"/>
    <cellStyle name="Note 2 16 2" xfId="4143"/>
    <cellStyle name="Note 2 17" xfId="4144"/>
    <cellStyle name="Note 2 18" xfId="4145"/>
    <cellStyle name="Note 2 2" xfId="4146"/>
    <cellStyle name="Note 2 2 2" xfId="4147"/>
    <cellStyle name="Note 2 2 2 2" xfId="4148"/>
    <cellStyle name="Note 2 2 3" xfId="4149"/>
    <cellStyle name="Note 2 3" xfId="4150"/>
    <cellStyle name="Note 2 3 2" xfId="4151"/>
    <cellStyle name="Note 2 4" xfId="4152"/>
    <cellStyle name="Note 2 4 2" xfId="4153"/>
    <cellStyle name="Note 2 5" xfId="4154"/>
    <cellStyle name="Note 2 5 2" xfId="4155"/>
    <cellStyle name="Note 2 6" xfId="4156"/>
    <cellStyle name="Note 2 6 2" xfId="4157"/>
    <cellStyle name="Note 2 7" xfId="4158"/>
    <cellStyle name="Note 2 7 2" xfId="4159"/>
    <cellStyle name="Note 2 8" xfId="4160"/>
    <cellStyle name="Note 2 8 2" xfId="4161"/>
    <cellStyle name="Note 2 9" xfId="4162"/>
    <cellStyle name="Note 2 9 2" xfId="4163"/>
    <cellStyle name="Note 2_AccountP (Jun)" xfId="4164"/>
    <cellStyle name="Note 3" xfId="4165"/>
    <cellStyle name="Note 3 2" xfId="4166"/>
    <cellStyle name="Note 3 2 2" xfId="4167"/>
    <cellStyle name="Note 3 3" xfId="4168"/>
    <cellStyle name="Note 3 3 2" xfId="4169"/>
    <cellStyle name="Note 3 4" xfId="4170"/>
    <cellStyle name="Note 3 4 2" xfId="4171"/>
    <cellStyle name="Note 3 5" xfId="4172"/>
    <cellStyle name="Note 3 5 2" xfId="4173"/>
    <cellStyle name="Note 3 6" xfId="4174"/>
    <cellStyle name="Note 3_AccountP (Jun)" xfId="4175"/>
    <cellStyle name="Note 4" xfId="4176"/>
    <cellStyle name="Note 4 2" xfId="4177"/>
    <cellStyle name="Note 4 2 2" xfId="4178"/>
    <cellStyle name="Note 4 3" xfId="4179"/>
    <cellStyle name="Note 4 3 2" xfId="4180"/>
    <cellStyle name="Note 4 4" xfId="4181"/>
    <cellStyle name="Note 4 4 2" xfId="4182"/>
    <cellStyle name="Note 4 5" xfId="4183"/>
    <cellStyle name="Note 4 5 2" xfId="4184"/>
    <cellStyle name="Note 4 6" xfId="4185"/>
    <cellStyle name="Note 4_AccountP (Jun)" xfId="4186"/>
    <cellStyle name="Note 5" xfId="4187"/>
    <cellStyle name="Note 5 2" xfId="4188"/>
    <cellStyle name="Note 5 2 2" xfId="4189"/>
    <cellStyle name="Note 5 3" xfId="4190"/>
    <cellStyle name="Note 5 3 2" xfId="4191"/>
    <cellStyle name="Note 5 4" xfId="4192"/>
    <cellStyle name="Note 5 4 2" xfId="4193"/>
    <cellStyle name="Note 5 5" xfId="4194"/>
    <cellStyle name="Note 5 5 2" xfId="4195"/>
    <cellStyle name="Note 5 6" xfId="4196"/>
    <cellStyle name="Note 5_AccountP (Jun)" xfId="4197"/>
    <cellStyle name="Note 6" xfId="4198"/>
    <cellStyle name="Note 6 2" xfId="4199"/>
    <cellStyle name="Note 6 2 2" xfId="4200"/>
    <cellStyle name="Note 6 3" xfId="4201"/>
    <cellStyle name="Note 6 3 2" xfId="4202"/>
    <cellStyle name="Note 6 4" xfId="4203"/>
    <cellStyle name="Note 6 4 2" xfId="4204"/>
    <cellStyle name="Note 6 5" xfId="4205"/>
    <cellStyle name="Note 6 5 2" xfId="4206"/>
    <cellStyle name="Note 6 6" xfId="4207"/>
    <cellStyle name="Note 6_AccountP (Jun)" xfId="4208"/>
    <cellStyle name="Note 7" xfId="4209"/>
    <cellStyle name="Note 7 2" xfId="4210"/>
    <cellStyle name="Note 7 2 2" xfId="4211"/>
    <cellStyle name="Note 7 3" xfId="4212"/>
    <cellStyle name="Note 7 3 2" xfId="4213"/>
    <cellStyle name="Note 7 4" xfId="4214"/>
    <cellStyle name="Note 7 4 2" xfId="4215"/>
    <cellStyle name="Note 7 5" xfId="4216"/>
    <cellStyle name="Note 7 5 2" xfId="4217"/>
    <cellStyle name="Note 7 6" xfId="4218"/>
    <cellStyle name="Note 7_AccountP (Jun)" xfId="4219"/>
    <cellStyle name="Note 8" xfId="4220"/>
    <cellStyle name="Note 8 2" xfId="4221"/>
    <cellStyle name="Note 8 2 2" xfId="4222"/>
    <cellStyle name="Note 8 3" xfId="4223"/>
    <cellStyle name="Note 8 3 2" xfId="4224"/>
    <cellStyle name="Note 8 4" xfId="4225"/>
    <cellStyle name="Note 8 4 2" xfId="4226"/>
    <cellStyle name="Note 8 5" xfId="4227"/>
    <cellStyle name="Note 8 5 2" xfId="4228"/>
    <cellStyle name="Note 8 6" xfId="4229"/>
    <cellStyle name="Note 8_AccountP (Jun)" xfId="4230"/>
    <cellStyle name="Note 9" xfId="4231"/>
    <cellStyle name="Note 9 2" xfId="4232"/>
    <cellStyle name="Note 9 2 2" xfId="4233"/>
    <cellStyle name="Note 9 3" xfId="4234"/>
    <cellStyle name="Note 9 3 2" xfId="4235"/>
    <cellStyle name="Note 9 4" xfId="4236"/>
    <cellStyle name="Note 9 4 2" xfId="4237"/>
    <cellStyle name="Note 9 5" xfId="4238"/>
    <cellStyle name="Note 9 5 2" xfId="4239"/>
    <cellStyle name="Note 9 6" xfId="4240"/>
    <cellStyle name="Note 9_AccountP (Jun)" xfId="4241"/>
    <cellStyle name="Output 2" xfId="4242"/>
    <cellStyle name="Output 2 2" xfId="4243"/>
    <cellStyle name="Output 3" xfId="4244"/>
    <cellStyle name="paint" xfId="4245"/>
    <cellStyle name="Percent" xfId="2" builtinId="5"/>
    <cellStyle name="Percent [0]" xfId="4246"/>
    <cellStyle name="Percent [00]" xfId="4247"/>
    <cellStyle name="Percent [2]" xfId="4248"/>
    <cellStyle name="Percent [2] 10" xfId="4249"/>
    <cellStyle name="Percent [2] 11" xfId="4250"/>
    <cellStyle name="Percent [2] 12" xfId="4251"/>
    <cellStyle name="Percent [2] 13" xfId="4252"/>
    <cellStyle name="Percent [2] 14" xfId="4253"/>
    <cellStyle name="Percent [2] 15" xfId="4254"/>
    <cellStyle name="Percent [2] 16" xfId="4255"/>
    <cellStyle name="Percent [2] 2" xfId="4256"/>
    <cellStyle name="Percent [2] 3" xfId="4257"/>
    <cellStyle name="Percent [2] 4" xfId="4258"/>
    <cellStyle name="Percent [2] 5" xfId="4259"/>
    <cellStyle name="Percent [2] 6" xfId="4260"/>
    <cellStyle name="Percent [2] 7" xfId="4261"/>
    <cellStyle name="Percent [2] 8" xfId="4262"/>
    <cellStyle name="Percent [2] 9" xfId="4263"/>
    <cellStyle name="Percent 2" xfId="4264"/>
    <cellStyle name="Percent 2 2" xfId="4265"/>
    <cellStyle name="Percent 2 3" xfId="4266"/>
    <cellStyle name="PERCENTAGE" xfId="4267"/>
    <cellStyle name="PrePop Currency (0)" xfId="4268"/>
    <cellStyle name="PrePop Currency (2)" xfId="4269"/>
    <cellStyle name="PrePop Units (0)" xfId="4270"/>
    <cellStyle name="PrePop Units (1)" xfId="4271"/>
    <cellStyle name="PrePop Units (2)" xfId="4272"/>
    <cellStyle name="PSChar" xfId="4273"/>
    <cellStyle name="PSDate" xfId="4274"/>
    <cellStyle name="PSInt" xfId="4275"/>
    <cellStyle name="STYL1 - Style1" xfId="4276"/>
    <cellStyle name="STYL1 - Style1 2" xfId="4277"/>
    <cellStyle name="Style 1" xfId="4278"/>
    <cellStyle name="Style 1 10" xfId="4279"/>
    <cellStyle name="Style 1 11" xfId="4280"/>
    <cellStyle name="Style 1 12" xfId="4281"/>
    <cellStyle name="Style 1 13" xfId="4282"/>
    <cellStyle name="Style 1 14" xfId="4283"/>
    <cellStyle name="Style 1 15" xfId="4284"/>
    <cellStyle name="Style 1 16" xfId="4285"/>
    <cellStyle name="Style 1 17" xfId="4286"/>
    <cellStyle name="Style 1 18" xfId="4287"/>
    <cellStyle name="Style 1 2" xfId="4288"/>
    <cellStyle name="Style 1 3" xfId="4289"/>
    <cellStyle name="Style 1 4" xfId="4290"/>
    <cellStyle name="Style 1 5" xfId="4291"/>
    <cellStyle name="Style 1 6" xfId="4292"/>
    <cellStyle name="Style 1 7" xfId="4293"/>
    <cellStyle name="Style 1 8" xfId="4294"/>
    <cellStyle name="Style 1 9" xfId="4295"/>
    <cellStyle name="Style 1_2011 P12 PnL Vision - with BD" xfId="4296"/>
    <cellStyle name="Text Indent A" xfId="4297"/>
    <cellStyle name="Text Indent B" xfId="4298"/>
    <cellStyle name="Text Indent C" xfId="4299"/>
    <cellStyle name="Title 2" xfId="4300"/>
    <cellStyle name="Title 2 2" xfId="4301"/>
    <cellStyle name="Title 3" xfId="4302"/>
    <cellStyle name="Total 2" xfId="4303"/>
    <cellStyle name="Total 2 2" xfId="4304"/>
    <cellStyle name="Total 3" xfId="4305"/>
    <cellStyle name="Tusental (0)_pldt" xfId="4306"/>
    <cellStyle name="Tusental_pldt" xfId="4307"/>
    <cellStyle name="Valuta (0)_pldt" xfId="4308"/>
    <cellStyle name="Valuta_pldt" xfId="4309"/>
    <cellStyle name="Virgül [0]_ağustos" xfId="4310"/>
    <cellStyle name="Virgül_ağustos" xfId="4311"/>
    <cellStyle name="Warning Text 2" xfId="4312"/>
    <cellStyle name="一般_01SCH(1)" xfId="4313"/>
    <cellStyle name="中等" xfId="4314"/>
    <cellStyle name="備註" xfId="4315"/>
    <cellStyle name="備註 10" xfId="4316"/>
    <cellStyle name="備註 10 2" xfId="4317"/>
    <cellStyle name="備註 11" xfId="4318"/>
    <cellStyle name="備註 11 2" xfId="4319"/>
    <cellStyle name="備註 12" xfId="4320"/>
    <cellStyle name="備註 12 2" xfId="4321"/>
    <cellStyle name="備註 13" xfId="4322"/>
    <cellStyle name="備註 13 2" xfId="4323"/>
    <cellStyle name="備註 14" xfId="4324"/>
    <cellStyle name="備註 14 2" xfId="4325"/>
    <cellStyle name="備註 15" xfId="4326"/>
    <cellStyle name="備註 15 2" xfId="4327"/>
    <cellStyle name="備註 16" xfId="4328"/>
    <cellStyle name="備註 16 2" xfId="4329"/>
    <cellStyle name="備註 17" xfId="4330"/>
    <cellStyle name="備註 17 2" xfId="4331"/>
    <cellStyle name="備註 18" xfId="4332"/>
    <cellStyle name="備註 2" xfId="4333"/>
    <cellStyle name="備註 2 2" xfId="4334"/>
    <cellStyle name="備註 3" xfId="4335"/>
    <cellStyle name="備註 3 2" xfId="4336"/>
    <cellStyle name="備註 4" xfId="4337"/>
    <cellStyle name="備註 4 2" xfId="4338"/>
    <cellStyle name="備註 5" xfId="4339"/>
    <cellStyle name="備註 5 2" xfId="4340"/>
    <cellStyle name="備註 6" xfId="4341"/>
    <cellStyle name="備註 6 2" xfId="4342"/>
    <cellStyle name="備註 7" xfId="4343"/>
    <cellStyle name="備註 7 2" xfId="4344"/>
    <cellStyle name="備註 8" xfId="4345"/>
    <cellStyle name="備註 8 2" xfId="4346"/>
    <cellStyle name="備註 9" xfId="4347"/>
    <cellStyle name="備註 9 2" xfId="4348"/>
    <cellStyle name="備註_AccountP (Jun)" xfId="4349"/>
    <cellStyle name="千分位_01SCH(1)" xfId="4350"/>
    <cellStyle name="合計" xfId="4351"/>
    <cellStyle name="合計 2" xfId="4352"/>
    <cellStyle name="壞" xfId="4353"/>
    <cellStyle name="壞_Accrual movement " xfId="4354"/>
    <cellStyle name="壞_Accrual movement _Expensive leased cars" xfId="4355"/>
    <cellStyle name="壞_Accrual movement _TB" xfId="4356"/>
    <cellStyle name="壞_comm" xfId="4357"/>
    <cellStyle name="壞_Expensive leased cars" xfId="4358"/>
    <cellStyle name="壞_P1106065" xfId="4359"/>
    <cellStyle name="壞_TB" xfId="4360"/>
    <cellStyle name="好" xfId="4361"/>
    <cellStyle name="好_Accrual movement " xfId="4362"/>
    <cellStyle name="好_Accrual movement _Expensive leased cars" xfId="4363"/>
    <cellStyle name="好_Accrual movement _TB" xfId="4364"/>
    <cellStyle name="好_comm" xfId="4365"/>
    <cellStyle name="好_Expensive leased cars" xfId="4366"/>
    <cellStyle name="好_P1106065" xfId="4367"/>
    <cellStyle name="好_TB" xfId="4368"/>
    <cellStyle name="常规_Advances" xfId="4369"/>
    <cellStyle name="標題" xfId="4370"/>
    <cellStyle name="標題 1" xfId="4371"/>
    <cellStyle name="標題 2" xfId="4372"/>
    <cellStyle name="標題 3" xfId="4373"/>
    <cellStyle name="標題 4" xfId="4374"/>
    <cellStyle name="標題_comm" xfId="4375"/>
    <cellStyle name="檢查儲存格" xfId="4376"/>
    <cellStyle name="計算方式" xfId="4377"/>
    <cellStyle name="計算方式 2" xfId="4378"/>
    <cellStyle name="說明文字" xfId="4379"/>
    <cellStyle name="警告文字" xfId="4380"/>
    <cellStyle name="輔色1" xfId="4381"/>
    <cellStyle name="輔色2" xfId="4382"/>
    <cellStyle name="輔色3" xfId="4383"/>
    <cellStyle name="輔色4" xfId="4384"/>
    <cellStyle name="輔色5" xfId="4385"/>
    <cellStyle name="輔色6" xfId="4386"/>
    <cellStyle name="輸入" xfId="4387"/>
    <cellStyle name="輸入 2" xfId="4388"/>
    <cellStyle name="輸出" xfId="4389"/>
    <cellStyle name="輸出 2" xfId="4390"/>
    <cellStyle name="連結的儲存格" xfId="439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  <pageSetUpPr fitToPage="1"/>
  </sheetPr>
  <dimension ref="B2:O1099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ColWidth="9.140625" defaultRowHeight="15"/>
  <cols>
    <col min="1" max="1" width="5.42578125" style="4" customWidth="1"/>
    <col min="2" max="3" width="9.140625" style="4"/>
    <col min="4" max="4" width="23.5703125" style="4" customWidth="1"/>
    <col min="5" max="5" width="10.5703125" style="4" customWidth="1"/>
    <col min="6" max="7" width="10.7109375" style="4" customWidth="1"/>
    <col min="8" max="9" width="10.5703125" style="4" customWidth="1"/>
    <col min="10" max="11" width="10.7109375" style="4" customWidth="1"/>
    <col min="12" max="12" width="11" style="4" customWidth="1"/>
    <col min="13" max="14" width="13.5703125" style="4" customWidth="1"/>
    <col min="15" max="15" width="14.140625" style="4" customWidth="1"/>
    <col min="16" max="16384" width="9.140625" style="4"/>
  </cols>
  <sheetData>
    <row r="2" spans="2:15">
      <c r="B2" s="39" t="s">
        <v>108</v>
      </c>
    </row>
    <row r="3" spans="2:15" ht="31.5" customHeight="1">
      <c r="B3" s="112"/>
      <c r="C3" s="112"/>
      <c r="D3" s="112"/>
      <c r="E3" s="41" t="s">
        <v>7</v>
      </c>
      <c r="F3" s="41" t="s">
        <v>6</v>
      </c>
      <c r="G3" s="41" t="s">
        <v>2</v>
      </c>
      <c r="H3" s="41" t="s">
        <v>112</v>
      </c>
      <c r="I3" s="41" t="s">
        <v>4</v>
      </c>
      <c r="J3" s="41" t="s">
        <v>109</v>
      </c>
      <c r="K3" s="41" t="s">
        <v>5</v>
      </c>
      <c r="L3" s="41" t="s">
        <v>3</v>
      </c>
      <c r="M3" s="41" t="s">
        <v>1</v>
      </c>
      <c r="N3" s="40" t="s">
        <v>110</v>
      </c>
      <c r="O3" s="40" t="s">
        <v>9</v>
      </c>
    </row>
    <row r="4" spans="2:15">
      <c r="D4" s="42" t="s">
        <v>115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f>SUM(E4:M4)</f>
        <v>0</v>
      </c>
      <c r="O4" s="34">
        <f>N4/1000</f>
        <v>0</v>
      </c>
    </row>
    <row r="5" spans="2:15">
      <c r="D5" s="42" t="s">
        <v>114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f>SUM(E5:M5)</f>
        <v>0</v>
      </c>
      <c r="O5" s="34">
        <f>N5/1000</f>
        <v>0</v>
      </c>
    </row>
    <row r="6" spans="2:15" s="35" customFormat="1">
      <c r="D6" s="43" t="s">
        <v>116</v>
      </c>
      <c r="E6" s="36">
        <f>E5-E4</f>
        <v>0</v>
      </c>
      <c r="F6" s="36">
        <f>F5-F4</f>
        <v>0</v>
      </c>
      <c r="G6" s="36">
        <f>G5-G4</f>
        <v>0</v>
      </c>
      <c r="H6" s="36">
        <f>H5-H4</f>
        <v>0</v>
      </c>
      <c r="I6" s="36">
        <f t="shared" ref="I6:M6" si="0">I5-I4</f>
        <v>0</v>
      </c>
      <c r="J6" s="36">
        <f>J5-J4</f>
        <v>0</v>
      </c>
      <c r="K6" s="36">
        <f>K5-K4</f>
        <v>0</v>
      </c>
      <c r="L6" s="36">
        <f t="shared" si="0"/>
        <v>0</v>
      </c>
      <c r="M6" s="36">
        <f t="shared" si="0"/>
        <v>0</v>
      </c>
      <c r="N6" s="33">
        <f>SUM(E6:M6)</f>
        <v>0</v>
      </c>
      <c r="O6" s="34">
        <f>N6/1000</f>
        <v>0</v>
      </c>
    </row>
    <row r="7" spans="2:15" s="35" customFormat="1">
      <c r="E7" s="36"/>
      <c r="F7" s="36"/>
      <c r="G7" s="36"/>
      <c r="H7" s="36"/>
      <c r="I7" s="36"/>
      <c r="J7" s="36"/>
      <c r="K7" s="36"/>
      <c r="L7" s="36"/>
      <c r="M7" s="36"/>
      <c r="N7" s="36"/>
      <c r="O7" s="37"/>
    </row>
    <row r="8" spans="2:15">
      <c r="B8" s="44" t="s">
        <v>117</v>
      </c>
      <c r="C8" s="44"/>
      <c r="D8" s="44"/>
      <c r="M8" s="38"/>
    </row>
    <row r="9" spans="2:15">
      <c r="E9" s="41" t="s">
        <v>7</v>
      </c>
      <c r="F9" s="41" t="s">
        <v>6</v>
      </c>
      <c r="G9" s="41" t="s">
        <v>2</v>
      </c>
      <c r="H9" s="41" t="s">
        <v>112</v>
      </c>
      <c r="I9" s="41" t="s">
        <v>4</v>
      </c>
      <c r="J9" s="41" t="s">
        <v>109</v>
      </c>
      <c r="K9" s="41" t="s">
        <v>5</v>
      </c>
      <c r="L9" s="41" t="s">
        <v>3</v>
      </c>
      <c r="M9" s="41" t="s">
        <v>1</v>
      </c>
      <c r="N9" s="40" t="s">
        <v>110</v>
      </c>
      <c r="O9" s="40" t="s">
        <v>9</v>
      </c>
    </row>
    <row r="10" spans="2:15" ht="12.75" customHeight="1">
      <c r="D10" s="35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4"/>
    </row>
    <row r="11" spans="2:15" ht="12.75" customHeight="1">
      <c r="B11" s="39" t="s">
        <v>113</v>
      </c>
      <c r="C11" s="39" t="s">
        <v>111</v>
      </c>
      <c r="D11" s="35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4"/>
    </row>
    <row r="12" spans="2:15" ht="12" customHeight="1">
      <c r="B12" s="4">
        <v>1</v>
      </c>
      <c r="C12" s="4">
        <v>1</v>
      </c>
      <c r="D12" s="35" t="s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f>SUM(E12:M12)</f>
        <v>0</v>
      </c>
      <c r="O12" s="34">
        <f>N12/1000</f>
        <v>0</v>
      </c>
    </row>
    <row r="13" spans="2:15"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4"/>
    </row>
    <row r="14" spans="2:15"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4"/>
    </row>
    <row r="15" spans="2:15"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4"/>
    </row>
    <row r="16" spans="2:15"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4"/>
    </row>
    <row r="17" spans="5:15"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4"/>
    </row>
    <row r="18" spans="5:15"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4"/>
    </row>
    <row r="19" spans="5:15"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4"/>
    </row>
    <row r="20" spans="5:15"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4"/>
    </row>
    <row r="21" spans="5:15"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4"/>
    </row>
    <row r="22" spans="5:15"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4"/>
    </row>
    <row r="23" spans="5:15"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4"/>
    </row>
    <row r="24" spans="5:15"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4"/>
    </row>
    <row r="25" spans="5:15"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4"/>
    </row>
    <row r="26" spans="5:15"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4"/>
    </row>
    <row r="27" spans="5:15"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4"/>
    </row>
    <row r="28" spans="5:15"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4"/>
    </row>
    <row r="29" spans="5:15"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4"/>
    </row>
    <row r="30" spans="5:15"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4"/>
    </row>
    <row r="31" spans="5:15"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4"/>
    </row>
    <row r="32" spans="5:15"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4"/>
    </row>
    <row r="33" spans="5:15"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4"/>
    </row>
    <row r="34" spans="5:15"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4"/>
    </row>
    <row r="35" spans="5:15"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4"/>
    </row>
    <row r="36" spans="5:15"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4"/>
    </row>
    <row r="37" spans="5:15"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4"/>
    </row>
    <row r="38" spans="5:15"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4"/>
    </row>
    <row r="39" spans="5:15"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4"/>
    </row>
    <row r="40" spans="5:15"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4"/>
    </row>
    <row r="41" spans="5:15"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4"/>
    </row>
    <row r="42" spans="5:15"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4"/>
    </row>
    <row r="43" spans="5:15"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4"/>
    </row>
    <row r="44" spans="5:15"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4"/>
    </row>
    <row r="45" spans="5:15"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4"/>
    </row>
    <row r="46" spans="5:15"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4"/>
    </row>
    <row r="47" spans="5:15"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4"/>
    </row>
    <row r="48" spans="5:15"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4"/>
    </row>
    <row r="49" spans="5:15"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4"/>
    </row>
    <row r="50" spans="5:15"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4"/>
    </row>
    <row r="51" spans="5:15"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4"/>
    </row>
    <row r="52" spans="5:15"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4"/>
    </row>
    <row r="53" spans="5:15"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4"/>
    </row>
    <row r="54" spans="5:15"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4"/>
    </row>
    <row r="55" spans="5:15"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4"/>
    </row>
    <row r="56" spans="5:15"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4"/>
    </row>
    <row r="57" spans="5:15"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4"/>
    </row>
    <row r="58" spans="5:15"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4"/>
    </row>
    <row r="59" spans="5:15"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4"/>
    </row>
    <row r="60" spans="5:15"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4"/>
    </row>
    <row r="61" spans="5:15"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4"/>
    </row>
    <row r="62" spans="5:15"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4"/>
    </row>
    <row r="63" spans="5:15"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4"/>
    </row>
    <row r="64" spans="5:15"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4"/>
    </row>
    <row r="65" spans="5:15"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4"/>
    </row>
    <row r="66" spans="5:15"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4"/>
    </row>
    <row r="67" spans="5:15"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4"/>
    </row>
    <row r="68" spans="5:15"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4"/>
    </row>
    <row r="69" spans="5:15"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4"/>
    </row>
    <row r="70" spans="5:15"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4"/>
    </row>
    <row r="71" spans="5:15"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4"/>
    </row>
    <row r="72" spans="5:15"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4"/>
    </row>
    <row r="73" spans="5:15"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4"/>
    </row>
    <row r="74" spans="5:15"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4"/>
    </row>
    <row r="75" spans="5:15"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4"/>
    </row>
    <row r="76" spans="5:15"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4"/>
    </row>
    <row r="77" spans="5:15"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4"/>
    </row>
    <row r="78" spans="5:15"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4"/>
    </row>
    <row r="79" spans="5:15"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4"/>
    </row>
    <row r="80" spans="5:15"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4"/>
    </row>
    <row r="81" spans="5:15"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4"/>
    </row>
    <row r="82" spans="5:15"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4"/>
    </row>
    <row r="83" spans="5:15"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4"/>
    </row>
    <row r="84" spans="5:15"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4"/>
    </row>
    <row r="85" spans="5:15"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4"/>
    </row>
    <row r="86" spans="5:15"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4"/>
    </row>
    <row r="87" spans="5:15"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4"/>
    </row>
    <row r="88" spans="5:15"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4"/>
    </row>
    <row r="89" spans="5:15"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4"/>
    </row>
    <row r="90" spans="5:15"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4"/>
    </row>
    <row r="91" spans="5:15"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4"/>
    </row>
    <row r="92" spans="5:15"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4"/>
    </row>
    <row r="93" spans="5:15"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4"/>
    </row>
    <row r="94" spans="5:15"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4"/>
    </row>
    <row r="95" spans="5:15"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4"/>
    </row>
    <row r="96" spans="5:15"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4"/>
    </row>
    <row r="97" spans="5:15"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4"/>
    </row>
    <row r="98" spans="5:15"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4"/>
    </row>
    <row r="99" spans="5:15"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4"/>
    </row>
    <row r="100" spans="5:15"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4"/>
    </row>
    <row r="101" spans="5:15"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4"/>
    </row>
    <row r="102" spans="5:15"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4"/>
    </row>
    <row r="103" spans="5:15"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4"/>
    </row>
    <row r="104" spans="5:15"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4"/>
    </row>
    <row r="105" spans="5:15"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4"/>
    </row>
    <row r="106" spans="5:15"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4"/>
    </row>
    <row r="107" spans="5:15"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4"/>
    </row>
    <row r="108" spans="5:15"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4"/>
    </row>
    <row r="109" spans="5:15"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4"/>
    </row>
    <row r="110" spans="5:15"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4"/>
    </row>
    <row r="111" spans="5:15"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4"/>
    </row>
    <row r="112" spans="5:15"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4"/>
    </row>
    <row r="113" spans="5:15"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4"/>
    </row>
    <row r="114" spans="5:15"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4"/>
    </row>
    <row r="115" spans="5:15"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4"/>
    </row>
    <row r="116" spans="5:15"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4"/>
    </row>
    <row r="117" spans="5:15"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4"/>
    </row>
    <row r="118" spans="5:15"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4"/>
    </row>
    <row r="119" spans="5:15"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4"/>
    </row>
    <row r="120" spans="5:15"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4"/>
    </row>
    <row r="121" spans="5:15"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4"/>
    </row>
    <row r="122" spans="5:15"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4"/>
    </row>
    <row r="123" spans="5:15"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4"/>
    </row>
    <row r="124" spans="5:15"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4"/>
    </row>
    <row r="125" spans="5:15"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4"/>
    </row>
    <row r="126" spans="5:15"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4"/>
    </row>
    <row r="127" spans="5:15"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4"/>
    </row>
    <row r="128" spans="5:15"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4"/>
    </row>
    <row r="129" spans="5:15"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4"/>
    </row>
    <row r="130" spans="5:15"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4"/>
    </row>
    <row r="131" spans="5:15"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4"/>
    </row>
    <row r="132" spans="5:15"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4"/>
    </row>
    <row r="133" spans="5:15"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4"/>
    </row>
    <row r="134" spans="5:15"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4"/>
    </row>
    <row r="135" spans="5:15"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4"/>
    </row>
    <row r="136" spans="5:15"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4"/>
    </row>
    <row r="137" spans="5:15"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4"/>
    </row>
    <row r="138" spans="5:15"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4"/>
    </row>
    <row r="139" spans="5:15"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4"/>
    </row>
    <row r="140" spans="5:15"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4"/>
    </row>
    <row r="141" spans="5:15"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4"/>
    </row>
    <row r="142" spans="5:15"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4"/>
    </row>
    <row r="143" spans="5:15"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4"/>
    </row>
    <row r="144" spans="5:15"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4"/>
    </row>
    <row r="145" spans="5:15"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4"/>
    </row>
    <row r="146" spans="5:15"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4"/>
    </row>
    <row r="147" spans="5:15"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4"/>
    </row>
    <row r="148" spans="5:15"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4"/>
    </row>
    <row r="149" spans="5:15"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4"/>
    </row>
    <row r="150" spans="5:15"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4"/>
    </row>
    <row r="151" spans="5:15"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4"/>
    </row>
    <row r="152" spans="5:15"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4"/>
    </row>
    <row r="153" spans="5:15"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4"/>
    </row>
    <row r="154" spans="5:15"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4"/>
    </row>
    <row r="155" spans="5:15"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4"/>
    </row>
    <row r="156" spans="5:15"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4"/>
    </row>
    <row r="157" spans="5:15"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4"/>
    </row>
    <row r="158" spans="5:15"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4"/>
    </row>
    <row r="159" spans="5:15"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4"/>
    </row>
    <row r="160" spans="5:15"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4"/>
    </row>
    <row r="161" spans="5:15"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4"/>
    </row>
    <row r="162" spans="5:15"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4"/>
    </row>
    <row r="163" spans="5:15"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4"/>
    </row>
    <row r="164" spans="5:15"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4"/>
    </row>
    <row r="165" spans="5:15"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4"/>
    </row>
    <row r="166" spans="5:15"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4"/>
    </row>
    <row r="167" spans="5:15"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4"/>
    </row>
    <row r="168" spans="5:15"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4"/>
    </row>
    <row r="169" spans="5:15"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4"/>
    </row>
    <row r="170" spans="5:15"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4"/>
    </row>
    <row r="171" spans="5:15"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4"/>
    </row>
    <row r="172" spans="5:15"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4"/>
    </row>
    <row r="173" spans="5:15"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4"/>
    </row>
    <row r="174" spans="5:15"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4"/>
    </row>
    <row r="175" spans="5:15"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4"/>
    </row>
    <row r="176" spans="5:15"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4"/>
    </row>
    <row r="177" spans="5:15"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4"/>
    </row>
    <row r="178" spans="5:15"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4"/>
    </row>
    <row r="179" spans="5:15"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4"/>
    </row>
    <row r="180" spans="5:15"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4"/>
    </row>
    <row r="181" spans="5:15"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4"/>
    </row>
    <row r="182" spans="5:15"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4"/>
    </row>
    <row r="183" spans="5:15"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4"/>
    </row>
    <row r="184" spans="5:15"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4"/>
    </row>
    <row r="185" spans="5:15"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4"/>
    </row>
    <row r="186" spans="5:15"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4"/>
    </row>
    <row r="187" spans="5:15"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4"/>
    </row>
    <row r="188" spans="5:15"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4"/>
    </row>
    <row r="189" spans="5:15"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4"/>
    </row>
    <row r="190" spans="5:15"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4"/>
    </row>
    <row r="191" spans="5:15"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4"/>
    </row>
    <row r="192" spans="5:15"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4"/>
    </row>
    <row r="193" spans="5:15"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4"/>
    </row>
    <row r="194" spans="5:15"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4"/>
    </row>
    <row r="195" spans="5:15"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4"/>
    </row>
    <row r="196" spans="5:15"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4"/>
    </row>
    <row r="197" spans="5:15"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4"/>
    </row>
    <row r="198" spans="5:15"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4"/>
    </row>
    <row r="199" spans="5:15"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4"/>
    </row>
    <row r="200" spans="5:15"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4"/>
    </row>
    <row r="201" spans="5:15"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4"/>
    </row>
    <row r="202" spans="5:15"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4"/>
    </row>
    <row r="203" spans="5:15"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4"/>
    </row>
    <row r="204" spans="5:15"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4"/>
    </row>
    <row r="205" spans="5:15"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4"/>
    </row>
    <row r="206" spans="5:15"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4"/>
    </row>
    <row r="207" spans="5:15"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4"/>
    </row>
    <row r="208" spans="5:15"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4"/>
    </row>
    <row r="209" spans="5:15"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4"/>
    </row>
    <row r="210" spans="5:15"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4"/>
    </row>
    <row r="211" spans="5:15"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4"/>
    </row>
    <row r="212" spans="5:15"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4"/>
    </row>
    <row r="213" spans="5:15"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4"/>
    </row>
    <row r="214" spans="5:15"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4"/>
    </row>
    <row r="215" spans="5:15"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4"/>
    </row>
    <row r="216" spans="5:15"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4"/>
    </row>
    <row r="217" spans="5:15"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4"/>
    </row>
    <row r="218" spans="5:15"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4"/>
    </row>
    <row r="219" spans="5:15"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4"/>
    </row>
    <row r="220" spans="5:15"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4"/>
    </row>
    <row r="221" spans="5:15"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4"/>
    </row>
    <row r="222" spans="5:15"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4"/>
    </row>
    <row r="223" spans="5:15"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4"/>
    </row>
    <row r="224" spans="5:15"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4"/>
    </row>
    <row r="225" spans="5:15"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4"/>
    </row>
    <row r="226" spans="5:15"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4"/>
    </row>
    <row r="227" spans="5:15"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4"/>
    </row>
    <row r="228" spans="5:15"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4"/>
    </row>
    <row r="229" spans="5:15"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4"/>
    </row>
    <row r="230" spans="5:15"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4"/>
    </row>
    <row r="231" spans="5:15"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4"/>
    </row>
    <row r="232" spans="5:15"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4"/>
    </row>
    <row r="233" spans="5:15"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4"/>
    </row>
    <row r="234" spans="5:15"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4"/>
    </row>
    <row r="235" spans="5:15"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4"/>
    </row>
    <row r="236" spans="5:15"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4"/>
    </row>
    <row r="237" spans="5:15"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4"/>
    </row>
    <row r="238" spans="5:15"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4"/>
    </row>
    <row r="239" spans="5:15"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4"/>
    </row>
    <row r="240" spans="5:15"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4"/>
    </row>
    <row r="241" spans="5:15"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4"/>
    </row>
    <row r="242" spans="5:15"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4"/>
    </row>
    <row r="243" spans="5:15"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4"/>
    </row>
    <row r="244" spans="5:15"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4"/>
    </row>
    <row r="245" spans="5:15"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4"/>
    </row>
    <row r="246" spans="5:15"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4"/>
    </row>
    <row r="247" spans="5:15"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4"/>
    </row>
    <row r="248" spans="5:15"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4"/>
    </row>
    <row r="249" spans="5:15"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4"/>
    </row>
    <row r="250" spans="5:15"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4"/>
    </row>
    <row r="251" spans="5:15"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4"/>
    </row>
    <row r="252" spans="5:15"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4"/>
    </row>
    <row r="253" spans="5:15"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4"/>
    </row>
    <row r="254" spans="5:15"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4"/>
    </row>
    <row r="255" spans="5:15"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4"/>
    </row>
    <row r="256" spans="5:15"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4"/>
    </row>
    <row r="257" spans="5:15"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4"/>
    </row>
    <row r="258" spans="5:15"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4"/>
    </row>
    <row r="259" spans="5:15"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4"/>
    </row>
    <row r="260" spans="5:15"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4"/>
    </row>
    <row r="261" spans="5:15"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4"/>
    </row>
    <row r="262" spans="5:15"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4"/>
    </row>
    <row r="263" spans="5:15"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4"/>
    </row>
    <row r="264" spans="5:15"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4"/>
    </row>
    <row r="265" spans="5:15"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4"/>
    </row>
    <row r="266" spans="5:15"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4"/>
    </row>
    <row r="267" spans="5:15"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4"/>
    </row>
    <row r="268" spans="5:15"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4"/>
    </row>
    <row r="269" spans="5:15"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4"/>
    </row>
    <row r="270" spans="5:15"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4"/>
    </row>
    <row r="271" spans="5:15"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4"/>
    </row>
    <row r="272" spans="5:15"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4"/>
    </row>
    <row r="273" spans="5:15"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4"/>
    </row>
    <row r="274" spans="5:15"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4"/>
    </row>
    <row r="275" spans="5:15"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4"/>
    </row>
    <row r="276" spans="5:15"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4"/>
    </row>
    <row r="277" spans="5:15"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4"/>
    </row>
    <row r="278" spans="5:15"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4"/>
    </row>
    <row r="279" spans="5:15"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4"/>
    </row>
    <row r="280" spans="5:15"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4"/>
    </row>
    <row r="281" spans="5:15"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4"/>
    </row>
    <row r="282" spans="5:15"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4"/>
    </row>
    <row r="283" spans="5:15"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4"/>
    </row>
    <row r="284" spans="5:15"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4"/>
    </row>
    <row r="285" spans="5:15"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4"/>
    </row>
    <row r="286" spans="5:15"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4"/>
    </row>
    <row r="287" spans="5:15"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4"/>
    </row>
    <row r="288" spans="5:15"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4"/>
    </row>
    <row r="289" spans="5:15"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4"/>
    </row>
    <row r="290" spans="5:15"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4"/>
    </row>
    <row r="291" spans="5:15"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4"/>
    </row>
    <row r="292" spans="5:15"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4"/>
    </row>
    <row r="293" spans="5:15"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4"/>
    </row>
    <row r="294" spans="5:15"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4"/>
    </row>
    <row r="295" spans="5:15"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4"/>
    </row>
    <row r="296" spans="5:15"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4"/>
    </row>
    <row r="297" spans="5:15"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4"/>
    </row>
    <row r="298" spans="5:15"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4"/>
    </row>
    <row r="299" spans="5:15"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4"/>
    </row>
    <row r="300" spans="5:15"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4"/>
    </row>
    <row r="301" spans="5:15"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4"/>
    </row>
    <row r="302" spans="5:15"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4"/>
    </row>
    <row r="303" spans="5:15"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4"/>
    </row>
    <row r="304" spans="5:15"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4"/>
    </row>
    <row r="305" spans="5:15"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4"/>
    </row>
    <row r="306" spans="5:15"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4"/>
    </row>
    <row r="307" spans="5:15"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4"/>
    </row>
    <row r="308" spans="5:15"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4"/>
    </row>
    <row r="309" spans="5:15"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4"/>
    </row>
    <row r="310" spans="5:15"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4"/>
    </row>
    <row r="311" spans="5:15"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4"/>
    </row>
    <row r="312" spans="5:15"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4"/>
    </row>
    <row r="313" spans="5:15"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4"/>
    </row>
    <row r="314" spans="5:15"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4"/>
    </row>
    <row r="315" spans="5:15"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4"/>
    </row>
    <row r="316" spans="5:15"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4"/>
    </row>
    <row r="317" spans="5:15"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4"/>
    </row>
    <row r="318" spans="5:15"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4"/>
    </row>
    <row r="319" spans="5:15"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4"/>
    </row>
    <row r="320" spans="5:15"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4"/>
    </row>
    <row r="321" spans="5:15"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4"/>
    </row>
    <row r="322" spans="5:15"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4"/>
    </row>
    <row r="323" spans="5:15"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4"/>
    </row>
    <row r="324" spans="5:15"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4"/>
    </row>
    <row r="325" spans="5:15"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4"/>
    </row>
    <row r="326" spans="5:15"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4"/>
    </row>
    <row r="327" spans="5:15"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4"/>
    </row>
    <row r="328" spans="5:15"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4"/>
    </row>
    <row r="329" spans="5:15"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4"/>
    </row>
    <row r="330" spans="5:15"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4"/>
    </row>
    <row r="331" spans="5:15"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4"/>
    </row>
    <row r="332" spans="5:15"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4"/>
    </row>
    <row r="333" spans="5:15"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4"/>
    </row>
    <row r="334" spans="5:15"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4"/>
    </row>
    <row r="335" spans="5:15"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4"/>
    </row>
    <row r="336" spans="5:15"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4"/>
    </row>
    <row r="337" spans="5:15"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4"/>
    </row>
    <row r="338" spans="5:15"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4"/>
    </row>
    <row r="339" spans="5:15"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4"/>
    </row>
    <row r="340" spans="5:15"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4"/>
    </row>
    <row r="341" spans="5:15"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4"/>
    </row>
    <row r="342" spans="5:15"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4"/>
    </row>
    <row r="343" spans="5:15"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4"/>
    </row>
    <row r="344" spans="5:15"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4"/>
    </row>
    <row r="345" spans="5:15"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4"/>
    </row>
    <row r="346" spans="5:15"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4"/>
    </row>
    <row r="347" spans="5:15"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4"/>
    </row>
    <row r="348" spans="5:15"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4"/>
    </row>
    <row r="349" spans="5:15"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4"/>
    </row>
    <row r="350" spans="5:15"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4"/>
    </row>
    <row r="351" spans="5:15"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4"/>
    </row>
    <row r="352" spans="5:15"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4"/>
    </row>
    <row r="353" spans="5:15"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4"/>
    </row>
    <row r="354" spans="5:15"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4"/>
    </row>
    <row r="355" spans="5:15"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4"/>
    </row>
    <row r="356" spans="5:15"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4"/>
    </row>
    <row r="357" spans="5:15"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4"/>
    </row>
    <row r="358" spans="5:15"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4"/>
    </row>
    <row r="359" spans="5:15"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4"/>
    </row>
    <row r="360" spans="5:15"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4"/>
    </row>
    <row r="361" spans="5:15"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4"/>
    </row>
    <row r="362" spans="5:15"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4"/>
    </row>
    <row r="363" spans="5:15"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4"/>
    </row>
    <row r="364" spans="5:15"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4"/>
    </row>
    <row r="365" spans="5:15"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4"/>
    </row>
    <row r="366" spans="5:15"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4"/>
    </row>
    <row r="367" spans="5:15"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4"/>
    </row>
    <row r="368" spans="5:15"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4"/>
    </row>
    <row r="369" spans="5:15"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4"/>
    </row>
    <row r="370" spans="5:15"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4"/>
    </row>
    <row r="371" spans="5:15"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4"/>
    </row>
    <row r="372" spans="5:15"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4"/>
    </row>
    <row r="373" spans="5:15"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4"/>
    </row>
    <row r="374" spans="5:15"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4"/>
    </row>
    <row r="375" spans="5:15"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4"/>
    </row>
    <row r="376" spans="5:15"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4"/>
    </row>
    <row r="377" spans="5:15"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4"/>
    </row>
    <row r="378" spans="5:15"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4"/>
    </row>
    <row r="379" spans="5:15"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4"/>
    </row>
    <row r="380" spans="5:15"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4"/>
    </row>
    <row r="381" spans="5:15"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4"/>
    </row>
    <row r="382" spans="5:15"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4"/>
    </row>
    <row r="383" spans="5:15"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4"/>
    </row>
    <row r="384" spans="5:15"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4"/>
    </row>
    <row r="385" spans="5:15"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4"/>
    </row>
    <row r="386" spans="5:15"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4"/>
    </row>
    <row r="387" spans="5:15"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4"/>
    </row>
    <row r="388" spans="5:15"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4"/>
    </row>
    <row r="389" spans="5:15"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4"/>
    </row>
    <row r="390" spans="5:15"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4"/>
    </row>
    <row r="391" spans="5:15"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4"/>
    </row>
    <row r="392" spans="5:15"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4"/>
    </row>
    <row r="393" spans="5:15"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4"/>
    </row>
    <row r="394" spans="5:15"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4"/>
    </row>
    <row r="395" spans="5:15"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4"/>
    </row>
    <row r="396" spans="5:15"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4"/>
    </row>
    <row r="397" spans="5:15"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4"/>
    </row>
    <row r="398" spans="5:15"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4"/>
    </row>
    <row r="399" spans="5:15"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4"/>
    </row>
    <row r="400" spans="5:15"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4"/>
    </row>
    <row r="401" spans="5:15"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4"/>
    </row>
    <row r="402" spans="5:15"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4"/>
    </row>
    <row r="403" spans="5:15"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4"/>
    </row>
    <row r="404" spans="5:15"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4"/>
    </row>
    <row r="405" spans="5:15"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4"/>
    </row>
    <row r="406" spans="5:15"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4"/>
    </row>
    <row r="407" spans="5:15"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4"/>
    </row>
    <row r="408" spans="5:15"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4"/>
    </row>
    <row r="409" spans="5:15"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4"/>
    </row>
    <row r="410" spans="5:15"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4"/>
    </row>
    <row r="411" spans="5:15"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4"/>
    </row>
    <row r="412" spans="5:15"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4"/>
    </row>
    <row r="413" spans="5:15"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4"/>
    </row>
    <row r="414" spans="5:15"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4"/>
    </row>
    <row r="415" spans="5:15"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4"/>
    </row>
    <row r="416" spans="5:15"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4"/>
    </row>
    <row r="417" spans="5:15"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4"/>
    </row>
    <row r="418" spans="5:15"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4"/>
    </row>
    <row r="419" spans="5:15"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4"/>
    </row>
    <row r="420" spans="5:15"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4"/>
    </row>
    <row r="421" spans="5:15"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4"/>
    </row>
    <row r="422" spans="5:15"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4"/>
    </row>
    <row r="423" spans="5:15"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4"/>
    </row>
    <row r="424" spans="5:15"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4"/>
    </row>
    <row r="425" spans="5:15"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4"/>
    </row>
    <row r="426" spans="5:15"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4"/>
    </row>
    <row r="427" spans="5:15"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4"/>
    </row>
    <row r="428" spans="5:15"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4"/>
    </row>
    <row r="429" spans="5:15"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4"/>
    </row>
    <row r="430" spans="5:15"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4"/>
    </row>
    <row r="431" spans="5:15"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4"/>
    </row>
    <row r="432" spans="5:15"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4"/>
    </row>
    <row r="433" spans="5:15"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4"/>
    </row>
    <row r="434" spans="5:15"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4"/>
    </row>
    <row r="435" spans="5:15"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4"/>
    </row>
    <row r="436" spans="5:15"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4"/>
    </row>
    <row r="437" spans="5:15"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4"/>
    </row>
    <row r="438" spans="5:15"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4"/>
    </row>
    <row r="439" spans="5:15"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4"/>
    </row>
    <row r="440" spans="5:15"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4"/>
    </row>
    <row r="441" spans="5:15"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4"/>
    </row>
    <row r="442" spans="5:15"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4"/>
    </row>
    <row r="443" spans="5:15"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4"/>
    </row>
    <row r="444" spans="5:15"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4"/>
    </row>
    <row r="445" spans="5:15"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4"/>
    </row>
    <row r="446" spans="5:15"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4"/>
    </row>
    <row r="447" spans="5:15"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4"/>
    </row>
    <row r="448" spans="5:15"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4"/>
    </row>
    <row r="449" spans="5:15"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4"/>
    </row>
    <row r="450" spans="5:15"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4"/>
    </row>
    <row r="451" spans="5:15"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4"/>
    </row>
    <row r="452" spans="5:15"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4"/>
    </row>
    <row r="453" spans="5:15"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4"/>
    </row>
    <row r="454" spans="5:15"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4"/>
    </row>
    <row r="455" spans="5:15"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4"/>
    </row>
    <row r="456" spans="5:15"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4"/>
    </row>
    <row r="457" spans="5:15"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4"/>
    </row>
    <row r="458" spans="5:15"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4"/>
    </row>
    <row r="459" spans="5:15"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4"/>
    </row>
    <row r="460" spans="5:15"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4"/>
    </row>
    <row r="461" spans="5:15"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4"/>
    </row>
    <row r="462" spans="5:15"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4"/>
    </row>
    <row r="463" spans="5:15"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4"/>
    </row>
    <row r="464" spans="5:15"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4"/>
    </row>
    <row r="465" spans="5:15"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4"/>
    </row>
    <row r="466" spans="5:15"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4"/>
    </row>
    <row r="467" spans="5:15"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4"/>
    </row>
    <row r="468" spans="5:15"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4"/>
    </row>
    <row r="469" spans="5:15"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4"/>
    </row>
    <row r="470" spans="5:15"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4"/>
    </row>
    <row r="471" spans="5:15"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4"/>
    </row>
    <row r="472" spans="5:15"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4"/>
    </row>
    <row r="473" spans="5:15"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4"/>
    </row>
    <row r="474" spans="5:15"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4"/>
    </row>
    <row r="475" spans="5:15"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4"/>
    </row>
    <row r="476" spans="5:15"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4"/>
    </row>
    <row r="477" spans="5:15"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4"/>
    </row>
    <row r="478" spans="5:15"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4"/>
    </row>
    <row r="479" spans="5:15"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4"/>
    </row>
    <row r="480" spans="5:15"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4"/>
    </row>
    <row r="481" spans="5:15"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4"/>
    </row>
    <row r="482" spans="5:15"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4"/>
    </row>
    <row r="483" spans="5:15"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4"/>
    </row>
    <row r="484" spans="5:15"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4"/>
    </row>
    <row r="485" spans="5:15"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4"/>
    </row>
    <row r="486" spans="5:15"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4"/>
    </row>
    <row r="487" spans="5:15"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4"/>
    </row>
    <row r="488" spans="5:15"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4"/>
    </row>
    <row r="489" spans="5:15"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4"/>
    </row>
    <row r="490" spans="5:15"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4"/>
    </row>
    <row r="491" spans="5:15"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4"/>
    </row>
    <row r="492" spans="5:15"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4"/>
    </row>
    <row r="493" spans="5:15"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4"/>
    </row>
    <row r="494" spans="5:15"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4"/>
    </row>
    <row r="495" spans="5:15"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4"/>
    </row>
    <row r="496" spans="5:15"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4"/>
    </row>
    <row r="497" spans="5:15"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4"/>
    </row>
    <row r="498" spans="5:15"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4"/>
    </row>
    <row r="499" spans="5:15"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4"/>
    </row>
    <row r="500" spans="5:15"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4"/>
    </row>
    <row r="501" spans="5:15"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4"/>
    </row>
    <row r="502" spans="5:15"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4"/>
    </row>
    <row r="503" spans="5:15"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4"/>
    </row>
    <row r="504" spans="5:15"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4"/>
    </row>
    <row r="505" spans="5:15"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4"/>
    </row>
    <row r="506" spans="5:15"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4"/>
    </row>
    <row r="507" spans="5:15"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4"/>
    </row>
    <row r="508" spans="5:15"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4"/>
    </row>
    <row r="509" spans="5:15"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4"/>
    </row>
    <row r="510" spans="5:15"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4"/>
    </row>
    <row r="511" spans="5:15"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4"/>
    </row>
    <row r="512" spans="5:15"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4"/>
    </row>
    <row r="513" spans="5:15"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4"/>
    </row>
    <row r="514" spans="5:15"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4"/>
    </row>
    <row r="515" spans="5:15"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4"/>
    </row>
    <row r="516" spans="5:15"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4"/>
    </row>
    <row r="517" spans="5:15"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4"/>
    </row>
    <row r="518" spans="5:15"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4"/>
    </row>
    <row r="519" spans="5:15"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4"/>
    </row>
    <row r="520" spans="5:15"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4"/>
    </row>
    <row r="521" spans="5:15"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4"/>
    </row>
    <row r="522" spans="5:15"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4"/>
    </row>
    <row r="523" spans="5:15"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4"/>
    </row>
    <row r="524" spans="5:15"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4"/>
    </row>
    <row r="525" spans="5:15"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4"/>
    </row>
    <row r="526" spans="5:15"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4"/>
    </row>
    <row r="527" spans="5:15"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4"/>
    </row>
    <row r="528" spans="5:15"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4"/>
    </row>
    <row r="529" spans="5:15"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4"/>
    </row>
    <row r="530" spans="5:15"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4"/>
    </row>
    <row r="531" spans="5:15"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4"/>
    </row>
    <row r="532" spans="5:15"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4"/>
    </row>
    <row r="533" spans="5:15"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4"/>
    </row>
    <row r="534" spans="5:15"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4"/>
    </row>
    <row r="535" spans="5:15"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4"/>
    </row>
    <row r="536" spans="5:15"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4"/>
    </row>
    <row r="537" spans="5:15"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4"/>
    </row>
    <row r="538" spans="5:15"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4"/>
    </row>
    <row r="539" spans="5:15"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4"/>
    </row>
    <row r="540" spans="5:15"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4"/>
    </row>
    <row r="541" spans="5:15"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4"/>
    </row>
    <row r="542" spans="5:15"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4"/>
    </row>
    <row r="543" spans="5:15"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4"/>
    </row>
    <row r="544" spans="5:15"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4"/>
    </row>
    <row r="545" spans="5:15"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4"/>
    </row>
    <row r="546" spans="5:15"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4"/>
    </row>
    <row r="547" spans="5:15"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4"/>
    </row>
    <row r="548" spans="5:15"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4"/>
    </row>
    <row r="549" spans="5:15"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4"/>
    </row>
    <row r="550" spans="5:15"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4"/>
    </row>
    <row r="551" spans="5:15"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4"/>
    </row>
    <row r="552" spans="5:15"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4"/>
    </row>
    <row r="553" spans="5:15"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4"/>
    </row>
    <row r="554" spans="5:15"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4"/>
    </row>
    <row r="555" spans="5:15"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4"/>
    </row>
    <row r="556" spans="5:15"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4"/>
    </row>
    <row r="557" spans="5:15"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4"/>
    </row>
    <row r="558" spans="5:15"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4"/>
    </row>
    <row r="559" spans="5:15"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4"/>
    </row>
    <row r="560" spans="5:15"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4"/>
    </row>
    <row r="561" spans="5:15"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4"/>
    </row>
    <row r="562" spans="5:15"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4"/>
    </row>
    <row r="563" spans="5:15"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4"/>
    </row>
    <row r="564" spans="5:15"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4"/>
    </row>
    <row r="565" spans="5:15"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4"/>
    </row>
    <row r="566" spans="5:15"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4"/>
    </row>
    <row r="567" spans="5:15"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4"/>
    </row>
    <row r="568" spans="5:15"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4"/>
    </row>
    <row r="569" spans="5:15"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4"/>
    </row>
    <row r="570" spans="5:15"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4"/>
    </row>
    <row r="571" spans="5:15"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4"/>
    </row>
    <row r="572" spans="5:15"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4"/>
    </row>
    <row r="573" spans="5:15"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4"/>
    </row>
    <row r="574" spans="5:15"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4"/>
    </row>
    <row r="575" spans="5:15"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4"/>
    </row>
    <row r="576" spans="5:15"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4"/>
    </row>
    <row r="577" spans="5:15"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4"/>
    </row>
    <row r="578" spans="5:15"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4"/>
    </row>
    <row r="579" spans="5:15"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4"/>
    </row>
    <row r="580" spans="5:15"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4"/>
    </row>
    <row r="581" spans="5:15"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4"/>
    </row>
    <row r="582" spans="5:15"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4"/>
    </row>
    <row r="583" spans="5:15"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4"/>
    </row>
    <row r="584" spans="5:15"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4"/>
    </row>
    <row r="585" spans="5:15"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4"/>
    </row>
    <row r="586" spans="5:15"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4"/>
    </row>
    <row r="587" spans="5:15"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4"/>
    </row>
    <row r="588" spans="5:15"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4"/>
    </row>
    <row r="589" spans="5:15"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4"/>
    </row>
    <row r="590" spans="5:15"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4"/>
    </row>
    <row r="591" spans="5:15"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4"/>
    </row>
    <row r="592" spans="5:15"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4"/>
    </row>
    <row r="593" spans="5:15"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4"/>
    </row>
    <row r="594" spans="5:15"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4"/>
    </row>
    <row r="595" spans="5:15"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4"/>
    </row>
    <row r="596" spans="5:15"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4"/>
    </row>
    <row r="597" spans="5:15"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4"/>
    </row>
    <row r="598" spans="5:15"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4"/>
    </row>
    <row r="599" spans="5:15"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4"/>
    </row>
    <row r="600" spans="5:15"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4"/>
    </row>
    <row r="601" spans="5:15"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4"/>
    </row>
    <row r="602" spans="5:15"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4"/>
    </row>
    <row r="603" spans="5:15"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4"/>
    </row>
    <row r="604" spans="5:15"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4"/>
    </row>
    <row r="605" spans="5:15"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4"/>
    </row>
    <row r="606" spans="5:15"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4"/>
    </row>
    <row r="607" spans="5:15"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4"/>
    </row>
    <row r="608" spans="5:15"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4"/>
    </row>
    <row r="609" spans="5:15"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4"/>
    </row>
    <row r="610" spans="5:15"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4"/>
    </row>
    <row r="611" spans="5:15"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4"/>
    </row>
    <row r="612" spans="5:15"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4"/>
    </row>
    <row r="613" spans="5:15"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4"/>
    </row>
    <row r="614" spans="5:15"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4"/>
    </row>
    <row r="615" spans="5:15"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4"/>
    </row>
    <row r="616" spans="5:15"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4"/>
    </row>
    <row r="617" spans="5:15"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4"/>
    </row>
    <row r="618" spans="5:15"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4"/>
    </row>
    <row r="619" spans="5:15"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4"/>
    </row>
    <row r="620" spans="5:15"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4"/>
    </row>
    <row r="621" spans="5:15"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4"/>
    </row>
    <row r="622" spans="5:15"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4"/>
    </row>
    <row r="623" spans="5:15"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4"/>
    </row>
    <row r="624" spans="5:15"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4"/>
    </row>
    <row r="625" spans="5:15"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4"/>
    </row>
    <row r="626" spans="5:15"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4"/>
    </row>
    <row r="627" spans="5:15"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4"/>
    </row>
    <row r="628" spans="5:15"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4"/>
    </row>
    <row r="629" spans="5:15"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4"/>
    </row>
    <row r="630" spans="5:15"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4"/>
    </row>
    <row r="631" spans="5:15"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4"/>
    </row>
    <row r="632" spans="5:15"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4"/>
    </row>
    <row r="633" spans="5:15"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4"/>
    </row>
    <row r="634" spans="5:15"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4"/>
    </row>
    <row r="635" spans="5:15"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4"/>
    </row>
    <row r="636" spans="5:15"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4"/>
    </row>
    <row r="637" spans="5:15"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4"/>
    </row>
    <row r="638" spans="5:15"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4"/>
    </row>
    <row r="639" spans="5:15"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4"/>
    </row>
    <row r="640" spans="5:15"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4"/>
    </row>
    <row r="641" spans="5:15"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4"/>
    </row>
    <row r="642" spans="5:15"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4"/>
    </row>
    <row r="643" spans="5:15"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4"/>
    </row>
    <row r="644" spans="5:15"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4"/>
    </row>
    <row r="645" spans="5:15"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4"/>
    </row>
    <row r="646" spans="5:15"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4"/>
    </row>
    <row r="647" spans="5:15"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4"/>
    </row>
    <row r="648" spans="5:15"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4"/>
    </row>
    <row r="649" spans="5:15"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4"/>
    </row>
    <row r="650" spans="5:15"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4"/>
    </row>
    <row r="651" spans="5:15"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4"/>
    </row>
    <row r="652" spans="5:15"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4"/>
    </row>
    <row r="653" spans="5:15"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4"/>
    </row>
    <row r="654" spans="5:15"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4"/>
    </row>
    <row r="655" spans="5:15"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4"/>
    </row>
    <row r="656" spans="5:15"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4"/>
    </row>
    <row r="657" spans="5:15"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4"/>
    </row>
    <row r="658" spans="5:15"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4"/>
    </row>
    <row r="659" spans="5:15"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4"/>
    </row>
    <row r="660" spans="5:15"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4"/>
    </row>
    <row r="661" spans="5:15"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4"/>
    </row>
    <row r="662" spans="5:15"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4"/>
    </row>
    <row r="663" spans="5:15"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4"/>
    </row>
    <row r="664" spans="5:15"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4"/>
    </row>
    <row r="665" spans="5:15"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4"/>
    </row>
    <row r="666" spans="5:15"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4"/>
    </row>
    <row r="667" spans="5:15"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4"/>
    </row>
    <row r="668" spans="5:15"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4"/>
    </row>
    <row r="669" spans="5:15"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4"/>
    </row>
    <row r="670" spans="5:15"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4"/>
    </row>
    <row r="671" spans="5:15"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4"/>
    </row>
    <row r="672" spans="5:15"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4"/>
    </row>
    <row r="673" spans="5:15"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4"/>
    </row>
    <row r="674" spans="5:15"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4"/>
    </row>
    <row r="675" spans="5:15"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4"/>
    </row>
    <row r="676" spans="5:15"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4"/>
    </row>
    <row r="677" spans="5:15"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4"/>
    </row>
    <row r="678" spans="5:15"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4"/>
    </row>
    <row r="679" spans="5:15"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4"/>
    </row>
    <row r="680" spans="5:15"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4"/>
    </row>
    <row r="681" spans="5:15"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4"/>
    </row>
    <row r="682" spans="5:15"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4"/>
    </row>
    <row r="683" spans="5:15"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4"/>
    </row>
    <row r="684" spans="5:15"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4"/>
    </row>
    <row r="685" spans="5:15"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4"/>
    </row>
    <row r="686" spans="5:15"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4"/>
    </row>
    <row r="687" spans="5:15"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4"/>
    </row>
    <row r="688" spans="5:15"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4"/>
    </row>
    <row r="689" spans="5:15"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4"/>
    </row>
    <row r="690" spans="5:15"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4"/>
    </row>
    <row r="691" spans="5:15"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4"/>
    </row>
    <row r="692" spans="5:15"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4"/>
    </row>
    <row r="693" spans="5:15"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4"/>
    </row>
    <row r="694" spans="5:15"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4"/>
    </row>
    <row r="695" spans="5:15"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4"/>
    </row>
    <row r="696" spans="5:15"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4"/>
    </row>
    <row r="697" spans="5:15"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4"/>
    </row>
    <row r="698" spans="5:15"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4"/>
    </row>
    <row r="699" spans="5:15"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4"/>
    </row>
    <row r="700" spans="5:15"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4"/>
    </row>
    <row r="701" spans="5:15"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4"/>
    </row>
    <row r="702" spans="5:15"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4"/>
    </row>
    <row r="703" spans="5:15"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4"/>
    </row>
    <row r="704" spans="5:15"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4"/>
    </row>
    <row r="705" spans="5:15"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4"/>
    </row>
    <row r="706" spans="5:15"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4"/>
    </row>
    <row r="707" spans="5:15"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4"/>
    </row>
    <row r="708" spans="5:15"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4"/>
    </row>
    <row r="709" spans="5:15"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4"/>
    </row>
    <row r="710" spans="5:15"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4"/>
    </row>
    <row r="711" spans="5:15"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4"/>
    </row>
    <row r="712" spans="5:15"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4"/>
    </row>
    <row r="713" spans="5:15"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4"/>
    </row>
    <row r="714" spans="5:15"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4"/>
    </row>
    <row r="715" spans="5:15"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4"/>
    </row>
    <row r="716" spans="5:15"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4"/>
    </row>
    <row r="717" spans="5:15"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4"/>
    </row>
    <row r="718" spans="5:15"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4"/>
    </row>
    <row r="719" spans="5:15"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4"/>
    </row>
    <row r="720" spans="5:15"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4"/>
    </row>
    <row r="721" spans="5:15"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4"/>
    </row>
    <row r="722" spans="5:15"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4"/>
    </row>
    <row r="723" spans="5:15"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4"/>
    </row>
    <row r="724" spans="5:15"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4"/>
    </row>
    <row r="725" spans="5:15"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4"/>
    </row>
    <row r="726" spans="5:15"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4"/>
    </row>
    <row r="727" spans="5:15"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4"/>
    </row>
    <row r="728" spans="5:15"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4"/>
    </row>
    <row r="729" spans="5:15"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4"/>
    </row>
    <row r="730" spans="5:15"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4"/>
    </row>
    <row r="731" spans="5:15"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4"/>
    </row>
    <row r="732" spans="5:15"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4"/>
    </row>
    <row r="733" spans="5:15"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4"/>
    </row>
    <row r="734" spans="5:15"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4"/>
    </row>
    <row r="735" spans="5:15"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4"/>
    </row>
    <row r="736" spans="5:15"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4"/>
    </row>
    <row r="737" spans="5:15"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4"/>
    </row>
    <row r="738" spans="5:15"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4"/>
    </row>
    <row r="739" spans="5:15"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4"/>
    </row>
    <row r="740" spans="5:15"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4"/>
    </row>
    <row r="741" spans="5:15"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4"/>
    </row>
    <row r="742" spans="5:15"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4"/>
    </row>
    <row r="743" spans="5:15"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4"/>
    </row>
    <row r="744" spans="5:15"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4"/>
    </row>
    <row r="745" spans="5:15"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4"/>
    </row>
    <row r="746" spans="5:15"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4"/>
    </row>
    <row r="747" spans="5:15"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4"/>
    </row>
    <row r="748" spans="5:15"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4"/>
    </row>
    <row r="749" spans="5:15"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4"/>
    </row>
    <row r="750" spans="5:15"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4"/>
    </row>
    <row r="751" spans="5:15"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4"/>
    </row>
    <row r="752" spans="5:15"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4"/>
    </row>
    <row r="753" spans="5:15"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4"/>
    </row>
    <row r="754" spans="5:15"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4"/>
    </row>
    <row r="755" spans="5:15"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4"/>
    </row>
    <row r="756" spans="5:15"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4"/>
    </row>
    <row r="757" spans="5:15"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4"/>
    </row>
    <row r="758" spans="5:15"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4"/>
    </row>
    <row r="759" spans="5:15"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4"/>
    </row>
    <row r="760" spans="5:15"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4"/>
    </row>
    <row r="761" spans="5:15"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4"/>
    </row>
    <row r="762" spans="5:15"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4"/>
    </row>
    <row r="763" spans="5:15"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4"/>
    </row>
    <row r="764" spans="5:15"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4"/>
    </row>
    <row r="765" spans="5:15"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4"/>
    </row>
    <row r="766" spans="5:15"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4"/>
    </row>
    <row r="767" spans="5:15"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4"/>
    </row>
    <row r="768" spans="5:15"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4"/>
    </row>
    <row r="769" spans="5:15"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4"/>
    </row>
    <row r="770" spans="5:15"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4"/>
    </row>
    <row r="771" spans="5:15"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4"/>
    </row>
    <row r="772" spans="5:15"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4"/>
    </row>
    <row r="773" spans="5:15"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4"/>
    </row>
    <row r="774" spans="5:15"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4"/>
    </row>
    <row r="775" spans="5:15"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4"/>
    </row>
    <row r="776" spans="5:15"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4"/>
    </row>
    <row r="777" spans="5:15"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4"/>
    </row>
    <row r="778" spans="5:15"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4"/>
    </row>
    <row r="779" spans="5:15"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4"/>
    </row>
    <row r="780" spans="5:15"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4"/>
    </row>
    <row r="781" spans="5:15"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4"/>
    </row>
    <row r="782" spans="5:15"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4"/>
    </row>
    <row r="783" spans="5:15"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4"/>
    </row>
    <row r="784" spans="5:15"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4"/>
    </row>
    <row r="785" spans="5:15"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4"/>
    </row>
    <row r="786" spans="5:15"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4"/>
    </row>
    <row r="787" spans="5:15"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4"/>
    </row>
    <row r="788" spans="5:15"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4"/>
    </row>
    <row r="789" spans="5:15"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4"/>
    </row>
    <row r="790" spans="5:15"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4"/>
    </row>
    <row r="791" spans="5:15"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4"/>
    </row>
    <row r="792" spans="5:15"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4"/>
    </row>
    <row r="793" spans="5:15"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4"/>
    </row>
    <row r="794" spans="5:15"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4"/>
    </row>
    <row r="795" spans="5:15"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4"/>
    </row>
    <row r="796" spans="5:15"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4"/>
    </row>
    <row r="797" spans="5:15"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4"/>
    </row>
    <row r="798" spans="5:15"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4"/>
    </row>
    <row r="799" spans="5:15"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4"/>
    </row>
    <row r="800" spans="5:15"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4"/>
    </row>
    <row r="801" spans="5:15"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4"/>
    </row>
    <row r="802" spans="5:15"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4"/>
    </row>
    <row r="803" spans="5:15"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4"/>
    </row>
    <row r="804" spans="5:15"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4"/>
    </row>
    <row r="805" spans="5:15"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4"/>
    </row>
    <row r="806" spans="5:15"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4"/>
    </row>
    <row r="807" spans="5:15"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4"/>
    </row>
    <row r="808" spans="5:15"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4"/>
    </row>
    <row r="809" spans="5:15"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4"/>
    </row>
    <row r="810" spans="5:15"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4"/>
    </row>
    <row r="811" spans="5:15"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4"/>
    </row>
    <row r="812" spans="5:15"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4"/>
    </row>
    <row r="813" spans="5:15"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4"/>
    </row>
    <row r="814" spans="5:15"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4"/>
    </row>
    <row r="815" spans="5:15"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4"/>
    </row>
    <row r="816" spans="5:15"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4"/>
    </row>
    <row r="817" spans="5:15"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4"/>
    </row>
    <row r="818" spans="5:15"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4"/>
    </row>
    <row r="819" spans="5:15"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4"/>
    </row>
    <row r="820" spans="5:15"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4"/>
    </row>
    <row r="821" spans="5:15"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4"/>
    </row>
    <row r="822" spans="5:15"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4"/>
    </row>
    <row r="823" spans="5:15"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4"/>
    </row>
    <row r="824" spans="5:15"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4"/>
    </row>
    <row r="825" spans="5:15"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4"/>
    </row>
    <row r="826" spans="5:15"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4"/>
    </row>
    <row r="827" spans="5:15"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4"/>
    </row>
    <row r="828" spans="5:15"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4"/>
    </row>
    <row r="829" spans="5:15"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4"/>
    </row>
    <row r="830" spans="5:15"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4"/>
    </row>
    <row r="831" spans="5:15"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4"/>
    </row>
    <row r="832" spans="5:15"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4"/>
    </row>
    <row r="833" spans="5:15"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4"/>
    </row>
    <row r="834" spans="5:15"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4"/>
    </row>
    <row r="835" spans="5:15"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4"/>
    </row>
    <row r="836" spans="5:15"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4"/>
    </row>
    <row r="837" spans="5:15"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4"/>
    </row>
    <row r="838" spans="5:15"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4"/>
    </row>
    <row r="839" spans="5:15"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4"/>
    </row>
    <row r="840" spans="5:15"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4"/>
    </row>
    <row r="841" spans="5:15"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4"/>
    </row>
    <row r="842" spans="5:15"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4"/>
    </row>
    <row r="843" spans="5:15"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4"/>
    </row>
    <row r="844" spans="5:15"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4"/>
    </row>
    <row r="845" spans="5:15"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4"/>
    </row>
    <row r="846" spans="5:15"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4"/>
    </row>
    <row r="847" spans="5:15"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4"/>
    </row>
    <row r="848" spans="5:15"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4"/>
    </row>
    <row r="849" spans="5:15"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4"/>
    </row>
    <row r="850" spans="5:15"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4"/>
    </row>
    <row r="851" spans="5:15"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4"/>
    </row>
    <row r="852" spans="5:15"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4"/>
    </row>
    <row r="853" spans="5:15"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4"/>
    </row>
    <row r="854" spans="5:15"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4"/>
    </row>
    <row r="855" spans="5:15"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4"/>
    </row>
    <row r="856" spans="5:15"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4"/>
    </row>
    <row r="857" spans="5:15"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4"/>
    </row>
    <row r="858" spans="5:15"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4"/>
    </row>
    <row r="859" spans="5:15"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4"/>
    </row>
    <row r="860" spans="5:15"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4"/>
    </row>
    <row r="861" spans="5:15"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4"/>
    </row>
    <row r="862" spans="5:15"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4"/>
    </row>
    <row r="863" spans="5:15"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4"/>
    </row>
    <row r="864" spans="5:15"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4"/>
    </row>
    <row r="865" spans="5:15"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4"/>
    </row>
    <row r="866" spans="5:15"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4"/>
    </row>
    <row r="867" spans="5:15"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4"/>
    </row>
    <row r="868" spans="5:15"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4"/>
    </row>
    <row r="869" spans="5:15"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4"/>
    </row>
    <row r="870" spans="5:15"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4"/>
    </row>
    <row r="871" spans="5:15"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4"/>
    </row>
    <row r="872" spans="5:15"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4"/>
    </row>
    <row r="873" spans="5:15"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4"/>
    </row>
    <row r="874" spans="5:15"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4"/>
    </row>
    <row r="875" spans="5:15"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4"/>
    </row>
    <row r="876" spans="5:15"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4"/>
    </row>
    <row r="877" spans="5:15"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4"/>
    </row>
    <row r="878" spans="5:15"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4"/>
    </row>
    <row r="879" spans="5:15"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4"/>
    </row>
    <row r="880" spans="5:15"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4"/>
    </row>
    <row r="881" spans="5:15"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4"/>
    </row>
    <row r="882" spans="5:15"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4"/>
    </row>
    <row r="883" spans="5:15"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4"/>
    </row>
    <row r="884" spans="5:15"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4"/>
    </row>
    <row r="885" spans="5:15"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4"/>
    </row>
    <row r="886" spans="5:15"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4"/>
    </row>
    <row r="887" spans="5:15"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4"/>
    </row>
    <row r="888" spans="5:15"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4"/>
    </row>
    <row r="889" spans="5:15"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4"/>
    </row>
    <row r="890" spans="5:15"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4"/>
    </row>
    <row r="891" spans="5:15"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4"/>
    </row>
    <row r="892" spans="5:15"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4"/>
    </row>
    <row r="893" spans="5:15"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4"/>
    </row>
    <row r="894" spans="5:15"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4"/>
    </row>
    <row r="895" spans="5:15"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4"/>
    </row>
    <row r="896" spans="5:15"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4"/>
    </row>
    <row r="897" spans="5:15"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4"/>
    </row>
    <row r="898" spans="5:15"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4"/>
    </row>
    <row r="899" spans="5:15"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4"/>
    </row>
    <row r="900" spans="5:15"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4"/>
    </row>
    <row r="901" spans="5:15"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4"/>
    </row>
    <row r="902" spans="5:15"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4"/>
    </row>
    <row r="903" spans="5:15"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4"/>
    </row>
    <row r="904" spans="5:15"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4"/>
    </row>
    <row r="905" spans="5:15"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4"/>
    </row>
    <row r="906" spans="5:15"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4"/>
    </row>
    <row r="907" spans="5:15"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4"/>
    </row>
    <row r="908" spans="5:15"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4"/>
    </row>
    <row r="909" spans="5:15"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4"/>
    </row>
    <row r="910" spans="5:15"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4"/>
    </row>
    <row r="911" spans="5:15"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4"/>
    </row>
    <row r="912" spans="5:15"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4"/>
    </row>
    <row r="913" spans="5:15"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4"/>
    </row>
    <row r="914" spans="5:15"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4"/>
    </row>
    <row r="915" spans="5:15"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4"/>
    </row>
    <row r="916" spans="5:15"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4"/>
    </row>
    <row r="917" spans="5:15"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4"/>
    </row>
    <row r="918" spans="5:15"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4"/>
    </row>
    <row r="919" spans="5:15"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4"/>
    </row>
    <row r="920" spans="5:15"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4"/>
    </row>
    <row r="921" spans="5:15"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4"/>
    </row>
    <row r="922" spans="5:15"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4"/>
    </row>
    <row r="923" spans="5:15"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4"/>
    </row>
    <row r="924" spans="5:15"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4"/>
    </row>
    <row r="925" spans="5:15"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4"/>
    </row>
    <row r="926" spans="5:15"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4"/>
    </row>
    <row r="927" spans="5:15"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4"/>
    </row>
    <row r="928" spans="5:15"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4"/>
    </row>
    <row r="929" spans="5:15"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4"/>
    </row>
    <row r="930" spans="5:15"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4"/>
    </row>
    <row r="931" spans="5:15"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4"/>
    </row>
    <row r="932" spans="5:15"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4"/>
    </row>
    <row r="933" spans="5:15"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4"/>
    </row>
    <row r="934" spans="5:15"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4"/>
    </row>
    <row r="935" spans="5:15"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4"/>
    </row>
    <row r="936" spans="5:15"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4"/>
    </row>
    <row r="937" spans="5:15"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4"/>
    </row>
    <row r="938" spans="5:15"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4"/>
    </row>
    <row r="939" spans="5:15"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4"/>
    </row>
    <row r="940" spans="5:15"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4"/>
    </row>
    <row r="941" spans="5:15"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4"/>
    </row>
    <row r="942" spans="5:15"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4"/>
    </row>
    <row r="943" spans="5:15"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4"/>
    </row>
    <row r="944" spans="5:15"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4"/>
    </row>
    <row r="945" spans="5:15"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4"/>
    </row>
    <row r="946" spans="5:15"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4"/>
    </row>
    <row r="947" spans="5:15"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4"/>
    </row>
    <row r="948" spans="5:15"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4"/>
    </row>
    <row r="949" spans="5:15"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4"/>
    </row>
    <row r="950" spans="5:15"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4"/>
    </row>
    <row r="951" spans="5:15"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4"/>
    </row>
    <row r="952" spans="5:15"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4"/>
    </row>
    <row r="953" spans="5:15"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4"/>
    </row>
    <row r="954" spans="5:15"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4"/>
    </row>
    <row r="955" spans="5:15"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4"/>
    </row>
    <row r="956" spans="5:15"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4"/>
    </row>
    <row r="957" spans="5:15"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4"/>
    </row>
    <row r="958" spans="5:15"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4"/>
    </row>
    <row r="959" spans="5:15"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4"/>
    </row>
    <row r="960" spans="5:15"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4"/>
    </row>
    <row r="961" spans="5:15"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4"/>
    </row>
    <row r="962" spans="5:15"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4"/>
    </row>
    <row r="963" spans="5:15"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4"/>
    </row>
    <row r="964" spans="5:15"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4"/>
    </row>
    <row r="965" spans="5:15"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4"/>
    </row>
    <row r="966" spans="5:15"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4"/>
    </row>
    <row r="967" spans="5:15"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4"/>
    </row>
    <row r="968" spans="5:15"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4"/>
    </row>
    <row r="969" spans="5:15"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4"/>
    </row>
    <row r="970" spans="5:15"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4"/>
    </row>
    <row r="971" spans="5:15"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4"/>
    </row>
    <row r="972" spans="5:15"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4"/>
    </row>
    <row r="973" spans="5:15"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4"/>
    </row>
    <row r="974" spans="5:15"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4"/>
    </row>
    <row r="975" spans="5:15"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4"/>
    </row>
    <row r="976" spans="5:15"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4"/>
    </row>
    <row r="977" spans="5:15"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4"/>
    </row>
    <row r="978" spans="5:15"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4"/>
    </row>
    <row r="979" spans="5:15"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4"/>
    </row>
    <row r="980" spans="5:15"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4"/>
    </row>
    <row r="981" spans="5:15"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4"/>
    </row>
    <row r="982" spans="5:15"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4"/>
    </row>
    <row r="983" spans="5:15"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4"/>
    </row>
    <row r="984" spans="5:15"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4"/>
    </row>
    <row r="985" spans="5:15"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4"/>
    </row>
    <row r="986" spans="5:15"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4"/>
    </row>
    <row r="987" spans="5:15"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4"/>
    </row>
    <row r="988" spans="5:15"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4"/>
    </row>
    <row r="989" spans="5:15"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4"/>
    </row>
    <row r="990" spans="5:15"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4"/>
    </row>
    <row r="991" spans="5:15"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4"/>
    </row>
    <row r="992" spans="5:15"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4"/>
    </row>
    <row r="993" spans="5:15"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4"/>
    </row>
    <row r="994" spans="5:15"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4"/>
    </row>
    <row r="995" spans="5:15"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4"/>
    </row>
    <row r="996" spans="5:15"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4"/>
    </row>
    <row r="997" spans="5:15"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4"/>
    </row>
    <row r="998" spans="5:15"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4"/>
    </row>
    <row r="999" spans="5:15"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4"/>
    </row>
    <row r="1000" spans="5:15"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4"/>
    </row>
    <row r="1001" spans="5:15">
      <c r="E1001" s="33"/>
      <c r="F1001" s="33"/>
      <c r="G1001" s="33"/>
      <c r="H1001" s="33"/>
      <c r="I1001" s="33"/>
      <c r="J1001" s="33"/>
      <c r="K1001" s="33"/>
      <c r="L1001" s="33"/>
      <c r="M1001" s="33"/>
      <c r="N1001" s="33"/>
      <c r="O1001" s="34"/>
    </row>
    <row r="1002" spans="5:15">
      <c r="E1002" s="33"/>
      <c r="F1002" s="33"/>
      <c r="G1002" s="33"/>
      <c r="H1002" s="33"/>
      <c r="I1002" s="33"/>
      <c r="J1002" s="33"/>
      <c r="K1002" s="33"/>
      <c r="L1002" s="33"/>
      <c r="M1002" s="33"/>
      <c r="N1002" s="33"/>
      <c r="O1002" s="34"/>
    </row>
    <row r="1003" spans="5:15">
      <c r="E1003" s="33"/>
      <c r="F1003" s="33"/>
      <c r="G1003" s="33"/>
      <c r="H1003" s="33"/>
      <c r="I1003" s="33"/>
      <c r="J1003" s="33"/>
      <c r="K1003" s="33"/>
      <c r="L1003" s="33"/>
      <c r="M1003" s="33"/>
      <c r="N1003" s="33"/>
      <c r="O1003" s="34"/>
    </row>
    <row r="1004" spans="5:15">
      <c r="E1004" s="33"/>
      <c r="F1004" s="33"/>
      <c r="G1004" s="33"/>
      <c r="H1004" s="33"/>
      <c r="I1004" s="33"/>
      <c r="J1004" s="33"/>
      <c r="K1004" s="33"/>
      <c r="L1004" s="33"/>
      <c r="M1004" s="33"/>
      <c r="N1004" s="33"/>
      <c r="O1004" s="34"/>
    </row>
    <row r="1005" spans="5:15">
      <c r="E1005" s="33"/>
      <c r="F1005" s="33"/>
      <c r="G1005" s="33"/>
      <c r="H1005" s="33"/>
      <c r="I1005" s="33"/>
      <c r="J1005" s="33"/>
      <c r="K1005" s="33"/>
      <c r="L1005" s="33"/>
      <c r="M1005" s="33"/>
      <c r="N1005" s="33"/>
      <c r="O1005" s="34"/>
    </row>
    <row r="1006" spans="5:15">
      <c r="E1006" s="33"/>
      <c r="F1006" s="33"/>
      <c r="G1006" s="33"/>
      <c r="H1006" s="33"/>
      <c r="I1006" s="33"/>
      <c r="J1006" s="33"/>
      <c r="K1006" s="33"/>
      <c r="L1006" s="33"/>
      <c r="M1006" s="33"/>
      <c r="N1006" s="33"/>
      <c r="O1006" s="34"/>
    </row>
    <row r="1007" spans="5:15">
      <c r="E1007" s="33"/>
      <c r="F1007" s="33"/>
      <c r="G1007" s="33"/>
      <c r="H1007" s="33"/>
      <c r="I1007" s="33"/>
      <c r="J1007" s="33"/>
      <c r="K1007" s="33"/>
      <c r="L1007" s="33"/>
      <c r="M1007" s="33"/>
      <c r="N1007" s="33"/>
      <c r="O1007" s="34"/>
    </row>
    <row r="1008" spans="5:15">
      <c r="E1008" s="33"/>
      <c r="F1008" s="33"/>
      <c r="G1008" s="33"/>
      <c r="H1008" s="33"/>
      <c r="I1008" s="33"/>
      <c r="J1008" s="33"/>
      <c r="K1008" s="33"/>
      <c r="L1008" s="33"/>
      <c r="M1008" s="33"/>
      <c r="N1008" s="33"/>
      <c r="O1008" s="34"/>
    </row>
    <row r="1009" spans="5:15">
      <c r="E1009" s="33"/>
      <c r="F1009" s="33"/>
      <c r="G1009" s="33"/>
      <c r="H1009" s="33"/>
      <c r="I1009" s="33"/>
      <c r="J1009" s="33"/>
      <c r="K1009" s="33"/>
      <c r="L1009" s="33"/>
      <c r="M1009" s="33"/>
      <c r="N1009" s="33"/>
      <c r="O1009" s="34"/>
    </row>
    <row r="1010" spans="5:15">
      <c r="E1010" s="33"/>
      <c r="F1010" s="33"/>
      <c r="G1010" s="33"/>
      <c r="H1010" s="33"/>
      <c r="I1010" s="33"/>
      <c r="J1010" s="33"/>
      <c r="K1010" s="33"/>
      <c r="L1010" s="33"/>
      <c r="M1010" s="33"/>
      <c r="N1010" s="33"/>
      <c r="O1010" s="34"/>
    </row>
    <row r="1011" spans="5:15">
      <c r="E1011" s="33"/>
      <c r="F1011" s="33"/>
      <c r="G1011" s="33"/>
      <c r="H1011" s="33"/>
      <c r="I1011" s="33"/>
      <c r="J1011" s="33"/>
      <c r="K1011" s="33"/>
      <c r="L1011" s="33"/>
      <c r="M1011" s="33"/>
      <c r="N1011" s="33"/>
      <c r="O1011" s="34"/>
    </row>
    <row r="1012" spans="5:15">
      <c r="E1012" s="33"/>
      <c r="F1012" s="33"/>
      <c r="G1012" s="33"/>
      <c r="H1012" s="33"/>
      <c r="I1012" s="33"/>
      <c r="J1012" s="33"/>
      <c r="K1012" s="33"/>
      <c r="L1012" s="33"/>
      <c r="M1012" s="33"/>
      <c r="N1012" s="33"/>
      <c r="O1012" s="34"/>
    </row>
    <row r="1013" spans="5:15">
      <c r="E1013" s="33"/>
      <c r="F1013" s="33"/>
      <c r="G1013" s="33"/>
      <c r="H1013" s="33"/>
      <c r="I1013" s="33"/>
      <c r="J1013" s="33"/>
      <c r="K1013" s="33"/>
      <c r="L1013" s="33"/>
      <c r="M1013" s="33"/>
      <c r="N1013" s="33"/>
      <c r="O1013" s="34"/>
    </row>
    <row r="1014" spans="5:15">
      <c r="E1014" s="33"/>
      <c r="F1014" s="33"/>
      <c r="G1014" s="33"/>
      <c r="H1014" s="33"/>
      <c r="I1014" s="33"/>
      <c r="J1014" s="33"/>
      <c r="K1014" s="33"/>
      <c r="L1014" s="33"/>
      <c r="M1014" s="33"/>
      <c r="N1014" s="33"/>
      <c r="O1014" s="34"/>
    </row>
    <row r="1015" spans="5:15">
      <c r="E1015" s="33"/>
      <c r="F1015" s="33"/>
      <c r="G1015" s="33"/>
      <c r="H1015" s="33"/>
      <c r="I1015" s="33"/>
      <c r="J1015" s="33"/>
      <c r="K1015" s="33"/>
      <c r="L1015" s="33"/>
      <c r="M1015" s="33"/>
      <c r="N1015" s="33"/>
      <c r="O1015" s="34"/>
    </row>
    <row r="1016" spans="5:15">
      <c r="E1016" s="33"/>
      <c r="F1016" s="33"/>
      <c r="G1016" s="33"/>
      <c r="H1016" s="33"/>
      <c r="I1016" s="33"/>
      <c r="J1016" s="33"/>
      <c r="K1016" s="33"/>
      <c r="L1016" s="33"/>
      <c r="M1016" s="33"/>
      <c r="N1016" s="33"/>
      <c r="O1016" s="34"/>
    </row>
    <row r="1017" spans="5:15">
      <c r="E1017" s="33"/>
      <c r="F1017" s="33"/>
      <c r="G1017" s="33"/>
      <c r="H1017" s="33"/>
      <c r="I1017" s="33"/>
      <c r="J1017" s="33"/>
      <c r="K1017" s="33"/>
      <c r="L1017" s="33"/>
      <c r="M1017" s="33"/>
      <c r="N1017" s="33"/>
      <c r="O1017" s="34"/>
    </row>
    <row r="1018" spans="5:15">
      <c r="E1018" s="33"/>
      <c r="F1018" s="33"/>
      <c r="G1018" s="33"/>
      <c r="H1018" s="33"/>
      <c r="I1018" s="33"/>
      <c r="J1018" s="33"/>
      <c r="K1018" s="33"/>
      <c r="L1018" s="33"/>
      <c r="M1018" s="33"/>
      <c r="N1018" s="33"/>
      <c r="O1018" s="34"/>
    </row>
    <row r="1019" spans="5:15">
      <c r="E1019" s="33"/>
      <c r="F1019" s="33"/>
      <c r="G1019" s="33"/>
      <c r="H1019" s="33"/>
      <c r="I1019" s="33"/>
      <c r="J1019" s="33"/>
      <c r="K1019" s="33"/>
      <c r="L1019" s="33"/>
      <c r="M1019" s="33"/>
      <c r="N1019" s="33"/>
      <c r="O1019" s="34"/>
    </row>
    <row r="1020" spans="5:15">
      <c r="E1020" s="33"/>
      <c r="F1020" s="33"/>
      <c r="G1020" s="33"/>
      <c r="H1020" s="33"/>
      <c r="I1020" s="33"/>
      <c r="J1020" s="33"/>
      <c r="K1020" s="33"/>
      <c r="L1020" s="33"/>
      <c r="M1020" s="33"/>
      <c r="N1020" s="33"/>
      <c r="O1020" s="34"/>
    </row>
    <row r="1021" spans="5:15">
      <c r="E1021" s="33"/>
      <c r="F1021" s="33"/>
      <c r="G1021" s="33"/>
      <c r="H1021" s="33"/>
      <c r="I1021" s="33"/>
      <c r="J1021" s="33"/>
      <c r="K1021" s="33"/>
      <c r="L1021" s="33"/>
      <c r="M1021" s="33"/>
      <c r="N1021" s="33"/>
      <c r="O1021" s="34"/>
    </row>
    <row r="1022" spans="5:15">
      <c r="E1022" s="33"/>
      <c r="F1022" s="33"/>
      <c r="G1022" s="33"/>
      <c r="H1022" s="33"/>
      <c r="I1022" s="33"/>
      <c r="J1022" s="33"/>
      <c r="K1022" s="33"/>
      <c r="L1022" s="33"/>
      <c r="M1022" s="33"/>
      <c r="N1022" s="33"/>
      <c r="O1022" s="34"/>
    </row>
    <row r="1023" spans="5:15">
      <c r="E1023" s="33"/>
      <c r="F1023" s="33"/>
      <c r="G1023" s="33"/>
      <c r="H1023" s="33"/>
      <c r="I1023" s="33"/>
      <c r="J1023" s="33"/>
      <c r="K1023" s="33"/>
      <c r="L1023" s="33"/>
      <c r="M1023" s="33"/>
      <c r="N1023" s="33"/>
      <c r="O1023" s="34"/>
    </row>
    <row r="1024" spans="5:15">
      <c r="E1024" s="33"/>
      <c r="F1024" s="33"/>
      <c r="G1024" s="33"/>
      <c r="H1024" s="33"/>
      <c r="I1024" s="33"/>
      <c r="J1024" s="33"/>
      <c r="K1024" s="33"/>
      <c r="L1024" s="33"/>
      <c r="M1024" s="33"/>
      <c r="N1024" s="33"/>
      <c r="O1024" s="34"/>
    </row>
    <row r="1025" spans="5:15">
      <c r="E1025" s="33"/>
      <c r="F1025" s="33"/>
      <c r="G1025" s="33"/>
      <c r="H1025" s="33"/>
      <c r="I1025" s="33"/>
      <c r="J1025" s="33"/>
      <c r="K1025" s="33"/>
      <c r="L1025" s="33"/>
      <c r="M1025" s="33"/>
      <c r="N1025" s="33"/>
      <c r="O1025" s="34"/>
    </row>
    <row r="1026" spans="5:15">
      <c r="E1026" s="33"/>
      <c r="F1026" s="33"/>
      <c r="G1026" s="33"/>
      <c r="H1026" s="33"/>
      <c r="I1026" s="33"/>
      <c r="J1026" s="33"/>
      <c r="K1026" s="33"/>
      <c r="L1026" s="33"/>
      <c r="M1026" s="33"/>
      <c r="N1026" s="33"/>
      <c r="O1026" s="34"/>
    </row>
    <row r="1027" spans="5:15">
      <c r="E1027" s="33"/>
      <c r="F1027" s="33"/>
      <c r="G1027" s="33"/>
      <c r="H1027" s="33"/>
      <c r="I1027" s="33"/>
      <c r="J1027" s="33"/>
      <c r="K1027" s="33"/>
      <c r="L1027" s="33"/>
      <c r="M1027" s="33"/>
      <c r="N1027" s="33"/>
      <c r="O1027" s="34"/>
    </row>
    <row r="1028" spans="5:15">
      <c r="E1028" s="33"/>
      <c r="F1028" s="33"/>
      <c r="G1028" s="33"/>
      <c r="H1028" s="33"/>
      <c r="I1028" s="33"/>
      <c r="J1028" s="33"/>
      <c r="K1028" s="33"/>
      <c r="L1028" s="33"/>
      <c r="M1028" s="33"/>
      <c r="N1028" s="33"/>
      <c r="O1028" s="34"/>
    </row>
    <row r="1029" spans="5:15">
      <c r="E1029" s="33"/>
      <c r="F1029" s="33"/>
      <c r="G1029" s="33"/>
      <c r="H1029" s="33"/>
      <c r="I1029" s="33"/>
      <c r="J1029" s="33"/>
      <c r="K1029" s="33"/>
      <c r="L1029" s="33"/>
      <c r="M1029" s="33"/>
      <c r="N1029" s="33"/>
      <c r="O1029" s="34"/>
    </row>
    <row r="1030" spans="5:15">
      <c r="E1030" s="33"/>
      <c r="F1030" s="33"/>
      <c r="G1030" s="33"/>
      <c r="H1030" s="33"/>
      <c r="I1030" s="33"/>
      <c r="J1030" s="33"/>
      <c r="K1030" s="33"/>
      <c r="L1030" s="33"/>
      <c r="M1030" s="33"/>
      <c r="N1030" s="33"/>
      <c r="O1030" s="34"/>
    </row>
    <row r="1031" spans="5:15">
      <c r="E1031" s="33"/>
      <c r="F1031" s="33"/>
      <c r="G1031" s="33"/>
      <c r="H1031" s="33"/>
      <c r="I1031" s="33"/>
      <c r="J1031" s="33"/>
      <c r="K1031" s="33"/>
      <c r="L1031" s="33"/>
      <c r="M1031" s="33"/>
      <c r="N1031" s="33"/>
      <c r="O1031" s="34"/>
    </row>
    <row r="1032" spans="5:15">
      <c r="E1032" s="33"/>
      <c r="F1032" s="33"/>
      <c r="G1032" s="33"/>
      <c r="H1032" s="33"/>
      <c r="I1032" s="33"/>
      <c r="J1032" s="33"/>
      <c r="K1032" s="33"/>
      <c r="L1032" s="33"/>
      <c r="M1032" s="33"/>
      <c r="N1032" s="33"/>
      <c r="O1032" s="34"/>
    </row>
    <row r="1033" spans="5:15">
      <c r="E1033" s="33"/>
      <c r="F1033" s="33"/>
      <c r="G1033" s="33"/>
      <c r="H1033" s="33"/>
      <c r="I1033" s="33"/>
      <c r="J1033" s="33"/>
      <c r="K1033" s="33"/>
      <c r="L1033" s="33"/>
      <c r="M1033" s="33"/>
      <c r="N1033" s="33"/>
      <c r="O1033" s="34"/>
    </row>
    <row r="1034" spans="5:15">
      <c r="E1034" s="33"/>
      <c r="F1034" s="33"/>
      <c r="G1034" s="33"/>
      <c r="H1034" s="33"/>
      <c r="I1034" s="33"/>
      <c r="J1034" s="33"/>
      <c r="K1034" s="33"/>
      <c r="L1034" s="33"/>
      <c r="M1034" s="33"/>
      <c r="N1034" s="33"/>
      <c r="O1034" s="34"/>
    </row>
    <row r="1035" spans="5:15">
      <c r="E1035" s="33"/>
      <c r="F1035" s="33"/>
      <c r="G1035" s="33"/>
      <c r="H1035" s="33"/>
      <c r="I1035" s="33"/>
      <c r="J1035" s="33"/>
      <c r="K1035" s="33"/>
      <c r="L1035" s="33"/>
      <c r="M1035" s="33"/>
      <c r="N1035" s="33"/>
      <c r="O1035" s="34"/>
    </row>
    <row r="1036" spans="5:15">
      <c r="E1036" s="33"/>
      <c r="F1036" s="33"/>
      <c r="G1036" s="33"/>
      <c r="H1036" s="33"/>
      <c r="I1036" s="33"/>
      <c r="J1036" s="33"/>
      <c r="K1036" s="33"/>
      <c r="L1036" s="33"/>
      <c r="M1036" s="33"/>
      <c r="N1036" s="33"/>
      <c r="O1036" s="34"/>
    </row>
    <row r="1037" spans="5:15">
      <c r="E1037" s="33"/>
      <c r="F1037" s="33"/>
      <c r="G1037" s="33"/>
      <c r="H1037" s="33"/>
      <c r="I1037" s="33"/>
      <c r="J1037" s="33"/>
      <c r="K1037" s="33"/>
      <c r="L1037" s="33"/>
      <c r="M1037" s="33"/>
      <c r="N1037" s="33"/>
      <c r="O1037" s="34"/>
    </row>
    <row r="1038" spans="5:15">
      <c r="E1038" s="33"/>
      <c r="F1038" s="33"/>
      <c r="G1038" s="33"/>
      <c r="H1038" s="33"/>
      <c r="I1038" s="33"/>
      <c r="J1038" s="33"/>
      <c r="K1038" s="33"/>
      <c r="L1038" s="33"/>
      <c r="M1038" s="33"/>
      <c r="N1038" s="33"/>
      <c r="O1038" s="34"/>
    </row>
    <row r="1039" spans="5:15">
      <c r="E1039" s="33"/>
      <c r="F1039" s="33"/>
      <c r="G1039" s="33"/>
      <c r="H1039" s="33"/>
      <c r="I1039" s="33"/>
      <c r="J1039" s="33"/>
      <c r="K1039" s="33"/>
      <c r="L1039" s="33"/>
      <c r="M1039" s="33"/>
      <c r="N1039" s="33"/>
      <c r="O1039" s="34"/>
    </row>
    <row r="1040" spans="5:15">
      <c r="E1040" s="33"/>
      <c r="F1040" s="33"/>
      <c r="G1040" s="33"/>
      <c r="H1040" s="33"/>
      <c r="I1040" s="33"/>
      <c r="J1040" s="33"/>
      <c r="K1040" s="33"/>
      <c r="L1040" s="33"/>
      <c r="M1040" s="33"/>
      <c r="N1040" s="33"/>
      <c r="O1040" s="34"/>
    </row>
    <row r="1041" spans="5:15">
      <c r="E1041" s="33"/>
      <c r="F1041" s="33"/>
      <c r="G1041" s="33"/>
      <c r="H1041" s="33"/>
      <c r="I1041" s="33"/>
      <c r="J1041" s="33"/>
      <c r="K1041" s="33"/>
      <c r="L1041" s="33"/>
      <c r="M1041" s="33"/>
      <c r="N1041" s="33"/>
      <c r="O1041" s="34"/>
    </row>
    <row r="1042" spans="5:15">
      <c r="E1042" s="33"/>
      <c r="F1042" s="33"/>
      <c r="G1042" s="33"/>
      <c r="H1042" s="33"/>
      <c r="I1042" s="33"/>
      <c r="J1042" s="33"/>
      <c r="K1042" s="33"/>
      <c r="L1042" s="33"/>
      <c r="M1042" s="33"/>
      <c r="N1042" s="33"/>
      <c r="O1042" s="34"/>
    </row>
    <row r="1043" spans="5:15">
      <c r="E1043" s="33"/>
      <c r="F1043" s="33"/>
      <c r="G1043" s="33"/>
      <c r="H1043" s="33"/>
      <c r="I1043" s="33"/>
      <c r="J1043" s="33"/>
      <c r="K1043" s="33"/>
      <c r="L1043" s="33"/>
      <c r="M1043" s="33"/>
      <c r="N1043" s="33"/>
      <c r="O1043" s="34"/>
    </row>
    <row r="1044" spans="5:15">
      <c r="E1044" s="33"/>
      <c r="F1044" s="33"/>
      <c r="G1044" s="33"/>
      <c r="H1044" s="33"/>
      <c r="I1044" s="33"/>
      <c r="J1044" s="33"/>
      <c r="K1044" s="33"/>
      <c r="L1044" s="33"/>
      <c r="M1044" s="33"/>
      <c r="N1044" s="33"/>
      <c r="O1044" s="34"/>
    </row>
    <row r="1045" spans="5:15">
      <c r="E1045" s="33"/>
      <c r="F1045" s="33"/>
      <c r="G1045" s="33"/>
      <c r="H1045" s="33"/>
      <c r="I1045" s="33"/>
      <c r="J1045" s="33"/>
      <c r="K1045" s="33"/>
      <c r="L1045" s="33"/>
      <c r="M1045" s="33"/>
      <c r="N1045" s="33"/>
      <c r="O1045" s="34"/>
    </row>
    <row r="1046" spans="5:15">
      <c r="E1046" s="33"/>
      <c r="F1046" s="33"/>
      <c r="G1046" s="33"/>
      <c r="H1046" s="33"/>
      <c r="I1046" s="33"/>
      <c r="J1046" s="33"/>
      <c r="K1046" s="33"/>
      <c r="L1046" s="33"/>
      <c r="M1046" s="33"/>
      <c r="N1046" s="33"/>
      <c r="O1046" s="34"/>
    </row>
    <row r="1047" spans="5:15">
      <c r="E1047" s="33"/>
      <c r="F1047" s="33"/>
      <c r="G1047" s="33"/>
      <c r="H1047" s="33"/>
      <c r="I1047" s="33"/>
      <c r="J1047" s="33"/>
      <c r="K1047" s="33"/>
      <c r="L1047" s="33"/>
      <c r="M1047" s="33"/>
      <c r="N1047" s="33"/>
      <c r="O1047" s="34"/>
    </row>
    <row r="1048" spans="5:15">
      <c r="E1048" s="33"/>
      <c r="F1048" s="33"/>
      <c r="G1048" s="33"/>
      <c r="H1048" s="33"/>
      <c r="I1048" s="33"/>
      <c r="J1048" s="33"/>
      <c r="K1048" s="33"/>
      <c r="L1048" s="33"/>
      <c r="M1048" s="33"/>
      <c r="N1048" s="33"/>
      <c r="O1048" s="34"/>
    </row>
    <row r="1049" spans="5:15">
      <c r="E1049" s="33"/>
      <c r="F1049" s="33"/>
      <c r="G1049" s="33"/>
      <c r="H1049" s="33"/>
      <c r="I1049" s="33"/>
      <c r="J1049" s="33"/>
      <c r="K1049" s="33"/>
      <c r="L1049" s="33"/>
      <c r="M1049" s="33"/>
      <c r="N1049" s="33"/>
      <c r="O1049" s="34"/>
    </row>
    <row r="1050" spans="5:15">
      <c r="E1050" s="33"/>
      <c r="F1050" s="33"/>
      <c r="G1050" s="33"/>
      <c r="H1050" s="33"/>
      <c r="I1050" s="33"/>
      <c r="J1050" s="33"/>
      <c r="K1050" s="33"/>
      <c r="L1050" s="33"/>
      <c r="M1050" s="33"/>
      <c r="N1050" s="33"/>
      <c r="O1050" s="34"/>
    </row>
    <row r="1051" spans="5:15">
      <c r="E1051" s="33"/>
      <c r="F1051" s="33"/>
      <c r="G1051" s="33"/>
      <c r="H1051" s="33"/>
      <c r="I1051" s="33"/>
      <c r="J1051" s="33"/>
      <c r="K1051" s="33"/>
      <c r="L1051" s="33"/>
      <c r="M1051" s="33"/>
      <c r="N1051" s="33"/>
      <c r="O1051" s="34"/>
    </row>
    <row r="1052" spans="5:15">
      <c r="E1052" s="33"/>
      <c r="F1052" s="33"/>
      <c r="G1052" s="33"/>
      <c r="H1052" s="33"/>
      <c r="I1052" s="33"/>
      <c r="J1052" s="33"/>
      <c r="K1052" s="33"/>
      <c r="L1052" s="33"/>
      <c r="M1052" s="33"/>
      <c r="N1052" s="33"/>
      <c r="O1052" s="34"/>
    </row>
    <row r="1053" spans="5:15">
      <c r="E1053" s="33"/>
      <c r="F1053" s="33"/>
      <c r="G1053" s="33"/>
      <c r="H1053" s="33"/>
      <c r="I1053" s="33"/>
      <c r="J1053" s="33"/>
      <c r="K1053" s="33"/>
      <c r="L1053" s="33"/>
      <c r="M1053" s="33"/>
      <c r="N1053" s="33"/>
      <c r="O1053" s="34"/>
    </row>
    <row r="1054" spans="5:15">
      <c r="E1054" s="33"/>
      <c r="F1054" s="33"/>
      <c r="G1054" s="33"/>
      <c r="H1054" s="33"/>
      <c r="I1054" s="33"/>
      <c r="J1054" s="33"/>
      <c r="K1054" s="33"/>
      <c r="L1054" s="33"/>
      <c r="M1054" s="33"/>
      <c r="N1054" s="33"/>
      <c r="O1054" s="34"/>
    </row>
    <row r="1055" spans="5:15">
      <c r="E1055" s="33"/>
      <c r="F1055" s="33"/>
      <c r="G1055" s="33"/>
      <c r="H1055" s="33"/>
      <c r="I1055" s="33"/>
      <c r="J1055" s="33"/>
      <c r="K1055" s="33"/>
      <c r="L1055" s="33"/>
      <c r="M1055" s="33"/>
      <c r="N1055" s="33"/>
      <c r="O1055" s="34"/>
    </row>
    <row r="1056" spans="5:15">
      <c r="E1056" s="33"/>
      <c r="F1056" s="33"/>
      <c r="G1056" s="33"/>
      <c r="H1056" s="33"/>
      <c r="I1056" s="33"/>
      <c r="J1056" s="33"/>
      <c r="K1056" s="33"/>
      <c r="L1056" s="33"/>
      <c r="M1056" s="33"/>
      <c r="N1056" s="33"/>
      <c r="O1056" s="34"/>
    </row>
    <row r="1057" spans="5:15">
      <c r="E1057" s="33"/>
      <c r="F1057" s="33"/>
      <c r="G1057" s="33"/>
      <c r="H1057" s="33"/>
      <c r="I1057" s="33"/>
      <c r="J1057" s="33"/>
      <c r="K1057" s="33"/>
      <c r="L1057" s="33"/>
      <c r="M1057" s="33"/>
      <c r="N1057" s="33"/>
      <c r="O1057" s="34"/>
    </row>
    <row r="1058" spans="5:15">
      <c r="E1058" s="33"/>
      <c r="F1058" s="33"/>
      <c r="G1058" s="33"/>
      <c r="H1058" s="33"/>
      <c r="I1058" s="33"/>
      <c r="J1058" s="33"/>
      <c r="K1058" s="33"/>
      <c r="L1058" s="33"/>
      <c r="M1058" s="33"/>
      <c r="N1058" s="33"/>
      <c r="O1058" s="34"/>
    </row>
    <row r="1059" spans="5:15">
      <c r="E1059" s="33"/>
      <c r="F1059" s="33"/>
      <c r="G1059" s="33"/>
      <c r="H1059" s="33"/>
      <c r="I1059" s="33"/>
      <c r="J1059" s="33"/>
      <c r="K1059" s="33"/>
      <c r="L1059" s="33"/>
      <c r="M1059" s="33"/>
      <c r="N1059" s="33"/>
      <c r="O1059" s="34"/>
    </row>
    <row r="1060" spans="5:15">
      <c r="E1060" s="33"/>
      <c r="F1060" s="33"/>
      <c r="G1060" s="33"/>
      <c r="H1060" s="33"/>
      <c r="I1060" s="33"/>
      <c r="J1060" s="33"/>
      <c r="K1060" s="33"/>
      <c r="L1060" s="33"/>
      <c r="M1060" s="33"/>
      <c r="N1060" s="33"/>
      <c r="O1060" s="34"/>
    </row>
    <row r="1061" spans="5:15">
      <c r="E1061" s="33"/>
      <c r="F1061" s="33"/>
      <c r="G1061" s="33"/>
      <c r="H1061" s="33"/>
      <c r="I1061" s="33"/>
      <c r="J1061" s="33"/>
      <c r="K1061" s="33"/>
      <c r="L1061" s="33"/>
      <c r="M1061" s="33"/>
      <c r="N1061" s="33"/>
      <c r="O1061" s="34"/>
    </row>
    <row r="1062" spans="5:15">
      <c r="E1062" s="33"/>
      <c r="F1062" s="33"/>
      <c r="G1062" s="33"/>
      <c r="H1062" s="33"/>
      <c r="I1062" s="33"/>
      <c r="J1062" s="33"/>
      <c r="K1062" s="33"/>
      <c r="L1062" s="33"/>
      <c r="M1062" s="33"/>
      <c r="N1062" s="33"/>
      <c r="O1062" s="34"/>
    </row>
    <row r="1063" spans="5:15">
      <c r="E1063" s="33"/>
      <c r="F1063" s="33"/>
      <c r="G1063" s="33"/>
      <c r="H1063" s="33"/>
      <c r="I1063" s="33"/>
      <c r="J1063" s="33"/>
      <c r="K1063" s="33"/>
      <c r="L1063" s="33"/>
      <c r="M1063" s="33"/>
      <c r="N1063" s="33"/>
      <c r="O1063" s="34"/>
    </row>
    <row r="1064" spans="5:15">
      <c r="E1064" s="33"/>
      <c r="F1064" s="33"/>
      <c r="G1064" s="33"/>
      <c r="H1064" s="33"/>
      <c r="I1064" s="33"/>
      <c r="J1064" s="33"/>
      <c r="K1064" s="33"/>
      <c r="L1064" s="33"/>
      <c r="M1064" s="33"/>
      <c r="N1064" s="33"/>
      <c r="O1064" s="34"/>
    </row>
    <row r="1065" spans="5:15">
      <c r="E1065" s="33"/>
      <c r="F1065" s="33"/>
      <c r="G1065" s="33"/>
      <c r="H1065" s="33"/>
      <c r="I1065" s="33"/>
      <c r="J1065" s="33"/>
      <c r="K1065" s="33"/>
      <c r="L1065" s="33"/>
      <c r="M1065" s="33"/>
      <c r="N1065" s="33"/>
      <c r="O1065" s="34"/>
    </row>
    <row r="1066" spans="5:15">
      <c r="E1066" s="33"/>
      <c r="F1066" s="33"/>
      <c r="G1066" s="33"/>
      <c r="H1066" s="33"/>
      <c r="I1066" s="33"/>
      <c r="J1066" s="33"/>
      <c r="K1066" s="33"/>
      <c r="L1066" s="33"/>
      <c r="M1066" s="33"/>
      <c r="N1066" s="33"/>
      <c r="O1066" s="34"/>
    </row>
    <row r="1067" spans="5:15">
      <c r="E1067" s="33"/>
      <c r="F1067" s="33"/>
      <c r="G1067" s="33"/>
      <c r="H1067" s="33"/>
      <c r="I1067" s="33"/>
      <c r="J1067" s="33"/>
      <c r="K1067" s="33"/>
      <c r="L1067" s="33"/>
      <c r="M1067" s="33"/>
      <c r="N1067" s="33"/>
      <c r="O1067" s="34"/>
    </row>
    <row r="1068" spans="5:15">
      <c r="E1068" s="33"/>
      <c r="F1068" s="33"/>
      <c r="G1068" s="33"/>
      <c r="H1068" s="33"/>
      <c r="I1068" s="33"/>
      <c r="J1068" s="33"/>
      <c r="K1068" s="33"/>
      <c r="L1068" s="33"/>
      <c r="M1068" s="33"/>
      <c r="N1068" s="33"/>
      <c r="O1068" s="34"/>
    </row>
    <row r="1069" spans="5:15">
      <c r="E1069" s="33"/>
      <c r="F1069" s="33"/>
      <c r="G1069" s="33"/>
      <c r="H1069" s="33"/>
      <c r="I1069" s="33"/>
      <c r="J1069" s="33"/>
      <c r="K1069" s="33"/>
      <c r="L1069" s="33"/>
      <c r="M1069" s="33"/>
      <c r="N1069" s="33"/>
      <c r="O1069" s="34"/>
    </row>
    <row r="1070" spans="5:15">
      <c r="E1070" s="33"/>
      <c r="F1070" s="33"/>
      <c r="G1070" s="33"/>
      <c r="H1070" s="33"/>
      <c r="I1070" s="33"/>
      <c r="J1070" s="33"/>
      <c r="K1070" s="33"/>
      <c r="L1070" s="33"/>
      <c r="M1070" s="33"/>
      <c r="N1070" s="33"/>
      <c r="O1070" s="34"/>
    </row>
    <row r="1071" spans="5:15">
      <c r="E1071" s="33"/>
      <c r="F1071" s="33"/>
      <c r="G1071" s="33"/>
      <c r="H1071" s="33"/>
      <c r="I1071" s="33"/>
      <c r="J1071" s="33"/>
      <c r="K1071" s="33"/>
      <c r="L1071" s="33"/>
      <c r="M1071" s="33"/>
      <c r="N1071" s="33"/>
      <c r="O1071" s="34"/>
    </row>
    <row r="1072" spans="5:15">
      <c r="E1072" s="33"/>
      <c r="F1072" s="33"/>
      <c r="G1072" s="33"/>
      <c r="H1072" s="33"/>
      <c r="I1072" s="33"/>
      <c r="J1072" s="33"/>
      <c r="K1072" s="33"/>
      <c r="L1072" s="33"/>
      <c r="M1072" s="33"/>
      <c r="N1072" s="33"/>
      <c r="O1072" s="34"/>
    </row>
    <row r="1073" spans="5:15">
      <c r="E1073" s="33"/>
      <c r="F1073" s="33"/>
      <c r="G1073" s="33"/>
      <c r="H1073" s="33"/>
      <c r="I1073" s="33"/>
      <c r="J1073" s="33"/>
      <c r="K1073" s="33"/>
      <c r="L1073" s="33"/>
      <c r="M1073" s="33"/>
      <c r="N1073" s="33"/>
      <c r="O1073" s="34"/>
    </row>
    <row r="1074" spans="5:15">
      <c r="E1074" s="33"/>
      <c r="F1074" s="33"/>
      <c r="G1074" s="33"/>
      <c r="H1074" s="33"/>
      <c r="I1074" s="33"/>
      <c r="J1074" s="33"/>
      <c r="K1074" s="33"/>
      <c r="L1074" s="33"/>
      <c r="M1074" s="33"/>
      <c r="N1074" s="33"/>
      <c r="O1074" s="34"/>
    </row>
    <row r="1075" spans="5:15">
      <c r="E1075" s="33"/>
      <c r="F1075" s="33"/>
      <c r="G1075" s="33"/>
      <c r="H1075" s="33"/>
      <c r="I1075" s="33"/>
      <c r="J1075" s="33"/>
      <c r="K1075" s="33"/>
      <c r="L1075" s="33"/>
      <c r="M1075" s="33"/>
      <c r="N1075" s="33"/>
      <c r="O1075" s="34"/>
    </row>
    <row r="1076" spans="5:15">
      <c r="E1076" s="33"/>
      <c r="F1076" s="33"/>
      <c r="G1076" s="33"/>
      <c r="H1076" s="33"/>
      <c r="I1076" s="33"/>
      <c r="J1076" s="33"/>
      <c r="K1076" s="33"/>
      <c r="L1076" s="33"/>
      <c r="M1076" s="33"/>
      <c r="N1076" s="33"/>
      <c r="O1076" s="34"/>
    </row>
    <row r="1077" spans="5:15">
      <c r="E1077" s="33"/>
      <c r="F1077" s="33"/>
      <c r="G1077" s="33"/>
      <c r="H1077" s="33"/>
      <c r="I1077" s="33"/>
      <c r="J1077" s="33"/>
      <c r="K1077" s="33"/>
      <c r="L1077" s="33"/>
      <c r="M1077" s="33"/>
      <c r="N1077" s="33"/>
      <c r="O1077" s="34"/>
    </row>
    <row r="1078" spans="5:15">
      <c r="E1078" s="33"/>
      <c r="F1078" s="33"/>
      <c r="G1078" s="33"/>
      <c r="H1078" s="33"/>
      <c r="I1078" s="33"/>
      <c r="J1078" s="33"/>
      <c r="K1078" s="33"/>
      <c r="L1078" s="33"/>
      <c r="M1078" s="33"/>
      <c r="N1078" s="33"/>
      <c r="O1078" s="34"/>
    </row>
    <row r="1079" spans="5:15">
      <c r="E1079" s="33"/>
      <c r="F1079" s="33"/>
      <c r="G1079" s="33"/>
      <c r="H1079" s="33"/>
      <c r="I1079" s="33"/>
      <c r="J1079" s="33"/>
      <c r="K1079" s="33"/>
      <c r="L1079" s="33"/>
      <c r="M1079" s="33"/>
      <c r="N1079" s="33"/>
      <c r="O1079" s="34"/>
    </row>
    <row r="1080" spans="5:15">
      <c r="E1080" s="33"/>
      <c r="F1080" s="33"/>
      <c r="G1080" s="33"/>
      <c r="H1080" s="33"/>
      <c r="I1080" s="33"/>
      <c r="J1080" s="33"/>
      <c r="K1080" s="33"/>
      <c r="L1080" s="33"/>
      <c r="M1080" s="33"/>
      <c r="N1080" s="33"/>
      <c r="O1080" s="34"/>
    </row>
    <row r="1081" spans="5:15">
      <c r="E1081" s="33"/>
      <c r="F1081" s="33"/>
      <c r="G1081" s="33"/>
      <c r="H1081" s="33"/>
      <c r="I1081" s="33"/>
      <c r="J1081" s="33"/>
      <c r="K1081" s="33"/>
      <c r="L1081" s="33"/>
      <c r="M1081" s="33"/>
      <c r="N1081" s="33"/>
      <c r="O1081" s="34"/>
    </row>
    <row r="1082" spans="5:15">
      <c r="E1082" s="33"/>
      <c r="F1082" s="33"/>
      <c r="G1082" s="33"/>
      <c r="H1082" s="33"/>
      <c r="I1082" s="33"/>
      <c r="J1082" s="33"/>
      <c r="K1082" s="33"/>
      <c r="L1082" s="33"/>
      <c r="M1082" s="33"/>
      <c r="N1082" s="33"/>
      <c r="O1082" s="34"/>
    </row>
    <row r="1083" spans="5:15">
      <c r="E1083" s="33"/>
      <c r="F1083" s="33"/>
      <c r="G1083" s="33"/>
      <c r="H1083" s="33"/>
      <c r="I1083" s="33"/>
      <c r="J1083" s="33"/>
      <c r="K1083" s="33"/>
      <c r="L1083" s="33"/>
      <c r="M1083" s="33"/>
      <c r="N1083" s="33"/>
      <c r="O1083" s="34"/>
    </row>
    <row r="1084" spans="5:15">
      <c r="E1084" s="33"/>
      <c r="F1084" s="33"/>
      <c r="G1084" s="33"/>
      <c r="H1084" s="33"/>
      <c r="I1084" s="33"/>
      <c r="J1084" s="33"/>
      <c r="K1084" s="33"/>
      <c r="L1084" s="33"/>
      <c r="M1084" s="33"/>
      <c r="N1084" s="33"/>
      <c r="O1084" s="34"/>
    </row>
    <row r="1085" spans="5:15">
      <c r="E1085" s="33"/>
      <c r="F1085" s="33"/>
      <c r="G1085" s="33"/>
      <c r="H1085" s="33"/>
      <c r="I1085" s="33"/>
      <c r="J1085" s="33"/>
      <c r="K1085" s="33"/>
      <c r="L1085" s="33"/>
      <c r="M1085" s="33"/>
      <c r="N1085" s="33"/>
      <c r="O1085" s="34"/>
    </row>
    <row r="1086" spans="5:15">
      <c r="E1086" s="33"/>
      <c r="F1086" s="33"/>
      <c r="G1086" s="33"/>
      <c r="H1086" s="33"/>
      <c r="I1086" s="33"/>
      <c r="J1086" s="33"/>
      <c r="K1086" s="33"/>
      <c r="L1086" s="33"/>
      <c r="M1086" s="33"/>
      <c r="N1086" s="33"/>
      <c r="O1086" s="34"/>
    </row>
    <row r="1087" spans="5:15">
      <c r="E1087" s="33"/>
      <c r="F1087" s="33"/>
      <c r="G1087" s="33"/>
      <c r="H1087" s="33"/>
      <c r="I1087" s="33"/>
      <c r="J1087" s="33"/>
      <c r="K1087" s="33"/>
      <c r="L1087" s="33"/>
      <c r="M1087" s="33"/>
      <c r="N1087" s="33"/>
      <c r="O1087" s="34"/>
    </row>
    <row r="1088" spans="5:15">
      <c r="E1088" s="33"/>
      <c r="F1088" s="33"/>
      <c r="G1088" s="33"/>
      <c r="H1088" s="33"/>
      <c r="I1088" s="33"/>
      <c r="J1088" s="33"/>
      <c r="K1088" s="33"/>
      <c r="L1088" s="33"/>
      <c r="M1088" s="33"/>
      <c r="N1088" s="33"/>
      <c r="O1088" s="34"/>
    </row>
    <row r="1089" spans="5:15">
      <c r="E1089" s="33"/>
      <c r="F1089" s="33"/>
      <c r="G1089" s="33"/>
      <c r="H1089" s="33"/>
      <c r="I1089" s="33"/>
      <c r="J1089" s="33"/>
      <c r="K1089" s="33"/>
      <c r="L1089" s="33"/>
      <c r="M1089" s="33"/>
      <c r="N1089" s="33"/>
      <c r="O1089" s="34"/>
    </row>
    <row r="1090" spans="5:15">
      <c r="E1090" s="33"/>
      <c r="F1090" s="33"/>
      <c r="G1090" s="33"/>
      <c r="H1090" s="33"/>
      <c r="I1090" s="33"/>
      <c r="J1090" s="33"/>
      <c r="K1090" s="33"/>
      <c r="L1090" s="33"/>
      <c r="M1090" s="33"/>
      <c r="N1090" s="33"/>
      <c r="O1090" s="34"/>
    </row>
    <row r="1091" spans="5:15">
      <c r="E1091" s="33"/>
      <c r="F1091" s="33"/>
      <c r="G1091" s="33"/>
      <c r="H1091" s="33"/>
      <c r="I1091" s="33"/>
      <c r="J1091" s="33"/>
      <c r="K1091" s="33"/>
      <c r="L1091" s="33"/>
      <c r="M1091" s="33"/>
      <c r="N1091" s="33"/>
      <c r="O1091" s="34"/>
    </row>
    <row r="1092" spans="5:15">
      <c r="E1092" s="33"/>
      <c r="F1092" s="33"/>
      <c r="G1092" s="33"/>
      <c r="H1092" s="33"/>
      <c r="I1092" s="33"/>
      <c r="J1092" s="33"/>
      <c r="K1092" s="33"/>
      <c r="L1092" s="33"/>
      <c r="M1092" s="33"/>
      <c r="N1092" s="33"/>
      <c r="O1092" s="34"/>
    </row>
    <row r="1093" spans="5:15">
      <c r="E1093" s="33"/>
      <c r="F1093" s="33"/>
      <c r="G1093" s="33"/>
      <c r="H1093" s="33"/>
      <c r="I1093" s="33"/>
      <c r="J1093" s="33"/>
      <c r="K1093" s="33"/>
      <c r="L1093" s="33"/>
      <c r="M1093" s="33"/>
      <c r="N1093" s="33"/>
      <c r="O1093" s="34"/>
    </row>
    <row r="1094" spans="5:15">
      <c r="E1094" s="33"/>
      <c r="F1094" s="33"/>
      <c r="G1094" s="33"/>
      <c r="H1094" s="33"/>
      <c r="I1094" s="33"/>
      <c r="J1094" s="33"/>
      <c r="K1094" s="33"/>
      <c r="L1094" s="33"/>
      <c r="M1094" s="33"/>
      <c r="N1094" s="33"/>
      <c r="O1094" s="34"/>
    </row>
    <row r="1095" spans="5:15">
      <c r="E1095" s="33"/>
      <c r="F1095" s="33"/>
      <c r="G1095" s="33"/>
      <c r="H1095" s="33"/>
      <c r="I1095" s="33"/>
      <c r="J1095" s="33"/>
      <c r="K1095" s="33"/>
      <c r="L1095" s="33"/>
      <c r="M1095" s="33"/>
      <c r="N1095" s="33"/>
      <c r="O1095" s="34"/>
    </row>
    <row r="1096" spans="5:15">
      <c r="E1096" s="33"/>
      <c r="F1096" s="33"/>
      <c r="G1096" s="33"/>
      <c r="H1096" s="33"/>
      <c r="I1096" s="33"/>
      <c r="J1096" s="33"/>
      <c r="K1096" s="33"/>
      <c r="L1096" s="33"/>
      <c r="M1096" s="33"/>
      <c r="N1096" s="33"/>
      <c r="O1096" s="34"/>
    </row>
    <row r="1097" spans="5:15">
      <c r="E1097" s="33"/>
      <c r="F1097" s="33"/>
      <c r="G1097" s="33"/>
      <c r="H1097" s="33"/>
      <c r="I1097" s="33"/>
      <c r="J1097" s="33"/>
      <c r="K1097" s="33"/>
      <c r="L1097" s="33"/>
      <c r="M1097" s="33"/>
      <c r="N1097" s="33"/>
      <c r="O1097" s="34"/>
    </row>
    <row r="1098" spans="5:15">
      <c r="E1098" s="33"/>
      <c r="F1098" s="33"/>
      <c r="G1098" s="33"/>
      <c r="H1098" s="33"/>
      <c r="I1098" s="33"/>
      <c r="J1098" s="33"/>
      <c r="K1098" s="33"/>
      <c r="L1098" s="33"/>
      <c r="M1098" s="33"/>
      <c r="N1098" s="33"/>
      <c r="O1098" s="34"/>
    </row>
    <row r="1099" spans="5:15">
      <c r="E1099" s="33"/>
      <c r="F1099" s="33"/>
      <c r="G1099" s="33"/>
      <c r="H1099" s="33"/>
      <c r="I1099" s="33"/>
      <c r="J1099" s="33"/>
      <c r="K1099" s="33"/>
      <c r="L1099" s="33"/>
      <c r="M1099" s="33"/>
      <c r="N1099" s="33"/>
      <c r="O1099" s="34"/>
    </row>
  </sheetData>
  <mergeCells count="1">
    <mergeCell ref="B3:D3"/>
  </mergeCells>
  <printOptions gridLines="1"/>
  <pageMargins left="0.7" right="0.7" top="0.75" bottom="0.75" header="0.3" footer="0.3"/>
  <pageSetup paperSize="9" scale="8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zoomScaleNormal="100"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zoomScaleNormal="100" workbookViewId="0"/>
  </sheetViews>
  <sheetFormatPr defaultColWidth="9.140625" defaultRowHeight="15" outlineLevelCol="1"/>
  <cols>
    <col min="1" max="1" width="16.7109375" style="14" customWidth="1"/>
    <col min="2" max="2" width="22.7109375" style="14" customWidth="1"/>
    <col min="3" max="3" width="16.7109375" style="14" customWidth="1"/>
    <col min="4" max="4" width="22.7109375" style="14" customWidth="1"/>
    <col min="5" max="5" width="14" style="14" customWidth="1"/>
    <col min="6" max="6" width="10.7109375" style="14" customWidth="1"/>
    <col min="7" max="11" width="10.7109375" style="14" hidden="1" customWidth="1" outlineLevel="1"/>
    <col min="12" max="12" width="10.7109375" style="14" customWidth="1" collapsed="1"/>
    <col min="13" max="16" width="10.7109375" style="14" hidden="1" customWidth="1" outlineLevel="1"/>
    <col min="17" max="17" width="10.7109375" style="14" customWidth="1" collapsed="1"/>
    <col min="18" max="21" width="10.7109375" style="14" hidden="1" customWidth="1" outlineLevel="1"/>
    <col min="22" max="22" width="10.7109375" style="14" customWidth="1" collapsed="1"/>
    <col min="23" max="27" width="10.7109375" style="14" hidden="1" customWidth="1" outlineLevel="1"/>
    <col min="28" max="28" width="10.7109375" style="14" customWidth="1" collapsed="1"/>
    <col min="29" max="32" width="10.7109375" style="14" hidden="1" customWidth="1" outlineLevel="1"/>
    <col min="33" max="33" width="10.7109375" style="14" customWidth="1" collapsed="1"/>
    <col min="34" max="37" width="10.7109375" style="14" hidden="1" customWidth="1" outlineLevel="1"/>
    <col min="38" max="38" width="10.7109375" style="14" customWidth="1" collapsed="1"/>
    <col min="39" max="43" width="10.7109375" style="14" hidden="1" customWidth="1" outlineLevel="1"/>
    <col min="44" max="44" width="10.7109375" style="14" customWidth="1" collapsed="1"/>
    <col min="45" max="48" width="10.7109375" style="14" hidden="1" customWidth="1" outlineLevel="1"/>
    <col min="49" max="49" width="10.7109375" style="14" customWidth="1" collapsed="1"/>
    <col min="50" max="53" width="10.7109375" style="14" hidden="1" customWidth="1" outlineLevel="1"/>
    <col min="54" max="54" width="10.7109375" style="14" customWidth="1" collapsed="1"/>
    <col min="55" max="59" width="10.7109375" style="14" hidden="1" customWidth="1" outlineLevel="1"/>
    <col min="60" max="60" width="10.7109375" style="14" customWidth="1" collapsed="1"/>
    <col min="61" max="64" width="10.7109375" style="14" hidden="1" customWidth="1" outlineLevel="1"/>
    <col min="65" max="65" width="10.7109375" style="14" customWidth="1" collapsed="1"/>
    <col min="66" max="69" width="10.7109375" style="14" hidden="1" customWidth="1" outlineLevel="1"/>
    <col min="70" max="70" width="10.7109375" style="19" hidden="1" customWidth="1" outlineLevel="1"/>
    <col min="71" max="71" width="10.7109375" style="14" customWidth="1" collapsed="1"/>
    <col min="72" max="72" width="10.7109375" style="14" customWidth="1"/>
    <col min="73" max="73" width="10.7109375" style="19" customWidth="1"/>
    <col min="74" max="74" width="1.5703125" style="14" customWidth="1"/>
    <col min="75" max="75" width="10.28515625" style="14" customWidth="1"/>
    <col min="76" max="76" width="5.7109375" style="14" customWidth="1"/>
    <col min="77" max="77" width="7.140625" style="14" customWidth="1"/>
    <col min="78" max="78" width="5.140625" style="14" customWidth="1"/>
    <col min="79" max="79" width="1.42578125" style="14" customWidth="1"/>
    <col min="80" max="80" width="21.140625" style="14" customWidth="1"/>
    <col min="81" max="81" width="10.140625" style="14" customWidth="1"/>
    <col min="82" max="82" width="9.28515625" style="14" customWidth="1"/>
    <col min="83" max="83" width="23.140625" style="14" customWidth="1" outlineLevel="1"/>
    <col min="84" max="84" width="11.7109375" style="14" customWidth="1" outlineLevel="1"/>
    <col min="85" max="85" width="9.140625" style="14" customWidth="1" outlineLevel="1"/>
    <col min="86" max="16384" width="9.140625" style="14"/>
  </cols>
  <sheetData>
    <row r="1" spans="1:85" s="19" customFormat="1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E3" s="19"/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L24"/>
  <sheetViews>
    <sheetView workbookViewId="0"/>
  </sheetViews>
  <sheetFormatPr defaultRowHeight="15"/>
  <cols>
    <col min="1" max="1" width="18.85546875" bestFit="1" customWidth="1"/>
    <col min="2" max="9" width="12.28515625" customWidth="1"/>
    <col min="10" max="10" width="2.42578125" customWidth="1"/>
    <col min="11" max="11" width="11.28515625" bestFit="1" customWidth="1"/>
    <col min="12" max="12" width="12.85546875" customWidth="1"/>
  </cols>
  <sheetData>
    <row r="2" spans="1:12">
      <c r="A2" t="s">
        <v>0</v>
      </c>
    </row>
    <row r="3" spans="1:12"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100</v>
      </c>
      <c r="K3" t="s">
        <v>8</v>
      </c>
      <c r="L3" t="s">
        <v>9</v>
      </c>
    </row>
    <row r="4" spans="1:12">
      <c r="A4" t="s">
        <v>0</v>
      </c>
      <c r="B4" s="7">
        <f>SUMIFS('ND Sales Summ'!$F:$F,'ND Sales Summ'!$E:$E,'SUMM-Obsolete'!$A4)</f>
        <v>0</v>
      </c>
      <c r="C4" s="7">
        <f>SUMIFS('SH Sales Summ'!$F:$F,'SH Sales Summ'!$E:$E,'SUMM-Obsolete'!$A4)</f>
        <v>0</v>
      </c>
      <c r="D4" s="7">
        <f>SUMIFS('IN Sales Summ'!$F:$F,'IN Sales Summ'!$E:$E,'SUMM-Obsolete'!$A4)</f>
        <v>0</v>
      </c>
      <c r="E4" s="7">
        <f>SUMIFS('BD Sales Summ'!$F:$F,'BD Sales Summ'!$E:$E,'SUMM-Obsolete'!$A4)</f>
        <v>0</v>
      </c>
      <c r="F4" s="7">
        <f>SUMIFS('LK Sales Summ'!$F:$F,'LK Sales Summ'!$E:$E,'SUMM-Obsolete'!$A4)</f>
        <v>0</v>
      </c>
      <c r="G4" s="7">
        <f>SUMIFS('CA Sales Summ'!$F:$F,'CA Sales Summ'!$E:$E,'SUMM-Obsolete'!$A4)</f>
        <v>0</v>
      </c>
      <c r="H4" s="7">
        <f>SUMIFS('HK Sales Summ'!$F:$F,'HK Sales Summ'!$E:$E,'SUMM-Obsolete'!$A4)</f>
        <v>0</v>
      </c>
      <c r="I4" s="7">
        <f>SUMIFS('TR Sales Summ'!$F:$F,'TR Sales Summ'!$E:$E,'SUMM-Obsolete'!$A4)</f>
        <v>0</v>
      </c>
      <c r="J4" s="6"/>
      <c r="K4" s="7">
        <f>SUM(B4:J4)</f>
        <v>0</v>
      </c>
      <c r="L4" s="10">
        <f>K4/1000</f>
        <v>0</v>
      </c>
    </row>
    <row r="5" spans="1:12" s="23" customFormat="1">
      <c r="A5" s="23" t="s">
        <v>10</v>
      </c>
      <c r="B5" s="12">
        <f>SUMIFS('ND Sales Summ'!$CC:$CC,'ND Sales Summ'!$CB:$CB,'SUMM-Obsolete'!$A5)</f>
        <v>0</v>
      </c>
      <c r="C5" s="12">
        <f>SUMIFS('SH Sales Summ'!$CC:$CC,'SH Sales Summ'!$CB:$CB,'SUMM-Obsolete'!$A5)</f>
        <v>0</v>
      </c>
      <c r="D5" s="12">
        <f>SUMIFS('IN Sales Summ'!$CC:$CC,'IN Sales Summ'!$CB:$CB,'SUMM-Obsolete'!$A5)</f>
        <v>0</v>
      </c>
      <c r="E5" s="12">
        <f>SUMIFS('BD Sales Summ'!$CC:$CC,'BD Sales Summ'!$CB:$CB,'SUMM-Obsolete'!$A5)</f>
        <v>0</v>
      </c>
      <c r="F5" s="12">
        <f>SUMIFS('LK Sales Summ'!$CC:$CC,'LK Sales Summ'!$CB:$CB,'SUMM-Obsolete'!$A5)</f>
        <v>0</v>
      </c>
      <c r="G5" s="12">
        <f>SUMIFS('CA Sales Summ'!$CC:$CC,'CA Sales Summ'!$CB:$CB,'SUMM-Obsolete'!$A5)</f>
        <v>0</v>
      </c>
      <c r="H5" s="12">
        <f>SUMIFS('HK Sales Summ'!$CC:$CC,'HK Sales Summ'!$CB:$CB,'SUMM-Obsolete'!$A5)</f>
        <v>0</v>
      </c>
      <c r="I5" s="12">
        <f>SUMIFS('TR Sales Summ'!$CC:$CC,'TR Sales Summ'!$CB:$CB,'SUMM-Obsolete'!$A5)</f>
        <v>0</v>
      </c>
      <c r="J5" s="1"/>
      <c r="K5" s="12">
        <f>SUM(B5:J5)</f>
        <v>0</v>
      </c>
      <c r="L5" s="11">
        <f>K5/1000</f>
        <v>0</v>
      </c>
    </row>
    <row r="6" spans="1:12">
      <c r="A6">
        <v>2019</v>
      </c>
      <c r="B6" s="7">
        <f>B5-B4</f>
        <v>0</v>
      </c>
      <c r="C6" s="7">
        <f t="shared" ref="C6" si="0">C5-C4</f>
        <v>0</v>
      </c>
      <c r="D6" s="7">
        <f t="shared" ref="D6" si="1">D5-D4</f>
        <v>0</v>
      </c>
      <c r="E6" s="7">
        <f t="shared" ref="E6" si="2">E5-E4</f>
        <v>0</v>
      </c>
      <c r="F6" s="7">
        <f t="shared" ref="F6" si="3">F5-F4</f>
        <v>0</v>
      </c>
      <c r="G6" s="7">
        <f t="shared" ref="G6" si="4">G5-G4</f>
        <v>0</v>
      </c>
      <c r="H6" s="7">
        <f t="shared" ref="H6" si="5">H5-H4</f>
        <v>0</v>
      </c>
      <c r="I6" s="7">
        <f t="shared" ref="I6" si="6">I5-I4</f>
        <v>0</v>
      </c>
      <c r="J6" s="6"/>
      <c r="K6" s="7">
        <f>K5-K4</f>
        <v>0</v>
      </c>
      <c r="L6" s="10">
        <f>K6/1000</f>
        <v>0</v>
      </c>
    </row>
    <row r="7" spans="1:12" s="4" customFormat="1">
      <c r="B7" s="5"/>
      <c r="C7" s="5"/>
      <c r="D7" s="13"/>
      <c r="E7" s="13"/>
      <c r="F7" s="13"/>
      <c r="G7" s="13"/>
      <c r="H7" s="13"/>
      <c r="I7" s="13"/>
      <c r="K7" s="5"/>
      <c r="L7" s="10"/>
    </row>
    <row r="8" spans="1:12">
      <c r="A8" t="s">
        <v>10</v>
      </c>
      <c r="B8" s="7">
        <f>SUMIFS('ND Sales Summ'!$CC:$CC,'ND Sales Summ'!$CB:$CB,'SUMM-Obsolete'!$A8)</f>
        <v>0</v>
      </c>
      <c r="C8" s="7">
        <f>SUMIFS('SH Sales Summ'!$CC:$CC,'SH Sales Summ'!$CB:$CB,'SUMM-Obsolete'!$A8)</f>
        <v>0</v>
      </c>
      <c r="D8" s="13">
        <f>SUMIFS('IN Sales Summ'!$CC:$CC,'IN Sales Summ'!$CB:$CB,'SUMM-Obsolete'!$A8)</f>
        <v>0</v>
      </c>
      <c r="E8" s="13">
        <f>SUMIFS('BD Sales Summ'!$CC:$CC,'BD Sales Summ'!$CB:$CB,'SUMM-Obsolete'!$A8)</f>
        <v>0</v>
      </c>
      <c r="F8" s="13">
        <f>SUMIFS('LK Sales Summ'!$CC:$CC,'LK Sales Summ'!$CB:$CB,'SUMM-Obsolete'!$A8)</f>
        <v>0</v>
      </c>
      <c r="G8" s="13">
        <f>SUMIFS('CA Sales Summ'!$CC:$CC,'CA Sales Summ'!$CB:$CB,'SUMM-Obsolete'!$A8)</f>
        <v>0</v>
      </c>
      <c r="H8" s="13">
        <f>SUMIFS('HK Sales Summ'!$CC:$CC,'HK Sales Summ'!$CB:$CB,'SUMM-Obsolete'!$A8)</f>
        <v>0</v>
      </c>
      <c r="I8" s="13">
        <f>SUMIFS('TR Sales Summ'!$CC:$CC,'TR Sales Summ'!$CB:$CB,'SUMM-Obsolete'!$A8)</f>
        <v>0</v>
      </c>
      <c r="K8" s="7">
        <f>SUM(B8:J8)</f>
        <v>0</v>
      </c>
      <c r="L8" s="10">
        <f>K8/1000</f>
        <v>0</v>
      </c>
    </row>
    <row r="9" spans="1:12">
      <c r="A9" t="s">
        <v>11</v>
      </c>
      <c r="B9" s="7">
        <f>SUMIFS('ND Sales Summ'!$CC:$CC,'ND Sales Summ'!$CB:$CB,'SUMM-Obsolete'!$A9)</f>
        <v>0</v>
      </c>
      <c r="C9" s="7">
        <f>SUMIFS('SH Sales Summ'!$CC:$CC,'SH Sales Summ'!$CB:$CB,'SUMM-Obsolete'!$A9)</f>
        <v>0</v>
      </c>
      <c r="D9" s="13">
        <f>SUMIFS('IN Sales Summ'!$CC:$CC,'IN Sales Summ'!$CB:$CB,'SUMM-Obsolete'!$A9)</f>
        <v>0</v>
      </c>
      <c r="E9" s="13">
        <f>SUMIFS('BD Sales Summ'!$CC:$CC,'BD Sales Summ'!$CB:$CB,'SUMM-Obsolete'!$A9)</f>
        <v>0</v>
      </c>
      <c r="F9" s="13">
        <f>SUMIFS('LK Sales Summ'!$CC:$CC,'LK Sales Summ'!$CB:$CB,'SUMM-Obsolete'!$A9)</f>
        <v>0</v>
      </c>
      <c r="G9" s="13">
        <f>SUMIFS('CA Sales Summ'!$CC:$CC,'CA Sales Summ'!$CB:$CB,'SUMM-Obsolete'!$A9)</f>
        <v>0</v>
      </c>
      <c r="H9" s="13">
        <f>SUMIFS('HK Sales Summ'!$CC:$CC,'HK Sales Summ'!$CB:$CB,'SUMM-Obsolete'!$A9)</f>
        <v>0</v>
      </c>
      <c r="I9" s="13">
        <f>SUMIFS('TR Sales Summ'!$CC:$CC,'TR Sales Summ'!$CB:$CB,'SUMM-Obsolete'!$A9)</f>
        <v>0</v>
      </c>
      <c r="K9" s="7">
        <f>SUM(B9:J9)</f>
        <v>0</v>
      </c>
      <c r="L9" s="10">
        <f>K9/1000</f>
        <v>0</v>
      </c>
    </row>
    <row r="10" spans="1:12">
      <c r="B10" s="7">
        <f>SUM(B8:B9)</f>
        <v>0</v>
      </c>
      <c r="C10" s="7">
        <f t="shared" ref="C10:I10" si="7">SUM(C8:C9)</f>
        <v>0</v>
      </c>
      <c r="D10" s="7">
        <f t="shared" si="7"/>
        <v>0</v>
      </c>
      <c r="E10" s="7">
        <f t="shared" si="7"/>
        <v>0</v>
      </c>
      <c r="F10" s="7">
        <f t="shared" si="7"/>
        <v>0</v>
      </c>
      <c r="G10" s="7">
        <f t="shared" si="7"/>
        <v>0</v>
      </c>
      <c r="H10" s="7">
        <f t="shared" si="7"/>
        <v>0</v>
      </c>
      <c r="I10" s="7">
        <f t="shared" si="7"/>
        <v>0</v>
      </c>
      <c r="K10" s="7">
        <f>SUM(B10:J10)</f>
        <v>0</v>
      </c>
      <c r="L10" s="10">
        <f>K10/1000</f>
        <v>0</v>
      </c>
    </row>
    <row r="11" spans="1:12">
      <c r="B11" s="9" t="e">
        <f t="shared" ref="B11" si="8">B10/B8</f>
        <v>#DIV/0!</v>
      </c>
      <c r="C11" s="9" t="e">
        <f t="shared" ref="C11" si="9">C10/C8</f>
        <v>#DIV/0!</v>
      </c>
      <c r="D11" s="9" t="e">
        <f t="shared" ref="D11" si="10">D10/D8</f>
        <v>#DIV/0!</v>
      </c>
      <c r="E11" s="9" t="e">
        <f t="shared" ref="E11" si="11">E10/E8</f>
        <v>#DIV/0!</v>
      </c>
      <c r="F11" s="9" t="e">
        <f t="shared" ref="F11" si="12">F10/F8</f>
        <v>#DIV/0!</v>
      </c>
      <c r="G11" s="9" t="e">
        <f t="shared" ref="G11" si="13">G10/G8</f>
        <v>#DIV/0!</v>
      </c>
      <c r="H11" s="9" t="e">
        <f t="shared" ref="H11" si="14">H10/H8</f>
        <v>#DIV/0!</v>
      </c>
      <c r="I11" s="9" t="e">
        <f t="shared" ref="I11" si="15">I10/I8</f>
        <v>#DIV/0!</v>
      </c>
      <c r="K11" s="8" t="e">
        <f>K10/K8</f>
        <v>#DIV/0!</v>
      </c>
      <c r="L11" s="3" t="e">
        <f>L10/L8</f>
        <v>#DIV/0!</v>
      </c>
    </row>
    <row r="13" spans="1:12">
      <c r="B13" s="2" t="s">
        <v>12</v>
      </c>
    </row>
    <row r="15" spans="1:12">
      <c r="A15" t="s">
        <v>13</v>
      </c>
    </row>
    <row r="16" spans="1:12">
      <c r="B16" t="s">
        <v>1</v>
      </c>
      <c r="C16" t="s">
        <v>2</v>
      </c>
      <c r="D16" t="s">
        <v>3</v>
      </c>
      <c r="E16" t="s">
        <v>4</v>
      </c>
      <c r="F16" t="s">
        <v>5</v>
      </c>
      <c r="G16" t="s">
        <v>6</v>
      </c>
      <c r="H16" t="s">
        <v>7</v>
      </c>
      <c r="I16" t="s">
        <v>100</v>
      </c>
      <c r="K16" t="s">
        <v>8</v>
      </c>
      <c r="L16" t="s">
        <v>9</v>
      </c>
    </row>
    <row r="17" spans="1:12">
      <c r="A17" t="s">
        <v>14</v>
      </c>
      <c r="B17" s="21">
        <f>SUMIFS('ND Sales Summ'!$CF:$CF,'ND Sales Summ'!$CE:$CE,'SUMM-Obsolete'!$A17)</f>
        <v>0</v>
      </c>
      <c r="C17" s="21">
        <f>SUMIFS('SH Sales Summ'!$CF:$CF,'SH Sales Summ'!$CE:$CE,'SUMM-Obsolete'!$A17)</f>
        <v>0</v>
      </c>
      <c r="D17" s="21">
        <f>SUMIFS('IN Sales Summ'!$CF:$CF,'IN Sales Summ'!$CE:$CE,'SUMM-Obsolete'!$A17)</f>
        <v>0</v>
      </c>
      <c r="E17" s="21">
        <f>SUMIFS('BD Sales Summ'!$CF:$CF,'BD Sales Summ'!$CE:$CE,'SUMM-Obsolete'!$A17)</f>
        <v>0</v>
      </c>
      <c r="F17" s="21">
        <f>SUMIFS('LK Sales Summ'!$CF:$CF,'LK Sales Summ'!$CE:$CE,'SUMM-Obsolete'!$A17)</f>
        <v>0</v>
      </c>
      <c r="G17" s="21">
        <f>SUMIFS('CA Sales Summ'!$CF:$CF,'CA Sales Summ'!$CE:$CE,'SUMM-Obsolete'!$A17)</f>
        <v>0</v>
      </c>
      <c r="H17" s="21">
        <f>SUMIFS('HK Sales Summ'!$CF:$CF,'HK Sales Summ'!$CE:$CE,'SUMM-Obsolete'!$A17)</f>
        <v>0</v>
      </c>
      <c r="I17" s="21">
        <f>SUMIFS('TR Sales Summ'!$CF:$CF,'TR Sales Summ'!$CE:$CE,'SUMM-Obsolete'!$A17)</f>
        <v>0</v>
      </c>
      <c r="K17" s="7">
        <f>SUM(B17:J17)</f>
        <v>0</v>
      </c>
      <c r="L17" s="10">
        <f>K17/1000</f>
        <v>0</v>
      </c>
    </row>
    <row r="18" spans="1:12">
      <c r="A18" t="s">
        <v>11</v>
      </c>
      <c r="B18" s="21">
        <f>SUMIFS('ND Sales Summ'!$CF:$CF,'ND Sales Summ'!$CE:$CE,'SUMM-Obsolete'!$A18)</f>
        <v>0</v>
      </c>
      <c r="C18" s="21">
        <f>SUMIFS('SH Sales Summ'!$CF:$CF,'SH Sales Summ'!$CE:$CE,'SUMM-Obsolete'!$A18)</f>
        <v>0</v>
      </c>
      <c r="D18" s="21">
        <f>SUMIFS('IN Sales Summ'!$CF:$CF,'IN Sales Summ'!$CE:$CE,'SUMM-Obsolete'!$A18)</f>
        <v>0</v>
      </c>
      <c r="E18" s="21">
        <f>SUMIFS('BD Sales Summ'!$CF:$CF,'BD Sales Summ'!$CE:$CE,'SUMM-Obsolete'!$A18)</f>
        <v>0</v>
      </c>
      <c r="F18" s="21">
        <f>SUMIFS('LK Sales Summ'!$CF:$CF,'LK Sales Summ'!$CE:$CE,'SUMM-Obsolete'!$A18)</f>
        <v>0</v>
      </c>
      <c r="G18" s="21">
        <f>SUMIFS('CA Sales Summ'!$CF:$CF,'CA Sales Summ'!$CE:$CE,'SUMM-Obsolete'!$A18)</f>
        <v>0</v>
      </c>
      <c r="H18" s="21">
        <f>SUMIFS('HK Sales Summ'!$CF:$CF,'HK Sales Summ'!$CE:$CE,'SUMM-Obsolete'!$A18)</f>
        <v>0</v>
      </c>
      <c r="I18" s="21">
        <f>SUMIFS('TR Sales Summ'!$CF:$CF,'TR Sales Summ'!$CE:$CE,'SUMM-Obsolete'!$A18)</f>
        <v>0</v>
      </c>
      <c r="K18" s="7">
        <f>SUM(B18:J18)</f>
        <v>0</v>
      </c>
      <c r="L18" s="10">
        <f>K18/1000</f>
        <v>0</v>
      </c>
    </row>
    <row r="19" spans="1:12">
      <c r="A19" t="s">
        <v>15</v>
      </c>
      <c r="B19" s="21">
        <f>SUMIFS('ND Sales Summ'!$CF:$CF,'ND Sales Summ'!$CE:$CE,'SUMM-Obsolete'!$A19)</f>
        <v>0</v>
      </c>
      <c r="C19" s="21">
        <f>SUMIFS('SH Sales Summ'!$CF:$CF,'SH Sales Summ'!$CE:$CE,'SUMM-Obsolete'!$A19)</f>
        <v>0</v>
      </c>
      <c r="D19" s="21">
        <f>SUMIFS('IN Sales Summ'!$CF:$CF,'IN Sales Summ'!$CE:$CE,'SUMM-Obsolete'!$A19)</f>
        <v>0</v>
      </c>
      <c r="E19" s="21">
        <f>SUMIFS('BD Sales Summ'!$CF:$CF,'BD Sales Summ'!$CE:$CE,'SUMM-Obsolete'!$A19)</f>
        <v>0</v>
      </c>
      <c r="F19" s="21">
        <f>SUMIFS('LK Sales Summ'!$CF:$CF,'LK Sales Summ'!$CE:$CE,'SUMM-Obsolete'!$A19)</f>
        <v>0</v>
      </c>
      <c r="G19" s="21">
        <f>SUMIFS('CA Sales Summ'!$CF:$CF,'CA Sales Summ'!$CE:$CE,'SUMM-Obsolete'!$A19)</f>
        <v>0</v>
      </c>
      <c r="H19" s="21">
        <f>SUMIFS('HK Sales Summ'!$CF:$CF,'HK Sales Summ'!$CE:$CE,'SUMM-Obsolete'!$A19)</f>
        <v>0</v>
      </c>
      <c r="I19" s="21">
        <f>SUMIFS('TR Sales Summ'!$CF:$CF,'TR Sales Summ'!$CE:$CE,'SUMM-Obsolete'!$A19)</f>
        <v>0</v>
      </c>
      <c r="K19" s="7">
        <f>SUM(B19:J19)</f>
        <v>0</v>
      </c>
      <c r="L19" s="10">
        <f>K19/1000</f>
        <v>0</v>
      </c>
    </row>
    <row r="20" spans="1:12">
      <c r="B20" s="22" t="e">
        <f>B19/B17</f>
        <v>#DIV/0!</v>
      </c>
      <c r="C20" s="22" t="e">
        <f t="shared" ref="C20:I20" si="16">C19/C17</f>
        <v>#DIV/0!</v>
      </c>
      <c r="D20" s="22" t="e">
        <f t="shared" si="16"/>
        <v>#DIV/0!</v>
      </c>
      <c r="E20" s="22" t="e">
        <f t="shared" si="16"/>
        <v>#DIV/0!</v>
      </c>
      <c r="F20" s="22" t="e">
        <f t="shared" si="16"/>
        <v>#DIV/0!</v>
      </c>
      <c r="G20" s="22" t="e">
        <f t="shared" si="16"/>
        <v>#DIV/0!</v>
      </c>
      <c r="H20" s="22" t="e">
        <f t="shared" si="16"/>
        <v>#DIV/0!</v>
      </c>
      <c r="I20" s="22" t="e">
        <f t="shared" si="16"/>
        <v>#DIV/0!</v>
      </c>
      <c r="K20" s="8" t="e">
        <f>K19/K17</f>
        <v>#DIV/0!</v>
      </c>
      <c r="L20" s="8" t="e">
        <f>L19/L17</f>
        <v>#DIV/0!</v>
      </c>
    </row>
    <row r="22" spans="1:12">
      <c r="B22" t="s">
        <v>16</v>
      </c>
    </row>
    <row r="23" spans="1:12"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6</v>
      </c>
      <c r="H23" t="s">
        <v>7</v>
      </c>
      <c r="I23" t="s">
        <v>100</v>
      </c>
      <c r="K23" t="s">
        <v>8</v>
      </c>
      <c r="L23" t="s">
        <v>9</v>
      </c>
    </row>
    <row r="24" spans="1:12">
      <c r="A24" t="s">
        <v>0</v>
      </c>
      <c r="B24" s="21"/>
      <c r="C24" s="21"/>
      <c r="D24" s="21"/>
      <c r="E24" s="21"/>
      <c r="F24" s="21"/>
      <c r="G24" s="21"/>
      <c r="H24" s="21"/>
      <c r="I24" s="21"/>
      <c r="K24" s="21">
        <f>SUM(B24:J24)</f>
        <v>0</v>
      </c>
      <c r="L24" s="10">
        <f>K24/1000</f>
        <v>0</v>
      </c>
    </row>
  </sheetData>
  <pageMargins left="0.7" right="0.7" top="0.75" bottom="0.75" header="0.3" footer="0.3"/>
  <pageSetup paperSize="9" scale="90" fitToHeight="0" orientation="landscape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F35"/>
  <sheetViews>
    <sheetView zoomScale="80" zoomScaleNormal="80" workbookViewId="0"/>
  </sheetViews>
  <sheetFormatPr defaultColWidth="9.140625" defaultRowHeight="15"/>
  <cols>
    <col min="1" max="1" width="23.42578125" style="19" customWidth="1"/>
    <col min="2" max="2" width="17.28515625" style="19" customWidth="1"/>
    <col min="3" max="3" width="22.5703125" style="19" customWidth="1"/>
    <col min="4" max="4" width="17.28515625" style="19" customWidth="1"/>
    <col min="5" max="5" width="18" style="19" bestFit="1" customWidth="1"/>
    <col min="6" max="79" width="9.140625" style="19"/>
    <col min="80" max="80" width="24.28515625" style="19" bestFit="1" customWidth="1"/>
    <col min="81" max="81" width="9.140625" style="19"/>
    <col min="82" max="82" width="9.140625" style="18"/>
    <col min="83" max="83" width="26" style="19" bestFit="1" customWidth="1"/>
    <col min="84" max="16384" width="9.140625" style="19"/>
  </cols>
  <sheetData>
    <row r="1" spans="1:84">
      <c r="A1" s="48"/>
      <c r="B1" s="48"/>
      <c r="C1" s="48"/>
      <c r="D1" s="48"/>
      <c r="E1" s="49"/>
      <c r="F1" s="50" t="s">
        <v>95</v>
      </c>
      <c r="G1" s="50" t="s">
        <v>20</v>
      </c>
      <c r="H1" s="50" t="s">
        <v>21</v>
      </c>
      <c r="I1" s="50" t="s">
        <v>22</v>
      </c>
      <c r="J1" s="50" t="s">
        <v>23</v>
      </c>
      <c r="K1" s="50" t="s">
        <v>24</v>
      </c>
      <c r="L1" s="50" t="s">
        <v>25</v>
      </c>
      <c r="M1" s="50" t="s">
        <v>26</v>
      </c>
      <c r="N1" s="50" t="s">
        <v>27</v>
      </c>
      <c r="O1" s="50" t="s">
        <v>28</v>
      </c>
      <c r="P1" s="50" t="s">
        <v>29</v>
      </c>
      <c r="Q1" s="51" t="s">
        <v>30</v>
      </c>
      <c r="R1" s="51" t="s">
        <v>31</v>
      </c>
      <c r="S1" s="51" t="s">
        <v>32</v>
      </c>
      <c r="T1" s="51" t="s">
        <v>33</v>
      </c>
      <c r="U1" s="51" t="s">
        <v>34</v>
      </c>
      <c r="V1" s="51" t="s">
        <v>35</v>
      </c>
      <c r="W1" s="51" t="s">
        <v>36</v>
      </c>
      <c r="X1" s="51" t="s">
        <v>37</v>
      </c>
      <c r="Y1" s="51" t="s">
        <v>38</v>
      </c>
      <c r="Z1" s="51" t="s">
        <v>39</v>
      </c>
      <c r="AA1" s="51" t="s">
        <v>40</v>
      </c>
      <c r="AB1" s="51" t="s">
        <v>41</v>
      </c>
      <c r="AC1" s="51" t="s">
        <v>42</v>
      </c>
      <c r="AD1" s="51" t="s">
        <v>43</v>
      </c>
      <c r="AE1" s="51" t="s">
        <v>44</v>
      </c>
      <c r="AF1" s="51" t="s">
        <v>45</v>
      </c>
      <c r="AG1" s="51" t="s">
        <v>46</v>
      </c>
      <c r="AH1" s="51" t="s">
        <v>47</v>
      </c>
      <c r="AI1" s="51" t="s">
        <v>48</v>
      </c>
      <c r="AJ1" s="51" t="s">
        <v>49</v>
      </c>
      <c r="AK1" s="51" t="s">
        <v>50</v>
      </c>
      <c r="AL1" s="51" t="s">
        <v>51</v>
      </c>
      <c r="AM1" s="50" t="s">
        <v>52</v>
      </c>
      <c r="AN1" s="50" t="s">
        <v>53</v>
      </c>
      <c r="AO1" s="50" t="s">
        <v>54</v>
      </c>
      <c r="AP1" s="50" t="s">
        <v>55</v>
      </c>
      <c r="AQ1" s="50" t="s">
        <v>56</v>
      </c>
      <c r="AR1" s="50" t="s">
        <v>57</v>
      </c>
      <c r="AS1" s="50" t="s">
        <v>58</v>
      </c>
      <c r="AT1" s="50" t="s">
        <v>59</v>
      </c>
      <c r="AU1" s="50" t="s">
        <v>60</v>
      </c>
      <c r="AV1" s="50" t="s">
        <v>61</v>
      </c>
      <c r="AW1" s="51" t="s">
        <v>62</v>
      </c>
      <c r="AX1" s="51" t="s">
        <v>63</v>
      </c>
      <c r="AY1" s="51" t="s">
        <v>64</v>
      </c>
      <c r="AZ1" s="51" t="s">
        <v>65</v>
      </c>
      <c r="BA1" s="51" t="s">
        <v>66</v>
      </c>
      <c r="BB1" s="51" t="s">
        <v>67</v>
      </c>
      <c r="BC1" s="51" t="s">
        <v>68</v>
      </c>
      <c r="BD1" s="51" t="s">
        <v>69</v>
      </c>
      <c r="BE1" s="51" t="s">
        <v>70</v>
      </c>
      <c r="BF1" s="51" t="s">
        <v>71</v>
      </c>
      <c r="BG1" s="51" t="s">
        <v>72</v>
      </c>
      <c r="BH1" s="51" t="s">
        <v>73</v>
      </c>
      <c r="BI1" s="51" t="s">
        <v>74</v>
      </c>
      <c r="BJ1" s="51" t="s">
        <v>75</v>
      </c>
      <c r="BK1" s="51" t="s">
        <v>76</v>
      </c>
      <c r="BL1" s="51" t="s">
        <v>77</v>
      </c>
      <c r="BM1" s="51" t="s">
        <v>78</v>
      </c>
      <c r="BN1" s="51" t="s">
        <v>79</v>
      </c>
      <c r="BO1" s="51" t="s">
        <v>80</v>
      </c>
      <c r="BP1" s="51" t="s">
        <v>81</v>
      </c>
      <c r="BQ1" s="51" t="s">
        <v>82</v>
      </c>
      <c r="BR1" s="51" t="s">
        <v>119</v>
      </c>
      <c r="BS1" s="51" t="s">
        <v>83</v>
      </c>
      <c r="BT1" s="51" t="s">
        <v>84</v>
      </c>
      <c r="BU1" s="51" t="s">
        <v>140</v>
      </c>
      <c r="BV1" s="49"/>
      <c r="BW1" s="52"/>
      <c r="BX1" s="53"/>
      <c r="BY1" s="52"/>
      <c r="BZ1" s="53"/>
      <c r="CA1" s="49"/>
      <c r="CB1" s="49"/>
      <c r="CC1" s="51" t="s">
        <v>85</v>
      </c>
      <c r="CD1" s="54"/>
      <c r="CE1" s="48" t="s">
        <v>101</v>
      </c>
      <c r="CF1" s="55"/>
    </row>
    <row r="2" spans="1:84">
      <c r="A2" s="49" t="s">
        <v>86</v>
      </c>
      <c r="B2" s="54"/>
      <c r="C2" s="49" t="s">
        <v>123</v>
      </c>
      <c r="D2" s="54"/>
      <c r="E2" s="52" t="s">
        <v>130</v>
      </c>
      <c r="F2" s="108"/>
      <c r="G2" s="87"/>
      <c r="H2" s="87"/>
      <c r="I2" s="87"/>
      <c r="J2" s="87"/>
      <c r="K2" s="87"/>
      <c r="L2" s="108"/>
      <c r="M2" s="87"/>
      <c r="N2" s="87"/>
      <c r="O2" s="87"/>
      <c r="P2" s="87"/>
      <c r="Q2" s="108"/>
      <c r="R2" s="87"/>
      <c r="S2" s="87"/>
      <c r="T2" s="87"/>
      <c r="U2" s="87"/>
      <c r="V2" s="108"/>
      <c r="W2" s="87"/>
      <c r="X2" s="87"/>
      <c r="Y2" s="87"/>
      <c r="Z2" s="87"/>
      <c r="AA2" s="87"/>
      <c r="AB2" s="108"/>
      <c r="AC2" s="87"/>
      <c r="AD2" s="87"/>
      <c r="AE2" s="87"/>
      <c r="AF2" s="87"/>
      <c r="AG2" s="108"/>
      <c r="AH2" s="87"/>
      <c r="AI2" s="87"/>
      <c r="AJ2" s="87"/>
      <c r="AK2" s="87"/>
      <c r="AL2" s="108"/>
      <c r="AM2" s="87"/>
      <c r="AN2" s="87"/>
      <c r="AO2" s="87"/>
      <c r="AP2" s="87"/>
      <c r="AQ2" s="87"/>
      <c r="AR2" s="108"/>
      <c r="AS2" s="87"/>
      <c r="AT2" s="87"/>
      <c r="AU2" s="87"/>
      <c r="AV2" s="87"/>
      <c r="AW2" s="108"/>
      <c r="AX2" s="87"/>
      <c r="AY2" s="87"/>
      <c r="AZ2" s="87"/>
      <c r="BA2" s="87"/>
      <c r="BB2" s="108"/>
      <c r="BC2" s="87"/>
      <c r="BD2" s="87"/>
      <c r="BE2" s="87"/>
      <c r="BF2" s="87"/>
      <c r="BG2" s="87"/>
      <c r="BH2" s="108"/>
      <c r="BI2" s="87"/>
      <c r="BJ2" s="87"/>
      <c r="BK2" s="87"/>
      <c r="BL2" s="87"/>
      <c r="BM2" s="108"/>
      <c r="BN2" s="87"/>
      <c r="BO2" s="87"/>
      <c r="BP2" s="87"/>
      <c r="BQ2" s="87"/>
      <c r="BR2" s="87"/>
      <c r="BS2" s="108"/>
      <c r="BT2" s="92"/>
      <c r="BU2" s="88"/>
      <c r="BV2" s="48"/>
      <c r="BW2" s="52"/>
      <c r="BX2" s="53"/>
      <c r="BY2" s="52"/>
      <c r="BZ2" s="53"/>
      <c r="CA2" s="57"/>
      <c r="CB2" s="52" t="s">
        <v>10</v>
      </c>
      <c r="CC2" s="58"/>
      <c r="CD2" s="54"/>
      <c r="CE2" s="48" t="s">
        <v>102</v>
      </c>
      <c r="CF2" s="59"/>
    </row>
    <row r="3" spans="1:84">
      <c r="A3" s="49" t="s">
        <v>87</v>
      </c>
      <c r="B3" s="54"/>
      <c r="C3" s="49" t="s">
        <v>90</v>
      </c>
      <c r="D3" s="60">
        <v>1</v>
      </c>
      <c r="E3" s="52" t="s">
        <v>129</v>
      </c>
      <c r="F3" s="109"/>
      <c r="G3" s="56"/>
      <c r="H3" s="56"/>
      <c r="I3" s="56"/>
      <c r="J3" s="56"/>
      <c r="K3" s="56"/>
      <c r="L3" s="109"/>
      <c r="M3" s="56"/>
      <c r="N3" s="56"/>
      <c r="O3" s="56"/>
      <c r="P3" s="56"/>
      <c r="Q3" s="109"/>
      <c r="R3" s="56"/>
      <c r="S3" s="56"/>
      <c r="T3" s="56"/>
      <c r="U3" s="56"/>
      <c r="V3" s="109"/>
      <c r="W3" s="56"/>
      <c r="X3" s="56"/>
      <c r="Y3" s="56"/>
      <c r="Z3" s="56"/>
      <c r="AA3" s="56"/>
      <c r="AB3" s="109"/>
      <c r="AC3" s="56"/>
      <c r="AD3" s="56"/>
      <c r="AE3" s="56"/>
      <c r="AF3" s="56"/>
      <c r="AG3" s="109"/>
      <c r="AH3" s="56"/>
      <c r="AI3" s="56"/>
      <c r="AJ3" s="56"/>
      <c r="AK3" s="56"/>
      <c r="AL3" s="109"/>
      <c r="AM3" s="56"/>
      <c r="AN3" s="56"/>
      <c r="AO3" s="56"/>
      <c r="AP3" s="56"/>
      <c r="AQ3" s="56"/>
      <c r="AR3" s="109"/>
      <c r="AS3" s="56"/>
      <c r="AT3" s="56"/>
      <c r="AU3" s="56"/>
      <c r="AV3" s="56"/>
      <c r="AW3" s="109"/>
      <c r="AX3" s="56"/>
      <c r="AY3" s="56"/>
      <c r="AZ3" s="56"/>
      <c r="BA3" s="56"/>
      <c r="BB3" s="109"/>
      <c r="BC3" s="56"/>
      <c r="BD3" s="56"/>
      <c r="BE3" s="56"/>
      <c r="BF3" s="56"/>
      <c r="BG3" s="56"/>
      <c r="BH3" s="109"/>
      <c r="BI3" s="56"/>
      <c r="BJ3" s="56"/>
      <c r="BK3" s="56"/>
      <c r="BL3" s="56"/>
      <c r="BM3" s="109"/>
      <c r="BN3" s="56"/>
      <c r="BO3" s="56"/>
      <c r="BP3" s="56"/>
      <c r="BQ3" s="56"/>
      <c r="BR3" s="56"/>
      <c r="BS3" s="109"/>
      <c r="BT3" s="93"/>
      <c r="BU3" s="89"/>
      <c r="BV3" s="48"/>
      <c r="BW3" s="52"/>
      <c r="BX3" s="53"/>
      <c r="BY3" s="52"/>
      <c r="BZ3" s="53"/>
      <c r="CA3" s="57"/>
      <c r="CB3" s="52" t="s">
        <v>11</v>
      </c>
      <c r="CC3" s="58"/>
      <c r="CD3" s="54"/>
      <c r="CE3" s="48" t="s">
        <v>103</v>
      </c>
      <c r="CF3" s="61"/>
    </row>
    <row r="4" spans="1:84">
      <c r="A4" s="49" t="s">
        <v>88</v>
      </c>
      <c r="B4" s="54"/>
      <c r="C4" s="49" t="s">
        <v>92</v>
      </c>
      <c r="D4" s="54"/>
      <c r="E4" s="52" t="s">
        <v>131</v>
      </c>
      <c r="F4" s="109"/>
      <c r="G4" s="56"/>
      <c r="H4" s="56"/>
      <c r="I4" s="56"/>
      <c r="J4" s="56"/>
      <c r="K4" s="56"/>
      <c r="L4" s="109"/>
      <c r="M4" s="56"/>
      <c r="N4" s="56"/>
      <c r="O4" s="56"/>
      <c r="P4" s="56"/>
      <c r="Q4" s="109"/>
      <c r="R4" s="56"/>
      <c r="S4" s="56"/>
      <c r="T4" s="56"/>
      <c r="U4" s="56"/>
      <c r="V4" s="109"/>
      <c r="W4" s="56"/>
      <c r="X4" s="56"/>
      <c r="Y4" s="56"/>
      <c r="Z4" s="56"/>
      <c r="AA4" s="56"/>
      <c r="AB4" s="109"/>
      <c r="AC4" s="56"/>
      <c r="AD4" s="56"/>
      <c r="AE4" s="56"/>
      <c r="AF4" s="56"/>
      <c r="AG4" s="109"/>
      <c r="AH4" s="56"/>
      <c r="AI4" s="56"/>
      <c r="AJ4" s="56"/>
      <c r="AK4" s="56"/>
      <c r="AL4" s="109"/>
      <c r="AM4" s="56"/>
      <c r="AN4" s="56"/>
      <c r="AO4" s="56"/>
      <c r="AP4" s="56"/>
      <c r="AQ4" s="56"/>
      <c r="AR4" s="109"/>
      <c r="AS4" s="56"/>
      <c r="AT4" s="56"/>
      <c r="AU4" s="56"/>
      <c r="AV4" s="56"/>
      <c r="AW4" s="109"/>
      <c r="AX4" s="56"/>
      <c r="AY4" s="56"/>
      <c r="AZ4" s="56"/>
      <c r="BA4" s="56"/>
      <c r="BB4" s="109"/>
      <c r="BC4" s="56"/>
      <c r="BD4" s="56"/>
      <c r="BE4" s="56"/>
      <c r="BF4" s="56"/>
      <c r="BG4" s="56"/>
      <c r="BH4" s="109"/>
      <c r="BI4" s="56"/>
      <c r="BJ4" s="56"/>
      <c r="BK4" s="56"/>
      <c r="BL4" s="56"/>
      <c r="BM4" s="109"/>
      <c r="BN4" s="56"/>
      <c r="BO4" s="56"/>
      <c r="BP4" s="56"/>
      <c r="BQ4" s="56"/>
      <c r="BR4" s="56"/>
      <c r="BS4" s="109"/>
      <c r="BT4" s="93"/>
      <c r="BU4" s="89"/>
      <c r="BV4" s="16"/>
      <c r="BW4" s="52"/>
      <c r="BX4" s="53"/>
      <c r="BY4" s="52"/>
      <c r="BZ4" s="53"/>
      <c r="CA4" s="57"/>
      <c r="CB4" s="52" t="s">
        <v>89</v>
      </c>
      <c r="CC4" s="58"/>
      <c r="CD4" s="25">
        <v>0</v>
      </c>
      <c r="CE4" s="48" t="s">
        <v>104</v>
      </c>
      <c r="CF4" s="61"/>
    </row>
    <row r="5" spans="1:84">
      <c r="A5" s="49" t="s">
        <v>120</v>
      </c>
      <c r="B5" s="62"/>
      <c r="C5" s="49" t="s">
        <v>128</v>
      </c>
      <c r="D5" s="63">
        <v>0.15</v>
      </c>
      <c r="E5" s="52" t="s">
        <v>132</v>
      </c>
      <c r="F5" s="109"/>
      <c r="G5" s="56"/>
      <c r="H5" s="56"/>
      <c r="I5" s="56"/>
      <c r="J5" s="56"/>
      <c r="K5" s="56"/>
      <c r="L5" s="109"/>
      <c r="M5" s="56"/>
      <c r="N5" s="56"/>
      <c r="O5" s="56"/>
      <c r="P5" s="56"/>
      <c r="Q5" s="109"/>
      <c r="R5" s="56"/>
      <c r="S5" s="56"/>
      <c r="T5" s="56"/>
      <c r="U5" s="56"/>
      <c r="V5" s="109"/>
      <c r="W5" s="56"/>
      <c r="X5" s="56"/>
      <c r="Y5" s="56"/>
      <c r="Z5" s="56"/>
      <c r="AA5" s="56"/>
      <c r="AB5" s="109"/>
      <c r="AC5" s="56"/>
      <c r="AD5" s="56"/>
      <c r="AE5" s="56"/>
      <c r="AF5" s="56"/>
      <c r="AG5" s="109"/>
      <c r="AH5" s="56"/>
      <c r="AI5" s="56"/>
      <c r="AJ5" s="56"/>
      <c r="AK5" s="56"/>
      <c r="AL5" s="109"/>
      <c r="AM5" s="56"/>
      <c r="AN5" s="56"/>
      <c r="AO5" s="56"/>
      <c r="AP5" s="56"/>
      <c r="AQ5" s="56"/>
      <c r="AR5" s="109"/>
      <c r="AS5" s="56"/>
      <c r="AT5" s="56"/>
      <c r="AU5" s="56"/>
      <c r="AV5" s="56"/>
      <c r="AW5" s="109"/>
      <c r="AX5" s="56"/>
      <c r="AY5" s="56"/>
      <c r="AZ5" s="56"/>
      <c r="BA5" s="56"/>
      <c r="BB5" s="109"/>
      <c r="BC5" s="56"/>
      <c r="BD5" s="56"/>
      <c r="BE5" s="56"/>
      <c r="BF5" s="56"/>
      <c r="BG5" s="56"/>
      <c r="BH5" s="109"/>
      <c r="BI5" s="56"/>
      <c r="BJ5" s="56"/>
      <c r="BK5" s="56"/>
      <c r="BL5" s="56"/>
      <c r="BM5" s="109"/>
      <c r="BN5" s="56"/>
      <c r="BO5" s="56"/>
      <c r="BP5" s="56"/>
      <c r="BQ5" s="56"/>
      <c r="BR5" s="56"/>
      <c r="BS5" s="109"/>
      <c r="BT5" s="93"/>
      <c r="BU5" s="89"/>
      <c r="BV5" s="48"/>
      <c r="BW5" s="52"/>
      <c r="BX5" s="53"/>
      <c r="BY5" s="52"/>
      <c r="BZ5" s="53"/>
      <c r="CA5" s="57"/>
      <c r="CB5" s="52" t="s">
        <v>91</v>
      </c>
      <c r="CC5" s="64"/>
      <c r="CD5" s="54"/>
      <c r="CE5" s="48" t="s">
        <v>105</v>
      </c>
      <c r="CF5" s="65"/>
    </row>
    <row r="6" spans="1:84">
      <c r="A6" s="49" t="s">
        <v>121</v>
      </c>
      <c r="B6" s="62"/>
      <c r="C6" s="97"/>
      <c r="D6" s="63"/>
      <c r="E6" s="17" t="s">
        <v>133</v>
      </c>
      <c r="F6" s="110"/>
      <c r="G6" s="86"/>
      <c r="H6" s="86"/>
      <c r="I6" s="86"/>
      <c r="J6" s="86"/>
      <c r="K6" s="86"/>
      <c r="L6" s="110"/>
      <c r="M6" s="86"/>
      <c r="N6" s="86"/>
      <c r="O6" s="86"/>
      <c r="P6" s="86"/>
      <c r="Q6" s="110"/>
      <c r="R6" s="86"/>
      <c r="S6" s="86"/>
      <c r="T6" s="86"/>
      <c r="U6" s="86"/>
      <c r="V6" s="110"/>
      <c r="W6" s="86"/>
      <c r="X6" s="86"/>
      <c r="Y6" s="86"/>
      <c r="Z6" s="86"/>
      <c r="AA6" s="86"/>
      <c r="AB6" s="110"/>
      <c r="AC6" s="86"/>
      <c r="AD6" s="86"/>
      <c r="AE6" s="86"/>
      <c r="AF6" s="86"/>
      <c r="AG6" s="110"/>
      <c r="AH6" s="86"/>
      <c r="AI6" s="86"/>
      <c r="AJ6" s="86"/>
      <c r="AK6" s="86"/>
      <c r="AL6" s="110"/>
      <c r="AM6" s="86"/>
      <c r="AN6" s="86"/>
      <c r="AO6" s="86"/>
      <c r="AP6" s="86"/>
      <c r="AQ6" s="86"/>
      <c r="AR6" s="110"/>
      <c r="AS6" s="86"/>
      <c r="AT6" s="86"/>
      <c r="AU6" s="86"/>
      <c r="AV6" s="86"/>
      <c r="AW6" s="110"/>
      <c r="AX6" s="86"/>
      <c r="AY6" s="86"/>
      <c r="AZ6" s="86"/>
      <c r="BA6" s="86"/>
      <c r="BB6" s="110"/>
      <c r="BC6" s="86"/>
      <c r="BD6" s="86"/>
      <c r="BE6" s="86"/>
      <c r="BF6" s="86"/>
      <c r="BG6" s="86"/>
      <c r="BH6" s="110"/>
      <c r="BI6" s="86"/>
      <c r="BJ6" s="86"/>
      <c r="BK6" s="86"/>
      <c r="BL6" s="86"/>
      <c r="BM6" s="110"/>
      <c r="BN6" s="86"/>
      <c r="BO6" s="86"/>
      <c r="BP6" s="86"/>
      <c r="BQ6" s="86"/>
      <c r="BR6" s="86"/>
      <c r="BS6" s="110"/>
      <c r="BT6" s="94"/>
      <c r="BU6" s="90"/>
      <c r="BV6" s="48"/>
      <c r="BW6" s="52"/>
      <c r="BX6" s="53"/>
      <c r="BY6" s="52"/>
      <c r="BZ6" s="53"/>
      <c r="CA6" s="57"/>
      <c r="CB6" s="52" t="s">
        <v>93</v>
      </c>
      <c r="CC6" s="58"/>
      <c r="CD6" s="54"/>
      <c r="CE6" s="48" t="s">
        <v>106</v>
      </c>
      <c r="CF6" s="65"/>
    </row>
    <row r="7" spans="1:84">
      <c r="A7" s="49" t="s">
        <v>126</v>
      </c>
      <c r="B7" s="62"/>
      <c r="C7" s="54"/>
      <c r="D7" s="66"/>
      <c r="E7" s="52" t="s">
        <v>134</v>
      </c>
      <c r="F7" s="109"/>
      <c r="G7" s="56"/>
      <c r="H7" s="56"/>
      <c r="I7" s="56"/>
      <c r="J7" s="56"/>
      <c r="K7" s="56"/>
      <c r="L7" s="109"/>
      <c r="M7" s="56"/>
      <c r="N7" s="56"/>
      <c r="O7" s="56"/>
      <c r="P7" s="56"/>
      <c r="Q7" s="109"/>
      <c r="R7" s="56"/>
      <c r="S7" s="56"/>
      <c r="T7" s="56"/>
      <c r="U7" s="56"/>
      <c r="V7" s="109"/>
      <c r="W7" s="56"/>
      <c r="X7" s="56"/>
      <c r="Y7" s="56"/>
      <c r="Z7" s="56"/>
      <c r="AA7" s="56"/>
      <c r="AB7" s="109"/>
      <c r="AC7" s="56"/>
      <c r="AD7" s="56"/>
      <c r="AE7" s="56"/>
      <c r="AF7" s="56"/>
      <c r="AG7" s="109"/>
      <c r="AH7" s="56"/>
      <c r="AI7" s="56"/>
      <c r="AJ7" s="56"/>
      <c r="AK7" s="56"/>
      <c r="AL7" s="109"/>
      <c r="AM7" s="56"/>
      <c r="AN7" s="56"/>
      <c r="AO7" s="56"/>
      <c r="AP7" s="56"/>
      <c r="AQ7" s="56"/>
      <c r="AR7" s="109"/>
      <c r="AS7" s="56"/>
      <c r="AT7" s="56"/>
      <c r="AU7" s="56"/>
      <c r="AV7" s="56"/>
      <c r="AW7" s="109"/>
      <c r="AX7" s="56"/>
      <c r="AY7" s="56"/>
      <c r="AZ7" s="56"/>
      <c r="BA7" s="56"/>
      <c r="BB7" s="109"/>
      <c r="BC7" s="56"/>
      <c r="BD7" s="56"/>
      <c r="BE7" s="56"/>
      <c r="BF7" s="56"/>
      <c r="BG7" s="56"/>
      <c r="BH7" s="109"/>
      <c r="BI7" s="56"/>
      <c r="BJ7" s="56"/>
      <c r="BK7" s="56"/>
      <c r="BL7" s="56"/>
      <c r="BM7" s="109"/>
      <c r="BN7" s="56"/>
      <c r="BO7" s="56"/>
      <c r="BP7" s="56"/>
      <c r="BQ7" s="56"/>
      <c r="BR7" s="56"/>
      <c r="BS7" s="109"/>
      <c r="BT7" s="93"/>
      <c r="BU7" s="89"/>
      <c r="BV7" s="48"/>
      <c r="BW7" s="52"/>
      <c r="BX7" s="53"/>
      <c r="BY7" s="52"/>
      <c r="BZ7" s="64"/>
      <c r="CA7" s="57"/>
      <c r="CB7" s="52" t="s">
        <v>94</v>
      </c>
      <c r="CC7" s="58"/>
      <c r="CD7" s="25">
        <v>0</v>
      </c>
      <c r="CE7" s="48" t="s">
        <v>107</v>
      </c>
      <c r="CF7" s="65"/>
    </row>
    <row r="8" spans="1:84">
      <c r="A8" s="49" t="s">
        <v>11</v>
      </c>
      <c r="B8" s="62"/>
      <c r="C8" s="49" t="s">
        <v>127</v>
      </c>
      <c r="D8" s="62"/>
      <c r="E8" s="52" t="s">
        <v>135</v>
      </c>
      <c r="F8" s="109"/>
      <c r="G8" s="56"/>
      <c r="H8" s="56"/>
      <c r="I8" s="56"/>
      <c r="J8" s="56"/>
      <c r="K8" s="56"/>
      <c r="L8" s="109"/>
      <c r="M8" s="56"/>
      <c r="N8" s="56"/>
      <c r="O8" s="56"/>
      <c r="P8" s="56"/>
      <c r="Q8" s="109"/>
      <c r="R8" s="56"/>
      <c r="S8" s="56"/>
      <c r="T8" s="56"/>
      <c r="U8" s="56"/>
      <c r="V8" s="109"/>
      <c r="W8" s="56"/>
      <c r="X8" s="56"/>
      <c r="Y8" s="56"/>
      <c r="Z8" s="56"/>
      <c r="AA8" s="56"/>
      <c r="AB8" s="109"/>
      <c r="AC8" s="56"/>
      <c r="AD8" s="56"/>
      <c r="AE8" s="56"/>
      <c r="AF8" s="56"/>
      <c r="AG8" s="109"/>
      <c r="AH8" s="56"/>
      <c r="AI8" s="56"/>
      <c r="AJ8" s="56"/>
      <c r="AK8" s="56"/>
      <c r="AL8" s="109"/>
      <c r="AM8" s="56"/>
      <c r="AN8" s="56"/>
      <c r="AO8" s="56"/>
      <c r="AP8" s="56"/>
      <c r="AQ8" s="56"/>
      <c r="AR8" s="109"/>
      <c r="AS8" s="56"/>
      <c r="AT8" s="56"/>
      <c r="AU8" s="56"/>
      <c r="AV8" s="56"/>
      <c r="AW8" s="109"/>
      <c r="AX8" s="56"/>
      <c r="AY8" s="56"/>
      <c r="AZ8" s="56"/>
      <c r="BA8" s="56"/>
      <c r="BB8" s="109"/>
      <c r="BC8" s="56"/>
      <c r="BD8" s="56"/>
      <c r="BE8" s="56"/>
      <c r="BF8" s="56"/>
      <c r="BG8" s="56"/>
      <c r="BH8" s="109"/>
      <c r="BI8" s="56"/>
      <c r="BJ8" s="56"/>
      <c r="BK8" s="56"/>
      <c r="BL8" s="56"/>
      <c r="BM8" s="109"/>
      <c r="BN8" s="56"/>
      <c r="BO8" s="56"/>
      <c r="BP8" s="56"/>
      <c r="BQ8" s="56"/>
      <c r="BR8" s="56"/>
      <c r="BS8" s="109"/>
      <c r="BT8" s="93"/>
      <c r="BU8" s="89"/>
      <c r="BV8" s="48"/>
      <c r="BW8" s="52"/>
      <c r="BX8" s="53"/>
      <c r="BY8" s="52"/>
      <c r="BZ8" s="64"/>
      <c r="CA8" s="67"/>
      <c r="CE8" s="48" t="s">
        <v>11</v>
      </c>
      <c r="CF8" s="71"/>
    </row>
    <row r="9" spans="1:84">
      <c r="A9" s="49" t="s">
        <v>124</v>
      </c>
      <c r="B9" s="62"/>
      <c r="C9" s="49" t="s">
        <v>125</v>
      </c>
      <c r="D9" s="96"/>
      <c r="E9" s="46" t="s">
        <v>136</v>
      </c>
      <c r="F9" s="111"/>
      <c r="G9" s="47"/>
      <c r="H9" s="47"/>
      <c r="I9" s="47"/>
      <c r="J9" s="47"/>
      <c r="K9" s="47"/>
      <c r="L9" s="111"/>
      <c r="M9" s="47"/>
      <c r="N9" s="47"/>
      <c r="O9" s="47"/>
      <c r="P9" s="47"/>
      <c r="Q9" s="111"/>
      <c r="R9" s="47"/>
      <c r="S9" s="47"/>
      <c r="T9" s="47"/>
      <c r="U9" s="47"/>
      <c r="V9" s="111"/>
      <c r="W9" s="47"/>
      <c r="X9" s="47"/>
      <c r="Y9" s="47"/>
      <c r="Z9" s="47"/>
      <c r="AA9" s="47"/>
      <c r="AB9" s="111"/>
      <c r="AC9" s="47"/>
      <c r="AD9" s="47"/>
      <c r="AE9" s="47"/>
      <c r="AF9" s="47"/>
      <c r="AG9" s="111"/>
      <c r="AH9" s="47"/>
      <c r="AI9" s="47"/>
      <c r="AJ9" s="47"/>
      <c r="AK9" s="47"/>
      <c r="AL9" s="111"/>
      <c r="AM9" s="47"/>
      <c r="AN9" s="47"/>
      <c r="AO9" s="47"/>
      <c r="AP9" s="47"/>
      <c r="AQ9" s="47"/>
      <c r="AR9" s="111"/>
      <c r="AS9" s="47"/>
      <c r="AT9" s="47"/>
      <c r="AU9" s="47"/>
      <c r="AV9" s="47"/>
      <c r="AW9" s="111"/>
      <c r="AX9" s="47"/>
      <c r="AY9" s="47"/>
      <c r="AZ9" s="47"/>
      <c r="BA9" s="47"/>
      <c r="BB9" s="111"/>
      <c r="BC9" s="47"/>
      <c r="BD9" s="47"/>
      <c r="BE9" s="47"/>
      <c r="BF9" s="47"/>
      <c r="BG9" s="47"/>
      <c r="BH9" s="111"/>
      <c r="BI9" s="47"/>
      <c r="BJ9" s="47"/>
      <c r="BK9" s="47"/>
      <c r="BL9" s="47"/>
      <c r="BM9" s="111"/>
      <c r="BN9" s="47"/>
      <c r="BO9" s="47"/>
      <c r="BP9" s="47"/>
      <c r="BQ9" s="47"/>
      <c r="BR9" s="47"/>
      <c r="BS9" s="111"/>
      <c r="BT9" s="95"/>
      <c r="BU9" s="91"/>
      <c r="BV9" s="48"/>
      <c r="BW9" s="68"/>
      <c r="BX9" s="69"/>
      <c r="BY9" s="68"/>
      <c r="BZ9" s="57"/>
      <c r="CA9" s="48"/>
      <c r="CB9" s="48"/>
      <c r="CC9" s="70"/>
      <c r="CD9" s="54"/>
      <c r="CE9" s="48" t="s">
        <v>15</v>
      </c>
      <c r="CF9" s="71"/>
    </row>
    <row r="10" spans="1:84">
      <c r="A10" s="49"/>
      <c r="B10" s="62"/>
      <c r="C10" s="49"/>
      <c r="D10" s="62"/>
      <c r="E10" s="46" t="s">
        <v>137</v>
      </c>
      <c r="F10" s="111"/>
      <c r="G10" s="47"/>
      <c r="H10" s="47"/>
      <c r="I10" s="47"/>
      <c r="J10" s="47"/>
      <c r="K10" s="47"/>
      <c r="L10" s="111"/>
      <c r="M10" s="47"/>
      <c r="N10" s="47"/>
      <c r="O10" s="47"/>
      <c r="P10" s="47"/>
      <c r="Q10" s="111"/>
      <c r="R10" s="47"/>
      <c r="S10" s="47"/>
      <c r="T10" s="47"/>
      <c r="U10" s="47"/>
      <c r="V10" s="111"/>
      <c r="W10" s="47"/>
      <c r="X10" s="47"/>
      <c r="Y10" s="47"/>
      <c r="Z10" s="47"/>
      <c r="AA10" s="47"/>
      <c r="AB10" s="111"/>
      <c r="AC10" s="47"/>
      <c r="AD10" s="47"/>
      <c r="AE10" s="47"/>
      <c r="AF10" s="47"/>
      <c r="AG10" s="111"/>
      <c r="AH10" s="47"/>
      <c r="AI10" s="47"/>
      <c r="AJ10" s="47"/>
      <c r="AK10" s="47"/>
      <c r="AL10" s="111"/>
      <c r="AM10" s="47"/>
      <c r="AN10" s="47"/>
      <c r="AO10" s="47"/>
      <c r="AP10" s="47"/>
      <c r="AQ10" s="47"/>
      <c r="AR10" s="111"/>
      <c r="AS10" s="47"/>
      <c r="AT10" s="47"/>
      <c r="AU10" s="47"/>
      <c r="AV10" s="47"/>
      <c r="AW10" s="111"/>
      <c r="AX10" s="47"/>
      <c r="AY10" s="47"/>
      <c r="AZ10" s="47"/>
      <c r="BA10" s="47"/>
      <c r="BB10" s="111"/>
      <c r="BC10" s="47"/>
      <c r="BD10" s="47"/>
      <c r="BE10" s="47"/>
      <c r="BF10" s="47"/>
      <c r="BG10" s="47"/>
      <c r="BH10" s="111"/>
      <c r="BI10" s="47"/>
      <c r="BJ10" s="47"/>
      <c r="BK10" s="47"/>
      <c r="BL10" s="47"/>
      <c r="BM10" s="111"/>
      <c r="BN10" s="47"/>
      <c r="BO10" s="47"/>
      <c r="BP10" s="47"/>
      <c r="BQ10" s="47"/>
      <c r="BR10" s="47"/>
      <c r="BS10" s="111"/>
      <c r="BT10" s="95"/>
      <c r="BU10" s="91"/>
      <c r="BV10" s="48"/>
      <c r="BW10" s="68"/>
      <c r="BX10" s="69"/>
      <c r="BY10" s="68"/>
      <c r="BZ10" s="57"/>
      <c r="CA10" s="48"/>
      <c r="CB10" s="48"/>
      <c r="CC10" s="70"/>
      <c r="CD10" s="54"/>
    </row>
    <row r="11" spans="1:84">
      <c r="A11" s="49"/>
      <c r="B11" s="62"/>
      <c r="C11" s="49"/>
      <c r="D11" s="62"/>
      <c r="E11" s="79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48"/>
      <c r="BW11" s="68"/>
      <c r="BX11" s="69"/>
      <c r="BY11" s="68"/>
      <c r="BZ11" s="57"/>
      <c r="CA11" s="48"/>
      <c r="CB11" s="48"/>
      <c r="CC11" s="70"/>
      <c r="CD11" s="54"/>
    </row>
    <row r="12" spans="1:84">
      <c r="A12" s="49"/>
      <c r="B12" s="62"/>
      <c r="C12" s="54"/>
      <c r="D12" s="63"/>
      <c r="E12" s="52" t="s">
        <v>141</v>
      </c>
      <c r="F12" s="109"/>
      <c r="G12" s="56"/>
      <c r="H12" s="56"/>
      <c r="I12" s="56"/>
      <c r="J12" s="56"/>
      <c r="K12" s="56"/>
      <c r="L12" s="109"/>
      <c r="M12" s="56"/>
      <c r="N12" s="56"/>
      <c r="O12" s="56"/>
      <c r="P12" s="56"/>
      <c r="Q12" s="109"/>
      <c r="R12" s="56"/>
      <c r="S12" s="56"/>
      <c r="T12" s="56"/>
      <c r="U12" s="56"/>
      <c r="V12" s="109"/>
      <c r="W12" s="56"/>
      <c r="X12" s="56"/>
      <c r="Y12" s="56"/>
      <c r="Z12" s="56"/>
      <c r="AA12" s="56"/>
      <c r="AB12" s="109"/>
      <c r="AC12" s="56"/>
      <c r="AD12" s="56"/>
      <c r="AE12" s="56"/>
      <c r="AF12" s="56"/>
      <c r="AG12" s="109"/>
      <c r="AH12" s="56"/>
      <c r="AI12" s="56"/>
      <c r="AJ12" s="56"/>
      <c r="AK12" s="56"/>
      <c r="AL12" s="109"/>
      <c r="AM12" s="56"/>
      <c r="AN12" s="56"/>
      <c r="AO12" s="56"/>
      <c r="AP12" s="56"/>
      <c r="AQ12" s="56"/>
      <c r="AR12" s="109"/>
      <c r="AS12" s="56"/>
      <c r="AT12" s="56"/>
      <c r="AU12" s="56"/>
      <c r="AV12" s="56"/>
      <c r="AW12" s="109"/>
      <c r="AX12" s="56"/>
      <c r="AY12" s="56"/>
      <c r="AZ12" s="56"/>
      <c r="BA12" s="56"/>
      <c r="BB12" s="109"/>
      <c r="BC12" s="56"/>
      <c r="BD12" s="56"/>
      <c r="BE12" s="56"/>
      <c r="BF12" s="56"/>
      <c r="BG12" s="56"/>
      <c r="BH12" s="109"/>
      <c r="BI12" s="56"/>
      <c r="BJ12" s="56"/>
      <c r="BK12" s="56"/>
      <c r="BL12" s="56"/>
      <c r="BM12" s="109"/>
      <c r="BN12" s="56"/>
      <c r="BO12" s="56"/>
      <c r="BP12" s="56"/>
      <c r="BQ12" s="56"/>
      <c r="BR12" s="56"/>
      <c r="BS12" s="109"/>
      <c r="BT12" s="93"/>
      <c r="BU12" s="89"/>
      <c r="BV12" s="48"/>
      <c r="BW12" s="67"/>
      <c r="BX12" s="69"/>
      <c r="BY12" s="67"/>
      <c r="BZ12" s="69"/>
      <c r="CA12" s="57"/>
      <c r="CB12" s="67"/>
      <c r="CC12" s="57"/>
      <c r="CD12" s="81"/>
      <c r="CE12" s="67"/>
      <c r="CF12" s="65"/>
    </row>
    <row r="13" spans="1:84">
      <c r="A13" s="49"/>
      <c r="B13" s="62"/>
      <c r="C13" s="54"/>
      <c r="D13" s="66"/>
      <c r="E13" s="52" t="s">
        <v>142</v>
      </c>
      <c r="F13" s="109"/>
      <c r="G13" s="56"/>
      <c r="H13" s="56"/>
      <c r="I13" s="56"/>
      <c r="J13" s="56"/>
      <c r="K13" s="56"/>
      <c r="L13" s="109"/>
      <c r="M13" s="56"/>
      <c r="N13" s="56"/>
      <c r="O13" s="56"/>
      <c r="P13" s="56"/>
      <c r="Q13" s="109"/>
      <c r="R13" s="56"/>
      <c r="S13" s="56"/>
      <c r="T13" s="56"/>
      <c r="U13" s="56"/>
      <c r="V13" s="109"/>
      <c r="W13" s="56"/>
      <c r="X13" s="56"/>
      <c r="Y13" s="56"/>
      <c r="Z13" s="56"/>
      <c r="AA13" s="56"/>
      <c r="AB13" s="109"/>
      <c r="AC13" s="56"/>
      <c r="AD13" s="56"/>
      <c r="AE13" s="56"/>
      <c r="AF13" s="56"/>
      <c r="AG13" s="109"/>
      <c r="AH13" s="56"/>
      <c r="AI13" s="56"/>
      <c r="AJ13" s="56"/>
      <c r="AK13" s="56"/>
      <c r="AL13" s="109"/>
      <c r="AM13" s="56"/>
      <c r="AN13" s="56"/>
      <c r="AO13" s="56"/>
      <c r="AP13" s="56"/>
      <c r="AQ13" s="56"/>
      <c r="AR13" s="109"/>
      <c r="AS13" s="56"/>
      <c r="AT13" s="56"/>
      <c r="AU13" s="56"/>
      <c r="AV13" s="56"/>
      <c r="AW13" s="109"/>
      <c r="AX13" s="56"/>
      <c r="AY13" s="56"/>
      <c r="AZ13" s="56"/>
      <c r="BA13" s="56"/>
      <c r="BB13" s="109"/>
      <c r="BC13" s="56"/>
      <c r="BD13" s="56"/>
      <c r="BE13" s="56"/>
      <c r="BF13" s="56"/>
      <c r="BG13" s="56"/>
      <c r="BH13" s="109"/>
      <c r="BI13" s="56"/>
      <c r="BJ13" s="56"/>
      <c r="BK13" s="56"/>
      <c r="BL13" s="56"/>
      <c r="BM13" s="109"/>
      <c r="BN13" s="56"/>
      <c r="BO13" s="56"/>
      <c r="BP13" s="56"/>
      <c r="BQ13" s="56"/>
      <c r="BR13" s="56"/>
      <c r="BS13" s="109"/>
      <c r="BT13" s="93"/>
      <c r="BU13" s="89"/>
      <c r="BV13" s="48"/>
      <c r="BW13" s="67"/>
      <c r="BX13" s="69"/>
      <c r="BY13" s="67"/>
      <c r="BZ13" s="57"/>
      <c r="CA13" s="57"/>
      <c r="CB13" s="67"/>
      <c r="CC13" s="82"/>
      <c r="CD13" s="81"/>
      <c r="CE13" s="67"/>
      <c r="CF13" s="65"/>
    </row>
    <row r="14" spans="1:84">
      <c r="A14" s="49"/>
      <c r="B14" s="62"/>
      <c r="C14" s="49"/>
      <c r="D14" s="66"/>
      <c r="E14" s="52" t="s">
        <v>143</v>
      </c>
      <c r="F14" s="109"/>
      <c r="G14" s="56"/>
      <c r="H14" s="56"/>
      <c r="I14" s="56"/>
      <c r="J14" s="56"/>
      <c r="K14" s="56"/>
      <c r="L14" s="109"/>
      <c r="M14" s="56"/>
      <c r="N14" s="56"/>
      <c r="O14" s="56"/>
      <c r="P14" s="56"/>
      <c r="Q14" s="109"/>
      <c r="R14" s="56"/>
      <c r="S14" s="56"/>
      <c r="T14" s="56"/>
      <c r="U14" s="56"/>
      <c r="V14" s="109"/>
      <c r="W14" s="56"/>
      <c r="X14" s="56"/>
      <c r="Y14" s="56"/>
      <c r="Z14" s="56"/>
      <c r="AA14" s="56"/>
      <c r="AB14" s="109"/>
      <c r="AC14" s="56"/>
      <c r="AD14" s="56"/>
      <c r="AE14" s="56"/>
      <c r="AF14" s="56"/>
      <c r="AG14" s="109"/>
      <c r="AH14" s="56"/>
      <c r="AI14" s="56"/>
      <c r="AJ14" s="56"/>
      <c r="AK14" s="56"/>
      <c r="AL14" s="109"/>
      <c r="AM14" s="56"/>
      <c r="AN14" s="56"/>
      <c r="AO14" s="56"/>
      <c r="AP14" s="56"/>
      <c r="AQ14" s="56"/>
      <c r="AR14" s="109"/>
      <c r="AS14" s="56"/>
      <c r="AT14" s="56"/>
      <c r="AU14" s="56"/>
      <c r="AV14" s="56"/>
      <c r="AW14" s="109"/>
      <c r="AX14" s="56"/>
      <c r="AY14" s="56"/>
      <c r="AZ14" s="56"/>
      <c r="BA14" s="56"/>
      <c r="BB14" s="109"/>
      <c r="BC14" s="56"/>
      <c r="BD14" s="56"/>
      <c r="BE14" s="56"/>
      <c r="BF14" s="56"/>
      <c r="BG14" s="56"/>
      <c r="BH14" s="109"/>
      <c r="BI14" s="56"/>
      <c r="BJ14" s="56"/>
      <c r="BK14" s="56"/>
      <c r="BL14" s="56"/>
      <c r="BM14" s="109"/>
      <c r="BN14" s="56"/>
      <c r="BO14" s="56"/>
      <c r="BP14" s="56"/>
      <c r="BQ14" s="56"/>
      <c r="BR14" s="56"/>
      <c r="BS14" s="109"/>
      <c r="BT14" s="93"/>
      <c r="BU14" s="89"/>
      <c r="BV14" s="48"/>
      <c r="BW14" s="67"/>
      <c r="BX14" s="69"/>
      <c r="BY14" s="67"/>
      <c r="BZ14" s="57"/>
      <c r="CA14" s="67"/>
      <c r="CB14" s="67"/>
      <c r="CC14" s="82"/>
      <c r="CD14" s="83"/>
      <c r="CE14" s="67"/>
      <c r="CF14" s="71"/>
    </row>
    <row r="15" spans="1:84">
      <c r="A15" s="49"/>
      <c r="B15" s="62"/>
      <c r="C15" s="49"/>
      <c r="D15" s="62"/>
      <c r="E15" s="46" t="s">
        <v>138</v>
      </c>
      <c r="F15" s="111"/>
      <c r="G15" s="47"/>
      <c r="H15" s="47"/>
      <c r="I15" s="47"/>
      <c r="J15" s="47"/>
      <c r="K15" s="47"/>
      <c r="L15" s="111"/>
      <c r="M15" s="47"/>
      <c r="N15" s="47"/>
      <c r="O15" s="47"/>
      <c r="P15" s="47"/>
      <c r="Q15" s="111"/>
      <c r="R15" s="47"/>
      <c r="S15" s="47"/>
      <c r="T15" s="47"/>
      <c r="U15" s="47"/>
      <c r="V15" s="111"/>
      <c r="W15" s="47"/>
      <c r="X15" s="47"/>
      <c r="Y15" s="47"/>
      <c r="Z15" s="47"/>
      <c r="AA15" s="47"/>
      <c r="AB15" s="111"/>
      <c r="AC15" s="47"/>
      <c r="AD15" s="47"/>
      <c r="AE15" s="47"/>
      <c r="AF15" s="47"/>
      <c r="AG15" s="111"/>
      <c r="AH15" s="47"/>
      <c r="AI15" s="47"/>
      <c r="AJ15" s="47"/>
      <c r="AK15" s="47"/>
      <c r="AL15" s="111"/>
      <c r="AM15" s="47"/>
      <c r="AN15" s="47"/>
      <c r="AO15" s="47"/>
      <c r="AP15" s="47"/>
      <c r="AQ15" s="47"/>
      <c r="AR15" s="111"/>
      <c r="AS15" s="47"/>
      <c r="AT15" s="47"/>
      <c r="AU15" s="47"/>
      <c r="AV15" s="47"/>
      <c r="AW15" s="111"/>
      <c r="AX15" s="47"/>
      <c r="AY15" s="47"/>
      <c r="AZ15" s="47"/>
      <c r="BA15" s="47"/>
      <c r="BB15" s="111"/>
      <c r="BC15" s="47"/>
      <c r="BD15" s="47"/>
      <c r="BE15" s="47"/>
      <c r="BF15" s="47"/>
      <c r="BG15" s="47"/>
      <c r="BH15" s="111"/>
      <c r="BI15" s="47"/>
      <c r="BJ15" s="47"/>
      <c r="BK15" s="47"/>
      <c r="BL15" s="47"/>
      <c r="BM15" s="111"/>
      <c r="BN15" s="47"/>
      <c r="BO15" s="47"/>
      <c r="BP15" s="47"/>
      <c r="BQ15" s="47"/>
      <c r="BR15" s="47"/>
      <c r="BS15" s="111"/>
      <c r="BT15" s="95"/>
      <c r="BU15" s="91"/>
      <c r="BV15" s="48"/>
      <c r="BW15" s="68"/>
      <c r="BX15" s="69"/>
      <c r="BY15" s="68"/>
      <c r="BZ15" s="57"/>
      <c r="CA15" s="67"/>
      <c r="CB15" s="67"/>
      <c r="CC15" s="84"/>
      <c r="CD15" s="81"/>
      <c r="CE15" s="67"/>
      <c r="CF15" s="71"/>
    </row>
    <row r="16" spans="1:84">
      <c r="A16" s="49"/>
      <c r="B16" s="62"/>
      <c r="C16" s="49"/>
      <c r="D16" s="62"/>
      <c r="E16" s="46" t="s">
        <v>139</v>
      </c>
      <c r="F16" s="111"/>
      <c r="G16" s="47"/>
      <c r="H16" s="47"/>
      <c r="I16" s="47"/>
      <c r="J16" s="47"/>
      <c r="K16" s="47"/>
      <c r="L16" s="111"/>
      <c r="M16" s="47"/>
      <c r="N16" s="47"/>
      <c r="O16" s="47"/>
      <c r="P16" s="47"/>
      <c r="Q16" s="111"/>
      <c r="R16" s="47"/>
      <c r="S16" s="47"/>
      <c r="T16" s="47"/>
      <c r="U16" s="47"/>
      <c r="V16" s="111"/>
      <c r="W16" s="47"/>
      <c r="X16" s="47"/>
      <c r="Y16" s="47"/>
      <c r="Z16" s="47"/>
      <c r="AA16" s="47"/>
      <c r="AB16" s="111"/>
      <c r="AC16" s="47"/>
      <c r="AD16" s="47"/>
      <c r="AE16" s="47"/>
      <c r="AF16" s="47"/>
      <c r="AG16" s="111"/>
      <c r="AH16" s="47"/>
      <c r="AI16" s="47"/>
      <c r="AJ16" s="47"/>
      <c r="AK16" s="47"/>
      <c r="AL16" s="111"/>
      <c r="AM16" s="47"/>
      <c r="AN16" s="47"/>
      <c r="AO16" s="47"/>
      <c r="AP16" s="47"/>
      <c r="AQ16" s="47"/>
      <c r="AR16" s="111"/>
      <c r="AS16" s="47"/>
      <c r="AT16" s="47"/>
      <c r="AU16" s="47"/>
      <c r="AV16" s="47"/>
      <c r="AW16" s="111"/>
      <c r="AX16" s="47"/>
      <c r="AY16" s="47"/>
      <c r="AZ16" s="47"/>
      <c r="BA16" s="47"/>
      <c r="BB16" s="111"/>
      <c r="BC16" s="47"/>
      <c r="BD16" s="47"/>
      <c r="BE16" s="47"/>
      <c r="BF16" s="47"/>
      <c r="BG16" s="47"/>
      <c r="BH16" s="111"/>
      <c r="BI16" s="47"/>
      <c r="BJ16" s="47"/>
      <c r="BK16" s="47"/>
      <c r="BL16" s="47"/>
      <c r="BM16" s="111"/>
      <c r="BN16" s="47"/>
      <c r="BO16" s="47"/>
      <c r="BP16" s="47"/>
      <c r="BQ16" s="47"/>
      <c r="BR16" s="47"/>
      <c r="BS16" s="111"/>
      <c r="BT16" s="95"/>
      <c r="BU16" s="91"/>
      <c r="BV16" s="48"/>
      <c r="BW16" s="68"/>
      <c r="BX16" s="69"/>
      <c r="BY16" s="68"/>
      <c r="BZ16" s="57"/>
      <c r="CA16" s="67"/>
      <c r="CB16" s="67"/>
      <c r="CC16" s="84"/>
      <c r="CD16" s="81"/>
      <c r="CE16" s="85"/>
    </row>
    <row r="17" spans="1:84">
      <c r="A17" s="106"/>
      <c r="B17" s="62"/>
      <c r="C17" s="49"/>
      <c r="D17" s="62"/>
      <c r="E17" s="79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48"/>
      <c r="BW17" s="68"/>
      <c r="BX17" s="69"/>
      <c r="BY17" s="68"/>
      <c r="BZ17" s="57"/>
      <c r="CA17" s="48"/>
      <c r="CB17" s="48"/>
      <c r="CC17" s="70"/>
      <c r="CD17" s="54"/>
    </row>
    <row r="18" spans="1:84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  <c r="AX18" s="48"/>
      <c r="AY18" s="48"/>
      <c r="AZ18" s="48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8"/>
      <c r="BO18" s="48"/>
      <c r="BP18" s="48"/>
      <c r="BQ18" s="48"/>
      <c r="BR18" s="48"/>
      <c r="BS18" s="48"/>
      <c r="BT18" s="48"/>
      <c r="BU18" s="48"/>
      <c r="BV18" s="48"/>
      <c r="BW18" s="48"/>
      <c r="BX18" s="48"/>
      <c r="BY18" s="48"/>
      <c r="BZ18" s="48"/>
      <c r="CA18" s="48"/>
      <c r="CB18" s="48"/>
      <c r="CC18" s="48"/>
      <c r="CD18" s="54"/>
      <c r="CE18" s="48"/>
      <c r="CF18" s="48"/>
    </row>
    <row r="19" spans="1:84" s="45" customFormat="1">
      <c r="A19" s="72"/>
      <c r="B19" s="73" t="s">
        <v>118</v>
      </c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  <c r="AY19" s="72"/>
      <c r="AZ19" s="72"/>
      <c r="BA19" s="72"/>
      <c r="BB19" s="72"/>
      <c r="BC19" s="72"/>
      <c r="BD19" s="72"/>
      <c r="BE19" s="72"/>
      <c r="BF19" s="72"/>
      <c r="BG19" s="72"/>
      <c r="BH19" s="72"/>
      <c r="BI19" s="72"/>
      <c r="BJ19" s="72"/>
      <c r="BK19" s="72"/>
      <c r="BL19" s="72"/>
      <c r="BM19" s="72"/>
      <c r="BN19" s="72"/>
      <c r="BO19" s="72"/>
      <c r="BP19" s="72"/>
      <c r="BQ19" s="72"/>
      <c r="BR19" s="72"/>
      <c r="BS19" s="72"/>
      <c r="BT19" s="72"/>
      <c r="BU19" s="72"/>
      <c r="BV19" s="72"/>
      <c r="BW19" s="72"/>
      <c r="BX19" s="72"/>
      <c r="BY19" s="72"/>
      <c r="BZ19" s="72"/>
      <c r="CA19" s="72"/>
      <c r="CB19" s="72"/>
      <c r="CC19" s="72"/>
      <c r="CD19" s="74"/>
      <c r="CE19" s="72"/>
      <c r="CF19" s="72"/>
    </row>
    <row r="20" spans="1:84" s="45" customFormat="1">
      <c r="A20" s="72"/>
      <c r="B20" s="72"/>
      <c r="C20" s="72"/>
      <c r="D20" s="72"/>
      <c r="E20" s="75"/>
      <c r="F20" s="76" t="s">
        <v>95</v>
      </c>
      <c r="G20" s="76" t="s">
        <v>20</v>
      </c>
      <c r="H20" s="76" t="s">
        <v>21</v>
      </c>
      <c r="I20" s="76" t="s">
        <v>22</v>
      </c>
      <c r="J20" s="76" t="s">
        <v>23</v>
      </c>
      <c r="K20" s="76" t="s">
        <v>24</v>
      </c>
      <c r="L20" s="76" t="s">
        <v>25</v>
      </c>
      <c r="M20" s="76" t="s">
        <v>26</v>
      </c>
      <c r="N20" s="76" t="s">
        <v>27</v>
      </c>
      <c r="O20" s="76" t="s">
        <v>28</v>
      </c>
      <c r="P20" s="76" t="s">
        <v>29</v>
      </c>
      <c r="Q20" s="76" t="s">
        <v>30</v>
      </c>
      <c r="R20" s="76" t="s">
        <v>31</v>
      </c>
      <c r="S20" s="76" t="s">
        <v>32</v>
      </c>
      <c r="T20" s="76" t="s">
        <v>33</v>
      </c>
      <c r="U20" s="76" t="s">
        <v>34</v>
      </c>
      <c r="V20" s="76" t="s">
        <v>35</v>
      </c>
      <c r="W20" s="76" t="s">
        <v>36</v>
      </c>
      <c r="X20" s="76" t="s">
        <v>37</v>
      </c>
      <c r="Y20" s="76" t="s">
        <v>38</v>
      </c>
      <c r="Z20" s="76" t="s">
        <v>39</v>
      </c>
      <c r="AA20" s="76" t="s">
        <v>40</v>
      </c>
      <c r="AB20" s="76" t="s">
        <v>41</v>
      </c>
      <c r="AC20" s="76" t="s">
        <v>42</v>
      </c>
      <c r="AD20" s="76" t="s">
        <v>43</v>
      </c>
      <c r="AE20" s="76" t="s">
        <v>44</v>
      </c>
      <c r="AF20" s="76" t="s">
        <v>45</v>
      </c>
      <c r="AG20" s="76" t="s">
        <v>46</v>
      </c>
      <c r="AH20" s="76" t="s">
        <v>47</v>
      </c>
      <c r="AI20" s="76" t="s">
        <v>48</v>
      </c>
      <c r="AJ20" s="76" t="s">
        <v>49</v>
      </c>
      <c r="AK20" s="76" t="s">
        <v>50</v>
      </c>
      <c r="AL20" s="76" t="s">
        <v>51</v>
      </c>
      <c r="AM20" s="76" t="s">
        <v>52</v>
      </c>
      <c r="AN20" s="76" t="s">
        <v>53</v>
      </c>
      <c r="AO20" s="76" t="s">
        <v>54</v>
      </c>
      <c r="AP20" s="76" t="s">
        <v>55</v>
      </c>
      <c r="AQ20" s="76" t="s">
        <v>56</v>
      </c>
      <c r="AR20" s="76" t="s">
        <v>57</v>
      </c>
      <c r="AS20" s="76" t="s">
        <v>58</v>
      </c>
      <c r="AT20" s="76" t="s">
        <v>59</v>
      </c>
      <c r="AU20" s="76" t="s">
        <v>60</v>
      </c>
      <c r="AV20" s="76" t="s">
        <v>61</v>
      </c>
      <c r="AW20" s="76" t="s">
        <v>62</v>
      </c>
      <c r="AX20" s="76" t="s">
        <v>63</v>
      </c>
      <c r="AY20" s="76" t="s">
        <v>64</v>
      </c>
      <c r="AZ20" s="76" t="s">
        <v>65</v>
      </c>
      <c r="BA20" s="76" t="s">
        <v>66</v>
      </c>
      <c r="BB20" s="76" t="s">
        <v>67</v>
      </c>
      <c r="BC20" s="76" t="s">
        <v>68</v>
      </c>
      <c r="BD20" s="76" t="s">
        <v>69</v>
      </c>
      <c r="BE20" s="76" t="s">
        <v>70</v>
      </c>
      <c r="BF20" s="76" t="s">
        <v>71</v>
      </c>
      <c r="BG20" s="76" t="s">
        <v>72</v>
      </c>
      <c r="BH20" s="76" t="s">
        <v>73</v>
      </c>
      <c r="BI20" s="76" t="s">
        <v>74</v>
      </c>
      <c r="BJ20" s="76" t="s">
        <v>75</v>
      </c>
      <c r="BK20" s="76" t="s">
        <v>76</v>
      </c>
      <c r="BL20" s="76" t="s">
        <v>77</v>
      </c>
      <c r="BM20" s="76" t="s">
        <v>78</v>
      </c>
      <c r="BN20" s="76" t="s">
        <v>79</v>
      </c>
      <c r="BO20" s="76" t="s">
        <v>80</v>
      </c>
      <c r="BP20" s="76" t="s">
        <v>81</v>
      </c>
      <c r="BQ20" s="76" t="s">
        <v>82</v>
      </c>
      <c r="BR20" s="76" t="s">
        <v>119</v>
      </c>
      <c r="BS20" s="76" t="s">
        <v>83</v>
      </c>
      <c r="BT20" s="76" t="s">
        <v>84</v>
      </c>
      <c r="BU20" s="76" t="s">
        <v>140</v>
      </c>
      <c r="BV20" s="72"/>
      <c r="BW20" s="72"/>
      <c r="BX20" s="72"/>
      <c r="BY20" s="72"/>
      <c r="BZ20" s="72"/>
      <c r="CA20" s="72"/>
      <c r="CB20" s="72"/>
      <c r="CC20" s="72"/>
      <c r="CD20" s="74"/>
      <c r="CE20" s="72"/>
      <c r="CF20" s="72"/>
    </row>
    <row r="21" spans="1:84" s="45" customFormat="1">
      <c r="A21" s="72"/>
      <c r="B21" s="72" t="s">
        <v>8</v>
      </c>
      <c r="C21" s="72"/>
      <c r="D21" s="72"/>
      <c r="E21" s="77" t="s">
        <v>130</v>
      </c>
      <c r="F21" s="108"/>
      <c r="G21" s="78"/>
      <c r="H21" s="78"/>
      <c r="I21" s="78"/>
      <c r="J21" s="78"/>
      <c r="K21" s="78"/>
      <c r="L21" s="108"/>
      <c r="M21" s="78"/>
      <c r="N21" s="78"/>
      <c r="O21" s="78"/>
      <c r="P21" s="78"/>
      <c r="Q21" s="108"/>
      <c r="R21" s="78"/>
      <c r="S21" s="78"/>
      <c r="T21" s="78"/>
      <c r="U21" s="78"/>
      <c r="V21" s="108"/>
      <c r="W21" s="78"/>
      <c r="X21" s="78"/>
      <c r="Y21" s="78"/>
      <c r="Z21" s="78"/>
      <c r="AA21" s="78"/>
      <c r="AB21" s="108"/>
      <c r="AC21" s="78"/>
      <c r="AD21" s="78"/>
      <c r="AE21" s="78"/>
      <c r="AF21" s="78"/>
      <c r="AG21" s="108"/>
      <c r="AH21" s="78"/>
      <c r="AI21" s="78"/>
      <c r="AJ21" s="78"/>
      <c r="AK21" s="78"/>
      <c r="AL21" s="108"/>
      <c r="AM21" s="78"/>
      <c r="AN21" s="78"/>
      <c r="AO21" s="78"/>
      <c r="AP21" s="78"/>
      <c r="AQ21" s="78"/>
      <c r="AR21" s="108"/>
      <c r="AS21" s="78"/>
      <c r="AT21" s="78"/>
      <c r="AU21" s="78"/>
      <c r="AV21" s="78"/>
      <c r="AW21" s="108"/>
      <c r="AX21" s="78"/>
      <c r="AY21" s="78"/>
      <c r="AZ21" s="78"/>
      <c r="BA21" s="78"/>
      <c r="BB21" s="108"/>
      <c r="BC21" s="78"/>
      <c r="BD21" s="78"/>
      <c r="BE21" s="78"/>
      <c r="BF21" s="78"/>
      <c r="BG21" s="78"/>
      <c r="BH21" s="108"/>
      <c r="BI21" s="78"/>
      <c r="BJ21" s="78"/>
      <c r="BK21" s="78"/>
      <c r="BL21" s="78"/>
      <c r="BM21" s="108"/>
      <c r="BN21" s="78"/>
      <c r="BO21" s="78"/>
      <c r="BP21" s="78"/>
      <c r="BQ21" s="78"/>
      <c r="BR21" s="78"/>
      <c r="BS21" s="108"/>
      <c r="BT21" s="92"/>
      <c r="BU21" s="88"/>
      <c r="BV21" s="72"/>
      <c r="BW21" s="72"/>
      <c r="BX21" s="72"/>
      <c r="BY21" s="72"/>
      <c r="BZ21" s="72"/>
      <c r="CA21" s="72"/>
      <c r="CB21" s="72"/>
      <c r="CC21" s="72"/>
      <c r="CD21" s="74"/>
      <c r="CE21" s="72"/>
      <c r="CF21" s="72"/>
    </row>
    <row r="22" spans="1:84" s="45" customFormat="1">
      <c r="A22" s="72"/>
      <c r="B22" s="72" t="s">
        <v>8</v>
      </c>
      <c r="C22" s="72"/>
      <c r="D22" s="72"/>
      <c r="E22" s="77" t="s">
        <v>129</v>
      </c>
      <c r="F22" s="109"/>
      <c r="G22" s="98"/>
      <c r="H22" s="98"/>
      <c r="I22" s="98"/>
      <c r="J22" s="98"/>
      <c r="K22" s="98"/>
      <c r="L22" s="109"/>
      <c r="M22" s="98"/>
      <c r="N22" s="98"/>
      <c r="O22" s="98"/>
      <c r="P22" s="98"/>
      <c r="Q22" s="109"/>
      <c r="R22" s="98"/>
      <c r="S22" s="98"/>
      <c r="T22" s="98"/>
      <c r="U22" s="98"/>
      <c r="V22" s="109"/>
      <c r="W22" s="98"/>
      <c r="X22" s="98"/>
      <c r="Y22" s="98"/>
      <c r="Z22" s="98"/>
      <c r="AA22" s="98"/>
      <c r="AB22" s="109"/>
      <c r="AC22" s="98"/>
      <c r="AD22" s="98"/>
      <c r="AE22" s="98"/>
      <c r="AF22" s="98"/>
      <c r="AG22" s="109"/>
      <c r="AH22" s="98"/>
      <c r="AI22" s="98"/>
      <c r="AJ22" s="98"/>
      <c r="AK22" s="98"/>
      <c r="AL22" s="109"/>
      <c r="AM22" s="98"/>
      <c r="AN22" s="98"/>
      <c r="AO22" s="98"/>
      <c r="AP22" s="98"/>
      <c r="AQ22" s="98"/>
      <c r="AR22" s="109"/>
      <c r="AS22" s="98"/>
      <c r="AT22" s="98"/>
      <c r="AU22" s="98"/>
      <c r="AV22" s="98"/>
      <c r="AW22" s="109"/>
      <c r="AX22" s="98"/>
      <c r="AY22" s="98"/>
      <c r="AZ22" s="98"/>
      <c r="BA22" s="98"/>
      <c r="BB22" s="109"/>
      <c r="BC22" s="98"/>
      <c r="BD22" s="98"/>
      <c r="BE22" s="98"/>
      <c r="BF22" s="98"/>
      <c r="BG22" s="98"/>
      <c r="BH22" s="109"/>
      <c r="BI22" s="98"/>
      <c r="BJ22" s="98"/>
      <c r="BK22" s="98"/>
      <c r="BL22" s="98"/>
      <c r="BM22" s="109"/>
      <c r="BN22" s="98"/>
      <c r="BO22" s="98"/>
      <c r="BP22" s="98"/>
      <c r="BQ22" s="98"/>
      <c r="BR22" s="98"/>
      <c r="BS22" s="109"/>
      <c r="BT22" s="93"/>
      <c r="BU22" s="89"/>
      <c r="BV22" s="72"/>
      <c r="BW22" s="72"/>
      <c r="BX22" s="72"/>
      <c r="BY22" s="72"/>
      <c r="BZ22" s="72"/>
      <c r="CA22" s="72"/>
      <c r="CB22" s="72"/>
      <c r="CC22" s="72"/>
      <c r="CD22" s="74"/>
      <c r="CE22" s="72"/>
      <c r="CF22" s="72"/>
    </row>
    <row r="23" spans="1:84" s="45" customFormat="1">
      <c r="A23" s="72"/>
      <c r="B23" s="72" t="s">
        <v>8</v>
      </c>
      <c r="C23" s="72"/>
      <c r="D23" s="72"/>
      <c r="E23" s="77" t="s">
        <v>131</v>
      </c>
      <c r="F23" s="109"/>
      <c r="G23" s="98"/>
      <c r="H23" s="98"/>
      <c r="I23" s="98"/>
      <c r="J23" s="98"/>
      <c r="K23" s="98"/>
      <c r="L23" s="109"/>
      <c r="M23" s="98"/>
      <c r="N23" s="98"/>
      <c r="O23" s="98"/>
      <c r="P23" s="98"/>
      <c r="Q23" s="109"/>
      <c r="R23" s="98"/>
      <c r="S23" s="98"/>
      <c r="T23" s="98"/>
      <c r="U23" s="98"/>
      <c r="V23" s="109"/>
      <c r="W23" s="98"/>
      <c r="X23" s="98"/>
      <c r="Y23" s="98"/>
      <c r="Z23" s="98"/>
      <c r="AA23" s="98"/>
      <c r="AB23" s="109"/>
      <c r="AC23" s="98"/>
      <c r="AD23" s="98"/>
      <c r="AE23" s="98"/>
      <c r="AF23" s="98"/>
      <c r="AG23" s="109"/>
      <c r="AH23" s="98"/>
      <c r="AI23" s="98"/>
      <c r="AJ23" s="98"/>
      <c r="AK23" s="98"/>
      <c r="AL23" s="109"/>
      <c r="AM23" s="98"/>
      <c r="AN23" s="98"/>
      <c r="AO23" s="98"/>
      <c r="AP23" s="98"/>
      <c r="AQ23" s="98"/>
      <c r="AR23" s="109"/>
      <c r="AS23" s="98"/>
      <c r="AT23" s="98"/>
      <c r="AU23" s="98"/>
      <c r="AV23" s="98"/>
      <c r="AW23" s="109"/>
      <c r="AX23" s="98"/>
      <c r="AY23" s="98"/>
      <c r="AZ23" s="98"/>
      <c r="BA23" s="98"/>
      <c r="BB23" s="109"/>
      <c r="BC23" s="98"/>
      <c r="BD23" s="98"/>
      <c r="BE23" s="98"/>
      <c r="BF23" s="98"/>
      <c r="BG23" s="98"/>
      <c r="BH23" s="109"/>
      <c r="BI23" s="98"/>
      <c r="BJ23" s="98"/>
      <c r="BK23" s="98"/>
      <c r="BL23" s="98"/>
      <c r="BM23" s="109"/>
      <c r="BN23" s="98"/>
      <c r="BO23" s="98"/>
      <c r="BP23" s="98"/>
      <c r="BQ23" s="98"/>
      <c r="BR23" s="98"/>
      <c r="BS23" s="109"/>
      <c r="BT23" s="93"/>
      <c r="BU23" s="89"/>
      <c r="BV23" s="72"/>
      <c r="BW23" s="72"/>
      <c r="BX23" s="72"/>
      <c r="BY23" s="72"/>
      <c r="BZ23" s="72"/>
      <c r="CA23" s="72"/>
      <c r="CB23" s="72"/>
      <c r="CC23" s="72"/>
      <c r="CD23" s="74"/>
      <c r="CE23" s="72"/>
      <c r="CF23" s="72"/>
    </row>
    <row r="24" spans="1:84" s="45" customFormat="1">
      <c r="A24" s="72"/>
      <c r="B24" s="72" t="s">
        <v>8</v>
      </c>
      <c r="C24" s="72"/>
      <c r="D24" s="72"/>
      <c r="E24" s="77" t="s">
        <v>132</v>
      </c>
      <c r="F24" s="109"/>
      <c r="G24" s="98"/>
      <c r="H24" s="98"/>
      <c r="I24" s="98"/>
      <c r="J24" s="98"/>
      <c r="K24" s="98"/>
      <c r="L24" s="109"/>
      <c r="M24" s="98"/>
      <c r="N24" s="98"/>
      <c r="O24" s="98"/>
      <c r="P24" s="98"/>
      <c r="Q24" s="109"/>
      <c r="R24" s="98"/>
      <c r="S24" s="98"/>
      <c r="T24" s="98"/>
      <c r="U24" s="98"/>
      <c r="V24" s="109"/>
      <c r="W24" s="98"/>
      <c r="X24" s="98"/>
      <c r="Y24" s="98"/>
      <c r="Z24" s="98"/>
      <c r="AA24" s="98"/>
      <c r="AB24" s="109"/>
      <c r="AC24" s="98"/>
      <c r="AD24" s="98"/>
      <c r="AE24" s="98"/>
      <c r="AF24" s="98"/>
      <c r="AG24" s="109"/>
      <c r="AH24" s="98"/>
      <c r="AI24" s="98"/>
      <c r="AJ24" s="98"/>
      <c r="AK24" s="98"/>
      <c r="AL24" s="109"/>
      <c r="AM24" s="98"/>
      <c r="AN24" s="98"/>
      <c r="AO24" s="98"/>
      <c r="AP24" s="98"/>
      <c r="AQ24" s="98"/>
      <c r="AR24" s="109"/>
      <c r="AS24" s="98"/>
      <c r="AT24" s="98"/>
      <c r="AU24" s="98"/>
      <c r="AV24" s="98"/>
      <c r="AW24" s="109"/>
      <c r="AX24" s="98"/>
      <c r="AY24" s="98"/>
      <c r="AZ24" s="98"/>
      <c r="BA24" s="98"/>
      <c r="BB24" s="109"/>
      <c r="BC24" s="98"/>
      <c r="BD24" s="98"/>
      <c r="BE24" s="98"/>
      <c r="BF24" s="98"/>
      <c r="BG24" s="98"/>
      <c r="BH24" s="109"/>
      <c r="BI24" s="98"/>
      <c r="BJ24" s="98"/>
      <c r="BK24" s="98"/>
      <c r="BL24" s="98"/>
      <c r="BM24" s="109"/>
      <c r="BN24" s="98"/>
      <c r="BO24" s="98"/>
      <c r="BP24" s="98"/>
      <c r="BQ24" s="98"/>
      <c r="BR24" s="98"/>
      <c r="BS24" s="109"/>
      <c r="BT24" s="93"/>
      <c r="BU24" s="89"/>
      <c r="BV24" s="72"/>
      <c r="BW24" s="72"/>
      <c r="BX24" s="72"/>
      <c r="BY24" s="72"/>
      <c r="BZ24" s="72"/>
      <c r="CA24" s="72"/>
      <c r="CB24" s="72"/>
      <c r="CC24" s="72"/>
      <c r="CD24" s="74"/>
      <c r="CE24" s="72"/>
      <c r="CF24" s="72"/>
    </row>
    <row r="25" spans="1:84" s="45" customFormat="1">
      <c r="A25" s="72"/>
      <c r="B25" s="72"/>
      <c r="C25" s="72"/>
      <c r="D25" s="72"/>
      <c r="E25" s="99" t="s">
        <v>133</v>
      </c>
      <c r="F25" s="110"/>
      <c r="G25" s="100"/>
      <c r="H25" s="100"/>
      <c r="I25" s="100"/>
      <c r="J25" s="100"/>
      <c r="K25" s="100"/>
      <c r="L25" s="110"/>
      <c r="M25" s="100"/>
      <c r="N25" s="100"/>
      <c r="O25" s="100"/>
      <c r="P25" s="100"/>
      <c r="Q25" s="110"/>
      <c r="R25" s="100"/>
      <c r="S25" s="100"/>
      <c r="T25" s="100"/>
      <c r="U25" s="100"/>
      <c r="V25" s="110"/>
      <c r="W25" s="100"/>
      <c r="X25" s="100"/>
      <c r="Y25" s="100"/>
      <c r="Z25" s="100"/>
      <c r="AA25" s="100"/>
      <c r="AB25" s="110"/>
      <c r="AC25" s="100"/>
      <c r="AD25" s="100"/>
      <c r="AE25" s="100"/>
      <c r="AF25" s="100"/>
      <c r="AG25" s="110"/>
      <c r="AH25" s="100"/>
      <c r="AI25" s="100"/>
      <c r="AJ25" s="100"/>
      <c r="AK25" s="100"/>
      <c r="AL25" s="110"/>
      <c r="AM25" s="100"/>
      <c r="AN25" s="100"/>
      <c r="AO25" s="100"/>
      <c r="AP25" s="100"/>
      <c r="AQ25" s="100"/>
      <c r="AR25" s="110"/>
      <c r="AS25" s="100"/>
      <c r="AT25" s="100"/>
      <c r="AU25" s="100"/>
      <c r="AV25" s="100"/>
      <c r="AW25" s="110"/>
      <c r="AX25" s="100"/>
      <c r="AY25" s="100"/>
      <c r="AZ25" s="100"/>
      <c r="BA25" s="100"/>
      <c r="BB25" s="110"/>
      <c r="BC25" s="100"/>
      <c r="BD25" s="100"/>
      <c r="BE25" s="100"/>
      <c r="BF25" s="100"/>
      <c r="BG25" s="100"/>
      <c r="BH25" s="110"/>
      <c r="BI25" s="100"/>
      <c r="BJ25" s="100"/>
      <c r="BK25" s="100"/>
      <c r="BL25" s="100"/>
      <c r="BM25" s="110"/>
      <c r="BN25" s="100"/>
      <c r="BO25" s="100"/>
      <c r="BP25" s="100"/>
      <c r="BQ25" s="100"/>
      <c r="BR25" s="100"/>
      <c r="BS25" s="110"/>
      <c r="BT25" s="94"/>
      <c r="BU25" s="90"/>
      <c r="BV25" s="72"/>
      <c r="BW25" s="72"/>
      <c r="BX25" s="72"/>
      <c r="BY25" s="72"/>
      <c r="BZ25" s="72"/>
      <c r="CA25" s="72"/>
      <c r="CB25" s="72"/>
      <c r="CC25" s="72"/>
      <c r="CD25" s="74"/>
      <c r="CE25" s="72"/>
      <c r="CF25" s="72"/>
    </row>
    <row r="26" spans="1:84" s="45" customFormat="1">
      <c r="B26" s="72"/>
      <c r="E26" s="77" t="s">
        <v>134</v>
      </c>
      <c r="F26" s="109"/>
      <c r="G26" s="98"/>
      <c r="H26" s="98"/>
      <c r="I26" s="98"/>
      <c r="J26" s="98"/>
      <c r="K26" s="98"/>
      <c r="L26" s="109"/>
      <c r="M26" s="98"/>
      <c r="N26" s="98"/>
      <c r="O26" s="98"/>
      <c r="P26" s="98"/>
      <c r="Q26" s="109"/>
      <c r="R26" s="98"/>
      <c r="S26" s="98"/>
      <c r="T26" s="98"/>
      <c r="U26" s="98"/>
      <c r="V26" s="109"/>
      <c r="W26" s="98"/>
      <c r="X26" s="98"/>
      <c r="Y26" s="98"/>
      <c r="Z26" s="98"/>
      <c r="AA26" s="98"/>
      <c r="AB26" s="109"/>
      <c r="AC26" s="98"/>
      <c r="AD26" s="98"/>
      <c r="AE26" s="98"/>
      <c r="AF26" s="98"/>
      <c r="AG26" s="109"/>
      <c r="AH26" s="98"/>
      <c r="AI26" s="98"/>
      <c r="AJ26" s="98"/>
      <c r="AK26" s="98"/>
      <c r="AL26" s="109"/>
      <c r="AM26" s="98"/>
      <c r="AN26" s="98"/>
      <c r="AO26" s="98"/>
      <c r="AP26" s="98"/>
      <c r="AQ26" s="98"/>
      <c r="AR26" s="109"/>
      <c r="AS26" s="98"/>
      <c r="AT26" s="98"/>
      <c r="AU26" s="98"/>
      <c r="AV26" s="98"/>
      <c r="AW26" s="109"/>
      <c r="AX26" s="98"/>
      <c r="AY26" s="98"/>
      <c r="AZ26" s="98"/>
      <c r="BA26" s="98"/>
      <c r="BB26" s="109"/>
      <c r="BC26" s="98"/>
      <c r="BD26" s="98"/>
      <c r="BE26" s="98"/>
      <c r="BF26" s="98"/>
      <c r="BG26" s="98"/>
      <c r="BH26" s="109"/>
      <c r="BI26" s="98"/>
      <c r="BJ26" s="98"/>
      <c r="BK26" s="98"/>
      <c r="BL26" s="98"/>
      <c r="BM26" s="109"/>
      <c r="BN26" s="98"/>
      <c r="BO26" s="98"/>
      <c r="BP26" s="98"/>
      <c r="BQ26" s="98"/>
      <c r="BR26" s="98"/>
      <c r="BS26" s="109"/>
      <c r="BT26" s="93"/>
      <c r="BU26" s="89"/>
      <c r="CD26" s="101"/>
    </row>
    <row r="27" spans="1:84" s="45" customFormat="1">
      <c r="B27" s="72"/>
      <c r="E27" s="77" t="s">
        <v>135</v>
      </c>
      <c r="F27" s="109"/>
      <c r="G27" s="98"/>
      <c r="H27" s="98"/>
      <c r="I27" s="98"/>
      <c r="J27" s="98"/>
      <c r="K27" s="98"/>
      <c r="L27" s="109"/>
      <c r="M27" s="98"/>
      <c r="N27" s="98"/>
      <c r="O27" s="98"/>
      <c r="P27" s="98"/>
      <c r="Q27" s="109"/>
      <c r="R27" s="98"/>
      <c r="S27" s="98"/>
      <c r="T27" s="98"/>
      <c r="U27" s="98"/>
      <c r="V27" s="109"/>
      <c r="W27" s="98"/>
      <c r="X27" s="98"/>
      <c r="Y27" s="98"/>
      <c r="Z27" s="98"/>
      <c r="AA27" s="98"/>
      <c r="AB27" s="109"/>
      <c r="AC27" s="98"/>
      <c r="AD27" s="98"/>
      <c r="AE27" s="98"/>
      <c r="AF27" s="98"/>
      <c r="AG27" s="109"/>
      <c r="AH27" s="98"/>
      <c r="AI27" s="98"/>
      <c r="AJ27" s="98"/>
      <c r="AK27" s="98"/>
      <c r="AL27" s="109"/>
      <c r="AM27" s="98"/>
      <c r="AN27" s="98"/>
      <c r="AO27" s="98"/>
      <c r="AP27" s="98"/>
      <c r="AQ27" s="98"/>
      <c r="AR27" s="109"/>
      <c r="AS27" s="98"/>
      <c r="AT27" s="98"/>
      <c r="AU27" s="98"/>
      <c r="AV27" s="98"/>
      <c r="AW27" s="109"/>
      <c r="AX27" s="98"/>
      <c r="AY27" s="98"/>
      <c r="AZ27" s="98"/>
      <c r="BA27" s="98"/>
      <c r="BB27" s="109"/>
      <c r="BC27" s="98"/>
      <c r="BD27" s="98"/>
      <c r="BE27" s="98"/>
      <c r="BF27" s="98"/>
      <c r="BG27" s="98"/>
      <c r="BH27" s="109"/>
      <c r="BI27" s="98"/>
      <c r="BJ27" s="98"/>
      <c r="BK27" s="98"/>
      <c r="BL27" s="98"/>
      <c r="BM27" s="109"/>
      <c r="BN27" s="98"/>
      <c r="BO27" s="98"/>
      <c r="BP27" s="98"/>
      <c r="BQ27" s="98"/>
      <c r="BR27" s="98"/>
      <c r="BS27" s="109"/>
      <c r="BT27" s="93"/>
      <c r="BU27" s="89"/>
      <c r="CD27" s="101"/>
    </row>
    <row r="28" spans="1:84" s="45" customFormat="1">
      <c r="B28" s="72"/>
      <c r="E28" s="102" t="s">
        <v>136</v>
      </c>
      <c r="F28" s="111"/>
      <c r="G28" s="103"/>
      <c r="H28" s="103"/>
      <c r="I28" s="103"/>
      <c r="J28" s="103"/>
      <c r="K28" s="103"/>
      <c r="L28" s="111"/>
      <c r="M28" s="103"/>
      <c r="N28" s="103"/>
      <c r="O28" s="103"/>
      <c r="P28" s="103"/>
      <c r="Q28" s="111"/>
      <c r="R28" s="103"/>
      <c r="S28" s="103"/>
      <c r="T28" s="103"/>
      <c r="U28" s="103"/>
      <c r="V28" s="111"/>
      <c r="W28" s="103"/>
      <c r="X28" s="103"/>
      <c r="Y28" s="103"/>
      <c r="Z28" s="103"/>
      <c r="AA28" s="103"/>
      <c r="AB28" s="111"/>
      <c r="AC28" s="103"/>
      <c r="AD28" s="103"/>
      <c r="AE28" s="103"/>
      <c r="AF28" s="103"/>
      <c r="AG28" s="111"/>
      <c r="AH28" s="103"/>
      <c r="AI28" s="103"/>
      <c r="AJ28" s="103"/>
      <c r="AK28" s="103"/>
      <c r="AL28" s="111"/>
      <c r="AM28" s="103"/>
      <c r="AN28" s="103"/>
      <c r="AO28" s="103"/>
      <c r="AP28" s="103"/>
      <c r="AQ28" s="103"/>
      <c r="AR28" s="111"/>
      <c r="AS28" s="103"/>
      <c r="AT28" s="103"/>
      <c r="AU28" s="103"/>
      <c r="AV28" s="103"/>
      <c r="AW28" s="111"/>
      <c r="AX28" s="103"/>
      <c r="AY28" s="103"/>
      <c r="AZ28" s="103"/>
      <c r="BA28" s="103"/>
      <c r="BB28" s="111"/>
      <c r="BC28" s="103"/>
      <c r="BD28" s="103"/>
      <c r="BE28" s="103"/>
      <c r="BF28" s="103"/>
      <c r="BG28" s="103"/>
      <c r="BH28" s="111"/>
      <c r="BI28" s="103"/>
      <c r="BJ28" s="103"/>
      <c r="BK28" s="103"/>
      <c r="BL28" s="103"/>
      <c r="BM28" s="111"/>
      <c r="BN28" s="103"/>
      <c r="BO28" s="103"/>
      <c r="BP28" s="103"/>
      <c r="BQ28" s="103"/>
      <c r="BR28" s="103"/>
      <c r="BS28" s="111"/>
      <c r="BT28" s="95"/>
      <c r="BU28" s="91"/>
      <c r="CD28" s="101"/>
    </row>
    <row r="29" spans="1:84" s="45" customFormat="1">
      <c r="B29" s="72"/>
      <c r="E29" s="102" t="s">
        <v>137</v>
      </c>
      <c r="F29" s="111"/>
      <c r="G29" s="103"/>
      <c r="H29" s="103"/>
      <c r="I29" s="103"/>
      <c r="J29" s="103"/>
      <c r="K29" s="103"/>
      <c r="L29" s="111"/>
      <c r="M29" s="103"/>
      <c r="N29" s="103"/>
      <c r="O29" s="103"/>
      <c r="P29" s="103"/>
      <c r="Q29" s="111"/>
      <c r="R29" s="103"/>
      <c r="S29" s="103"/>
      <c r="T29" s="103"/>
      <c r="U29" s="103"/>
      <c r="V29" s="111"/>
      <c r="W29" s="103"/>
      <c r="X29" s="103"/>
      <c r="Y29" s="103"/>
      <c r="Z29" s="103"/>
      <c r="AA29" s="103"/>
      <c r="AB29" s="111"/>
      <c r="AC29" s="103"/>
      <c r="AD29" s="103"/>
      <c r="AE29" s="103"/>
      <c r="AF29" s="103"/>
      <c r="AG29" s="111"/>
      <c r="AH29" s="103"/>
      <c r="AI29" s="103"/>
      <c r="AJ29" s="103"/>
      <c r="AK29" s="103"/>
      <c r="AL29" s="111"/>
      <c r="AM29" s="103"/>
      <c r="AN29" s="103"/>
      <c r="AO29" s="103"/>
      <c r="AP29" s="103"/>
      <c r="AQ29" s="103"/>
      <c r="AR29" s="111"/>
      <c r="AS29" s="103"/>
      <c r="AT29" s="103"/>
      <c r="AU29" s="103"/>
      <c r="AV29" s="103"/>
      <c r="AW29" s="111"/>
      <c r="AX29" s="103"/>
      <c r="AY29" s="103"/>
      <c r="AZ29" s="103"/>
      <c r="BA29" s="103"/>
      <c r="BB29" s="111"/>
      <c r="BC29" s="103"/>
      <c r="BD29" s="103"/>
      <c r="BE29" s="103"/>
      <c r="BF29" s="103"/>
      <c r="BG29" s="103"/>
      <c r="BH29" s="111"/>
      <c r="BI29" s="103"/>
      <c r="BJ29" s="103"/>
      <c r="BK29" s="103"/>
      <c r="BL29" s="103"/>
      <c r="BM29" s="111"/>
      <c r="BN29" s="103"/>
      <c r="BO29" s="103"/>
      <c r="BP29" s="103"/>
      <c r="BQ29" s="103"/>
      <c r="BR29" s="103"/>
      <c r="BS29" s="111"/>
      <c r="BT29" s="95"/>
      <c r="BU29" s="91"/>
      <c r="CD29" s="101"/>
    </row>
    <row r="30" spans="1:84" s="45" customFormat="1">
      <c r="B30" s="72"/>
      <c r="E30" s="104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05"/>
      <c r="AM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5"/>
      <c r="AX30" s="105"/>
      <c r="AY30" s="105"/>
      <c r="AZ30" s="105"/>
      <c r="BA30" s="105"/>
      <c r="BB30" s="105"/>
      <c r="BC30" s="105"/>
      <c r="BD30" s="105"/>
      <c r="BE30" s="105"/>
      <c r="BF30" s="105"/>
      <c r="BG30" s="105"/>
      <c r="BH30" s="105"/>
      <c r="BI30" s="105"/>
      <c r="BJ30" s="105"/>
      <c r="BK30" s="105"/>
      <c r="BL30" s="105"/>
      <c r="BM30" s="105"/>
      <c r="BN30" s="105"/>
      <c r="BO30" s="105"/>
      <c r="BP30" s="105"/>
      <c r="BQ30" s="105"/>
      <c r="BR30" s="105"/>
      <c r="BS30" s="105"/>
      <c r="BT30" s="105"/>
      <c r="BU30" s="105"/>
      <c r="CD30" s="101"/>
    </row>
    <row r="31" spans="1:84" s="45" customFormat="1">
      <c r="B31" s="72"/>
      <c r="E31" s="77" t="s">
        <v>141</v>
      </c>
      <c r="F31" s="109"/>
      <c r="G31" s="98"/>
      <c r="H31" s="98"/>
      <c r="I31" s="98"/>
      <c r="J31" s="98"/>
      <c r="K31" s="98"/>
      <c r="L31" s="109"/>
      <c r="M31" s="98"/>
      <c r="N31" s="98"/>
      <c r="O31" s="98"/>
      <c r="P31" s="98"/>
      <c r="Q31" s="109"/>
      <c r="R31" s="98"/>
      <c r="S31" s="98"/>
      <c r="T31" s="98"/>
      <c r="U31" s="98"/>
      <c r="V31" s="109"/>
      <c r="W31" s="98"/>
      <c r="X31" s="98"/>
      <c r="Y31" s="98"/>
      <c r="Z31" s="98"/>
      <c r="AA31" s="98"/>
      <c r="AB31" s="109"/>
      <c r="AC31" s="98"/>
      <c r="AD31" s="98"/>
      <c r="AE31" s="98"/>
      <c r="AF31" s="98"/>
      <c r="AG31" s="109"/>
      <c r="AH31" s="98"/>
      <c r="AI31" s="98"/>
      <c r="AJ31" s="98"/>
      <c r="AK31" s="98"/>
      <c r="AL31" s="109"/>
      <c r="AM31" s="98"/>
      <c r="AN31" s="98"/>
      <c r="AO31" s="98"/>
      <c r="AP31" s="98"/>
      <c r="AQ31" s="98"/>
      <c r="AR31" s="109"/>
      <c r="AS31" s="98"/>
      <c r="AT31" s="98"/>
      <c r="AU31" s="98"/>
      <c r="AV31" s="98"/>
      <c r="AW31" s="109"/>
      <c r="AX31" s="98"/>
      <c r="AY31" s="98"/>
      <c r="AZ31" s="98"/>
      <c r="BA31" s="98"/>
      <c r="BB31" s="109"/>
      <c r="BC31" s="98"/>
      <c r="BD31" s="98"/>
      <c r="BE31" s="98"/>
      <c r="BF31" s="98"/>
      <c r="BG31" s="98"/>
      <c r="BH31" s="109"/>
      <c r="BI31" s="98"/>
      <c r="BJ31" s="98"/>
      <c r="BK31" s="98"/>
      <c r="BL31" s="98"/>
      <c r="BM31" s="109"/>
      <c r="BN31" s="98"/>
      <c r="BO31" s="98"/>
      <c r="BP31" s="98"/>
      <c r="BQ31" s="98"/>
      <c r="BR31" s="98"/>
      <c r="BS31" s="109"/>
      <c r="BT31" s="93"/>
      <c r="BU31" s="89"/>
      <c r="CD31" s="101"/>
    </row>
    <row r="32" spans="1:84" s="45" customFormat="1">
      <c r="B32" s="72"/>
      <c r="E32" s="77" t="s">
        <v>142</v>
      </c>
      <c r="F32" s="109"/>
      <c r="G32" s="98"/>
      <c r="H32" s="98"/>
      <c r="I32" s="98"/>
      <c r="J32" s="98"/>
      <c r="K32" s="98"/>
      <c r="L32" s="109"/>
      <c r="M32" s="98"/>
      <c r="N32" s="98"/>
      <c r="O32" s="98"/>
      <c r="P32" s="98"/>
      <c r="Q32" s="109"/>
      <c r="R32" s="98"/>
      <c r="S32" s="98"/>
      <c r="T32" s="98"/>
      <c r="U32" s="98"/>
      <c r="V32" s="109"/>
      <c r="W32" s="98"/>
      <c r="X32" s="98"/>
      <c r="Y32" s="98"/>
      <c r="Z32" s="98"/>
      <c r="AA32" s="98"/>
      <c r="AB32" s="109"/>
      <c r="AC32" s="98"/>
      <c r="AD32" s="98"/>
      <c r="AE32" s="98"/>
      <c r="AF32" s="98"/>
      <c r="AG32" s="109"/>
      <c r="AH32" s="98"/>
      <c r="AI32" s="98"/>
      <c r="AJ32" s="98"/>
      <c r="AK32" s="98"/>
      <c r="AL32" s="109"/>
      <c r="AM32" s="98"/>
      <c r="AN32" s="98"/>
      <c r="AO32" s="98"/>
      <c r="AP32" s="98"/>
      <c r="AQ32" s="98"/>
      <c r="AR32" s="109"/>
      <c r="AS32" s="98"/>
      <c r="AT32" s="98"/>
      <c r="AU32" s="98"/>
      <c r="AV32" s="98"/>
      <c r="AW32" s="109"/>
      <c r="AX32" s="98"/>
      <c r="AY32" s="98"/>
      <c r="AZ32" s="98"/>
      <c r="BA32" s="98"/>
      <c r="BB32" s="109"/>
      <c r="BC32" s="98"/>
      <c r="BD32" s="98"/>
      <c r="BE32" s="98"/>
      <c r="BF32" s="98"/>
      <c r="BG32" s="98"/>
      <c r="BH32" s="109"/>
      <c r="BI32" s="98"/>
      <c r="BJ32" s="98"/>
      <c r="BK32" s="98"/>
      <c r="BL32" s="98"/>
      <c r="BM32" s="109"/>
      <c r="BN32" s="98"/>
      <c r="BO32" s="98"/>
      <c r="BP32" s="98"/>
      <c r="BQ32" s="98"/>
      <c r="BR32" s="98"/>
      <c r="BS32" s="109"/>
      <c r="BT32" s="93"/>
      <c r="BU32" s="89"/>
      <c r="CD32" s="101"/>
    </row>
    <row r="33" spans="2:82" s="45" customFormat="1">
      <c r="B33" s="72"/>
      <c r="E33" s="77" t="s">
        <v>143</v>
      </c>
      <c r="F33" s="109"/>
      <c r="G33" s="98"/>
      <c r="H33" s="98"/>
      <c r="I33" s="98"/>
      <c r="J33" s="98"/>
      <c r="K33" s="98"/>
      <c r="L33" s="109"/>
      <c r="M33" s="98"/>
      <c r="N33" s="98"/>
      <c r="O33" s="98"/>
      <c r="P33" s="98"/>
      <c r="Q33" s="109"/>
      <c r="R33" s="98"/>
      <c r="S33" s="98"/>
      <c r="T33" s="98"/>
      <c r="U33" s="98"/>
      <c r="V33" s="109"/>
      <c r="W33" s="98"/>
      <c r="X33" s="98"/>
      <c r="Y33" s="98"/>
      <c r="Z33" s="98"/>
      <c r="AA33" s="98"/>
      <c r="AB33" s="109"/>
      <c r="AC33" s="98"/>
      <c r="AD33" s="98"/>
      <c r="AE33" s="98"/>
      <c r="AF33" s="98"/>
      <c r="AG33" s="109"/>
      <c r="AH33" s="98"/>
      <c r="AI33" s="98"/>
      <c r="AJ33" s="98"/>
      <c r="AK33" s="98"/>
      <c r="AL33" s="109"/>
      <c r="AM33" s="98"/>
      <c r="AN33" s="98"/>
      <c r="AO33" s="98"/>
      <c r="AP33" s="98"/>
      <c r="AQ33" s="98"/>
      <c r="AR33" s="109"/>
      <c r="AS33" s="98"/>
      <c r="AT33" s="98"/>
      <c r="AU33" s="98"/>
      <c r="AV33" s="98"/>
      <c r="AW33" s="109"/>
      <c r="AX33" s="98"/>
      <c r="AY33" s="98"/>
      <c r="AZ33" s="98"/>
      <c r="BA33" s="98"/>
      <c r="BB33" s="109"/>
      <c r="BC33" s="98"/>
      <c r="BD33" s="98"/>
      <c r="BE33" s="98"/>
      <c r="BF33" s="98"/>
      <c r="BG33" s="98"/>
      <c r="BH33" s="109"/>
      <c r="BI33" s="98"/>
      <c r="BJ33" s="98"/>
      <c r="BK33" s="98"/>
      <c r="BL33" s="98"/>
      <c r="BM33" s="109"/>
      <c r="BN33" s="98"/>
      <c r="BO33" s="98"/>
      <c r="BP33" s="98"/>
      <c r="BQ33" s="98"/>
      <c r="BR33" s="98"/>
      <c r="BS33" s="109"/>
      <c r="BT33" s="93"/>
      <c r="BU33" s="89"/>
      <c r="CD33" s="101"/>
    </row>
    <row r="34" spans="2:82" s="45" customFormat="1">
      <c r="B34" s="72"/>
      <c r="E34" s="102" t="s">
        <v>138</v>
      </c>
      <c r="F34" s="111"/>
      <c r="G34" s="103"/>
      <c r="H34" s="103"/>
      <c r="I34" s="103"/>
      <c r="J34" s="103"/>
      <c r="K34" s="103"/>
      <c r="L34" s="111"/>
      <c r="M34" s="103"/>
      <c r="N34" s="103"/>
      <c r="O34" s="103"/>
      <c r="P34" s="103"/>
      <c r="Q34" s="111"/>
      <c r="R34" s="103"/>
      <c r="S34" s="103"/>
      <c r="T34" s="103"/>
      <c r="U34" s="103"/>
      <c r="V34" s="111"/>
      <c r="W34" s="103"/>
      <c r="X34" s="103"/>
      <c r="Y34" s="103"/>
      <c r="Z34" s="103"/>
      <c r="AA34" s="103"/>
      <c r="AB34" s="111"/>
      <c r="AC34" s="103"/>
      <c r="AD34" s="103"/>
      <c r="AE34" s="103"/>
      <c r="AF34" s="103"/>
      <c r="AG34" s="111"/>
      <c r="AH34" s="103"/>
      <c r="AI34" s="103"/>
      <c r="AJ34" s="103"/>
      <c r="AK34" s="103"/>
      <c r="AL34" s="111"/>
      <c r="AM34" s="103"/>
      <c r="AN34" s="103"/>
      <c r="AO34" s="103"/>
      <c r="AP34" s="103"/>
      <c r="AQ34" s="103"/>
      <c r="AR34" s="111"/>
      <c r="AS34" s="103"/>
      <c r="AT34" s="103"/>
      <c r="AU34" s="103"/>
      <c r="AV34" s="103"/>
      <c r="AW34" s="111"/>
      <c r="AX34" s="103"/>
      <c r="AY34" s="103"/>
      <c r="AZ34" s="103"/>
      <c r="BA34" s="103"/>
      <c r="BB34" s="111"/>
      <c r="BC34" s="103"/>
      <c r="BD34" s="103"/>
      <c r="BE34" s="103"/>
      <c r="BF34" s="103"/>
      <c r="BG34" s="103"/>
      <c r="BH34" s="111"/>
      <c r="BI34" s="103"/>
      <c r="BJ34" s="103"/>
      <c r="BK34" s="103"/>
      <c r="BL34" s="103"/>
      <c r="BM34" s="111"/>
      <c r="BN34" s="103"/>
      <c r="BO34" s="103"/>
      <c r="BP34" s="103"/>
      <c r="BQ34" s="103"/>
      <c r="BR34" s="103"/>
      <c r="BS34" s="111"/>
      <c r="BT34" s="95"/>
      <c r="BU34" s="91"/>
      <c r="CD34" s="101"/>
    </row>
    <row r="35" spans="2:82" s="45" customFormat="1">
      <c r="B35" s="72"/>
      <c r="E35" s="102" t="s">
        <v>139</v>
      </c>
      <c r="F35" s="111"/>
      <c r="G35" s="103"/>
      <c r="H35" s="103"/>
      <c r="I35" s="103"/>
      <c r="J35" s="103"/>
      <c r="K35" s="103"/>
      <c r="L35" s="111"/>
      <c r="M35" s="103"/>
      <c r="N35" s="103"/>
      <c r="O35" s="103"/>
      <c r="P35" s="103"/>
      <c r="Q35" s="111"/>
      <c r="R35" s="103"/>
      <c r="S35" s="103"/>
      <c r="T35" s="103"/>
      <c r="U35" s="103"/>
      <c r="V35" s="111"/>
      <c r="W35" s="103"/>
      <c r="X35" s="103"/>
      <c r="Y35" s="103"/>
      <c r="Z35" s="103"/>
      <c r="AA35" s="103"/>
      <c r="AB35" s="111"/>
      <c r="AC35" s="103"/>
      <c r="AD35" s="103"/>
      <c r="AE35" s="103"/>
      <c r="AF35" s="103"/>
      <c r="AG35" s="111"/>
      <c r="AH35" s="103"/>
      <c r="AI35" s="103"/>
      <c r="AJ35" s="103"/>
      <c r="AK35" s="103"/>
      <c r="AL35" s="111"/>
      <c r="AM35" s="103"/>
      <c r="AN35" s="103"/>
      <c r="AO35" s="103"/>
      <c r="AP35" s="103"/>
      <c r="AQ35" s="103"/>
      <c r="AR35" s="111"/>
      <c r="AS35" s="103"/>
      <c r="AT35" s="103"/>
      <c r="AU35" s="103"/>
      <c r="AV35" s="103"/>
      <c r="AW35" s="111"/>
      <c r="AX35" s="103"/>
      <c r="AY35" s="103"/>
      <c r="AZ35" s="103"/>
      <c r="BA35" s="103"/>
      <c r="BB35" s="111"/>
      <c r="BC35" s="103"/>
      <c r="BD35" s="103"/>
      <c r="BE35" s="103"/>
      <c r="BF35" s="103"/>
      <c r="BG35" s="103"/>
      <c r="BH35" s="111"/>
      <c r="BI35" s="103"/>
      <c r="BJ35" s="103"/>
      <c r="BK35" s="103"/>
      <c r="BL35" s="103"/>
      <c r="BM35" s="111"/>
      <c r="BN35" s="103"/>
      <c r="BO35" s="103"/>
      <c r="BP35" s="103"/>
      <c r="BQ35" s="103"/>
      <c r="BR35" s="103"/>
      <c r="BS35" s="111"/>
      <c r="BT35" s="95"/>
      <c r="BU35" s="91"/>
      <c r="CD35" s="101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70"/>
  <sheetViews>
    <sheetView topLeftCell="A32" workbookViewId="0">
      <selection activeCell="B2" sqref="B2:B70"/>
    </sheetView>
  </sheetViews>
  <sheetFormatPr defaultRowHeight="15"/>
  <cols>
    <col min="2" max="2" width="9.140625" style="19"/>
    <col min="3" max="3" width="9.140625" style="18"/>
    <col min="4" max="4" width="9.5703125" style="19" bestFit="1" customWidth="1"/>
    <col min="5" max="5" width="10.5703125" bestFit="1" customWidth="1"/>
    <col min="6" max="6" width="11.28515625" bestFit="1" customWidth="1"/>
    <col min="7" max="7" width="10.5703125" bestFit="1" customWidth="1"/>
    <col min="9" max="9" width="9.28515625" bestFit="1" customWidth="1"/>
    <col min="10" max="10" width="10.28515625" bestFit="1" customWidth="1"/>
    <col min="11" max="11" width="12.7109375" customWidth="1"/>
    <col min="12" max="12" width="11.42578125" customWidth="1"/>
    <col min="14" max="14" width="10.28515625" bestFit="1" customWidth="1"/>
    <col min="15" max="15" width="9.28515625" bestFit="1" customWidth="1"/>
    <col min="16" max="16" width="9.5703125" bestFit="1" customWidth="1"/>
    <col min="17" max="17" width="10.42578125" customWidth="1"/>
    <col min="18" max="18" width="16.7109375" customWidth="1"/>
    <col min="19" max="19" width="28.42578125" customWidth="1"/>
  </cols>
  <sheetData>
    <row r="1" spans="1:19" s="19" customFormat="1">
      <c r="A1" s="19" t="s">
        <v>86</v>
      </c>
      <c r="B1" s="19" t="s">
        <v>150</v>
      </c>
      <c r="C1" s="18" t="s">
        <v>88</v>
      </c>
      <c r="D1" s="19" t="s">
        <v>144</v>
      </c>
      <c r="E1" s="19" t="s">
        <v>129</v>
      </c>
      <c r="F1" s="19" t="s">
        <v>131</v>
      </c>
      <c r="G1" s="19" t="s">
        <v>132</v>
      </c>
      <c r="H1" s="19" t="s">
        <v>133</v>
      </c>
      <c r="I1" s="19" t="s">
        <v>134</v>
      </c>
      <c r="J1" s="19" t="s">
        <v>135</v>
      </c>
      <c r="K1" s="19" t="s">
        <v>145</v>
      </c>
      <c r="L1" s="19" t="s">
        <v>137</v>
      </c>
      <c r="N1" s="19" t="s">
        <v>146</v>
      </c>
      <c r="O1" s="19" t="s">
        <v>142</v>
      </c>
      <c r="P1" s="19" t="s">
        <v>143</v>
      </c>
      <c r="Q1" s="19" t="s">
        <v>147</v>
      </c>
      <c r="R1" s="19" t="s">
        <v>139</v>
      </c>
    </row>
    <row r="2" spans="1:19">
      <c r="A2" t="s">
        <v>109</v>
      </c>
      <c r="B2" s="19">
        <v>2021</v>
      </c>
      <c r="C2" s="18">
        <v>600777</v>
      </c>
      <c r="D2" s="6">
        <v>541</v>
      </c>
      <c r="E2" s="6">
        <v>5464.6677030460341</v>
      </c>
      <c r="F2" s="6">
        <v>-3827.1459870000008</v>
      </c>
      <c r="G2" s="6">
        <v>1637.5217160460334</v>
      </c>
      <c r="H2" s="6"/>
      <c r="I2" s="6">
        <v>112.70447961000001</v>
      </c>
      <c r="J2" s="6">
        <v>-41.670210163720014</v>
      </c>
      <c r="K2" s="6">
        <v>1708.5559854923133</v>
      </c>
      <c r="L2" s="6">
        <v>1708.5559854923133</v>
      </c>
      <c r="M2" s="6"/>
      <c r="N2" s="6">
        <v>0</v>
      </c>
      <c r="O2" s="6">
        <v>0</v>
      </c>
      <c r="P2" s="6">
        <v>0</v>
      </c>
      <c r="Q2" s="6">
        <v>0</v>
      </c>
      <c r="R2" s="6">
        <v>0</v>
      </c>
    </row>
    <row r="3" spans="1:19">
      <c r="A3" s="19" t="s">
        <v>109</v>
      </c>
      <c r="B3" s="19">
        <v>2021</v>
      </c>
      <c r="C3" s="18">
        <v>608656</v>
      </c>
      <c r="D3" s="6">
        <v>358</v>
      </c>
      <c r="E3" s="6">
        <v>3884.0673796411811</v>
      </c>
      <c r="F3" s="6">
        <v>-2532.5661059999998</v>
      </c>
      <c r="G3" s="6">
        <v>1351.5012736411813</v>
      </c>
      <c r="H3" s="6"/>
      <c r="I3" s="6">
        <v>74.580783179999997</v>
      </c>
      <c r="J3" s="6">
        <v>-47.780662208750016</v>
      </c>
      <c r="K3" s="6">
        <v>1378.3013946124313</v>
      </c>
      <c r="L3" s="6">
        <v>1378.3013946124315</v>
      </c>
      <c r="M3" s="6"/>
      <c r="N3" s="6">
        <v>0</v>
      </c>
      <c r="O3" s="6">
        <v>0</v>
      </c>
      <c r="P3" s="6">
        <v>0</v>
      </c>
      <c r="Q3" s="6">
        <v>0</v>
      </c>
      <c r="R3" s="6">
        <v>0</v>
      </c>
    </row>
    <row r="4" spans="1:19">
      <c r="A4" s="19" t="s">
        <v>109</v>
      </c>
      <c r="B4" s="19">
        <v>2021</v>
      </c>
      <c r="C4" s="18">
        <v>923620</v>
      </c>
      <c r="D4" s="6">
        <v>701</v>
      </c>
      <c r="E4" s="6">
        <v>5180.0551322738147</v>
      </c>
      <c r="F4" s="6">
        <v>-2956.4705172166418</v>
      </c>
      <c r="G4" s="6">
        <v>2223.5846150571729</v>
      </c>
      <c r="H4" s="6"/>
      <c r="I4" s="6">
        <v>86.780294999999981</v>
      </c>
      <c r="J4" s="6">
        <v>16.549683366642753</v>
      </c>
      <c r="K4" s="6">
        <v>2326.9145934238159</v>
      </c>
      <c r="L4" s="6">
        <v>2326.9145934238159</v>
      </c>
      <c r="M4" s="6"/>
      <c r="N4" s="6">
        <v>0</v>
      </c>
      <c r="O4" s="6">
        <v>0</v>
      </c>
      <c r="P4" s="6">
        <v>0</v>
      </c>
      <c r="Q4" s="6">
        <v>0</v>
      </c>
      <c r="R4" s="6">
        <v>0</v>
      </c>
    </row>
    <row r="5" spans="1:19">
      <c r="A5" s="19" t="s">
        <v>109</v>
      </c>
      <c r="B5" s="19">
        <v>2021</v>
      </c>
      <c r="C5" s="18">
        <v>916944</v>
      </c>
      <c r="D5" s="6">
        <v>338</v>
      </c>
      <c r="E5" s="6">
        <v>4900.9880143399005</v>
      </c>
      <c r="F5" s="6">
        <v>-3333.8629999999998</v>
      </c>
      <c r="G5" s="6">
        <v>1567.1250143399006</v>
      </c>
      <c r="H5" s="6"/>
      <c r="I5" s="6">
        <v>98.961330000000004</v>
      </c>
      <c r="J5" s="6">
        <v>-115.03853150000003</v>
      </c>
      <c r="K5" s="6">
        <v>1551.0478128399006</v>
      </c>
      <c r="L5" s="6">
        <v>1551.0478128399006</v>
      </c>
      <c r="M5" s="6"/>
      <c r="N5" s="6">
        <v>0</v>
      </c>
      <c r="O5" s="6">
        <v>0</v>
      </c>
      <c r="P5" s="6">
        <v>0</v>
      </c>
      <c r="Q5" s="6">
        <v>0</v>
      </c>
      <c r="R5" s="6">
        <v>0</v>
      </c>
    </row>
    <row r="6" spans="1:19">
      <c r="A6" s="19" t="s">
        <v>109</v>
      </c>
      <c r="B6" s="19">
        <v>2021</v>
      </c>
      <c r="C6" s="18">
        <v>924925</v>
      </c>
      <c r="D6" s="6">
        <v>537</v>
      </c>
      <c r="E6" s="6">
        <v>4167.5342696533589</v>
      </c>
      <c r="F6" s="6">
        <v>-5296.7032421602789</v>
      </c>
      <c r="G6" s="6">
        <v>-1129.16897250692</v>
      </c>
      <c r="H6" s="6"/>
      <c r="I6" s="6">
        <v>157.22554500000001</v>
      </c>
      <c r="J6" s="6">
        <v>-354.43065953484364</v>
      </c>
      <c r="K6" s="6">
        <v>-1326.3740870417637</v>
      </c>
      <c r="L6" s="6">
        <v>-1326.3740870417632</v>
      </c>
      <c r="M6" s="6"/>
      <c r="N6" s="6">
        <v>0</v>
      </c>
      <c r="O6" s="6">
        <v>0</v>
      </c>
      <c r="P6" s="6">
        <v>0</v>
      </c>
      <c r="Q6" s="6">
        <v>0</v>
      </c>
      <c r="R6" s="6">
        <v>0</v>
      </c>
    </row>
    <row r="7" spans="1:19">
      <c r="A7" s="19" t="s">
        <v>109</v>
      </c>
      <c r="B7" s="19">
        <v>2021</v>
      </c>
      <c r="C7" s="107">
        <v>924060</v>
      </c>
      <c r="D7" s="6">
        <v>814</v>
      </c>
      <c r="E7" s="6">
        <v>8139.4990611849198</v>
      </c>
      <c r="F7" s="6">
        <v>-10316.321790108566</v>
      </c>
      <c r="G7" s="6">
        <v>-2176.8227289236465</v>
      </c>
      <c r="H7" s="6"/>
      <c r="I7" s="6">
        <v>300.70787999999999</v>
      </c>
      <c r="J7" s="6">
        <v>-184.21538100265388</v>
      </c>
      <c r="K7" s="6">
        <v>-2060.3302299263005</v>
      </c>
      <c r="L7" s="6">
        <v>-2060.3302299263009</v>
      </c>
      <c r="M7" s="6"/>
      <c r="N7" s="6">
        <v>0</v>
      </c>
      <c r="O7" s="6">
        <v>0</v>
      </c>
      <c r="P7" s="6">
        <v>0</v>
      </c>
      <c r="Q7" s="6">
        <v>0</v>
      </c>
      <c r="R7" s="6">
        <v>0</v>
      </c>
    </row>
    <row r="8" spans="1:19">
      <c r="A8" s="19" t="s">
        <v>109</v>
      </c>
      <c r="B8" s="19">
        <v>2021</v>
      </c>
      <c r="C8" s="18">
        <v>925362</v>
      </c>
      <c r="D8" s="6">
        <v>953</v>
      </c>
      <c r="E8" s="6">
        <v>14917.155053405193</v>
      </c>
      <c r="F8" s="6">
        <v>-12082.134</v>
      </c>
      <c r="G8" s="6">
        <v>2835.021053405193</v>
      </c>
      <c r="H8" s="6"/>
      <c r="I8" s="6">
        <v>352.05726000000004</v>
      </c>
      <c r="J8" s="6">
        <v>-209.24586000000033</v>
      </c>
      <c r="K8" s="6">
        <v>2977.8324534051926</v>
      </c>
      <c r="L8" s="6">
        <v>2977.8324534051931</v>
      </c>
      <c r="M8" s="6"/>
      <c r="N8" s="6">
        <v>0</v>
      </c>
      <c r="O8" s="6">
        <v>0</v>
      </c>
      <c r="P8" s="6">
        <v>0</v>
      </c>
      <c r="Q8" s="6">
        <v>0</v>
      </c>
      <c r="R8" s="6">
        <v>0</v>
      </c>
    </row>
    <row r="9" spans="1:19">
      <c r="A9" s="19" t="s">
        <v>109</v>
      </c>
      <c r="B9" s="19">
        <v>2021</v>
      </c>
      <c r="C9" s="18">
        <v>919282</v>
      </c>
      <c r="D9" s="6">
        <v>1986</v>
      </c>
      <c r="E9" s="6">
        <v>26984.455342465157</v>
      </c>
      <c r="F9" s="6">
        <v>-17517.26628298367</v>
      </c>
      <c r="G9" s="6">
        <v>9467.1890594814868</v>
      </c>
      <c r="H9" s="6"/>
      <c r="I9" s="6">
        <v>512.67011130000003</v>
      </c>
      <c r="J9" s="6">
        <v>-299.80264771011855</v>
      </c>
      <c r="K9" s="6">
        <v>9680.0565230713673</v>
      </c>
      <c r="L9" s="6">
        <v>9680.0565230713673</v>
      </c>
      <c r="M9" s="6"/>
      <c r="N9" s="6">
        <v>0</v>
      </c>
      <c r="O9" s="6">
        <v>0</v>
      </c>
      <c r="P9" s="6">
        <v>0</v>
      </c>
      <c r="Q9" s="6">
        <v>0</v>
      </c>
      <c r="R9" s="6">
        <v>0</v>
      </c>
    </row>
    <row r="10" spans="1:19">
      <c r="A10" s="19" t="s">
        <v>109</v>
      </c>
      <c r="B10" s="19">
        <v>2021</v>
      </c>
      <c r="C10" s="18">
        <v>922064</v>
      </c>
      <c r="D10" s="6">
        <v>261</v>
      </c>
      <c r="E10" s="6">
        <v>3925.3072676620845</v>
      </c>
      <c r="F10" s="6">
        <v>-2883.5686357685013</v>
      </c>
      <c r="G10" s="6">
        <v>1041.7386318935833</v>
      </c>
      <c r="H10" s="6"/>
      <c r="I10" s="6">
        <v>84.776584499999998</v>
      </c>
      <c r="J10" s="6">
        <v>-2852.8742565046018</v>
      </c>
      <c r="K10" s="6">
        <v>-1726.3590401110187</v>
      </c>
      <c r="L10" s="6">
        <v>-1726.3590401110187</v>
      </c>
      <c r="M10" s="6"/>
      <c r="N10" s="6">
        <v>0</v>
      </c>
      <c r="O10" s="6">
        <v>0</v>
      </c>
      <c r="P10" s="6">
        <v>0</v>
      </c>
      <c r="Q10" s="6">
        <v>0</v>
      </c>
      <c r="R10" s="6">
        <v>0</v>
      </c>
    </row>
    <row r="11" spans="1:19">
      <c r="A11" s="19" t="s">
        <v>109</v>
      </c>
      <c r="B11" s="19">
        <v>2021</v>
      </c>
      <c r="C11" s="18">
        <v>333825</v>
      </c>
      <c r="D11" s="6">
        <v>526</v>
      </c>
      <c r="E11" s="6">
        <v>5077.5944317061831</v>
      </c>
      <c r="F11" s="6">
        <v>-3891.5885342124534</v>
      </c>
      <c r="G11" s="6">
        <v>1186.0058974937297</v>
      </c>
      <c r="H11" s="6"/>
      <c r="I11" s="6">
        <v>115.10058239999998</v>
      </c>
      <c r="J11" s="6">
        <v>-144.04246255062267</v>
      </c>
      <c r="K11" s="6">
        <v>1157.0640173431068</v>
      </c>
      <c r="L11" s="6">
        <v>1157.0640173431066</v>
      </c>
      <c r="M11" s="6"/>
      <c r="N11" s="6">
        <v>0</v>
      </c>
      <c r="O11" s="6">
        <v>0</v>
      </c>
      <c r="P11" s="6">
        <v>0</v>
      </c>
      <c r="Q11" s="6">
        <v>0</v>
      </c>
      <c r="R11" s="6">
        <v>0</v>
      </c>
    </row>
    <row r="12" spans="1:19">
      <c r="A12" s="19" t="s">
        <v>109</v>
      </c>
      <c r="B12" s="19">
        <v>2021</v>
      </c>
      <c r="C12" s="18">
        <v>611373</v>
      </c>
      <c r="D12" s="6">
        <v>486</v>
      </c>
      <c r="E12" s="6">
        <v>4256.5574412770211</v>
      </c>
      <c r="F12" s="6">
        <v>-3590.3944941732284</v>
      </c>
      <c r="G12" s="6">
        <v>666.1629471037927</v>
      </c>
      <c r="H12" s="6"/>
      <c r="I12" s="6">
        <v>106.3476864</v>
      </c>
      <c r="J12" s="6">
        <v>-157.71405302677169</v>
      </c>
      <c r="K12" s="6">
        <v>614.79658047702105</v>
      </c>
      <c r="L12" s="6">
        <v>614.79658047702083</v>
      </c>
      <c r="M12" s="6"/>
      <c r="N12" s="6">
        <v>0</v>
      </c>
      <c r="O12" s="6">
        <v>0</v>
      </c>
      <c r="P12" s="6">
        <v>0</v>
      </c>
      <c r="Q12" s="6">
        <v>0</v>
      </c>
      <c r="R12" s="6">
        <v>0</v>
      </c>
    </row>
    <row r="13" spans="1:19">
      <c r="A13" s="19" t="s">
        <v>109</v>
      </c>
      <c r="B13" s="19">
        <v>2021</v>
      </c>
      <c r="C13" s="18">
        <v>332780</v>
      </c>
      <c r="D13" s="6">
        <v>498</v>
      </c>
      <c r="E13" s="6">
        <v>2768.2552992556198</v>
      </c>
      <c r="F13" s="6">
        <v>-2865.255105085389</v>
      </c>
      <c r="G13" s="6">
        <v>-96.99980582976923</v>
      </c>
      <c r="H13" s="6"/>
      <c r="I13" s="6">
        <v>83.43287819999999</v>
      </c>
      <c r="J13" s="6">
        <v>-161.09558266641369</v>
      </c>
      <c r="K13" s="6">
        <v>-174.66251029618292</v>
      </c>
      <c r="L13" s="6">
        <v>-174.66251029618252</v>
      </c>
      <c r="M13" s="6"/>
      <c r="N13" s="6">
        <v>0</v>
      </c>
      <c r="O13" s="6">
        <v>0</v>
      </c>
      <c r="P13" s="6">
        <v>0</v>
      </c>
      <c r="Q13" s="6">
        <v>0</v>
      </c>
      <c r="R13" s="6">
        <v>0</v>
      </c>
    </row>
    <row r="14" spans="1:19">
      <c r="A14" s="19" t="s">
        <v>109</v>
      </c>
      <c r="B14" s="19">
        <v>2021</v>
      </c>
      <c r="C14" s="18">
        <v>333997</v>
      </c>
      <c r="D14" s="6">
        <v>381</v>
      </c>
      <c r="E14" s="6">
        <v>5508.1824974511364</v>
      </c>
      <c r="F14" s="6">
        <v>-4551.670523612438</v>
      </c>
      <c r="G14" s="6">
        <v>956.5119738386984</v>
      </c>
      <c r="H14" s="6"/>
      <c r="I14" s="6">
        <v>129.61637144999995</v>
      </c>
      <c r="J14" s="6">
        <v>-428.64343094074144</v>
      </c>
      <c r="K14" s="6">
        <v>657.48491434795699</v>
      </c>
      <c r="L14" s="6">
        <v>657.48491434795756</v>
      </c>
      <c r="M14" s="6"/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/>
    </row>
    <row r="15" spans="1:19">
      <c r="A15" s="19" t="s">
        <v>109</v>
      </c>
      <c r="B15" s="19">
        <v>2021</v>
      </c>
      <c r="C15" s="18">
        <v>324101</v>
      </c>
      <c r="D15" s="6">
        <v>348</v>
      </c>
      <c r="E15" s="6">
        <v>5872.6506751481165</v>
      </c>
      <c r="F15" s="6">
        <v>-5687.3882833480166</v>
      </c>
      <c r="G15" s="6">
        <v>185.26239180009998</v>
      </c>
      <c r="H15" s="6"/>
      <c r="I15" s="6">
        <v>161.81916479999998</v>
      </c>
      <c r="J15" s="6">
        <v>-1683.0756510519827</v>
      </c>
      <c r="K15" s="6">
        <v>-1335.9940944518828</v>
      </c>
      <c r="L15" s="6">
        <v>-1335.9940944518837</v>
      </c>
      <c r="M15" s="6"/>
      <c r="N15" s="6">
        <v>0</v>
      </c>
      <c r="O15" s="6">
        <v>0</v>
      </c>
      <c r="P15" s="6">
        <v>0</v>
      </c>
      <c r="Q15" s="6">
        <v>0</v>
      </c>
      <c r="R15" s="6">
        <v>0</v>
      </c>
    </row>
    <row r="16" spans="1:19">
      <c r="A16" s="19" t="s">
        <v>109</v>
      </c>
      <c r="B16" s="19">
        <v>2021</v>
      </c>
      <c r="C16" s="18">
        <v>612705</v>
      </c>
      <c r="D16" s="6">
        <v>912</v>
      </c>
      <c r="E16" s="6">
        <v>5654.627213711784</v>
      </c>
      <c r="F16" s="6">
        <v>-4292.9526483769632</v>
      </c>
      <c r="G16" s="6">
        <v>1361.6745653348207</v>
      </c>
      <c r="H16" s="6"/>
      <c r="I16" s="6">
        <v>126.39006719999996</v>
      </c>
      <c r="J16" s="6">
        <v>-196.01837014450211</v>
      </c>
      <c r="K16" s="6">
        <v>1292.0462623903186</v>
      </c>
      <c r="L16" s="6">
        <v>1292.0462623903186</v>
      </c>
      <c r="M16" s="6"/>
      <c r="N16" s="6">
        <v>0</v>
      </c>
      <c r="O16" s="6">
        <v>0</v>
      </c>
      <c r="P16" s="6">
        <v>0</v>
      </c>
      <c r="Q16" s="6">
        <v>0</v>
      </c>
      <c r="R16" s="6">
        <v>0</v>
      </c>
    </row>
    <row r="17" spans="1:18">
      <c r="A17" s="19" t="s">
        <v>109</v>
      </c>
      <c r="B17" s="19">
        <v>2021</v>
      </c>
      <c r="C17" s="18">
        <v>610609</v>
      </c>
      <c r="D17" s="6">
        <v>433</v>
      </c>
      <c r="E17" s="6">
        <v>4072.1050724631377</v>
      </c>
      <c r="F17" s="6">
        <v>-6137.6006310646389</v>
      </c>
      <c r="G17" s="6">
        <v>-2065.4955586015012</v>
      </c>
      <c r="H17" s="6"/>
      <c r="I17" s="6">
        <v>176.17596569999998</v>
      </c>
      <c r="J17" s="6">
        <v>-1280.3983692353615</v>
      </c>
      <c r="K17" s="6">
        <v>-3169.7179621368628</v>
      </c>
      <c r="L17" s="6">
        <v>-3169.7179621368641</v>
      </c>
      <c r="M17" s="6"/>
      <c r="N17" s="6">
        <v>14.174597300380128</v>
      </c>
      <c r="O17" s="6">
        <v>-0.40687290000000331</v>
      </c>
      <c r="P17" s="6">
        <v>-13.767724400380303</v>
      </c>
      <c r="Q17" s="6">
        <v>-1.7763568394002505E-13</v>
      </c>
      <c r="R17" s="6">
        <v>5.6132876125047915E-13</v>
      </c>
    </row>
    <row r="18" spans="1:18">
      <c r="A18" s="19" t="s">
        <v>109</v>
      </c>
      <c r="B18" s="19">
        <v>2021</v>
      </c>
      <c r="C18" s="18">
        <v>641905</v>
      </c>
      <c r="D18" s="6">
        <v>352</v>
      </c>
      <c r="E18" s="6">
        <v>3557.9164354418817</v>
      </c>
      <c r="F18" s="6">
        <v>-2687.1841881318674</v>
      </c>
      <c r="G18" s="6">
        <v>870.73224731001437</v>
      </c>
      <c r="H18" s="6"/>
      <c r="I18" s="6">
        <v>78.830769599999968</v>
      </c>
      <c r="J18" s="6">
        <v>-89.101183669999898</v>
      </c>
      <c r="K18" s="6">
        <v>860.46183324001436</v>
      </c>
      <c r="L18" s="6">
        <v>860.4618332400139</v>
      </c>
      <c r="M18" s="6"/>
      <c r="N18" s="6">
        <v>0</v>
      </c>
      <c r="O18" s="6">
        <v>0</v>
      </c>
      <c r="P18" s="6">
        <v>0</v>
      </c>
      <c r="Q18" s="6">
        <v>0</v>
      </c>
      <c r="R18" s="6">
        <v>0</v>
      </c>
    </row>
    <row r="19" spans="1:18">
      <c r="A19" s="19" t="s">
        <v>109</v>
      </c>
      <c r="B19" s="19">
        <v>2021</v>
      </c>
      <c r="C19" s="18">
        <v>339246</v>
      </c>
      <c r="D19" s="6">
        <v>480</v>
      </c>
      <c r="E19" s="6">
        <v>5258.1777424727607</v>
      </c>
      <c r="F19" s="6">
        <v>-4869.5999999999995</v>
      </c>
      <c r="G19" s="6">
        <v>388.5777424727612</v>
      </c>
      <c r="H19" s="6"/>
      <c r="I19" s="6">
        <v>144.95675444839856</v>
      </c>
      <c r="J19" s="6">
        <v>-1013.8294564768684</v>
      </c>
      <c r="K19" s="6">
        <v>-480.2949595557086</v>
      </c>
      <c r="L19" s="6">
        <v>-480.29495955570826</v>
      </c>
      <c r="M19" s="6"/>
      <c r="N19" s="6">
        <v>-831.89000000000033</v>
      </c>
      <c r="O19" s="6">
        <v>24.763445551601407</v>
      </c>
      <c r="P19" s="6">
        <v>1013.8294564768684</v>
      </c>
      <c r="Q19" s="6">
        <v>206.70290202846945</v>
      </c>
      <c r="R19" s="6">
        <v>206.70290202846925</v>
      </c>
    </row>
    <row r="20" spans="1:18">
      <c r="A20" s="19" t="s">
        <v>109</v>
      </c>
      <c r="B20" s="19">
        <v>2021</v>
      </c>
      <c r="C20" s="18">
        <v>645200</v>
      </c>
      <c r="D20" s="6">
        <v>504</v>
      </c>
      <c r="E20" s="6">
        <v>7779.4280720120814</v>
      </c>
      <c r="F20" s="6">
        <v>-5112.8065116279067</v>
      </c>
      <c r="G20" s="6">
        <v>2666.6215603841747</v>
      </c>
      <c r="H20" s="6"/>
      <c r="I20" s="6">
        <v>152.20477674418603</v>
      </c>
      <c r="J20" s="6">
        <v>-118.10956511627955</v>
      </c>
      <c r="K20" s="6">
        <v>2700.716772012081</v>
      </c>
      <c r="L20" s="6">
        <v>2700.7167720120815</v>
      </c>
      <c r="M20" s="6"/>
      <c r="N20" s="6">
        <v>0</v>
      </c>
      <c r="O20" s="6">
        <v>0</v>
      </c>
      <c r="P20" s="6">
        <v>0</v>
      </c>
      <c r="Q20" s="6">
        <v>0</v>
      </c>
      <c r="R20" s="6">
        <v>8.7041485130612273E-14</v>
      </c>
    </row>
    <row r="21" spans="1:18">
      <c r="A21" s="19" t="s">
        <v>109</v>
      </c>
      <c r="B21" s="19">
        <v>2021</v>
      </c>
      <c r="C21" s="18">
        <v>919575</v>
      </c>
      <c r="D21" s="6">
        <v>563</v>
      </c>
      <c r="E21" s="6">
        <v>8968.7642922034065</v>
      </c>
      <c r="F21" s="6">
        <v>-6967.1666009852224</v>
      </c>
      <c r="G21" s="6">
        <v>2001.5976912181841</v>
      </c>
      <c r="H21" s="6"/>
      <c r="I21" s="6">
        <v>207.69763349753694</v>
      </c>
      <c r="J21" s="6">
        <v>-552.28343251231456</v>
      </c>
      <c r="K21" s="6">
        <v>1657.0118922034067</v>
      </c>
      <c r="L21" s="6">
        <v>1657.0118922034067</v>
      </c>
      <c r="M21" s="6"/>
      <c r="N21" s="6">
        <v>-12.375073891625561</v>
      </c>
      <c r="O21" s="6">
        <v>0.36891231527093638</v>
      </c>
      <c r="P21" s="6">
        <v>12.006161576354657</v>
      </c>
      <c r="Q21" s="6">
        <v>3.1974423109204508E-14</v>
      </c>
      <c r="R21" s="6">
        <v>1.5454304502782179E-13</v>
      </c>
    </row>
    <row r="22" spans="1:18">
      <c r="A22" s="19" t="s">
        <v>109</v>
      </c>
      <c r="B22" s="19">
        <v>2021</v>
      </c>
      <c r="C22" s="18">
        <v>920833</v>
      </c>
      <c r="D22" s="6">
        <v>507</v>
      </c>
      <c r="E22" s="6">
        <v>9850.284990499862</v>
      </c>
      <c r="F22" s="6">
        <v>-6940.8642567567567</v>
      </c>
      <c r="G22" s="6">
        <v>2909.4207337431053</v>
      </c>
      <c r="H22" s="6"/>
      <c r="I22" s="6">
        <v>207.04766655405405</v>
      </c>
      <c r="J22" s="6">
        <v>-1128.9436097972973</v>
      </c>
      <c r="K22" s="6">
        <v>1987.5247904998621</v>
      </c>
      <c r="L22" s="6">
        <v>1987.5247904998628</v>
      </c>
      <c r="M22" s="6"/>
      <c r="N22" s="6">
        <v>0</v>
      </c>
      <c r="O22" s="6">
        <v>0</v>
      </c>
      <c r="P22" s="6">
        <v>0</v>
      </c>
      <c r="Q22" s="6">
        <v>0</v>
      </c>
      <c r="R22" s="6">
        <v>-2.1671553440683056E-13</v>
      </c>
    </row>
    <row r="23" spans="1:18">
      <c r="A23" s="19" t="s">
        <v>109</v>
      </c>
      <c r="B23" s="19">
        <v>2021</v>
      </c>
      <c r="C23" s="18">
        <v>552680</v>
      </c>
      <c r="D23" s="6">
        <v>807</v>
      </c>
      <c r="E23" s="6">
        <v>9429.23498353586</v>
      </c>
      <c r="F23" s="6">
        <v>-9732.8365786314516</v>
      </c>
      <c r="G23" s="6">
        <v>-303.60159509559162</v>
      </c>
      <c r="H23" s="6"/>
      <c r="I23" s="6">
        <v>286.63477454981995</v>
      </c>
      <c r="J23" s="6">
        <v>-690.35216612244903</v>
      </c>
      <c r="K23" s="6">
        <v>-707.31898666822076</v>
      </c>
      <c r="L23" s="6">
        <v>-707.31898666822156</v>
      </c>
      <c r="M23" s="6"/>
      <c r="N23" s="6">
        <v>-313.573421368548</v>
      </c>
      <c r="O23" s="6">
        <v>9.2348254501800469</v>
      </c>
      <c r="P23" s="6">
        <v>690.35216612244903</v>
      </c>
      <c r="Q23" s="6">
        <v>386.01357020408108</v>
      </c>
      <c r="R23" s="6">
        <v>386.01357020408273</v>
      </c>
    </row>
    <row r="24" spans="1:18">
      <c r="A24" s="19" t="s">
        <v>109</v>
      </c>
      <c r="B24" s="19">
        <v>2021</v>
      </c>
      <c r="C24" s="18">
        <v>334948</v>
      </c>
      <c r="D24" s="6">
        <v>488</v>
      </c>
      <c r="E24" s="6">
        <v>5792.2369072758311</v>
      </c>
      <c r="F24" s="6">
        <v>-3953.3346613545814</v>
      </c>
      <c r="G24" s="6">
        <v>1838.9022459212497</v>
      </c>
      <c r="H24" s="6"/>
      <c r="I24" s="6">
        <v>115.74523984063745</v>
      </c>
      <c r="J24" s="6">
        <v>-141.95261075697209</v>
      </c>
      <c r="K24" s="6">
        <v>1812.694875004915</v>
      </c>
      <c r="L24" s="6">
        <v>1812.6948750049148</v>
      </c>
      <c r="M24" s="6"/>
      <c r="N24" s="6">
        <v>-113.4153386454185</v>
      </c>
      <c r="O24" s="6">
        <v>3.3205601593625582</v>
      </c>
      <c r="P24" s="6">
        <v>141.95261075697209</v>
      </c>
      <c r="Q24" s="6">
        <v>31.857832270916148</v>
      </c>
      <c r="R24" s="6">
        <v>31.857832270916038</v>
      </c>
    </row>
    <row r="25" spans="1:18">
      <c r="A25" s="19" t="s">
        <v>109</v>
      </c>
      <c r="B25" s="19">
        <v>2021</v>
      </c>
      <c r="C25" s="18">
        <v>530781</v>
      </c>
      <c r="D25" s="6">
        <v>409</v>
      </c>
      <c r="E25" s="6">
        <v>4207.1827216476231</v>
      </c>
      <c r="F25" s="6">
        <v>-3898.7775365853654</v>
      </c>
      <c r="G25" s="6">
        <v>308.40518506225771</v>
      </c>
      <c r="H25" s="6"/>
      <c r="I25" s="6">
        <v>114.25165609756095</v>
      </c>
      <c r="J25" s="6">
        <v>-138.95454756097558</v>
      </c>
      <c r="K25" s="6">
        <v>283.70229359884308</v>
      </c>
      <c r="L25" s="6">
        <v>283.7022935988432</v>
      </c>
      <c r="M25" s="6"/>
      <c r="N25" s="6">
        <v>-9.5324634146344351</v>
      </c>
      <c r="O25" s="6">
        <v>0.27934390243904161</v>
      </c>
      <c r="P25" s="6">
        <v>138.95454756097558</v>
      </c>
      <c r="Q25" s="6">
        <v>129.7014280487802</v>
      </c>
      <c r="R25" s="6">
        <v>129.70142804877932</v>
      </c>
    </row>
    <row r="26" spans="1:18">
      <c r="A26" s="19" t="s">
        <v>109</v>
      </c>
      <c r="B26" s="19">
        <v>2021</v>
      </c>
      <c r="C26" s="18">
        <v>602071</v>
      </c>
      <c r="D26" s="6">
        <v>1062</v>
      </c>
      <c r="E26" s="6">
        <v>7061.9581138444864</v>
      </c>
      <c r="F26" s="6">
        <v>-9542.5044545454566</v>
      </c>
      <c r="G26" s="6">
        <v>-2480.5463407009702</v>
      </c>
      <c r="H26" s="6"/>
      <c r="I26" s="6">
        <v>277.99153363636367</v>
      </c>
      <c r="J26" s="6">
        <v>-1132.1424559090906</v>
      </c>
      <c r="K26" s="6">
        <v>-3334.697262973697</v>
      </c>
      <c r="L26" s="6">
        <v>-3334.6972629736974</v>
      </c>
      <c r="M26" s="6"/>
      <c r="N26" s="6">
        <v>-341.44554545454184</v>
      </c>
      <c r="O26" s="6">
        <v>9.9469663636363208</v>
      </c>
      <c r="P26" s="6">
        <v>1132.1424559090906</v>
      </c>
      <c r="Q26" s="6">
        <v>800.64387681818505</v>
      </c>
      <c r="R26" s="6">
        <v>800.64387681818266</v>
      </c>
    </row>
    <row r="27" spans="1:18">
      <c r="A27" s="19" t="s">
        <v>109</v>
      </c>
      <c r="B27" s="19">
        <v>2021</v>
      </c>
      <c r="C27" s="18">
        <v>582964</v>
      </c>
      <c r="D27" s="6">
        <v>1046</v>
      </c>
      <c r="E27" s="6">
        <v>7836.0805356345882</v>
      </c>
      <c r="F27" s="6">
        <v>-9398.7425563909783</v>
      </c>
      <c r="G27" s="6">
        <v>-1562.6620207563901</v>
      </c>
      <c r="H27" s="6"/>
      <c r="I27" s="6">
        <v>273.80347669172932</v>
      </c>
      <c r="J27" s="6">
        <v>-165.74937142856993</v>
      </c>
      <c r="K27" s="6">
        <v>-1454.6079154932308</v>
      </c>
      <c r="L27" s="6">
        <v>-1454.6079154932297</v>
      </c>
      <c r="M27" s="6"/>
      <c r="N27" s="6">
        <v>17.97082706766912</v>
      </c>
      <c r="O27" s="6">
        <v>-0.52352481203007528</v>
      </c>
      <c r="P27" s="6">
        <v>-17.447302255639102</v>
      </c>
      <c r="Q27" s="6">
        <v>-5.6843418860808015E-14</v>
      </c>
      <c r="R27" s="6">
        <v>-3.979039320256561E-13</v>
      </c>
    </row>
    <row r="28" spans="1:18">
      <c r="A28" s="19" t="s">
        <v>109</v>
      </c>
      <c r="B28" s="19">
        <v>2021</v>
      </c>
      <c r="C28" s="18">
        <v>585644</v>
      </c>
      <c r="D28" s="6">
        <v>936</v>
      </c>
      <c r="E28" s="6">
        <v>7539.5020800869988</v>
      </c>
      <c r="F28" s="6">
        <v>-10104.602078395625</v>
      </c>
      <c r="G28" s="6">
        <v>-2565.0999983086258</v>
      </c>
      <c r="H28" s="6"/>
      <c r="I28" s="6">
        <v>294.37720474020045</v>
      </c>
      <c r="J28" s="6">
        <v>-3529.4604558523251</v>
      </c>
      <c r="K28" s="6">
        <v>-5800.1832494207501</v>
      </c>
      <c r="L28" s="6">
        <v>-5800.1832494207501</v>
      </c>
      <c r="M28" s="6"/>
      <c r="N28" s="6">
        <v>-1738.0779216043752</v>
      </c>
      <c r="O28" s="6">
        <v>50.635395259799495</v>
      </c>
      <c r="P28" s="6">
        <v>3529.4604558523251</v>
      </c>
      <c r="Q28" s="6">
        <v>1842.0179295077494</v>
      </c>
      <c r="R28" s="6">
        <v>1842.0179295077473</v>
      </c>
    </row>
    <row r="29" spans="1:18">
      <c r="A29" s="19" t="s">
        <v>109</v>
      </c>
      <c r="B29" s="19">
        <v>2021</v>
      </c>
      <c r="C29" s="18">
        <v>318285</v>
      </c>
      <c r="D29" s="6">
        <v>314</v>
      </c>
      <c r="E29" s="6">
        <v>2671.8999999999996</v>
      </c>
      <c r="F29" s="6">
        <v>-1517.6115789473681</v>
      </c>
      <c r="G29" s="6">
        <v>1154.2884210526315</v>
      </c>
      <c r="H29" s="6"/>
      <c r="I29" s="6">
        <v>44.426236532507737</v>
      </c>
      <c r="J29" s="6">
        <v>-42.54486773993807</v>
      </c>
      <c r="K29" s="6">
        <v>1156.1697898452012</v>
      </c>
      <c r="L29" s="6">
        <v>1156.1697898452012</v>
      </c>
      <c r="M29" s="6"/>
      <c r="N29" s="6">
        <v>0</v>
      </c>
      <c r="O29" s="6">
        <v>0</v>
      </c>
      <c r="P29" s="6">
        <v>0</v>
      </c>
      <c r="Q29" s="6">
        <v>0</v>
      </c>
      <c r="R29" s="6">
        <v>4.2632564145606011E-14</v>
      </c>
    </row>
    <row r="30" spans="1:18">
      <c r="A30" s="19" t="s">
        <v>109</v>
      </c>
      <c r="B30" s="19">
        <v>2021</v>
      </c>
      <c r="C30" s="18">
        <v>309473</v>
      </c>
      <c r="D30" s="6">
        <v>307</v>
      </c>
      <c r="E30" s="6">
        <v>2546.1174300000007</v>
      </c>
      <c r="F30" s="6">
        <v>-1483.7815189873415</v>
      </c>
      <c r="G30" s="6">
        <v>1062.3359110126592</v>
      </c>
      <c r="H30" s="6"/>
      <c r="I30" s="6">
        <v>43.435933860759498</v>
      </c>
      <c r="J30" s="6">
        <v>-42.55244044303798</v>
      </c>
      <c r="K30" s="6">
        <v>1063.2194044303806</v>
      </c>
      <c r="L30" s="6">
        <v>1063.2194044303799</v>
      </c>
      <c r="M30" s="6"/>
      <c r="N30" s="6">
        <v>0</v>
      </c>
      <c r="O30" s="6">
        <v>0</v>
      </c>
      <c r="P30" s="6">
        <v>0</v>
      </c>
      <c r="Q30" s="6">
        <v>0</v>
      </c>
      <c r="R30" s="6">
        <v>-1.0658141036401503E-13</v>
      </c>
    </row>
    <row r="31" spans="1:18">
      <c r="A31" s="19" t="s">
        <v>109</v>
      </c>
      <c r="B31" s="19">
        <v>2021</v>
      </c>
      <c r="C31" s="18">
        <v>319891</v>
      </c>
      <c r="D31" s="6">
        <v>292</v>
      </c>
      <c r="E31" s="6">
        <v>570.9787500000001</v>
      </c>
      <c r="F31" s="6">
        <v>-309.45186666666672</v>
      </c>
      <c r="G31" s="6">
        <v>261.52688333333339</v>
      </c>
      <c r="H31" s="6"/>
      <c r="I31" s="6">
        <v>8.9419160000000009</v>
      </c>
      <c r="J31" s="6">
        <v>-8.3114650000000054</v>
      </c>
      <c r="K31" s="6">
        <v>262.15733433333338</v>
      </c>
      <c r="L31" s="6">
        <v>262.15733433333344</v>
      </c>
      <c r="M31" s="6"/>
      <c r="N31" s="6">
        <v>0</v>
      </c>
      <c r="O31" s="6">
        <v>0</v>
      </c>
      <c r="P31" s="6">
        <v>0</v>
      </c>
      <c r="Q31" s="6">
        <v>0</v>
      </c>
      <c r="R31" s="6">
        <v>-2.6201263381153694E-14</v>
      </c>
    </row>
    <row r="32" spans="1:18">
      <c r="A32" s="19" t="s">
        <v>109</v>
      </c>
      <c r="B32" s="19">
        <v>2021</v>
      </c>
      <c r="C32" s="18">
        <v>183252</v>
      </c>
      <c r="D32" s="6">
        <v>250</v>
      </c>
      <c r="E32" s="6">
        <v>989.3291557786298</v>
      </c>
      <c r="F32" s="6">
        <v>-1417.5775193798447</v>
      </c>
      <c r="G32" s="6">
        <v>-428.24836360121492</v>
      </c>
      <c r="H32" s="6"/>
      <c r="I32" s="6">
        <v>41.670203488372088</v>
      </c>
      <c r="J32" s="6">
        <v>-1491.9155782558139</v>
      </c>
      <c r="K32" s="6">
        <v>-1878.4937383686568</v>
      </c>
      <c r="L32" s="6">
        <v>-1878.493738368657</v>
      </c>
      <c r="M32" s="6"/>
      <c r="N32" s="6">
        <v>-1508.3024806201545</v>
      </c>
      <c r="O32" s="6">
        <v>44.337096511627912</v>
      </c>
      <c r="P32" s="6">
        <v>1491.9155782558139</v>
      </c>
      <c r="Q32" s="6">
        <v>27.95019414728722</v>
      </c>
      <c r="R32" s="6">
        <v>27.95019414728727</v>
      </c>
    </row>
    <row r="33" spans="1:18">
      <c r="A33" s="19" t="s">
        <v>109</v>
      </c>
      <c r="B33" s="19">
        <v>2021</v>
      </c>
      <c r="C33" s="18">
        <v>171445</v>
      </c>
      <c r="D33" s="6">
        <v>292</v>
      </c>
      <c r="E33" s="6">
        <v>1365.4759367608067</v>
      </c>
      <c r="F33" s="6">
        <v>-1656.524673267327</v>
      </c>
      <c r="G33" s="6">
        <v>-291.0487365065203</v>
      </c>
      <c r="H33" s="6"/>
      <c r="I33" s="6">
        <v>48.67073346534653</v>
      </c>
      <c r="J33" s="6">
        <v>-1239.0043592574257</v>
      </c>
      <c r="K33" s="6">
        <v>-1481.3823622985994</v>
      </c>
      <c r="L33" s="6">
        <v>-1481.3823622985992</v>
      </c>
      <c r="M33" s="6"/>
      <c r="N33" s="6">
        <v>-1208.3553267326729</v>
      </c>
      <c r="O33" s="6">
        <v>35.502966534653467</v>
      </c>
      <c r="P33" s="6">
        <v>1239.0043592574257</v>
      </c>
      <c r="Q33" s="6">
        <v>66.151999059406307</v>
      </c>
      <c r="R33" s="6">
        <v>66.151999059406535</v>
      </c>
    </row>
    <row r="34" spans="1:18">
      <c r="A34" s="19" t="s">
        <v>109</v>
      </c>
      <c r="B34" s="19">
        <v>2021</v>
      </c>
      <c r="C34" s="18">
        <v>303802</v>
      </c>
      <c r="D34" s="6">
        <v>204</v>
      </c>
      <c r="E34" s="6">
        <v>921.64440153349494</v>
      </c>
      <c r="F34" s="6">
        <v>-1157.2971098265896</v>
      </c>
      <c r="G34" s="6">
        <v>-235.65270829309463</v>
      </c>
      <c r="H34" s="6"/>
      <c r="I34" s="6">
        <v>34.002908670520227</v>
      </c>
      <c r="J34" s="6">
        <v>-1756.5039427938343</v>
      </c>
      <c r="K34" s="6">
        <v>-1958.1537424164087</v>
      </c>
      <c r="L34" s="6">
        <v>-1958.1537424164085</v>
      </c>
      <c r="M34" s="6"/>
      <c r="N34" s="6">
        <v>-1787.0028901734104</v>
      </c>
      <c r="O34" s="6">
        <v>52.504491329479769</v>
      </c>
      <c r="P34" s="6">
        <v>1756.5039427938343</v>
      </c>
      <c r="Q34" s="6">
        <v>22.005543949903767</v>
      </c>
      <c r="R34" s="6">
        <v>22.005543949903938</v>
      </c>
    </row>
    <row r="35" spans="1:18">
      <c r="A35" s="19" t="s">
        <v>109</v>
      </c>
      <c r="B35" s="19">
        <v>2021</v>
      </c>
      <c r="C35" s="18">
        <v>927828</v>
      </c>
      <c r="D35" s="6">
        <v>1044</v>
      </c>
      <c r="E35" s="6">
        <v>13576.741763652559</v>
      </c>
      <c r="F35" s="6">
        <v>-9127.6193036750483</v>
      </c>
      <c r="G35" s="6">
        <v>4449.1224599775105</v>
      </c>
      <c r="H35" s="6"/>
      <c r="I35" s="6">
        <v>267.72117911025146</v>
      </c>
      <c r="J35" s="6">
        <v>42.258748433269147</v>
      </c>
      <c r="K35" s="6">
        <v>4759.1023875210312</v>
      </c>
      <c r="L35" s="6">
        <v>4759.1023875210321</v>
      </c>
      <c r="M35" s="6"/>
      <c r="N35" s="6">
        <v>87.4293036750488</v>
      </c>
      <c r="O35" s="6">
        <v>-2.5643791102514673</v>
      </c>
      <c r="P35" s="6">
        <v>-42.258748433269147</v>
      </c>
      <c r="Q35" s="6">
        <v>42.606176131528187</v>
      </c>
      <c r="R35" s="6">
        <v>42.606176131528876</v>
      </c>
    </row>
    <row r="36" spans="1:18">
      <c r="A36" s="19" t="s">
        <v>109</v>
      </c>
      <c r="B36" s="19">
        <v>2021</v>
      </c>
      <c r="C36" s="18">
        <v>701350</v>
      </c>
      <c r="D36" s="6">
        <v>433</v>
      </c>
      <c r="E36" s="6">
        <v>4395.5268014549329</v>
      </c>
      <c r="F36" s="6">
        <v>-4273.3552141527007</v>
      </c>
      <c r="G36" s="6">
        <v>122.17158730223218</v>
      </c>
      <c r="H36" s="6"/>
      <c r="I36" s="6">
        <v>127.03010502793295</v>
      </c>
      <c r="J36" s="6">
        <v>-771.33137999999997</v>
      </c>
      <c r="K36" s="6">
        <v>-522.12968766983488</v>
      </c>
      <c r="L36" s="6">
        <v>-522.12968766983352</v>
      </c>
      <c r="M36" s="6"/>
      <c r="N36" s="6">
        <v>-1026.3947858472993</v>
      </c>
      <c r="O36" s="6">
        <v>30.510694972067014</v>
      </c>
      <c r="P36" s="6">
        <v>771.33137999999997</v>
      </c>
      <c r="Q36" s="6">
        <v>-224.55271087523238</v>
      </c>
      <c r="R36" s="6">
        <v>-224.55271087523406</v>
      </c>
    </row>
    <row r="37" spans="1:18">
      <c r="A37" s="19" t="s">
        <v>109</v>
      </c>
      <c r="B37" s="19">
        <v>2021</v>
      </c>
      <c r="C37" s="18">
        <v>846099</v>
      </c>
      <c r="D37" s="6">
        <v>456</v>
      </c>
      <c r="E37" s="6">
        <v>4269.1122192937219</v>
      </c>
      <c r="F37" s="6">
        <v>-3078.3637847866426</v>
      </c>
      <c r="G37" s="6">
        <v>1190.7484345070793</v>
      </c>
      <c r="H37" s="6"/>
      <c r="I37" s="6">
        <v>90.222011131725424</v>
      </c>
      <c r="J37" s="6">
        <v>-733.66418293135428</v>
      </c>
      <c r="K37" s="6">
        <v>547.30626270745051</v>
      </c>
      <c r="L37" s="6">
        <v>547.30626270745063</v>
      </c>
      <c r="M37" s="6"/>
      <c r="N37" s="6">
        <v>-560.31621521335808</v>
      </c>
      <c r="O37" s="6">
        <v>16.421988868274589</v>
      </c>
      <c r="P37" s="6">
        <v>733.66418293135428</v>
      </c>
      <c r="Q37" s="6">
        <v>189.76995658627084</v>
      </c>
      <c r="R37" s="6">
        <v>189.76995658627112</v>
      </c>
    </row>
    <row r="38" spans="1:18">
      <c r="A38" s="19" t="s">
        <v>109</v>
      </c>
      <c r="B38" s="19">
        <v>2021</v>
      </c>
      <c r="C38" s="18">
        <v>888308</v>
      </c>
      <c r="D38" s="6">
        <v>360</v>
      </c>
      <c r="E38" s="6">
        <v>3381.2647624670954</v>
      </c>
      <c r="F38" s="6">
        <v>-3120.432911392405</v>
      </c>
      <c r="G38" s="6">
        <v>260.83185107469035</v>
      </c>
      <c r="H38" s="6"/>
      <c r="I38" s="6">
        <v>91.735291139240488</v>
      </c>
      <c r="J38" s="6">
        <v>-598.16777999999999</v>
      </c>
      <c r="K38" s="6">
        <v>-245.60063778606917</v>
      </c>
      <c r="L38" s="6">
        <v>-245.60063778606809</v>
      </c>
      <c r="M38" s="6"/>
      <c r="N38" s="6">
        <v>-988.13708860759493</v>
      </c>
      <c r="O38" s="6">
        <v>29.049508860759488</v>
      </c>
      <c r="P38" s="6">
        <v>598.16777999999999</v>
      </c>
      <c r="Q38" s="6">
        <v>-360.91979974683545</v>
      </c>
      <c r="R38" s="6">
        <v>-360.91979974683568</v>
      </c>
    </row>
    <row r="39" spans="1:18">
      <c r="A39" s="19" t="s">
        <v>109</v>
      </c>
      <c r="B39" s="19">
        <v>2021</v>
      </c>
      <c r="C39" s="18">
        <v>243525</v>
      </c>
      <c r="D39" s="6">
        <v>2328</v>
      </c>
      <c r="E39" s="6">
        <v>38862.107457958191</v>
      </c>
      <c r="F39" s="6">
        <v>-24777.865434716983</v>
      </c>
      <c r="G39" s="6">
        <v>14084.242023241208</v>
      </c>
      <c r="H39" s="6"/>
      <c r="I39" s="6">
        <v>725.28909840000006</v>
      </c>
      <c r="J39" s="6">
        <v>-3942.6388015200005</v>
      </c>
      <c r="K39" s="6">
        <v>10866.892320121207</v>
      </c>
      <c r="L39" s="6">
        <v>10866.892320121215</v>
      </c>
      <c r="M39" s="6"/>
      <c r="N39" s="6">
        <v>-2298.9772052830176</v>
      </c>
      <c r="O39" s="6">
        <v>67.294864799999914</v>
      </c>
      <c r="P39" s="6">
        <v>3942.6388015200005</v>
      </c>
      <c r="Q39" s="6">
        <v>1710.956461036983</v>
      </c>
      <c r="R39" s="6">
        <v>1710.9564610369775</v>
      </c>
    </row>
    <row r="40" spans="1:18">
      <c r="A40" s="19" t="s">
        <v>109</v>
      </c>
      <c r="B40" s="19">
        <v>2021</v>
      </c>
      <c r="C40" s="18">
        <v>825018</v>
      </c>
      <c r="D40" s="6">
        <v>536</v>
      </c>
      <c r="E40" s="6">
        <v>5084.9012410510386</v>
      </c>
      <c r="F40" s="6">
        <v>-3669.7628892333673</v>
      </c>
      <c r="G40" s="6">
        <v>1415.1383518176713</v>
      </c>
      <c r="H40" s="6"/>
      <c r="I40" s="6">
        <v>108.37734216050175</v>
      </c>
      <c r="J40" s="6">
        <v>-572.08077537868235</v>
      </c>
      <c r="K40" s="6">
        <v>951.43491859949063</v>
      </c>
      <c r="L40" s="6">
        <v>951.43491859949074</v>
      </c>
      <c r="M40" s="6"/>
      <c r="N40" s="6">
        <v>-260.16975707251504</v>
      </c>
      <c r="O40" s="6">
        <v>7.6834682874982434</v>
      </c>
      <c r="P40" s="6">
        <v>572.08077537868235</v>
      </c>
      <c r="Q40" s="6">
        <v>319.59448659366558</v>
      </c>
      <c r="R40" s="6">
        <v>319.59448659366615</v>
      </c>
    </row>
    <row r="41" spans="1:18">
      <c r="A41" s="19" t="s">
        <v>109</v>
      </c>
      <c r="B41" s="19">
        <v>2021</v>
      </c>
      <c r="C41" s="18">
        <v>994179</v>
      </c>
      <c r="D41" s="6">
        <v>983</v>
      </c>
      <c r="E41" s="6">
        <v>9587.638638429391</v>
      </c>
      <c r="F41" s="6">
        <v>-6796.1656533847836</v>
      </c>
      <c r="G41" s="6">
        <v>2791.4729850446074</v>
      </c>
      <c r="H41" s="6"/>
      <c r="I41" s="6">
        <v>199.34543184319693</v>
      </c>
      <c r="J41" s="6">
        <v>-1042.8747328866352</v>
      </c>
      <c r="K41" s="6">
        <v>1947.943684001169</v>
      </c>
      <c r="L41" s="6">
        <v>1947.9436840011681</v>
      </c>
      <c r="M41" s="6"/>
      <c r="N41" s="6">
        <v>-366.42602200345209</v>
      </c>
      <c r="O41" s="6">
        <v>10.748024300803067</v>
      </c>
      <c r="P41" s="6">
        <v>1042.8747328866352</v>
      </c>
      <c r="Q41" s="6">
        <v>687.19673518398622</v>
      </c>
      <c r="R41" s="6">
        <v>687.19673518398554</v>
      </c>
    </row>
    <row r="42" spans="1:18">
      <c r="A42" s="19" t="s">
        <v>109</v>
      </c>
      <c r="B42" s="19">
        <v>2021</v>
      </c>
      <c r="C42" s="18">
        <v>230414</v>
      </c>
      <c r="D42" s="6">
        <v>2028</v>
      </c>
      <c r="E42" s="6">
        <v>13252.117376799393</v>
      </c>
      <c r="F42" s="6">
        <v>-8807.1353231626617</v>
      </c>
      <c r="G42" s="6">
        <v>4444.9820536367315</v>
      </c>
      <c r="H42" s="6"/>
      <c r="I42" s="6">
        <v>261.45430897291766</v>
      </c>
      <c r="J42" s="6">
        <v>-1297.6540770807353</v>
      </c>
      <c r="K42" s="6">
        <v>3408.7822855289141</v>
      </c>
      <c r="L42" s="6">
        <v>3408.7822855289141</v>
      </c>
      <c r="M42" s="6"/>
      <c r="N42" s="6">
        <v>-108.56922242557448</v>
      </c>
      <c r="O42" s="6">
        <v>3.2230560770823615</v>
      </c>
      <c r="P42" s="6">
        <v>1297.6540770807353</v>
      </c>
      <c r="Q42" s="6">
        <v>1192.3079107322433</v>
      </c>
      <c r="R42" s="6">
        <v>1192.3079107322419</v>
      </c>
    </row>
    <row r="43" spans="1:18">
      <c r="A43" s="19" t="s">
        <v>109</v>
      </c>
      <c r="B43" s="19">
        <v>2021</v>
      </c>
      <c r="C43" s="18">
        <v>248869</v>
      </c>
      <c r="D43" s="6">
        <v>2042</v>
      </c>
      <c r="E43" s="6">
        <v>10927.131624357678</v>
      </c>
      <c r="F43" s="6">
        <v>-7778.9263040058349</v>
      </c>
      <c r="G43" s="6">
        <v>3148.2053203518435</v>
      </c>
      <c r="H43" s="6"/>
      <c r="I43" s="6">
        <v>227.82364892960626</v>
      </c>
      <c r="J43" s="6">
        <v>-1140.985663185</v>
      </c>
      <c r="K43" s="6">
        <v>2235.0433060964497</v>
      </c>
      <c r="L43" s="6">
        <v>2235.0433060964488</v>
      </c>
      <c r="M43" s="6"/>
      <c r="N43" s="6">
        <v>-57.14196599416573</v>
      </c>
      <c r="O43" s="6">
        <v>1.6735331703937391</v>
      </c>
      <c r="P43" s="6">
        <v>1140.985663185</v>
      </c>
      <c r="Q43" s="6">
        <v>1085.517230361228</v>
      </c>
      <c r="R43" s="6">
        <v>1085.5172303612267</v>
      </c>
    </row>
    <row r="44" spans="1:18">
      <c r="A44" s="19" t="s">
        <v>109</v>
      </c>
      <c r="B44" s="19">
        <v>2021</v>
      </c>
      <c r="C44" s="18">
        <v>696234</v>
      </c>
      <c r="D44" s="6">
        <v>36</v>
      </c>
      <c r="E44" s="6">
        <v>386.40096994363938</v>
      </c>
      <c r="F44" s="6">
        <v>-209.41075848295065</v>
      </c>
      <c r="G44" s="6">
        <v>176.99021146068873</v>
      </c>
      <c r="H44" s="6"/>
      <c r="I44" s="6">
        <v>6.2194005899999993</v>
      </c>
      <c r="J44" s="6">
        <v>-366.59107486519849</v>
      </c>
      <c r="K44" s="6">
        <v>-183.38146281450977</v>
      </c>
      <c r="L44" s="6">
        <v>-183.3814628145098</v>
      </c>
      <c r="M44" s="6"/>
      <c r="N44" s="6">
        <v>-2309.3353088258727</v>
      </c>
      <c r="O44" s="6">
        <v>68.58616761750001</v>
      </c>
      <c r="P44" s="6">
        <v>366.59107486519849</v>
      </c>
      <c r="Q44" s="6">
        <v>-1874.1580663431741</v>
      </c>
      <c r="R44" s="6">
        <v>-1874.1580663431746</v>
      </c>
    </row>
    <row r="45" spans="1:18">
      <c r="A45" s="19" t="s">
        <v>109</v>
      </c>
      <c r="B45" s="19">
        <v>2021</v>
      </c>
      <c r="C45" s="18">
        <v>708735</v>
      </c>
      <c r="D45" s="6">
        <v>481</v>
      </c>
      <c r="E45" s="6">
        <v>4522.6936393183532</v>
      </c>
      <c r="F45" s="6">
        <v>-2761.3879621516708</v>
      </c>
      <c r="G45" s="6">
        <v>1761.3056771666825</v>
      </c>
      <c r="H45" s="6"/>
      <c r="I45" s="6">
        <v>82.043208000000007</v>
      </c>
      <c r="J45" s="6">
        <v>-410.25725809411762</v>
      </c>
      <c r="K45" s="6">
        <v>1433.091627072565</v>
      </c>
      <c r="L45" s="6">
        <v>1433.0916270725634</v>
      </c>
      <c r="M45" s="6"/>
      <c r="N45" s="6">
        <v>-57.40931314244699</v>
      </c>
      <c r="O45" s="6">
        <v>1.705680000000001</v>
      </c>
      <c r="P45" s="6">
        <v>410.25725809411762</v>
      </c>
      <c r="Q45" s="6">
        <v>354.5536249516706</v>
      </c>
      <c r="R45" s="6">
        <v>354.55362495167151</v>
      </c>
    </row>
    <row r="46" spans="1:18">
      <c r="A46" s="19" t="s">
        <v>109</v>
      </c>
      <c r="B46" s="19">
        <v>2021</v>
      </c>
      <c r="C46" s="18">
        <v>485133</v>
      </c>
      <c r="D46" s="6">
        <v>259</v>
      </c>
      <c r="E46" s="6">
        <v>3596.0645415372414</v>
      </c>
      <c r="F46" s="6">
        <v>-2388.6755343431373</v>
      </c>
      <c r="G46" s="6">
        <v>1207.3890071941041</v>
      </c>
      <c r="H46" s="6"/>
      <c r="I46" s="6">
        <v>70.375838715</v>
      </c>
      <c r="J46" s="6">
        <v>-362.51404506926474</v>
      </c>
      <c r="K46" s="6">
        <v>915.25080083983937</v>
      </c>
      <c r="L46" s="6">
        <v>915.25080083983914</v>
      </c>
      <c r="M46" s="6"/>
      <c r="N46" s="6">
        <v>-101.44954006862737</v>
      </c>
      <c r="O46" s="6">
        <v>2.9889352350000005</v>
      </c>
      <c r="P46" s="6">
        <v>362.51404506926474</v>
      </c>
      <c r="Q46" s="6">
        <v>264.05344023563737</v>
      </c>
      <c r="R46" s="6">
        <v>264.05344023563742</v>
      </c>
    </row>
    <row r="47" spans="1:18">
      <c r="A47" s="19" t="s">
        <v>109</v>
      </c>
      <c r="B47" s="19">
        <v>2021</v>
      </c>
      <c r="C47" s="18">
        <v>892823</v>
      </c>
      <c r="D47" s="6">
        <v>273</v>
      </c>
      <c r="E47" s="6">
        <v>3886.4714342847383</v>
      </c>
      <c r="F47" s="6">
        <v>-2516.6526986964327</v>
      </c>
      <c r="G47" s="6">
        <v>1369.8187355883056</v>
      </c>
      <c r="H47" s="6"/>
      <c r="I47" s="6">
        <v>74.179938104999991</v>
      </c>
      <c r="J47" s="6">
        <v>-371.73898609001475</v>
      </c>
      <c r="K47" s="6">
        <v>1072.2596876032908</v>
      </c>
      <c r="L47" s="6">
        <v>1072.2596876032906</v>
      </c>
      <c r="M47" s="6"/>
      <c r="N47" s="6">
        <v>-36.874032215332299</v>
      </c>
      <c r="O47" s="6">
        <v>1.0868855400000035</v>
      </c>
      <c r="P47" s="6">
        <v>371.73898609001475</v>
      </c>
      <c r="Q47" s="6">
        <v>335.95183941468247</v>
      </c>
      <c r="R47" s="6">
        <v>335.95183941468241</v>
      </c>
    </row>
    <row r="48" spans="1:18">
      <c r="A48" s="19" t="s">
        <v>109</v>
      </c>
      <c r="B48" s="19">
        <v>2021</v>
      </c>
      <c r="C48" s="18">
        <v>281853</v>
      </c>
      <c r="D48" s="6">
        <v>925</v>
      </c>
      <c r="E48" s="6">
        <v>17847.194201807008</v>
      </c>
      <c r="F48" s="6">
        <v>-19397.441519460972</v>
      </c>
      <c r="G48" s="6">
        <v>-1550.2473176539643</v>
      </c>
      <c r="H48" s="6"/>
      <c r="I48" s="6">
        <v>577.15634924999995</v>
      </c>
      <c r="J48" s="6">
        <v>-3137.3924035097643</v>
      </c>
      <c r="K48" s="6">
        <v>-4110.4833719137287</v>
      </c>
      <c r="L48" s="6">
        <v>-4110.4833719137287</v>
      </c>
      <c r="M48" s="6"/>
      <c r="N48" s="6">
        <v>-2159.9313259507949</v>
      </c>
      <c r="O48" s="6">
        <v>64.267139429999972</v>
      </c>
      <c r="P48" s="6">
        <v>3137.3924035097643</v>
      </c>
      <c r="Q48" s="6">
        <v>1041.7282169889695</v>
      </c>
      <c r="R48" s="6">
        <v>1041.728216988972</v>
      </c>
    </row>
    <row r="49" spans="1:18">
      <c r="A49" s="19" t="s">
        <v>109</v>
      </c>
      <c r="B49" s="19">
        <v>2021</v>
      </c>
      <c r="C49" s="18">
        <v>366440</v>
      </c>
      <c r="D49" s="6">
        <v>280</v>
      </c>
      <c r="E49" s="6">
        <v>421.66449076289831</v>
      </c>
      <c r="F49" s="6">
        <v>-227.57968356997969</v>
      </c>
      <c r="G49" s="6">
        <v>194.08480719291862</v>
      </c>
      <c r="H49" s="6"/>
      <c r="I49" s="6">
        <v>6.6023999999999985</v>
      </c>
      <c r="J49" s="6">
        <v>-34.330399411764702</v>
      </c>
      <c r="K49" s="6">
        <v>166.35680778115392</v>
      </c>
      <c r="L49" s="6">
        <v>166.35680778115395</v>
      </c>
      <c r="M49" s="6"/>
      <c r="N49" s="6">
        <v>-8.1278458417849837</v>
      </c>
      <c r="O49" s="6">
        <v>0.23579999999999995</v>
      </c>
      <c r="P49" s="6">
        <v>34.330399411764702</v>
      </c>
      <c r="Q49" s="6">
        <v>26.438353569979718</v>
      </c>
      <c r="R49" s="6">
        <v>26.438353569979732</v>
      </c>
    </row>
    <row r="50" spans="1:18">
      <c r="A50" s="19" t="s">
        <v>109</v>
      </c>
      <c r="B50" s="19">
        <v>2021</v>
      </c>
      <c r="C50" s="18">
        <v>657778</v>
      </c>
      <c r="D50" s="6">
        <v>287</v>
      </c>
      <c r="E50" s="6">
        <v>419.36268413432026</v>
      </c>
      <c r="F50" s="6">
        <v>-233.19046737602898</v>
      </c>
      <c r="G50" s="6">
        <v>186.17221675829128</v>
      </c>
      <c r="H50" s="6"/>
      <c r="I50" s="6">
        <v>6.7674600000000007</v>
      </c>
      <c r="J50" s="6">
        <v>-34.673488411764716</v>
      </c>
      <c r="K50" s="6">
        <v>158.26618834652658</v>
      </c>
      <c r="L50" s="6">
        <v>158.26618834652655</v>
      </c>
      <c r="M50" s="6"/>
      <c r="N50" s="6">
        <v>-4.8750620357358043</v>
      </c>
      <c r="O50" s="6">
        <v>0.14147999999999966</v>
      </c>
      <c r="P50" s="6">
        <v>34.673488411764716</v>
      </c>
      <c r="Q50" s="6">
        <v>29.939906376028912</v>
      </c>
      <c r="R50" s="6">
        <v>29.939906376028894</v>
      </c>
    </row>
    <row r="51" spans="1:18">
      <c r="A51" s="19" t="s">
        <v>109</v>
      </c>
      <c r="B51" s="19">
        <v>2021</v>
      </c>
      <c r="C51" s="18">
        <v>838235</v>
      </c>
      <c r="D51" s="6">
        <v>278</v>
      </c>
      <c r="E51" s="6">
        <v>292.72155008138748</v>
      </c>
      <c r="F51" s="6">
        <v>-225.95411440162269</v>
      </c>
      <c r="G51" s="6">
        <v>66.767435679764787</v>
      </c>
      <c r="H51" s="6"/>
      <c r="I51" s="6">
        <v>6.5552399999999995</v>
      </c>
      <c r="J51" s="6">
        <v>-34.330399411764702</v>
      </c>
      <c r="K51" s="6">
        <v>38.992276268000083</v>
      </c>
      <c r="L51" s="6">
        <v>38.992276268000033</v>
      </c>
      <c r="M51" s="6"/>
      <c r="N51" s="6">
        <v>-9.7534150101420138</v>
      </c>
      <c r="O51" s="6">
        <v>0.28295999999999877</v>
      </c>
      <c r="P51" s="6">
        <v>34.330399411764702</v>
      </c>
      <c r="Q51" s="6">
        <v>24.859944401622688</v>
      </c>
      <c r="R51" s="6">
        <v>24.859944401622705</v>
      </c>
    </row>
    <row r="52" spans="1:18">
      <c r="A52" s="19" t="s">
        <v>109</v>
      </c>
      <c r="B52" s="19">
        <v>2021</v>
      </c>
      <c r="C52" s="18">
        <v>939960</v>
      </c>
      <c r="D52" s="6">
        <v>290</v>
      </c>
      <c r="E52" s="6">
        <v>269.16368683276107</v>
      </c>
      <c r="F52" s="6">
        <v>-235.09105882352941</v>
      </c>
      <c r="G52" s="6">
        <v>34.072628009231664</v>
      </c>
      <c r="H52" s="6"/>
      <c r="I52" s="6">
        <v>6.8381999999999996</v>
      </c>
      <c r="J52" s="6">
        <v>-37.189474411764706</v>
      </c>
      <c r="K52" s="6">
        <v>3.7213535974669574</v>
      </c>
      <c r="L52" s="6">
        <v>3.721353597466976</v>
      </c>
      <c r="M52" s="6"/>
      <c r="N52" s="6">
        <v>-20.26647058823535</v>
      </c>
      <c r="O52" s="6">
        <v>0.58950000000000014</v>
      </c>
      <c r="P52" s="6">
        <v>37.189474411764706</v>
      </c>
      <c r="Q52" s="6">
        <v>17.512503823529357</v>
      </c>
      <c r="R52" s="6">
        <v>17.5125038235294</v>
      </c>
    </row>
    <row r="53" spans="1:18">
      <c r="A53" s="19" t="s">
        <v>109</v>
      </c>
      <c r="B53" s="19">
        <v>2021</v>
      </c>
      <c r="C53" s="18">
        <v>951949</v>
      </c>
      <c r="D53" s="6">
        <v>282</v>
      </c>
      <c r="E53" s="6">
        <v>239.95037791400222</v>
      </c>
      <c r="F53" s="6">
        <v>-228.78699444337994</v>
      </c>
      <c r="G53" s="6">
        <v>11.163383470622279</v>
      </c>
      <c r="H53" s="6"/>
      <c r="I53" s="6">
        <v>6.6495599999999984</v>
      </c>
      <c r="J53" s="6">
        <v>-36.274570411764707</v>
      </c>
      <c r="K53" s="6">
        <v>-18.461626941142431</v>
      </c>
      <c r="L53" s="6">
        <v>-18.461626941142441</v>
      </c>
      <c r="M53" s="6"/>
      <c r="N53" s="6">
        <v>-20.282534968384823</v>
      </c>
      <c r="O53" s="6">
        <v>0.58950000000000014</v>
      </c>
      <c r="P53" s="6">
        <v>36.274570411764707</v>
      </c>
      <c r="Q53" s="6">
        <v>16.581535443379884</v>
      </c>
      <c r="R53" s="6">
        <v>16.581535443379892</v>
      </c>
    </row>
    <row r="54" spans="1:18">
      <c r="A54" s="19" t="s">
        <v>109</v>
      </c>
      <c r="B54" s="19">
        <v>2021</v>
      </c>
      <c r="C54" s="18">
        <v>370668</v>
      </c>
      <c r="D54" s="6">
        <v>309</v>
      </c>
      <c r="E54" s="6">
        <v>371.18277806333327</v>
      </c>
      <c r="F54" s="6">
        <v>-282.80489367369591</v>
      </c>
      <c r="G54" s="6">
        <v>88.377884389637359</v>
      </c>
      <c r="H54" s="6"/>
      <c r="I54" s="6">
        <v>8.2577159999999985</v>
      </c>
      <c r="J54" s="6">
        <v>-42.381554611764713</v>
      </c>
      <c r="K54" s="6">
        <v>54.254045777872648</v>
      </c>
      <c r="L54" s="6">
        <v>54.254045777872712</v>
      </c>
      <c r="M54" s="6"/>
      <c r="N54" s="6">
        <v>-8.2370357380688208</v>
      </c>
      <c r="O54" s="6">
        <v>0.24051600000000126</v>
      </c>
      <c r="P54" s="6">
        <v>42.381554611764713</v>
      </c>
      <c r="Q54" s="6">
        <v>34.385034873695894</v>
      </c>
      <c r="R54" s="6">
        <v>34.385034873695872</v>
      </c>
    </row>
    <row r="55" spans="1:18">
      <c r="A55" s="19" t="s">
        <v>109</v>
      </c>
      <c r="B55" s="19">
        <v>2021</v>
      </c>
      <c r="C55" s="18">
        <v>658577</v>
      </c>
      <c r="D55" s="6">
        <v>317</v>
      </c>
      <c r="E55" s="6">
        <v>455.51833502814918</v>
      </c>
      <c r="F55" s="6">
        <v>-302.5848032186459</v>
      </c>
      <c r="G55" s="6">
        <v>152.93353180950328</v>
      </c>
      <c r="H55" s="6"/>
      <c r="I55" s="6">
        <v>8.8452510000000029</v>
      </c>
      <c r="J55" s="6">
        <v>-44.199926311764713</v>
      </c>
      <c r="K55" s="6">
        <v>117.57885649773857</v>
      </c>
      <c r="L55" s="6">
        <v>117.5788564977385</v>
      </c>
      <c r="M55" s="6"/>
      <c r="N55" s="6">
        <v>-0.95452619311877729</v>
      </c>
      <c r="O55" s="6">
        <v>2.7902999999999858E-2</v>
      </c>
      <c r="P55" s="6">
        <v>44.199926311764713</v>
      </c>
      <c r="Q55" s="6">
        <v>43.273303118645934</v>
      </c>
      <c r="R55" s="6">
        <v>43.27330311864597</v>
      </c>
    </row>
    <row r="56" spans="1:18">
      <c r="A56" s="19" t="s">
        <v>109</v>
      </c>
      <c r="B56" s="19">
        <v>2021</v>
      </c>
      <c r="C56" s="18">
        <v>257808</v>
      </c>
      <c r="D56" s="6">
        <v>1092</v>
      </c>
      <c r="E56" s="6">
        <v>7618.2336755004471</v>
      </c>
      <c r="F56" s="6">
        <v>-5308.7210588235303</v>
      </c>
      <c r="G56" s="6">
        <v>2309.5126166769169</v>
      </c>
      <c r="H56" s="6"/>
      <c r="I56" s="6">
        <v>157.80522000000002</v>
      </c>
      <c r="J56" s="6">
        <v>-772.6373758235294</v>
      </c>
      <c r="K56" s="6">
        <v>1694.6804608533873</v>
      </c>
      <c r="L56" s="6">
        <v>1694.6804608533873</v>
      </c>
      <c r="M56" s="6"/>
      <c r="N56" s="6">
        <v>-2.7533531010703882E-13</v>
      </c>
      <c r="O56" s="6">
        <v>-1.5210055437364645E-14</v>
      </c>
      <c r="P56" s="6">
        <v>772.6373758235294</v>
      </c>
      <c r="Q56" s="6">
        <v>772.63737582352906</v>
      </c>
      <c r="R56" s="6">
        <v>772.63737582353019</v>
      </c>
    </row>
    <row r="57" spans="1:18">
      <c r="A57" s="19" t="s">
        <v>109</v>
      </c>
      <c r="B57" s="19">
        <v>2021</v>
      </c>
      <c r="C57" s="18">
        <v>448645</v>
      </c>
      <c r="D57" s="6">
        <v>515</v>
      </c>
      <c r="E57" s="6">
        <v>5432.9721067990913</v>
      </c>
      <c r="F57" s="6">
        <v>-4173.168725915215</v>
      </c>
      <c r="G57" s="6">
        <v>1259.8033808838763</v>
      </c>
      <c r="H57" s="6"/>
      <c r="I57" s="6">
        <v>122.45744160000001</v>
      </c>
      <c r="J57" s="6">
        <v>-633.56270670211757</v>
      </c>
      <c r="K57" s="6">
        <v>748.69811578175882</v>
      </c>
      <c r="L57" s="6">
        <v>748.6981157817595</v>
      </c>
      <c r="M57" s="6"/>
      <c r="N57" s="6">
        <v>-178.27128537890263</v>
      </c>
      <c r="O57" s="6">
        <v>5.2311916799999905</v>
      </c>
      <c r="P57" s="6">
        <v>633.56270670211757</v>
      </c>
      <c r="Q57" s="6">
        <v>460.52261300321493</v>
      </c>
      <c r="R57" s="6">
        <v>460.52261300321589</v>
      </c>
    </row>
    <row r="58" spans="1:18">
      <c r="A58" s="19" t="s">
        <v>109</v>
      </c>
      <c r="B58" s="19">
        <v>2021</v>
      </c>
      <c r="C58" s="18">
        <v>312585</v>
      </c>
      <c r="D58" s="6">
        <v>452</v>
      </c>
      <c r="E58" s="6">
        <v>5900.6369211929496</v>
      </c>
      <c r="F58" s="6">
        <v>-3629.0651540694885</v>
      </c>
      <c r="G58" s="6">
        <v>2271.5717671234611</v>
      </c>
      <c r="H58" s="6"/>
      <c r="I58" s="6">
        <v>107.80279298245615</v>
      </c>
      <c r="J58" s="6">
        <v>-599.47154576470598</v>
      </c>
      <c r="K58" s="6">
        <v>1779.9030143412112</v>
      </c>
      <c r="L58" s="6">
        <v>1779.9030143412117</v>
      </c>
      <c r="M58" s="6"/>
      <c r="N58" s="6">
        <v>-489.76321769521832</v>
      </c>
      <c r="O58" s="6">
        <v>14.548607017543855</v>
      </c>
      <c r="P58" s="6">
        <v>599.47154576470598</v>
      </c>
      <c r="Q58" s="6">
        <v>124.25693508703154</v>
      </c>
      <c r="R58" s="6">
        <v>124.25693508703199</v>
      </c>
    </row>
    <row r="59" spans="1:18">
      <c r="A59" s="19" t="s">
        <v>109</v>
      </c>
      <c r="B59" s="19">
        <v>2021</v>
      </c>
      <c r="C59" s="18">
        <v>776831</v>
      </c>
      <c r="D59" s="6">
        <v>375</v>
      </c>
      <c r="E59" s="6">
        <v>5460.2500489957292</v>
      </c>
      <c r="F59" s="6">
        <v>-4050.0630441176472</v>
      </c>
      <c r="G59" s="6">
        <v>1410.187004878082</v>
      </c>
      <c r="H59" s="6"/>
      <c r="I59" s="6">
        <v>120.46770000000001</v>
      </c>
      <c r="J59" s="6">
        <v>-785.91906882352941</v>
      </c>
      <c r="K59" s="6">
        <v>744.73563605455263</v>
      </c>
      <c r="L59" s="6">
        <v>744.73563605455172</v>
      </c>
      <c r="M59" s="6"/>
      <c r="N59" s="6">
        <v>-1350.0210147058822</v>
      </c>
      <c r="O59" s="6">
        <v>40.155899999999981</v>
      </c>
      <c r="P59" s="6">
        <v>785.91906882352941</v>
      </c>
      <c r="Q59" s="6">
        <v>-523.94604588235279</v>
      </c>
      <c r="R59" s="6">
        <v>-523.94604588235279</v>
      </c>
    </row>
    <row r="60" spans="1:18">
      <c r="A60" s="19" t="s">
        <v>109</v>
      </c>
      <c r="B60" s="19">
        <v>2021</v>
      </c>
      <c r="C60" s="18">
        <v>969653</v>
      </c>
      <c r="D60" s="6">
        <v>906</v>
      </c>
      <c r="E60" s="6">
        <v>15856.673041173894</v>
      </c>
      <c r="F60" s="6">
        <v>-8995.3567448902522</v>
      </c>
      <c r="G60" s="6">
        <v>6861.3162962836413</v>
      </c>
      <c r="H60" s="6"/>
      <c r="I60" s="6">
        <v>266.93056709999991</v>
      </c>
      <c r="J60" s="6">
        <v>-1355.5072441667646</v>
      </c>
      <c r="K60" s="6">
        <v>5772.7396192168771</v>
      </c>
      <c r="L60" s="6">
        <v>5772.7396192168762</v>
      </c>
      <c r="M60" s="6"/>
      <c r="N60" s="6">
        <v>-317.71679452151091</v>
      </c>
      <c r="O60" s="6">
        <v>9.4280111999999825</v>
      </c>
      <c r="P60" s="6">
        <v>1355.5072441667646</v>
      </c>
      <c r="Q60" s="6">
        <v>1047.2184608452537</v>
      </c>
      <c r="R60" s="6">
        <v>1047.218460845254</v>
      </c>
    </row>
    <row r="61" spans="1:18">
      <c r="A61" s="19" t="s">
        <v>109</v>
      </c>
      <c r="B61" s="19">
        <v>2021</v>
      </c>
      <c r="C61" s="18" t="s">
        <v>148</v>
      </c>
      <c r="D61" s="6">
        <v>25</v>
      </c>
      <c r="E61" s="6">
        <v>410.1623010130528</v>
      </c>
      <c r="F61" s="6">
        <v>-284.45387499999998</v>
      </c>
      <c r="G61" s="6">
        <v>125.70842601305282</v>
      </c>
      <c r="H61" s="6"/>
      <c r="I61" s="6">
        <v>8.4038662500000001</v>
      </c>
      <c r="J61" s="6">
        <v>-764.66842456999984</v>
      </c>
      <c r="K61" s="6">
        <v>-630.55613230694712</v>
      </c>
      <c r="L61" s="6">
        <v>-630.55613230694712</v>
      </c>
      <c r="M61" s="6"/>
      <c r="N61" s="6">
        <v>-5040.5226649999995</v>
      </c>
      <c r="O61" s="6">
        <v>148.91650995000001</v>
      </c>
      <c r="P61" s="6">
        <v>764.66842456999984</v>
      </c>
      <c r="Q61" s="6">
        <v>-4126.93773048</v>
      </c>
      <c r="R61" s="6">
        <v>-4126.93773048</v>
      </c>
    </row>
    <row r="62" spans="1:18">
      <c r="A62" s="19" t="s">
        <v>109</v>
      </c>
      <c r="B62" s="19">
        <v>2021</v>
      </c>
      <c r="C62" s="18" t="s">
        <v>149</v>
      </c>
      <c r="D62" s="6">
        <v>41</v>
      </c>
      <c r="E62" s="6">
        <v>683.01039644723096</v>
      </c>
      <c r="F62" s="6">
        <v>-466.50435499999998</v>
      </c>
      <c r="G62" s="6">
        <v>216.50604144723098</v>
      </c>
      <c r="H62" s="6"/>
      <c r="I62" s="6">
        <v>13.782340649999998</v>
      </c>
      <c r="J62" s="6">
        <v>-774.46622488499997</v>
      </c>
      <c r="K62" s="6">
        <v>-544.17784278776901</v>
      </c>
      <c r="L62" s="6">
        <v>-544.17784278776901</v>
      </c>
      <c r="M62" s="6"/>
      <c r="N62" s="6">
        <v>-4926.7411150000007</v>
      </c>
      <c r="O62" s="6">
        <v>145.55496345</v>
      </c>
      <c r="P62" s="6">
        <v>774.46622488499997</v>
      </c>
      <c r="Q62" s="6">
        <v>-4006.7199266650005</v>
      </c>
      <c r="R62" s="6">
        <v>-4006.719926665</v>
      </c>
    </row>
    <row r="63" spans="1:18">
      <c r="A63" s="19" t="s">
        <v>109</v>
      </c>
      <c r="B63" s="19">
        <v>2021</v>
      </c>
      <c r="C63" s="18">
        <v>407665</v>
      </c>
      <c r="D63" s="6">
        <v>28</v>
      </c>
      <c r="E63" s="6">
        <v>246.24545778380164</v>
      </c>
      <c r="F63" s="6">
        <v>-165.8048</v>
      </c>
      <c r="G63" s="6">
        <v>80.44065778380164</v>
      </c>
      <c r="H63" s="6"/>
      <c r="I63" s="6">
        <v>4.8288239999999991</v>
      </c>
      <c r="J63" s="6">
        <v>-630.39373239999998</v>
      </c>
      <c r="K63" s="6">
        <v>-545.12425061619831</v>
      </c>
      <c r="L63" s="6">
        <v>-545.12425061619842</v>
      </c>
      <c r="M63" s="6"/>
      <c r="N63" s="6">
        <v>-4263.5519999999988</v>
      </c>
      <c r="O63" s="6">
        <v>124.16976</v>
      </c>
      <c r="P63" s="6">
        <v>630.39373239999998</v>
      </c>
      <c r="Q63" s="6">
        <v>-3508.9885075999991</v>
      </c>
      <c r="R63" s="6">
        <v>-3508.9885075999996</v>
      </c>
    </row>
    <row r="64" spans="1:18">
      <c r="A64" s="19" t="s">
        <v>109</v>
      </c>
      <c r="B64" s="19">
        <v>2021</v>
      </c>
      <c r="C64" s="18">
        <v>565992</v>
      </c>
      <c r="D64" s="6">
        <v>12</v>
      </c>
      <c r="E64" s="6">
        <v>103.20144258912623</v>
      </c>
      <c r="F64" s="6">
        <v>-71.059200000000004</v>
      </c>
      <c r="G64" s="6">
        <v>32.142242589126226</v>
      </c>
      <c r="H64" s="6"/>
      <c r="I64" s="6">
        <v>2.0694959999999996</v>
      </c>
      <c r="J64" s="6">
        <v>-646.77847499999996</v>
      </c>
      <c r="K64" s="6">
        <v>-612.56673641087377</v>
      </c>
      <c r="L64" s="6">
        <v>-612.56673641087377</v>
      </c>
      <c r="M64" s="6"/>
      <c r="N64" s="6">
        <v>-4370.1408000000001</v>
      </c>
      <c r="O64" s="6">
        <v>127.27400399999998</v>
      </c>
      <c r="P64" s="6">
        <v>646.77847499999996</v>
      </c>
      <c r="Q64" s="6">
        <v>-3596.0883210000002</v>
      </c>
      <c r="R64" s="6">
        <v>-3596.0883210000002</v>
      </c>
    </row>
    <row r="65" spans="1:18">
      <c r="A65" s="19" t="s">
        <v>109</v>
      </c>
      <c r="B65" s="19">
        <v>2021</v>
      </c>
      <c r="C65" s="18">
        <v>451217</v>
      </c>
      <c r="D65" s="6">
        <v>462</v>
      </c>
      <c r="E65" s="6">
        <v>6674.247421149772</v>
      </c>
      <c r="F65" s="6">
        <v>-4757.8492499999993</v>
      </c>
      <c r="G65" s="6">
        <v>1916.3981711497727</v>
      </c>
      <c r="H65" s="6"/>
      <c r="I65" s="6">
        <v>140.33769749999999</v>
      </c>
      <c r="J65" s="6">
        <v>-776.58148837499982</v>
      </c>
      <c r="K65" s="6">
        <v>1280.1543802747728</v>
      </c>
      <c r="L65" s="6">
        <v>1280.1543802747728</v>
      </c>
      <c r="M65" s="6"/>
      <c r="N65" s="6">
        <v>-576.70900000000017</v>
      </c>
      <c r="O65" s="6">
        <v>17.010629999999988</v>
      </c>
      <c r="P65" s="6">
        <v>776.58148837499982</v>
      </c>
      <c r="Q65" s="6">
        <v>216.88311837499964</v>
      </c>
      <c r="R65" s="6">
        <v>216.88311837499975</v>
      </c>
    </row>
    <row r="66" spans="1:18">
      <c r="A66" s="19" t="s">
        <v>109</v>
      </c>
      <c r="B66" s="19">
        <v>2021</v>
      </c>
      <c r="C66" s="18">
        <v>999799</v>
      </c>
      <c r="D66" s="6">
        <v>0</v>
      </c>
      <c r="E66" s="6">
        <v>0</v>
      </c>
      <c r="F66" s="6">
        <v>0</v>
      </c>
      <c r="G66" s="6">
        <v>0</v>
      </c>
      <c r="H66" s="6"/>
      <c r="I66" s="6">
        <v>0</v>
      </c>
      <c r="J66" s="6">
        <v>-554.89030500000001</v>
      </c>
      <c r="K66" s="6">
        <v>-554.89030500000001</v>
      </c>
      <c r="L66" s="6">
        <v>-554.89030500000001</v>
      </c>
      <c r="M66" s="6"/>
      <c r="N66" s="6">
        <v>-3810.7712000000001</v>
      </c>
      <c r="O66" s="6">
        <v>111.5025</v>
      </c>
      <c r="P66" s="6">
        <v>554.89030500000001</v>
      </c>
      <c r="Q66" s="6">
        <v>-3144.3783950000002</v>
      </c>
      <c r="R66" s="6">
        <v>-3144.3783950000002</v>
      </c>
    </row>
    <row r="67" spans="1:18">
      <c r="A67" s="19" t="s">
        <v>109</v>
      </c>
      <c r="B67" s="19">
        <v>2021</v>
      </c>
      <c r="C67" s="18">
        <v>956997</v>
      </c>
      <c r="D67" s="6">
        <v>0</v>
      </c>
      <c r="E67" s="6">
        <v>0</v>
      </c>
      <c r="F67" s="6">
        <v>0</v>
      </c>
      <c r="G67" s="6">
        <v>0</v>
      </c>
      <c r="H67" s="6"/>
      <c r="I67" s="6">
        <v>0</v>
      </c>
      <c r="J67" s="6">
        <v>-655.41341730022486</v>
      </c>
      <c r="K67" s="6">
        <v>-655.41341730022486</v>
      </c>
      <c r="L67" s="6">
        <v>-655.41341730022486</v>
      </c>
      <c r="M67" s="6"/>
      <c r="N67" s="6">
        <v>-4501.9217649499997</v>
      </c>
      <c r="O67" s="6">
        <v>132.49898294849999</v>
      </c>
      <c r="P67" s="6">
        <v>655.41341730022486</v>
      </c>
      <c r="Q67" s="6">
        <v>-3714.0093647012745</v>
      </c>
      <c r="R67" s="6">
        <v>-3714.0093647012745</v>
      </c>
    </row>
    <row r="68" spans="1:18">
      <c r="A68" s="19" t="s">
        <v>109</v>
      </c>
      <c r="B68" s="19">
        <v>2021</v>
      </c>
      <c r="C68" s="18">
        <v>630258</v>
      </c>
      <c r="D68" s="6">
        <v>0</v>
      </c>
      <c r="E68" s="6">
        <v>0</v>
      </c>
      <c r="F68" s="6">
        <v>0</v>
      </c>
      <c r="G68" s="6">
        <v>0</v>
      </c>
      <c r="H68" s="6"/>
      <c r="I68" s="6">
        <v>0</v>
      </c>
      <c r="J68" s="6">
        <v>-717.92312201250002</v>
      </c>
      <c r="K68" s="6">
        <v>-717.92312201250002</v>
      </c>
      <c r="L68" s="6">
        <v>-717.92312201250002</v>
      </c>
      <c r="M68" s="6"/>
      <c r="N68" s="6">
        <v>-4931.5042750000002</v>
      </c>
      <c r="O68" s="6">
        <v>145.35012825000001</v>
      </c>
      <c r="P68" s="6">
        <v>717.92312201250002</v>
      </c>
      <c r="Q68" s="6">
        <v>-4068.2310247374999</v>
      </c>
      <c r="R68" s="6">
        <v>-4068.2310247374999</v>
      </c>
    </row>
    <row r="69" spans="1:18">
      <c r="A69" s="19" t="s">
        <v>109</v>
      </c>
      <c r="B69" s="19">
        <v>2021</v>
      </c>
      <c r="C69" s="18">
        <v>483527</v>
      </c>
      <c r="D69" s="6">
        <v>0</v>
      </c>
      <c r="E69" s="6">
        <v>0</v>
      </c>
      <c r="F69" s="6">
        <v>0</v>
      </c>
      <c r="G69" s="6">
        <v>0</v>
      </c>
      <c r="H69" s="6"/>
      <c r="I69" s="6">
        <v>0</v>
      </c>
      <c r="J69" s="6">
        <v>-609.11438939009997</v>
      </c>
      <c r="K69" s="6">
        <v>-609.11438939009997</v>
      </c>
      <c r="L69" s="6">
        <v>-609.11438939009997</v>
      </c>
      <c r="M69" s="6"/>
      <c r="N69" s="6">
        <v>-4183.7635422000003</v>
      </c>
      <c r="O69" s="6">
        <v>123.000946266</v>
      </c>
      <c r="P69" s="6">
        <v>609.11438939009997</v>
      </c>
      <c r="Q69" s="6">
        <v>-3451.6482065439004</v>
      </c>
      <c r="R69" s="6">
        <v>-3451.6482065439004</v>
      </c>
    </row>
    <row r="70" spans="1:18">
      <c r="A70" s="19" t="s">
        <v>109</v>
      </c>
      <c r="B70" s="19">
        <v>2021</v>
      </c>
      <c r="C70" s="18">
        <v>475115</v>
      </c>
      <c r="D70" s="6">
        <v>0</v>
      </c>
      <c r="E70" s="6">
        <v>0</v>
      </c>
      <c r="F70" s="6">
        <v>0</v>
      </c>
      <c r="G70" s="6">
        <v>0</v>
      </c>
      <c r="H70" s="6"/>
      <c r="I70" s="6">
        <v>0</v>
      </c>
      <c r="J70" s="6">
        <v>-827.53253864999976</v>
      </c>
      <c r="K70" s="6">
        <v>-827.53253864999976</v>
      </c>
      <c r="L70" s="6">
        <v>-827.53253864999976</v>
      </c>
      <c r="M70" s="6"/>
      <c r="N70" s="6">
        <v>-5684.8442999999988</v>
      </c>
      <c r="O70" s="6">
        <v>167.96070899999998</v>
      </c>
      <c r="P70" s="6">
        <v>827.53253864999976</v>
      </c>
      <c r="Q70" s="6">
        <v>-4689.351052349999</v>
      </c>
      <c r="R70" s="6">
        <v>-4689.351052349999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SUMM</vt:lpstr>
      <vt:lpstr>HK Sales Summ</vt:lpstr>
      <vt:lpstr>CA Sales Summ</vt:lpstr>
      <vt:lpstr>SH Sales Summ</vt:lpstr>
      <vt:lpstr>VN Sales Summ</vt:lpstr>
      <vt:lpstr>BD Sales Summ</vt:lpstr>
      <vt:lpstr>TR Sales Summ</vt:lpstr>
      <vt:lpstr>LK Sales Summ</vt:lpstr>
      <vt:lpstr>IN Sales Summ</vt:lpstr>
      <vt:lpstr>ND Sales Summ</vt:lpstr>
      <vt:lpstr>SUMM-Obsolete</vt:lpstr>
      <vt:lpstr>Template</vt:lpstr>
      <vt:lpstr>2020BF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cp:lastPrinted>2020-01-06T06:49:52Z</cp:lastPrinted>
  <dcterms:created xsi:type="dcterms:W3CDTF">2020-01-02T00:43:20Z</dcterms:created>
  <dcterms:modified xsi:type="dcterms:W3CDTF">2021-06-23T01:57:33Z</dcterms:modified>
</cp:coreProperties>
</file>