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6390" windowWidth="28830" windowHeight="6435" activeTab="11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  <sheet name="2020BF" sheetId="13" state="hidden" r:id="rId13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S2" i="11"/>
  <c r="CS2" i="9" l="1"/>
  <c r="CS2" i="8"/>
  <c r="CS2" i="7"/>
  <c r="CS2" i="6"/>
  <c r="CS2" i="5"/>
  <c r="CS2" i="4"/>
  <c r="CS2" i="3"/>
  <c r="CS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<sst xmlns="http://schemas.openxmlformats.org/spreadsheetml/2006/main" count="457" uniqueCount="154">
  <si>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</si>
  <si>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</si>
  <si>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</si>
  <si>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</si>
  <si>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</si>
  <si>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</si>
  <si>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</si>
  <si>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</si>
  <si>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</si>
  <si>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</si>
  <si>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</si>
  <si>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</si>
  <si>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</si>
  <si>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</si>
  <si>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</si>
  <si>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</si>
  <si>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</si>
  <si>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</si>
  <si>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</si>
  <si>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</si>
  <si>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</si>
  <si>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</si>
  <si>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</si>
  <si>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</si>
  <si>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</si>
  <si>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</si>
  <si>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</si>
  <si>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</si>
  <si>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</si>
  <si>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</si>
  <si>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</si>
  <si>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</si>
  <si>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</si>
  <si>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</si>
  <si>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</si>
  <si>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</si>
  <si>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</si>
  <si>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</si>
  <si>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</si>
  <si>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</si>
  <si>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</si>
  <si>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</si>
  <si>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</si>
  <si>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</si>
  <si>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</si>
  <si>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</si>
  <si>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</si>
  <si>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</si>
  <si>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</si>
  <si>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</si>
  <si>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</si>
  <si>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</si>
  <si>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</si>
  <si>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</si>
  <si>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</si>
  <si>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</si>
  <si>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</si>
  <si>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</si>
  <si>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</si>
  <si>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</si>
  <si>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</si>
  <si>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</si>
  <si>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</si>
  <si>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</si>
  <si>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</si>
  <si>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</si>
  <si>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</si>
  <si>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</si>
  <si>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</si>
  <si>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</si>
  <si>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</si>
  <si>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</si>
  <si>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</si>
  <si>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</si>
  <si>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</si>
  <si>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</si>
  <si>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</si>
  <si>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</si>
  <si>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</si>
  <si>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</si>
  <si>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</si>
  <si>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</si>
  <si>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</si>
  <si>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</si>
  <si>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</si>
  <si>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</si>
  <si>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</si>
  <si>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Description</t>
  </si>
  <si>
    <t>Item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</si>
  <si>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</si>
  <si>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</si>
  <si>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</si>
  <si>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</si>
  <si>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</si>
  <si>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</si>
  <si>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</si>
  <si>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</si>
  <si>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</si>
  <si>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</si>
  <si>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</si>
  <si>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</si>
  <si>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</si>
  <si>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</si>
  <si>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</si>
  <si>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</si>
  <si>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</si>
  <si>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</si>
  <si>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</si>
  <si>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</si>
  <si>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</si>
  <si>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</si>
  <si>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</si>
  <si>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</si>
  <si>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</si>
  <si>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</si>
  <si>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</si>
  <si>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</si>
  <si>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</si>
  <si>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</si>
  <si>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</si>
  <si>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</si>
  <si>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</si>
  <si>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</si>
  <si>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</si>
  <si>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</si>
  <si>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</si>
  <si>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</si>
  <si>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</si>
  <si>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</si>
  <si>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</si>
  <si>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</si>
  <si>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</si>
  <si>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</si>
  <si>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</si>
  <si>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</si>
  <si>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</si>
  <si>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</si>
  <si>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</si>
  <si>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</si>
  <si>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</si>
  <si>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</si>
  <si>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</si>
  <si>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</si>
  <si>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</si>
  <si>
    <t>Sold Qty</t>
  </si>
  <si>
    <t>TOTAL P&amp;L</t>
  </si>
  <si>
    <t>Stock</t>
  </si>
  <si>
    <t>TOTAL BS</t>
  </si>
  <si>
    <t>M05395</t>
  </si>
  <si>
    <t>M05396</t>
  </si>
  <si>
    <t>Year</t>
  </si>
  <si>
    <t>Adj</t>
  </si>
  <si>
    <t>Booked Stock Cost</t>
  </si>
  <si>
    <t>Booked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</si>
</sst>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18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8" fillId="0" borderId="0" xfId="0" applyFont="1" applyAlignment="1">
      <alignment horizontal="left"/>
    </xf>
    <xf numFmtId="166" fontId="4" fillId="47" borderId="1" xfId="1" applyNumberFormat="1" applyFont="1" applyFill="1" applyBorder="1"/>
    <xf numFmtId="0" fontId="6" fillId="47" borderId="1" xfId="0" applyFont="1" applyFill="1" applyBorder="1"/>
    <xf numFmtId="9" fontId="6" fillId="47" borderId="1" xfId="2" applyFont="1" applyFill="1" applyBorder="1"/>
    <xf numFmtId="0" fontId="0" fillId="47" borderId="0" xfId="0" applyFill="1" applyAlignment="1">
      <alignment horizontal="left"/>
    </xf>
    <xf numFmtId="0" fontId="66" fillId="47" borderId="1" xfId="0" applyFont="1" applyFill="1" applyBorder="1"/>
    <xf numFmtId="166" fontId="67" fillId="47" borderId="1" xfId="1" applyNumberFormat="1" applyFont="1" applyFill="1" applyBorder="1"/>
    <xf numFmtId="0" fontId="66" fillId="47" borderId="0" xfId="0" applyFont="1" applyFill="1" applyBorder="1"/>
    <xf numFmtId="166" fontId="67" fillId="47" borderId="0" xfId="1" applyNumberFormat="1" applyFont="1" applyFill="1" applyBorder="1"/>
    <xf numFmtId="0" fontId="69" fillId="0" borderId="0" xfId="0" applyFont="1" applyAlignment="1">
      <alignment wrapText="1"/>
    </xf>
    <xf numFmtId="0" fontId="0" fillId="0" borderId="0" xfId="0" applyFill="1" applyAlignment="1">
      <alignment horizontal="left"/>
    </xf>
    <xf numFmtId="167" fontId="4" fillId="51" borderId="1" xfId="1" applyNumberFormat="1" applyFont="1" applyFill="1" applyBorder="1"/>
    <xf numFmtId="166" fontId="4" fillId="51" borderId="1" xfId="1" applyNumberFormat="1" applyFont="1" applyFill="1" applyBorder="1"/>
    <xf numFmtId="9" fontId="6" fillId="51" borderId="1" xfId="2" applyFont="1" applyFill="1" applyBorder="1"/>
    <xf numFmtId="166" fontId="67" fillId="51" borderId="1" xfId="1" applyNumberFormat="1" applyFont="1" applyFill="1" applyBorder="1"/>
    <xf numFmtId="167" fontId="4" fillId="52" borderId="1" xfId="1" applyNumberFormat="1" applyFont="1" applyFill="1" applyBorder="1"/>
    <xf numFmtId="166" fontId="4" fillId="52" borderId="1" xfId="1" applyNumberFormat="1" applyFont="1" applyFill="1" applyBorder="1"/>
    <xf numFmtId="9" fontId="6" fillId="52" borderId="1" xfId="2" applyFont="1" applyFill="1" applyBorder="1"/>
    <xf numFmtId="166" fontId="67" fillId="52" borderId="1" xfId="1" applyNumberFormat="1" applyFont="1" applyFill="1" applyBorder="1"/>
    <xf numFmtId="0" fontId="63" fillId="0" borderId="0" xfId="0" applyFont="1" applyFill="1" applyBorder="1" applyAlignment="1">
      <alignment horizontal="left" wrapText="1"/>
    </xf>
    <xf numFmtId="0" fontId="70" fillId="53" borderId="0" xfId="0" applyFont="1" applyFill="1" applyAlignment="1">
      <alignment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108</v>
      </c>
    </row>
    <row r="3" spans="2:15" ht="31.5" customHeight="1">
      <c r="B3" s="116"/>
      <c r="C3" s="116"/>
      <c r="D3" s="116"/>
      <c r="E3" s="41" t="s">
        <v>7</v>
      </c>
      <c r="F3" s="41" t="s">
        <v>6</v>
      </c>
      <c r="G3" s="41" t="s">
        <v>2</v>
      </c>
      <c r="H3" s="41" t="s">
        <v>112</v>
      </c>
      <c r="I3" s="41" t="s">
        <v>4</v>
      </c>
      <c r="J3" s="41" t="s">
        <v>109</v>
      </c>
      <c r="K3" s="41" t="s">
        <v>5</v>
      </c>
      <c r="L3" s="41" t="s">
        <v>3</v>
      </c>
      <c r="M3" s="41" t="s">
        <v>1</v>
      </c>
      <c r="N3" s="40" t="s">
        <v>110</v>
      </c>
      <c r="O3" s="40" t="s">
        <v>9</v>
      </c>
    </row>
    <row r="4" spans="2:15">
      <c r="D4" s="42" t="s">
        <v>115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114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116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117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112</v>
      </c>
      <c r="I9" s="41" t="s">
        <v>4</v>
      </c>
      <c r="J9" s="41" t="s">
        <v>109</v>
      </c>
      <c r="K9" s="41" t="s">
        <v>5</v>
      </c>
      <c r="L9" s="41" t="s">
        <v>3</v>
      </c>
      <c r="M9" s="41" t="s">
        <v>1</v>
      </c>
      <c r="N9" s="40" t="s">
        <v>110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113</v>
      </c>
      <c r="C11" s="39" t="s">
        <v>111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7" width="10.7109375" style="14" hidden="1" customWidth="1" outlineLevel="1"/>
    <col min="8" max="8" width="10.7109375" style="19" hidden="1" customWidth="1" outlineLevel="1"/>
    <col min="9" max="12" width="10.7109375" style="14" hidden="1" customWidth="1" outlineLevel="1"/>
    <col min="13" max="13" width="10.7109375" style="14" customWidth="1" collapsed="1"/>
    <col min="14" max="14" width="10.7109375" style="14" hidden="1" customWidth="1" outlineLevel="1"/>
    <col min="15" max="15" width="10.7109375" style="19" hidden="1" customWidth="1" outlineLevel="1"/>
    <col min="16" max="18" width="10.7109375" style="14" hidden="1" customWidth="1" outlineLevel="1"/>
    <col min="19" max="19" width="10.7109375" style="14" customWidth="1" collapsed="1"/>
    <col min="20" max="20" width="10.7109375" style="14" hidden="1" customWidth="1" outlineLevel="1"/>
    <col min="21" max="21" width="10.7109375" style="19" hidden="1" customWidth="1" outlineLevel="1"/>
    <col min="22" max="24" width="10.7109375" style="14" hidden="1" customWidth="1" outlineLevel="1"/>
    <col min="25" max="25" width="10.7109375" style="14" customWidth="1" collapsed="1"/>
    <col min="26" max="26" width="10.7109375" style="14" hidden="1" customWidth="1" outlineLevel="1"/>
    <col min="27" max="27" width="10.7109375" style="19" hidden="1" customWidth="1" outlineLevel="1"/>
    <col min="28" max="31" width="10.7109375" style="14" hidden="1" customWidth="1" outlineLevel="1"/>
    <col min="32" max="32" width="10.7109375" style="14" customWidth="1" collapsed="1"/>
    <col min="33" max="33" width="10.7109375" style="14" hidden="1" customWidth="1" outlineLevel="1"/>
    <col min="34" max="34" width="10.7109375" style="19" hidden="1" customWidth="1" outlineLevel="1"/>
    <col min="35" max="37" width="10.7109375" style="14" hidden="1" customWidth="1" outlineLevel="1"/>
    <col min="38" max="38" width="10.7109375" style="14" customWidth="1" collapsed="1"/>
    <col min="39" max="39" width="10.7109375" style="14" hidden="1" customWidth="1" outlineLevel="1"/>
    <col min="40" max="40" width="10.7109375" style="19" hidden="1" customWidth="1" outlineLevel="1"/>
    <col min="41" max="43" width="10.7109375" style="14" hidden="1" customWidth="1" outlineLevel="1"/>
    <col min="44" max="44" width="10.7109375" style="14" customWidth="1" collapsed="1"/>
    <col min="45" max="45" width="10.7109375" style="14" hidden="1" customWidth="1" outlineLevel="1"/>
    <col min="46" max="46" width="10.7109375" style="19" hidden="1" customWidth="1" outlineLevel="1"/>
    <col min="47" max="50" width="10.7109375" style="14" hidden="1" customWidth="1" outlineLevel="1"/>
    <col min="51" max="51" width="10.7109375" style="14" customWidth="1" collapsed="1"/>
    <col min="52" max="52" width="10.7109375" style="14" hidden="1" customWidth="1" outlineLevel="1"/>
    <col min="53" max="53" width="10.7109375" style="19" hidden="1" customWidth="1" outlineLevel="1"/>
    <col min="54" max="56" width="10.7109375" style="14" hidden="1" customWidth="1" outlineLevel="1"/>
    <col min="57" max="57" width="10.7109375" style="14" customWidth="1" collapsed="1"/>
    <col min="58" max="58" width="10.7109375" style="14" hidden="1" customWidth="1" outlineLevel="1"/>
    <col min="59" max="59" width="10.7109375" style="19" hidden="1" customWidth="1" outlineLevel="1"/>
    <col min="60" max="62" width="10.7109375" style="14" hidden="1" customWidth="1" outlineLevel="1"/>
    <col min="63" max="63" width="10.7109375" style="14" customWidth="1" collapsed="1"/>
    <col min="64" max="64" width="10.7109375" style="14" hidden="1" customWidth="1" outlineLevel="1"/>
    <col min="65" max="65" width="10.7109375" style="19" hidden="1" customWidth="1" outlineLevel="1"/>
    <col min="66" max="69" width="10.7109375" style="14" hidden="1" customWidth="1" outlineLevel="1"/>
    <col min="70" max="70" width="10.7109375" style="14" customWidth="1" collapsed="1"/>
    <col min="71" max="71" width="10.7109375" style="14" hidden="1" customWidth="1" outlineLevel="1"/>
    <col min="72" max="72" width="10.7109375" style="19" hidden="1" customWidth="1" outlineLevel="1"/>
    <col min="73" max="75" width="10.7109375" style="14" hidden="1" customWidth="1" outlineLevel="1"/>
    <col min="76" max="76" width="10.7109375" style="14" customWidth="1" collapsed="1"/>
    <col min="77" max="77" width="10.7109375" style="14" hidden="1" customWidth="1" outlineLevel="1"/>
    <col min="78" max="78" width="10.7109375" style="19" hidden="1" customWidth="1" outlineLevel="1"/>
    <col min="79" max="81" width="10.7109375" style="14" hidden="1" customWidth="1" outlineLevel="1"/>
    <col min="82" max="82" width="10.7109375" style="19" hidden="1" customWidth="1" outlineLevel="1"/>
    <col min="83" max="83" width="10.7109375" style="14" customWidth="1" collapsed="1"/>
    <col min="84" max="84" width="10.7109375" style="14" customWidth="1"/>
    <col min="85" max="85" width="10.7109375" style="19" customWidth="1"/>
    <col min="86" max="86" width="1.5703125" style="14" customWidth="1"/>
    <col min="87" max="87" width="10.28515625" style="14" customWidth="1"/>
    <col min="88" max="88" width="5.7109375" style="14" customWidth="1"/>
    <col min="89" max="89" width="7.140625" style="14" customWidth="1"/>
    <col min="90" max="90" width="5.140625" style="14" customWidth="1"/>
    <col min="91" max="91" width="1.42578125" style="14" customWidth="1"/>
    <col min="92" max="92" width="21.140625" style="14" customWidth="1"/>
    <col min="93" max="93" width="10.140625" style="14" customWidth="1"/>
    <col min="94" max="94" width="9.28515625" style="14" customWidth="1"/>
    <col min="95" max="95" width="23.140625" style="14" customWidth="1" outlineLevel="1"/>
    <col min="96" max="96" width="11.7109375" style="14" customWidth="1" outlineLevel="1"/>
    <col min="97" max="97" width="9.140625" style="14" customWidth="1" outlineLevel="1"/>
    <col min="98" max="16384" width="9.140625" style="14"/>
  </cols>
  <sheetData>
    <row r="1" spans="1:97" s="19" customFormat="1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Q3" s="19"/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100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Summ'!$CO:$CO,'ND Sales Summ'!$CN:$CN,'SUMM-Obsolete'!$A5)</f>
        <v>0</v>
      </c>
      <c r="C5" s="12">
        <f>SUMIFS('SH Sales Summ'!$CO:$CO,'SH Sales Summ'!$CN:$CN,'SUMM-Obsolete'!$A5)</f>
        <v>0</v>
      </c>
      <c r="D5" s="12">
        <f>SUMIFS('IN Sales Summ'!$CO:$CO,'IN Sales Summ'!$CN:$CN,'SUMM-Obsolete'!$A5)</f>
        <v>0</v>
      </c>
      <c r="E5" s="12">
        <f>SUMIFS('BD Sales Summ'!$CO:$CO,'BD Sales Summ'!$CN:$CN,'SUMM-Obsolete'!$A5)</f>
        <v>0</v>
      </c>
      <c r="F5" s="12">
        <f>SUMIFS('LK Sales Summ'!$CO:$CO,'LK Sales Summ'!$CN:$CN,'SUMM-Obsolete'!$A5)</f>
        <v>0</v>
      </c>
      <c r="G5" s="12">
        <f>SUMIFS('CA Sales Summ'!$CO:$CO,'CA Sales Summ'!$CN:$CN,'SUMM-Obsolete'!$A5)</f>
        <v>0</v>
      </c>
      <c r="H5" s="12">
        <f>SUMIFS('HK Sales Summ'!$CO:$CO,'HK Sales Summ'!$CN:$CN,'SUMM-Obsolete'!$A5)</f>
        <v>0</v>
      </c>
      <c r="I5" s="12">
        <f>SUMIFS('TR Sales Summ'!$CO:$CO,'TR Sales Summ'!$CN:$CN,'SUMM-Obsolete'!$A5)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Summ'!$CO:$CO,'ND Sales Summ'!$CN:$CN,'SUMM-Obsolete'!$A8)</f>
        <v>0</v>
      </c>
      <c r="C8" s="7">
        <f>SUMIFS('SH Sales Summ'!$CO:$CO,'SH Sales Summ'!$CN:$CN,'SUMM-Obsolete'!$A8)</f>
        <v>0</v>
      </c>
      <c r="D8" s="13">
        <f>SUMIFS('IN Sales Summ'!$CO:$CO,'IN Sales Summ'!$CN:$CN,'SUMM-Obsolete'!$A8)</f>
        <v>0</v>
      </c>
      <c r="E8" s="13">
        <f>SUMIFS('BD Sales Summ'!$CO:$CO,'BD Sales Summ'!$CN:$CN,'SUMM-Obsolete'!$A8)</f>
        <v>0</v>
      </c>
      <c r="F8" s="13">
        <f>SUMIFS('LK Sales Summ'!$CO:$CO,'LK Sales Summ'!$CN:$CN,'SUMM-Obsolete'!$A8)</f>
        <v>0</v>
      </c>
      <c r="G8" s="13">
        <f>SUMIFS('CA Sales Summ'!$CO:$CO,'CA Sales Summ'!$CN:$CN,'SUMM-Obsolete'!$A8)</f>
        <v>0</v>
      </c>
      <c r="H8" s="13">
        <f>SUMIFS('HK Sales Summ'!$CO:$CO,'HK Sales Summ'!$CN:$CN,'SUMM-Obsolete'!$A8)</f>
        <v>0</v>
      </c>
      <c r="I8" s="13">
        <f>SUMIFS('TR Sales Summ'!$CO:$CO,'TR Sales Summ'!$CN:$CN,'SUMM-Obsolete'!$A8)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Summ'!$CO:$CO,'ND Sales Summ'!$CN:$CN,'SUMM-Obsolete'!$A9)</f>
        <v>0</v>
      </c>
      <c r="C9" s="7">
        <f>SUMIFS('SH Sales Summ'!$CO:$CO,'SH Sales Summ'!$CN:$CN,'SUMM-Obsolete'!$A9)</f>
        <v>0</v>
      </c>
      <c r="D9" s="13">
        <f>SUMIFS('IN Sales Summ'!$CO:$CO,'IN Sales Summ'!$CN:$CN,'SUMM-Obsolete'!$A9)</f>
        <v>0</v>
      </c>
      <c r="E9" s="13">
        <f>SUMIFS('BD Sales Summ'!$CO:$CO,'BD Sales Summ'!$CN:$CN,'SUMM-Obsolete'!$A9)</f>
        <v>0</v>
      </c>
      <c r="F9" s="13">
        <f>SUMIFS('LK Sales Summ'!$CO:$CO,'LK Sales Summ'!$CN:$CN,'SUMM-Obsolete'!$A9)</f>
        <v>0</v>
      </c>
      <c r="G9" s="13">
        <f>SUMIFS('CA Sales Summ'!$CO:$CO,'CA Sales Summ'!$CN:$CN,'SUMM-Obsolete'!$A9)</f>
        <v>0</v>
      </c>
      <c r="H9" s="13">
        <f>SUMIFS('HK Sales Summ'!$CO:$CO,'HK Sales Summ'!$CN:$CN,'SUMM-Obsolete'!$A9)</f>
        <v>0</v>
      </c>
      <c r="I9" s="13">
        <f>SUMIFS('TR Sales Summ'!$CO:$CO,'TR Sales Summ'!$CN:$CN,'SUMM-Obsolete'!$A9)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100</v>
      </c>
      <c r="K16" t="s">
        <v>8</v>
      </c>
      <c r="L16" t="s">
        <v>9</v>
      </c>
    </row>
    <row r="17" spans="1:12">
      <c r="A17" t="s">
        <v>14</v>
      </c>
      <c r="B17" s="21">
        <f>SUMIFS('ND Sales Summ'!$CR:$CR,'ND Sales Summ'!$CQ:$CQ,'SUMM-Obsolete'!$A17)</f>
        <v>0</v>
      </c>
      <c r="C17" s="21">
        <f>SUMIFS('SH Sales Summ'!$CR:$CR,'SH Sales Summ'!$CQ:$CQ,'SUMM-Obsolete'!$A17)</f>
        <v>0</v>
      </c>
      <c r="D17" s="21">
        <f>SUMIFS('IN Sales Summ'!$CR:$CR,'IN Sales Summ'!$CQ:$CQ,'SUMM-Obsolete'!$A17)</f>
        <v>0</v>
      </c>
      <c r="E17" s="21">
        <f>SUMIFS('BD Sales Summ'!$CR:$CR,'BD Sales Summ'!$CQ:$CQ,'SUMM-Obsolete'!$A17)</f>
        <v>0</v>
      </c>
      <c r="F17" s="21">
        <f>SUMIFS('LK Sales Summ'!$CR:$CR,'LK Sales Summ'!$CQ:$CQ,'SUMM-Obsolete'!$A17)</f>
        <v>0</v>
      </c>
      <c r="G17" s="21">
        <f>SUMIFS('CA Sales Summ'!$CR:$CR,'CA Sales Summ'!$CQ:$CQ,'SUMM-Obsolete'!$A17)</f>
        <v>0</v>
      </c>
      <c r="H17" s="21">
        <f>SUMIFS('HK Sales Summ'!$CR:$CR,'HK Sales Summ'!$CQ:$CQ,'SUMM-Obsolete'!$A17)</f>
        <v>0</v>
      </c>
      <c r="I17" s="21">
        <f>SUMIFS('TR Sales Summ'!$CR:$CR,'TR Sales Summ'!$CQ:$CQ,'SUMM-Obsolete'!$A17)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Summ'!$CR:$CR,'ND Sales Summ'!$CQ:$CQ,'SUMM-Obsolete'!$A18)</f>
        <v>0</v>
      </c>
      <c r="C18" s="21">
        <f>SUMIFS('SH Sales Summ'!$CR:$CR,'SH Sales Summ'!$CQ:$CQ,'SUMM-Obsolete'!$A18)</f>
        <v>0</v>
      </c>
      <c r="D18" s="21">
        <f>SUMIFS('IN Sales Summ'!$CR:$CR,'IN Sales Summ'!$CQ:$CQ,'SUMM-Obsolete'!$A18)</f>
        <v>0</v>
      </c>
      <c r="E18" s="21">
        <f>SUMIFS('BD Sales Summ'!$CR:$CR,'BD Sales Summ'!$CQ:$CQ,'SUMM-Obsolete'!$A18)</f>
        <v>0</v>
      </c>
      <c r="F18" s="21">
        <f>SUMIFS('LK Sales Summ'!$CR:$CR,'LK Sales Summ'!$CQ:$CQ,'SUMM-Obsolete'!$A18)</f>
        <v>0</v>
      </c>
      <c r="G18" s="21">
        <f>SUMIFS('CA Sales Summ'!$CR:$CR,'CA Sales Summ'!$CQ:$CQ,'SUMM-Obsolete'!$A18)</f>
        <v>0</v>
      </c>
      <c r="H18" s="21">
        <f>SUMIFS('HK Sales Summ'!$CR:$CR,'HK Sales Summ'!$CQ:$CQ,'SUMM-Obsolete'!$A18)</f>
        <v>0</v>
      </c>
      <c r="I18" s="21">
        <f>SUMIFS('TR Sales Summ'!$CR:$CR,'TR Sales Summ'!$CQ:$CQ,'SUMM-Obsolete'!$A18)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Summ'!$CR:$CR,'ND Sales Summ'!$CQ:$CQ,'SUMM-Obsolete'!$A19)</f>
        <v>0</v>
      </c>
      <c r="C19" s="21">
        <f>SUMIFS('SH Sales Summ'!$CR:$CR,'SH Sales Summ'!$CQ:$CQ,'SUMM-Obsolete'!$A19)</f>
        <v>0</v>
      </c>
      <c r="D19" s="21">
        <f>SUMIFS('IN Sales Summ'!$CR:$CR,'IN Sales Summ'!$CQ:$CQ,'SUMM-Obsolete'!$A19)</f>
        <v>0</v>
      </c>
      <c r="E19" s="21">
        <f>SUMIFS('BD Sales Summ'!$CR:$CR,'BD Sales Summ'!$CQ:$CQ,'SUMM-Obsolete'!$A19)</f>
        <v>0</v>
      </c>
      <c r="F19" s="21">
        <f>SUMIFS('LK Sales Summ'!$CR:$CR,'LK Sales Summ'!$CQ:$CQ,'SUMM-Obsolete'!$A19)</f>
        <v>0</v>
      </c>
      <c r="G19" s="21">
        <f>SUMIFS('CA Sales Summ'!$CR:$CR,'CA Sales Summ'!$CQ:$CQ,'SUMM-Obsolete'!$A19)</f>
        <v>0</v>
      </c>
      <c r="H19" s="21">
        <f>SUMIFS('HK Sales Summ'!$CR:$CR,'HK Sales Summ'!$CQ:$CQ,'SUMM-Obsolete'!$A19)</f>
        <v>0</v>
      </c>
      <c r="I19" s="21">
        <f>SUMIFS('TR Sales Summ'!$CR:$CR,'TR Sales Summ'!$CQ:$CQ,'SUMM-Obsolete'!$A19)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100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R35"/>
  <sheetViews>
    <sheetView tabSelected="1" zoomScale="80" zoomScaleNormal="80" workbookViewId="0"/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91" width="9.140625" style="19"/>
    <col min="92" max="92" width="24.28515625" style="19" bestFit="1" customWidth="1"/>
    <col min="93" max="93" width="9.140625" style="19"/>
    <col min="94" max="94" width="9.140625" style="18"/>
    <col min="95" max="95" width="26" style="19" bestFit="1" customWidth="1"/>
    <col min="96" max="16384" width="9.140625" style="19"/>
  </cols>
  <sheetData>
    <row r="1" spans="1:96">
      <c r="A1" s="48"/>
      <c r="B1" s="48"/>
      <c r="C1" s="48"/>
      <c r="D1" s="48"/>
      <c r="E1" s="49"/>
      <c r="F1" s="50" t="s">
        <v>95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151</v>
      </c>
      <c r="M1" s="50" t="s">
        <v>25</v>
      </c>
      <c r="N1" s="50" t="s">
        <v>26</v>
      </c>
      <c r="O1" s="50" t="s">
        <v>27</v>
      </c>
      <c r="P1" s="50" t="s">
        <v>28</v>
      </c>
      <c r="Q1" s="50" t="s">
        <v>29</v>
      </c>
      <c r="R1" s="50" t="s">
        <v>151</v>
      </c>
      <c r="S1" s="51" t="s">
        <v>30</v>
      </c>
      <c r="T1" s="51" t="s">
        <v>31</v>
      </c>
      <c r="U1" s="51" t="s">
        <v>32</v>
      </c>
      <c r="V1" s="51" t="s">
        <v>33</v>
      </c>
      <c r="W1" s="51" t="s">
        <v>34</v>
      </c>
      <c r="X1" s="50" t="s">
        <v>151</v>
      </c>
      <c r="Y1" s="51" t="s">
        <v>35</v>
      </c>
      <c r="Z1" s="51" t="s">
        <v>36</v>
      </c>
      <c r="AA1" s="51" t="s">
        <v>37</v>
      </c>
      <c r="AB1" s="51" t="s">
        <v>38</v>
      </c>
      <c r="AC1" s="51" t="s">
        <v>39</v>
      </c>
      <c r="AD1" s="51" t="s">
        <v>40</v>
      </c>
      <c r="AE1" s="50" t="s">
        <v>151</v>
      </c>
      <c r="AF1" s="51" t="s">
        <v>41</v>
      </c>
      <c r="AG1" s="51" t="s">
        <v>42</v>
      </c>
      <c r="AH1" s="51" t="s">
        <v>43</v>
      </c>
      <c r="AI1" s="51" t="s">
        <v>44</v>
      </c>
      <c r="AJ1" s="51" t="s">
        <v>45</v>
      </c>
      <c r="AK1" s="50" t="s">
        <v>151</v>
      </c>
      <c r="AL1" s="51" t="s">
        <v>46</v>
      </c>
      <c r="AM1" s="51" t="s">
        <v>47</v>
      </c>
      <c r="AN1" s="51" t="s">
        <v>48</v>
      </c>
      <c r="AO1" s="51" t="s">
        <v>49</v>
      </c>
      <c r="AP1" s="51" t="s">
        <v>50</v>
      </c>
      <c r="AQ1" s="50" t="s">
        <v>151</v>
      </c>
      <c r="AR1" s="51" t="s">
        <v>51</v>
      </c>
      <c r="AS1" s="50" t="s">
        <v>52</v>
      </c>
      <c r="AT1" s="50" t="s">
        <v>53</v>
      </c>
      <c r="AU1" s="50" t="s">
        <v>54</v>
      </c>
      <c r="AV1" s="50" t="s">
        <v>55</v>
      </c>
      <c r="AW1" s="50" t="s">
        <v>56</v>
      </c>
      <c r="AX1" s="50" t="s">
        <v>151</v>
      </c>
      <c r="AY1" s="50" t="s">
        <v>57</v>
      </c>
      <c r="AZ1" s="50" t="s">
        <v>58</v>
      </c>
      <c r="BA1" s="50" t="s">
        <v>59</v>
      </c>
      <c r="BB1" s="50" t="s">
        <v>60</v>
      </c>
      <c r="BC1" s="50" t="s">
        <v>61</v>
      </c>
      <c r="BD1" s="50" t="s">
        <v>151</v>
      </c>
      <c r="BE1" s="51" t="s">
        <v>62</v>
      </c>
      <c r="BF1" s="51" t="s">
        <v>63</v>
      </c>
      <c r="BG1" s="51" t="s">
        <v>64</v>
      </c>
      <c r="BH1" s="51" t="s">
        <v>65</v>
      </c>
      <c r="BI1" s="51" t="s">
        <v>66</v>
      </c>
      <c r="BJ1" s="50" t="s">
        <v>151</v>
      </c>
      <c r="BK1" s="51" t="s">
        <v>67</v>
      </c>
      <c r="BL1" s="51" t="s">
        <v>68</v>
      </c>
      <c r="BM1" s="51" t="s">
        <v>69</v>
      </c>
      <c r="BN1" s="51" t="s">
        <v>70</v>
      </c>
      <c r="BO1" s="51" t="s">
        <v>71</v>
      </c>
      <c r="BP1" s="51" t="s">
        <v>72</v>
      </c>
      <c r="BQ1" s="50" t="s">
        <v>151</v>
      </c>
      <c r="BR1" s="51" t="s">
        <v>73</v>
      </c>
      <c r="BS1" s="51" t="s">
        <v>74</v>
      </c>
      <c r="BT1" s="51" t="s">
        <v>75</v>
      </c>
      <c r="BU1" s="51" t="s">
        <v>76</v>
      </c>
      <c r="BV1" s="51" t="s">
        <v>77</v>
      </c>
      <c r="BW1" s="50" t="s">
        <v>151</v>
      </c>
      <c r="BX1" s="51" t="s">
        <v>78</v>
      </c>
      <c r="BY1" s="51" t="s">
        <v>79</v>
      </c>
      <c r="BZ1" s="51" t="s">
        <v>80</v>
      </c>
      <c r="CA1" s="51" t="s">
        <v>81</v>
      </c>
      <c r="CB1" s="51" t="s">
        <v>82</v>
      </c>
      <c r="CC1" s="51" t="s">
        <v>119</v>
      </c>
      <c r="CD1" s="50" t="s">
        <v>151</v>
      </c>
      <c r="CE1" s="51" t="s">
        <v>83</v>
      </c>
      <c r="CF1" s="51" t="s">
        <v>84</v>
      </c>
      <c r="CG1" s="51" t="s">
        <v>140</v>
      </c>
      <c r="CH1" s="49"/>
      <c r="CI1" s="52"/>
      <c r="CJ1" s="53"/>
      <c r="CK1" s="52"/>
      <c r="CL1" s="53"/>
      <c r="CM1" s="49"/>
      <c r="CN1" s="49"/>
      <c r="CO1" s="51" t="s">
        <v>85</v>
      </c>
      <c r="CP1" s="54"/>
      <c r="CQ1" s="48" t="s">
        <v>101</v>
      </c>
      <c r="CR1" s="55"/>
    </row>
    <row r="2" spans="1:96">
      <c r="A2" s="49" t="s">
        <v>86</v>
      </c>
      <c r="B2" s="54"/>
      <c r="C2" s="49" t="s">
        <v>123</v>
      </c>
      <c r="D2" s="54"/>
      <c r="E2" s="52" t="s">
        <v>130</v>
      </c>
      <c r="F2" s="108"/>
      <c r="G2" s="87"/>
      <c r="H2" s="87"/>
      <c r="I2" s="87"/>
      <c r="J2" s="87"/>
      <c r="K2" s="87"/>
      <c r="L2" s="112"/>
      <c r="M2" s="108"/>
      <c r="N2" s="87"/>
      <c r="O2" s="87"/>
      <c r="P2" s="87"/>
      <c r="Q2" s="87"/>
      <c r="R2" s="112"/>
      <c r="S2" s="108"/>
      <c r="T2" s="87"/>
      <c r="U2" s="87"/>
      <c r="V2" s="87"/>
      <c r="W2" s="87"/>
      <c r="X2" s="112"/>
      <c r="Y2" s="108"/>
      <c r="Z2" s="87"/>
      <c r="AA2" s="87"/>
      <c r="AB2" s="87"/>
      <c r="AC2" s="87"/>
      <c r="AD2" s="87"/>
      <c r="AE2" s="112"/>
      <c r="AF2" s="108"/>
      <c r="AG2" s="87"/>
      <c r="AH2" s="87"/>
      <c r="AI2" s="87"/>
      <c r="AJ2" s="87"/>
      <c r="AK2" s="112"/>
      <c r="AL2" s="108"/>
      <c r="AM2" s="87"/>
      <c r="AN2" s="87"/>
      <c r="AO2" s="87"/>
      <c r="AP2" s="87"/>
      <c r="AQ2" s="112"/>
      <c r="AR2" s="108"/>
      <c r="AS2" s="87"/>
      <c r="AT2" s="87"/>
      <c r="AU2" s="87"/>
      <c r="AV2" s="87"/>
      <c r="AW2" s="87"/>
      <c r="AX2" s="112"/>
      <c r="AY2" s="108"/>
      <c r="AZ2" s="87"/>
      <c r="BA2" s="87"/>
      <c r="BB2" s="87"/>
      <c r="BC2" s="87"/>
      <c r="BD2" s="112"/>
      <c r="BE2" s="108"/>
      <c r="BF2" s="87"/>
      <c r="BG2" s="87"/>
      <c r="BH2" s="87"/>
      <c r="BI2" s="87"/>
      <c r="BJ2" s="112"/>
      <c r="BK2" s="108"/>
      <c r="BL2" s="87"/>
      <c r="BM2" s="87"/>
      <c r="BN2" s="87"/>
      <c r="BO2" s="87"/>
      <c r="BP2" s="87"/>
      <c r="BQ2" s="112"/>
      <c r="BR2" s="108"/>
      <c r="BS2" s="87"/>
      <c r="BT2" s="87"/>
      <c r="BU2" s="87"/>
      <c r="BV2" s="87"/>
      <c r="BW2" s="112"/>
      <c r="BX2" s="108"/>
      <c r="BY2" s="87"/>
      <c r="BZ2" s="87"/>
      <c r="CA2" s="87"/>
      <c r="CB2" s="87"/>
      <c r="CC2" s="87"/>
      <c r="CD2" s="112"/>
      <c r="CE2" s="108"/>
      <c r="CF2" s="92"/>
      <c r="CG2" s="88"/>
      <c r="CH2" s="48"/>
      <c r="CI2" s="52"/>
      <c r="CJ2" s="53"/>
      <c r="CK2" s="52"/>
      <c r="CL2" s="53"/>
      <c r="CM2" s="57"/>
      <c r="CN2" s="52" t="s">
        <v>10</v>
      </c>
      <c r="CO2" s="58"/>
      <c r="CP2" s="54"/>
      <c r="CQ2" s="48" t="s">
        <v>102</v>
      </c>
      <c r="CR2" s="59"/>
    </row>
    <row r="3" spans="1:96">
      <c r="A3" s="49" t="s">
        <v>87</v>
      </c>
      <c r="B3" s="54"/>
      <c r="C3" s="49" t="s">
        <v>90</v>
      </c>
      <c r="D3" s="60">
        <v>1</v>
      </c>
      <c r="E3" s="52" t="s">
        <v>129</v>
      </c>
      <c r="F3" s="109"/>
      <c r="G3" s="56"/>
      <c r="H3" s="56"/>
      <c r="I3" s="56"/>
      <c r="J3" s="56"/>
      <c r="K3" s="56"/>
      <c r="L3" s="113"/>
      <c r="M3" s="109"/>
      <c r="N3" s="56"/>
      <c r="O3" s="56"/>
      <c r="P3" s="56"/>
      <c r="Q3" s="56"/>
      <c r="R3" s="113"/>
      <c r="S3" s="109"/>
      <c r="T3" s="56"/>
      <c r="U3" s="56"/>
      <c r="V3" s="56"/>
      <c r="W3" s="56"/>
      <c r="X3" s="113"/>
      <c r="Y3" s="109"/>
      <c r="Z3" s="56"/>
      <c r="AA3" s="56"/>
      <c r="AB3" s="56"/>
      <c r="AC3" s="56"/>
      <c r="AD3" s="56"/>
      <c r="AE3" s="113"/>
      <c r="AF3" s="109"/>
      <c r="AG3" s="56"/>
      <c r="AH3" s="56"/>
      <c r="AI3" s="56"/>
      <c r="AJ3" s="56"/>
      <c r="AK3" s="113"/>
      <c r="AL3" s="109"/>
      <c r="AM3" s="56"/>
      <c r="AN3" s="56"/>
      <c r="AO3" s="56"/>
      <c r="AP3" s="56"/>
      <c r="AQ3" s="113"/>
      <c r="AR3" s="109"/>
      <c r="AS3" s="56"/>
      <c r="AT3" s="56"/>
      <c r="AU3" s="56"/>
      <c r="AV3" s="56"/>
      <c r="AW3" s="56"/>
      <c r="AX3" s="113"/>
      <c r="AY3" s="109"/>
      <c r="AZ3" s="56"/>
      <c r="BA3" s="56"/>
      <c r="BB3" s="56"/>
      <c r="BC3" s="56"/>
      <c r="BD3" s="113"/>
      <c r="BE3" s="109"/>
      <c r="BF3" s="56"/>
      <c r="BG3" s="56"/>
      <c r="BH3" s="56"/>
      <c r="BI3" s="56"/>
      <c r="BJ3" s="113"/>
      <c r="BK3" s="109"/>
      <c r="BL3" s="56"/>
      <c r="BM3" s="56"/>
      <c r="BN3" s="56"/>
      <c r="BO3" s="56"/>
      <c r="BP3" s="56"/>
      <c r="BQ3" s="113"/>
      <c r="BR3" s="109"/>
      <c r="BS3" s="56"/>
      <c r="BT3" s="56"/>
      <c r="BU3" s="56"/>
      <c r="BV3" s="56"/>
      <c r="BW3" s="113"/>
      <c r="BX3" s="109"/>
      <c r="BY3" s="56"/>
      <c r="BZ3" s="56"/>
      <c r="CA3" s="56"/>
      <c r="CB3" s="56"/>
      <c r="CC3" s="56"/>
      <c r="CD3" s="113"/>
      <c r="CE3" s="109"/>
      <c r="CF3" s="93"/>
      <c r="CG3" s="89"/>
      <c r="CH3" s="48"/>
      <c r="CI3" s="52"/>
      <c r="CJ3" s="53"/>
      <c r="CK3" s="52"/>
      <c r="CL3" s="53"/>
      <c r="CM3" s="57"/>
      <c r="CN3" s="52" t="s">
        <v>11</v>
      </c>
      <c r="CO3" s="58"/>
      <c r="CP3" s="54"/>
      <c r="CQ3" s="48" t="s">
        <v>103</v>
      </c>
      <c r="CR3" s="61"/>
    </row>
    <row r="4" spans="1:96">
      <c r="A4" s="49" t="s">
        <v>88</v>
      </c>
      <c r="B4" s="54"/>
      <c r="C4" s="49" t="s">
        <v>92</v>
      </c>
      <c r="D4" s="54"/>
      <c r="E4" s="52" t="s">
        <v>131</v>
      </c>
      <c r="F4" s="109"/>
      <c r="G4" s="56"/>
      <c r="H4" s="56"/>
      <c r="I4" s="56"/>
      <c r="J4" s="56"/>
      <c r="K4" s="56"/>
      <c r="L4" s="113"/>
      <c r="M4" s="109"/>
      <c r="N4" s="56"/>
      <c r="O4" s="56"/>
      <c r="P4" s="56"/>
      <c r="Q4" s="56"/>
      <c r="R4" s="113"/>
      <c r="S4" s="109"/>
      <c r="T4" s="56"/>
      <c r="U4" s="56"/>
      <c r="V4" s="56"/>
      <c r="W4" s="56"/>
      <c r="X4" s="113"/>
      <c r="Y4" s="109"/>
      <c r="Z4" s="56"/>
      <c r="AA4" s="56"/>
      <c r="AB4" s="56"/>
      <c r="AC4" s="56"/>
      <c r="AD4" s="56"/>
      <c r="AE4" s="113"/>
      <c r="AF4" s="109"/>
      <c r="AG4" s="56"/>
      <c r="AH4" s="56"/>
      <c r="AI4" s="56"/>
      <c r="AJ4" s="56"/>
      <c r="AK4" s="113"/>
      <c r="AL4" s="109"/>
      <c r="AM4" s="56"/>
      <c r="AN4" s="56"/>
      <c r="AO4" s="56"/>
      <c r="AP4" s="56"/>
      <c r="AQ4" s="113"/>
      <c r="AR4" s="109"/>
      <c r="AS4" s="56"/>
      <c r="AT4" s="56"/>
      <c r="AU4" s="56"/>
      <c r="AV4" s="56"/>
      <c r="AW4" s="56"/>
      <c r="AX4" s="113"/>
      <c r="AY4" s="109"/>
      <c r="AZ4" s="56"/>
      <c r="BA4" s="56"/>
      <c r="BB4" s="56"/>
      <c r="BC4" s="56"/>
      <c r="BD4" s="113"/>
      <c r="BE4" s="109"/>
      <c r="BF4" s="56"/>
      <c r="BG4" s="56"/>
      <c r="BH4" s="56"/>
      <c r="BI4" s="56"/>
      <c r="BJ4" s="113"/>
      <c r="BK4" s="109"/>
      <c r="BL4" s="56"/>
      <c r="BM4" s="56"/>
      <c r="BN4" s="56"/>
      <c r="BO4" s="56"/>
      <c r="BP4" s="56"/>
      <c r="BQ4" s="113"/>
      <c r="BR4" s="109"/>
      <c r="BS4" s="56"/>
      <c r="BT4" s="56"/>
      <c r="BU4" s="56"/>
      <c r="BV4" s="56"/>
      <c r="BW4" s="113"/>
      <c r="BX4" s="109"/>
      <c r="BY4" s="56"/>
      <c r="BZ4" s="56"/>
      <c r="CA4" s="56"/>
      <c r="CB4" s="56"/>
      <c r="CC4" s="56"/>
      <c r="CD4" s="113"/>
      <c r="CE4" s="109"/>
      <c r="CF4" s="93"/>
      <c r="CG4" s="89"/>
      <c r="CH4" s="16"/>
      <c r="CI4" s="52"/>
      <c r="CJ4" s="53"/>
      <c r="CK4" s="52"/>
      <c r="CL4" s="53"/>
      <c r="CM4" s="57"/>
      <c r="CN4" s="52" t="s">
        <v>89</v>
      </c>
      <c r="CO4" s="58"/>
      <c r="CP4" s="25">
        <v>0</v>
      </c>
      <c r="CQ4" s="48" t="s">
        <v>104</v>
      </c>
      <c r="CR4" s="61"/>
    </row>
    <row r="5" spans="1:96">
      <c r="A5" s="49" t="s">
        <v>120</v>
      </c>
      <c r="B5" s="62"/>
      <c r="C5" s="49" t="s">
        <v>128</v>
      </c>
      <c r="D5" s="63">
        <v>0.15</v>
      </c>
      <c r="E5" s="52" t="s">
        <v>132</v>
      </c>
      <c r="F5" s="109"/>
      <c r="G5" s="56"/>
      <c r="H5" s="56"/>
      <c r="I5" s="56"/>
      <c r="J5" s="56"/>
      <c r="K5" s="56"/>
      <c r="L5" s="113"/>
      <c r="M5" s="109"/>
      <c r="N5" s="56"/>
      <c r="O5" s="56"/>
      <c r="P5" s="56"/>
      <c r="Q5" s="56"/>
      <c r="R5" s="113"/>
      <c r="S5" s="109"/>
      <c r="T5" s="56"/>
      <c r="U5" s="56"/>
      <c r="V5" s="56"/>
      <c r="W5" s="56"/>
      <c r="X5" s="113"/>
      <c r="Y5" s="109"/>
      <c r="Z5" s="56"/>
      <c r="AA5" s="56"/>
      <c r="AB5" s="56"/>
      <c r="AC5" s="56"/>
      <c r="AD5" s="56"/>
      <c r="AE5" s="113"/>
      <c r="AF5" s="109"/>
      <c r="AG5" s="56"/>
      <c r="AH5" s="56"/>
      <c r="AI5" s="56"/>
      <c r="AJ5" s="56"/>
      <c r="AK5" s="113"/>
      <c r="AL5" s="109"/>
      <c r="AM5" s="56"/>
      <c r="AN5" s="56"/>
      <c r="AO5" s="56"/>
      <c r="AP5" s="56"/>
      <c r="AQ5" s="113"/>
      <c r="AR5" s="109"/>
      <c r="AS5" s="56"/>
      <c r="AT5" s="56"/>
      <c r="AU5" s="56"/>
      <c r="AV5" s="56"/>
      <c r="AW5" s="56"/>
      <c r="AX5" s="113"/>
      <c r="AY5" s="109"/>
      <c r="AZ5" s="56"/>
      <c r="BA5" s="56"/>
      <c r="BB5" s="56"/>
      <c r="BC5" s="56"/>
      <c r="BD5" s="113"/>
      <c r="BE5" s="109"/>
      <c r="BF5" s="56"/>
      <c r="BG5" s="56"/>
      <c r="BH5" s="56"/>
      <c r="BI5" s="56"/>
      <c r="BJ5" s="113"/>
      <c r="BK5" s="109"/>
      <c r="BL5" s="56"/>
      <c r="BM5" s="56"/>
      <c r="BN5" s="56"/>
      <c r="BO5" s="56"/>
      <c r="BP5" s="56"/>
      <c r="BQ5" s="113"/>
      <c r="BR5" s="109"/>
      <c r="BS5" s="56"/>
      <c r="BT5" s="56"/>
      <c r="BU5" s="56"/>
      <c r="BV5" s="56"/>
      <c r="BW5" s="113"/>
      <c r="BX5" s="109"/>
      <c r="BY5" s="56"/>
      <c r="BZ5" s="56"/>
      <c r="CA5" s="56"/>
      <c r="CB5" s="56"/>
      <c r="CC5" s="56"/>
      <c r="CD5" s="113"/>
      <c r="CE5" s="109"/>
      <c r="CF5" s="93"/>
      <c r="CG5" s="89"/>
      <c r="CH5" s="48"/>
      <c r="CI5" s="52"/>
      <c r="CJ5" s="53"/>
      <c r="CK5" s="52"/>
      <c r="CL5" s="53"/>
      <c r="CM5" s="57"/>
      <c r="CN5" s="52" t="s">
        <v>91</v>
      </c>
      <c r="CO5" s="64"/>
      <c r="CP5" s="54"/>
      <c r="CQ5" s="48" t="s">
        <v>105</v>
      </c>
      <c r="CR5" s="65"/>
    </row>
    <row r="6" spans="1:96">
      <c r="A6" s="49" t="s">
        <v>121</v>
      </c>
      <c r="B6" s="62"/>
      <c r="C6" s="97"/>
      <c r="D6" s="63"/>
      <c r="E6" s="17" t="s">
        <v>133</v>
      </c>
      <c r="F6" s="110"/>
      <c r="G6" s="86"/>
      <c r="H6" s="86"/>
      <c r="I6" s="86"/>
      <c r="J6" s="86"/>
      <c r="K6" s="86"/>
      <c r="L6" s="114"/>
      <c r="M6" s="110"/>
      <c r="N6" s="86"/>
      <c r="O6" s="86"/>
      <c r="P6" s="86"/>
      <c r="Q6" s="86"/>
      <c r="R6" s="114"/>
      <c r="S6" s="110"/>
      <c r="T6" s="86"/>
      <c r="U6" s="86"/>
      <c r="V6" s="86"/>
      <c r="W6" s="86"/>
      <c r="X6" s="114"/>
      <c r="Y6" s="110"/>
      <c r="Z6" s="86"/>
      <c r="AA6" s="86"/>
      <c r="AB6" s="86"/>
      <c r="AC6" s="86"/>
      <c r="AD6" s="86"/>
      <c r="AE6" s="114"/>
      <c r="AF6" s="110"/>
      <c r="AG6" s="86"/>
      <c r="AH6" s="86"/>
      <c r="AI6" s="86"/>
      <c r="AJ6" s="86"/>
      <c r="AK6" s="114"/>
      <c r="AL6" s="110"/>
      <c r="AM6" s="86"/>
      <c r="AN6" s="86"/>
      <c r="AO6" s="86"/>
      <c r="AP6" s="86"/>
      <c r="AQ6" s="114"/>
      <c r="AR6" s="110"/>
      <c r="AS6" s="86"/>
      <c r="AT6" s="86"/>
      <c r="AU6" s="86"/>
      <c r="AV6" s="86"/>
      <c r="AW6" s="86"/>
      <c r="AX6" s="114"/>
      <c r="AY6" s="110"/>
      <c r="AZ6" s="86"/>
      <c r="BA6" s="86"/>
      <c r="BB6" s="86"/>
      <c r="BC6" s="86"/>
      <c r="BD6" s="114"/>
      <c r="BE6" s="110"/>
      <c r="BF6" s="86"/>
      <c r="BG6" s="86"/>
      <c r="BH6" s="86"/>
      <c r="BI6" s="86"/>
      <c r="BJ6" s="114"/>
      <c r="BK6" s="110"/>
      <c r="BL6" s="86"/>
      <c r="BM6" s="86"/>
      <c r="BN6" s="86"/>
      <c r="BO6" s="86"/>
      <c r="BP6" s="86"/>
      <c r="BQ6" s="114"/>
      <c r="BR6" s="110"/>
      <c r="BS6" s="86"/>
      <c r="BT6" s="86"/>
      <c r="BU6" s="86"/>
      <c r="BV6" s="86"/>
      <c r="BW6" s="114"/>
      <c r="BX6" s="110"/>
      <c r="BY6" s="86"/>
      <c r="BZ6" s="86"/>
      <c r="CA6" s="86"/>
      <c r="CB6" s="86"/>
      <c r="CC6" s="86"/>
      <c r="CD6" s="114"/>
      <c r="CE6" s="110"/>
      <c r="CF6" s="94"/>
      <c r="CG6" s="90"/>
      <c r="CH6" s="48"/>
      <c r="CI6" s="52"/>
      <c r="CJ6" s="53"/>
      <c r="CK6" s="52"/>
      <c r="CL6" s="53"/>
      <c r="CM6" s="57"/>
      <c r="CN6" s="52" t="s">
        <v>93</v>
      </c>
      <c r="CO6" s="58"/>
      <c r="CP6" s="54"/>
      <c r="CQ6" s="48" t="s">
        <v>106</v>
      </c>
      <c r="CR6" s="65"/>
    </row>
    <row r="7" spans="1:96">
      <c r="A7" s="49" t="s">
        <v>126</v>
      </c>
      <c r="B7" s="62"/>
      <c r="C7" s="54"/>
      <c r="D7" s="66"/>
      <c r="E7" s="52" t="s">
        <v>134</v>
      </c>
      <c r="F7" s="109"/>
      <c r="G7" s="56"/>
      <c r="H7" s="56"/>
      <c r="I7" s="56"/>
      <c r="J7" s="56"/>
      <c r="K7" s="56"/>
      <c r="L7" s="113"/>
      <c r="M7" s="109"/>
      <c r="N7" s="56"/>
      <c r="O7" s="56"/>
      <c r="P7" s="56"/>
      <c r="Q7" s="56"/>
      <c r="R7" s="113"/>
      <c r="S7" s="109"/>
      <c r="T7" s="56"/>
      <c r="U7" s="56"/>
      <c r="V7" s="56"/>
      <c r="W7" s="56"/>
      <c r="X7" s="113"/>
      <c r="Y7" s="109"/>
      <c r="Z7" s="56"/>
      <c r="AA7" s="56"/>
      <c r="AB7" s="56"/>
      <c r="AC7" s="56"/>
      <c r="AD7" s="56"/>
      <c r="AE7" s="113"/>
      <c r="AF7" s="109"/>
      <c r="AG7" s="56"/>
      <c r="AH7" s="56"/>
      <c r="AI7" s="56"/>
      <c r="AJ7" s="56"/>
      <c r="AK7" s="113"/>
      <c r="AL7" s="109"/>
      <c r="AM7" s="56"/>
      <c r="AN7" s="56"/>
      <c r="AO7" s="56"/>
      <c r="AP7" s="56"/>
      <c r="AQ7" s="113"/>
      <c r="AR7" s="109"/>
      <c r="AS7" s="56"/>
      <c r="AT7" s="56"/>
      <c r="AU7" s="56"/>
      <c r="AV7" s="56"/>
      <c r="AW7" s="56"/>
      <c r="AX7" s="113"/>
      <c r="AY7" s="109"/>
      <c r="AZ7" s="56"/>
      <c r="BA7" s="56"/>
      <c r="BB7" s="56"/>
      <c r="BC7" s="56"/>
      <c r="BD7" s="113"/>
      <c r="BE7" s="109"/>
      <c r="BF7" s="56"/>
      <c r="BG7" s="56"/>
      <c r="BH7" s="56"/>
      <c r="BI7" s="56"/>
      <c r="BJ7" s="113"/>
      <c r="BK7" s="109"/>
      <c r="BL7" s="56"/>
      <c r="BM7" s="56"/>
      <c r="BN7" s="56"/>
      <c r="BO7" s="56"/>
      <c r="BP7" s="56"/>
      <c r="BQ7" s="113"/>
      <c r="BR7" s="109"/>
      <c r="BS7" s="56"/>
      <c r="BT7" s="56"/>
      <c r="BU7" s="56"/>
      <c r="BV7" s="56"/>
      <c r="BW7" s="113"/>
      <c r="BX7" s="109"/>
      <c r="BY7" s="56"/>
      <c r="BZ7" s="56"/>
      <c r="CA7" s="56"/>
      <c r="CB7" s="56"/>
      <c r="CC7" s="56"/>
      <c r="CD7" s="113"/>
      <c r="CE7" s="109"/>
      <c r="CF7" s="93"/>
      <c r="CG7" s="89"/>
      <c r="CH7" s="48"/>
      <c r="CI7" s="52"/>
      <c r="CJ7" s="53"/>
      <c r="CK7" s="52"/>
      <c r="CL7" s="64"/>
      <c r="CM7" s="57"/>
      <c r="CN7" s="52" t="s">
        <v>94</v>
      </c>
      <c r="CO7" s="58"/>
      <c r="CP7" s="25">
        <v>0</v>
      </c>
      <c r="CQ7" s="48" t="s">
        <v>107</v>
      </c>
      <c r="CR7" s="65"/>
    </row>
    <row r="8" spans="1:96">
      <c r="A8" s="49" t="s">
        <v>11</v>
      </c>
      <c r="B8" s="62"/>
      <c r="C8" s="49" t="s">
        <v>127</v>
      </c>
      <c r="D8" s="62"/>
      <c r="E8" s="52" t="s">
        <v>135</v>
      </c>
      <c r="F8" s="109"/>
      <c r="G8" s="56"/>
      <c r="H8" s="56"/>
      <c r="I8" s="56"/>
      <c r="J8" s="56"/>
      <c r="K8" s="56"/>
      <c r="L8" s="113"/>
      <c r="M8" s="109"/>
      <c r="N8" s="56"/>
      <c r="O8" s="56"/>
      <c r="P8" s="56"/>
      <c r="Q8" s="56"/>
      <c r="R8" s="113"/>
      <c r="S8" s="109"/>
      <c r="T8" s="56"/>
      <c r="U8" s="56"/>
      <c r="V8" s="56"/>
      <c r="W8" s="56"/>
      <c r="X8" s="113"/>
      <c r="Y8" s="109"/>
      <c r="Z8" s="56"/>
      <c r="AA8" s="56"/>
      <c r="AB8" s="56"/>
      <c r="AC8" s="56"/>
      <c r="AD8" s="56"/>
      <c r="AE8" s="113"/>
      <c r="AF8" s="109"/>
      <c r="AG8" s="56"/>
      <c r="AH8" s="56"/>
      <c r="AI8" s="56"/>
      <c r="AJ8" s="56"/>
      <c r="AK8" s="113"/>
      <c r="AL8" s="109"/>
      <c r="AM8" s="56"/>
      <c r="AN8" s="56"/>
      <c r="AO8" s="56"/>
      <c r="AP8" s="56"/>
      <c r="AQ8" s="113"/>
      <c r="AR8" s="109"/>
      <c r="AS8" s="56"/>
      <c r="AT8" s="56"/>
      <c r="AU8" s="56"/>
      <c r="AV8" s="56"/>
      <c r="AW8" s="56"/>
      <c r="AX8" s="113"/>
      <c r="AY8" s="109"/>
      <c r="AZ8" s="56"/>
      <c r="BA8" s="56"/>
      <c r="BB8" s="56"/>
      <c r="BC8" s="56"/>
      <c r="BD8" s="113"/>
      <c r="BE8" s="109"/>
      <c r="BF8" s="56"/>
      <c r="BG8" s="56"/>
      <c r="BH8" s="56"/>
      <c r="BI8" s="56"/>
      <c r="BJ8" s="113"/>
      <c r="BK8" s="109"/>
      <c r="BL8" s="56"/>
      <c r="BM8" s="56"/>
      <c r="BN8" s="56"/>
      <c r="BO8" s="56"/>
      <c r="BP8" s="56"/>
      <c r="BQ8" s="113"/>
      <c r="BR8" s="109"/>
      <c r="BS8" s="56"/>
      <c r="BT8" s="56"/>
      <c r="BU8" s="56"/>
      <c r="BV8" s="56"/>
      <c r="BW8" s="113"/>
      <c r="BX8" s="109"/>
      <c r="BY8" s="56"/>
      <c r="BZ8" s="56"/>
      <c r="CA8" s="56"/>
      <c r="CB8" s="56"/>
      <c r="CC8" s="56"/>
      <c r="CD8" s="113"/>
      <c r="CE8" s="109"/>
      <c r="CF8" s="93"/>
      <c r="CG8" s="89"/>
      <c r="CH8" s="48"/>
      <c r="CI8" s="52"/>
      <c r="CJ8" s="53"/>
      <c r="CK8" s="52"/>
      <c r="CL8" s="64"/>
      <c r="CM8" s="67"/>
      <c r="CQ8" s="48" t="s">
        <v>11</v>
      </c>
      <c r="CR8" s="71"/>
    </row>
    <row r="9" spans="1:96">
      <c r="A9" s="49" t="s">
        <v>124</v>
      </c>
      <c r="B9" s="62"/>
      <c r="C9" s="49" t="s">
        <v>125</v>
      </c>
      <c r="D9" s="96"/>
      <c r="E9" s="46" t="s">
        <v>136</v>
      </c>
      <c r="F9" s="111"/>
      <c r="G9" s="47"/>
      <c r="H9" s="47"/>
      <c r="I9" s="47"/>
      <c r="J9" s="47"/>
      <c r="K9" s="47"/>
      <c r="L9" s="115"/>
      <c r="M9" s="111"/>
      <c r="N9" s="47"/>
      <c r="O9" s="47"/>
      <c r="P9" s="47"/>
      <c r="Q9" s="47"/>
      <c r="R9" s="115"/>
      <c r="S9" s="111"/>
      <c r="T9" s="47"/>
      <c r="U9" s="47"/>
      <c r="V9" s="47"/>
      <c r="W9" s="47"/>
      <c r="X9" s="115"/>
      <c r="Y9" s="111"/>
      <c r="Z9" s="47"/>
      <c r="AA9" s="47"/>
      <c r="AB9" s="47"/>
      <c r="AC9" s="47"/>
      <c r="AD9" s="47"/>
      <c r="AE9" s="115"/>
      <c r="AF9" s="111"/>
      <c r="AG9" s="47"/>
      <c r="AH9" s="47"/>
      <c r="AI9" s="47"/>
      <c r="AJ9" s="47"/>
      <c r="AK9" s="115"/>
      <c r="AL9" s="111"/>
      <c r="AM9" s="47"/>
      <c r="AN9" s="47"/>
      <c r="AO9" s="47"/>
      <c r="AP9" s="47"/>
      <c r="AQ9" s="115"/>
      <c r="AR9" s="111"/>
      <c r="AS9" s="47"/>
      <c r="AT9" s="47"/>
      <c r="AU9" s="47"/>
      <c r="AV9" s="47"/>
      <c r="AW9" s="47"/>
      <c r="AX9" s="115"/>
      <c r="AY9" s="111"/>
      <c r="AZ9" s="47"/>
      <c r="BA9" s="47"/>
      <c r="BB9" s="47"/>
      <c r="BC9" s="47"/>
      <c r="BD9" s="115"/>
      <c r="BE9" s="111"/>
      <c r="BF9" s="47"/>
      <c r="BG9" s="47"/>
      <c r="BH9" s="47"/>
      <c r="BI9" s="47"/>
      <c r="BJ9" s="115"/>
      <c r="BK9" s="111"/>
      <c r="BL9" s="47"/>
      <c r="BM9" s="47"/>
      <c r="BN9" s="47"/>
      <c r="BO9" s="47"/>
      <c r="BP9" s="47"/>
      <c r="BQ9" s="115"/>
      <c r="BR9" s="111"/>
      <c r="BS9" s="47"/>
      <c r="BT9" s="47"/>
      <c r="BU9" s="47"/>
      <c r="BV9" s="47"/>
      <c r="BW9" s="115"/>
      <c r="BX9" s="111"/>
      <c r="BY9" s="47"/>
      <c r="BZ9" s="47"/>
      <c r="CA9" s="47"/>
      <c r="CB9" s="47"/>
      <c r="CC9" s="47"/>
      <c r="CD9" s="115"/>
      <c r="CE9" s="111"/>
      <c r="CF9" s="95"/>
      <c r="CG9" s="91"/>
      <c r="CH9" s="48"/>
      <c r="CI9" s="68"/>
      <c r="CJ9" s="69"/>
      <c r="CK9" s="68"/>
      <c r="CL9" s="57"/>
      <c r="CM9" s="48"/>
      <c r="CN9" s="48"/>
      <c r="CO9" s="70"/>
      <c r="CP9" s="54"/>
      <c r="CQ9" s="48" t="s">
        <v>15</v>
      </c>
      <c r="CR9" s="71"/>
    </row>
    <row r="10" spans="1:96">
      <c r="A10" s="49"/>
      <c r="B10" s="62"/>
      <c r="C10" s="49"/>
      <c r="D10" s="62"/>
      <c r="E10" s="46" t="s">
        <v>137</v>
      </c>
      <c r="F10" s="111"/>
      <c r="G10" s="47"/>
      <c r="H10" s="47"/>
      <c r="I10" s="47"/>
      <c r="J10" s="47"/>
      <c r="K10" s="47"/>
      <c r="L10" s="115"/>
      <c r="M10" s="111"/>
      <c r="N10" s="47"/>
      <c r="O10" s="47"/>
      <c r="P10" s="47"/>
      <c r="Q10" s="47"/>
      <c r="R10" s="115"/>
      <c r="S10" s="111"/>
      <c r="T10" s="47"/>
      <c r="U10" s="47"/>
      <c r="V10" s="47"/>
      <c r="W10" s="47"/>
      <c r="X10" s="115"/>
      <c r="Y10" s="111"/>
      <c r="Z10" s="47"/>
      <c r="AA10" s="47"/>
      <c r="AB10" s="47"/>
      <c r="AC10" s="47"/>
      <c r="AD10" s="47"/>
      <c r="AE10" s="115"/>
      <c r="AF10" s="111"/>
      <c r="AG10" s="47"/>
      <c r="AH10" s="47"/>
      <c r="AI10" s="47"/>
      <c r="AJ10" s="47"/>
      <c r="AK10" s="115"/>
      <c r="AL10" s="111"/>
      <c r="AM10" s="47"/>
      <c r="AN10" s="47"/>
      <c r="AO10" s="47"/>
      <c r="AP10" s="47"/>
      <c r="AQ10" s="115"/>
      <c r="AR10" s="111"/>
      <c r="AS10" s="47"/>
      <c r="AT10" s="47"/>
      <c r="AU10" s="47"/>
      <c r="AV10" s="47"/>
      <c r="AW10" s="47"/>
      <c r="AX10" s="115"/>
      <c r="AY10" s="111"/>
      <c r="AZ10" s="47"/>
      <c r="BA10" s="47"/>
      <c r="BB10" s="47"/>
      <c r="BC10" s="47"/>
      <c r="BD10" s="115"/>
      <c r="BE10" s="111"/>
      <c r="BF10" s="47"/>
      <c r="BG10" s="47"/>
      <c r="BH10" s="47"/>
      <c r="BI10" s="47"/>
      <c r="BJ10" s="115"/>
      <c r="BK10" s="111"/>
      <c r="BL10" s="47"/>
      <c r="BM10" s="47"/>
      <c r="BN10" s="47"/>
      <c r="BO10" s="47"/>
      <c r="BP10" s="47"/>
      <c r="BQ10" s="115"/>
      <c r="BR10" s="111"/>
      <c r="BS10" s="47"/>
      <c r="BT10" s="47"/>
      <c r="BU10" s="47"/>
      <c r="BV10" s="47"/>
      <c r="BW10" s="115"/>
      <c r="BX10" s="111"/>
      <c r="BY10" s="47"/>
      <c r="BZ10" s="47"/>
      <c r="CA10" s="47"/>
      <c r="CB10" s="47"/>
      <c r="CC10" s="47"/>
      <c r="CD10" s="115"/>
      <c r="CE10" s="111"/>
      <c r="CF10" s="95"/>
      <c r="CG10" s="91"/>
      <c r="CH10" s="48"/>
      <c r="CI10" s="68"/>
      <c r="CJ10" s="69"/>
      <c r="CK10" s="68"/>
      <c r="CL10" s="57"/>
      <c r="CM10" s="48"/>
      <c r="CN10" s="48"/>
      <c r="CO10" s="70"/>
      <c r="CP10" s="54"/>
    </row>
    <row r="11" spans="1:96">
      <c r="A11" s="117" t="s">
        <v>152</v>
      </c>
      <c r="B11" s="117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48"/>
      <c r="CI11" s="68"/>
      <c r="CJ11" s="69"/>
      <c r="CK11" s="68"/>
      <c r="CL11" s="57"/>
      <c r="CM11" s="48"/>
      <c r="CN11" s="48"/>
      <c r="CO11" s="70"/>
      <c r="CP11" s="54"/>
    </row>
    <row r="12" spans="1:96">
      <c r="A12" s="117" t="s">
        <v>153</v>
      </c>
      <c r="B12" s="117"/>
      <c r="C12" s="54"/>
      <c r="D12" s="63"/>
      <c r="E12" s="52" t="s">
        <v>141</v>
      </c>
      <c r="F12" s="109"/>
      <c r="G12" s="56"/>
      <c r="H12" s="56"/>
      <c r="I12" s="56"/>
      <c r="J12" s="56"/>
      <c r="K12" s="56"/>
      <c r="L12" s="113"/>
      <c r="M12" s="109"/>
      <c r="N12" s="56"/>
      <c r="O12" s="56"/>
      <c r="P12" s="56"/>
      <c r="Q12" s="56"/>
      <c r="R12" s="113"/>
      <c r="S12" s="109"/>
      <c r="T12" s="56"/>
      <c r="U12" s="56"/>
      <c r="V12" s="56"/>
      <c r="W12" s="56"/>
      <c r="X12" s="113"/>
      <c r="Y12" s="109"/>
      <c r="Z12" s="56"/>
      <c r="AA12" s="56"/>
      <c r="AB12" s="56"/>
      <c r="AC12" s="56"/>
      <c r="AD12" s="56"/>
      <c r="AE12" s="113"/>
      <c r="AF12" s="109"/>
      <c r="AG12" s="56"/>
      <c r="AH12" s="56"/>
      <c r="AI12" s="56"/>
      <c r="AJ12" s="56"/>
      <c r="AK12" s="113"/>
      <c r="AL12" s="109"/>
      <c r="AM12" s="56"/>
      <c r="AN12" s="56"/>
      <c r="AO12" s="56"/>
      <c r="AP12" s="56"/>
      <c r="AQ12" s="113"/>
      <c r="AR12" s="109"/>
      <c r="AS12" s="56"/>
      <c r="AT12" s="56"/>
      <c r="AU12" s="56"/>
      <c r="AV12" s="56"/>
      <c r="AW12" s="56"/>
      <c r="AX12" s="113"/>
      <c r="AY12" s="109"/>
      <c r="AZ12" s="56"/>
      <c r="BA12" s="56"/>
      <c r="BB12" s="56"/>
      <c r="BC12" s="56"/>
      <c r="BD12" s="113"/>
      <c r="BE12" s="109"/>
      <c r="BF12" s="56"/>
      <c r="BG12" s="56"/>
      <c r="BH12" s="56"/>
      <c r="BI12" s="56"/>
      <c r="BJ12" s="113"/>
      <c r="BK12" s="109"/>
      <c r="BL12" s="56"/>
      <c r="BM12" s="56"/>
      <c r="BN12" s="56"/>
      <c r="BO12" s="56"/>
      <c r="BP12" s="56"/>
      <c r="BQ12" s="113"/>
      <c r="BR12" s="109"/>
      <c r="BS12" s="56"/>
      <c r="BT12" s="56"/>
      <c r="BU12" s="56"/>
      <c r="BV12" s="56"/>
      <c r="BW12" s="113"/>
      <c r="BX12" s="109"/>
      <c r="BY12" s="56"/>
      <c r="BZ12" s="56"/>
      <c r="CA12" s="56"/>
      <c r="CB12" s="56"/>
      <c r="CC12" s="56"/>
      <c r="CD12" s="113"/>
      <c r="CE12" s="109"/>
      <c r="CF12" s="93"/>
      <c r="CG12" s="89"/>
      <c r="CH12" s="48"/>
      <c r="CI12" s="67"/>
      <c r="CJ12" s="69"/>
      <c r="CK12" s="67"/>
      <c r="CL12" s="69"/>
      <c r="CM12" s="57"/>
      <c r="CN12" s="67"/>
      <c r="CO12" s="57"/>
      <c r="CP12" s="81"/>
      <c r="CQ12" s="67"/>
      <c r="CR12" s="65"/>
    </row>
    <row r="13" spans="1:96">
      <c r="A13" s="49"/>
      <c r="B13" s="62"/>
      <c r="C13" s="54"/>
      <c r="D13" s="66"/>
      <c r="E13" s="52" t="s">
        <v>142</v>
      </c>
      <c r="F13" s="109"/>
      <c r="G13" s="56"/>
      <c r="H13" s="56"/>
      <c r="I13" s="56"/>
      <c r="J13" s="56"/>
      <c r="K13" s="56"/>
      <c r="L13" s="113"/>
      <c r="M13" s="109"/>
      <c r="N13" s="56"/>
      <c r="O13" s="56"/>
      <c r="P13" s="56"/>
      <c r="Q13" s="56"/>
      <c r="R13" s="113"/>
      <c r="S13" s="109"/>
      <c r="T13" s="56"/>
      <c r="U13" s="56"/>
      <c r="V13" s="56"/>
      <c r="W13" s="56"/>
      <c r="X13" s="113"/>
      <c r="Y13" s="109"/>
      <c r="Z13" s="56"/>
      <c r="AA13" s="56"/>
      <c r="AB13" s="56"/>
      <c r="AC13" s="56"/>
      <c r="AD13" s="56"/>
      <c r="AE13" s="113"/>
      <c r="AF13" s="109"/>
      <c r="AG13" s="56"/>
      <c r="AH13" s="56"/>
      <c r="AI13" s="56"/>
      <c r="AJ13" s="56"/>
      <c r="AK13" s="113"/>
      <c r="AL13" s="109"/>
      <c r="AM13" s="56"/>
      <c r="AN13" s="56"/>
      <c r="AO13" s="56"/>
      <c r="AP13" s="56"/>
      <c r="AQ13" s="113"/>
      <c r="AR13" s="109"/>
      <c r="AS13" s="56"/>
      <c r="AT13" s="56"/>
      <c r="AU13" s="56"/>
      <c r="AV13" s="56"/>
      <c r="AW13" s="56"/>
      <c r="AX13" s="113"/>
      <c r="AY13" s="109"/>
      <c r="AZ13" s="56"/>
      <c r="BA13" s="56"/>
      <c r="BB13" s="56"/>
      <c r="BC13" s="56"/>
      <c r="BD13" s="113"/>
      <c r="BE13" s="109"/>
      <c r="BF13" s="56"/>
      <c r="BG13" s="56"/>
      <c r="BH13" s="56"/>
      <c r="BI13" s="56"/>
      <c r="BJ13" s="113"/>
      <c r="BK13" s="109"/>
      <c r="BL13" s="56"/>
      <c r="BM13" s="56"/>
      <c r="BN13" s="56"/>
      <c r="BO13" s="56"/>
      <c r="BP13" s="56"/>
      <c r="BQ13" s="113"/>
      <c r="BR13" s="109"/>
      <c r="BS13" s="56"/>
      <c r="BT13" s="56"/>
      <c r="BU13" s="56"/>
      <c r="BV13" s="56"/>
      <c r="BW13" s="113"/>
      <c r="BX13" s="109"/>
      <c r="BY13" s="56"/>
      <c r="BZ13" s="56"/>
      <c r="CA13" s="56"/>
      <c r="CB13" s="56"/>
      <c r="CC13" s="56"/>
      <c r="CD13" s="113"/>
      <c r="CE13" s="109"/>
      <c r="CF13" s="93"/>
      <c r="CG13" s="89"/>
      <c r="CH13" s="48"/>
      <c r="CI13" s="67"/>
      <c r="CJ13" s="69"/>
      <c r="CK13" s="67"/>
      <c r="CL13" s="57"/>
      <c r="CM13" s="57"/>
      <c r="CN13" s="67"/>
      <c r="CO13" s="82"/>
      <c r="CP13" s="81"/>
      <c r="CQ13" s="67"/>
      <c r="CR13" s="65"/>
    </row>
    <row r="14" spans="1:96">
      <c r="A14" s="49"/>
      <c r="B14" s="62"/>
      <c r="C14" s="49"/>
      <c r="D14" s="66"/>
      <c r="E14" s="52" t="s">
        <v>143</v>
      </c>
      <c r="F14" s="109"/>
      <c r="G14" s="56"/>
      <c r="H14" s="56"/>
      <c r="I14" s="56"/>
      <c r="J14" s="56"/>
      <c r="K14" s="56"/>
      <c r="L14" s="113"/>
      <c r="M14" s="109"/>
      <c r="N14" s="56"/>
      <c r="O14" s="56"/>
      <c r="P14" s="56"/>
      <c r="Q14" s="56"/>
      <c r="R14" s="113"/>
      <c r="S14" s="109"/>
      <c r="T14" s="56"/>
      <c r="U14" s="56"/>
      <c r="V14" s="56"/>
      <c r="W14" s="56"/>
      <c r="X14" s="113"/>
      <c r="Y14" s="109"/>
      <c r="Z14" s="56"/>
      <c r="AA14" s="56"/>
      <c r="AB14" s="56"/>
      <c r="AC14" s="56"/>
      <c r="AD14" s="56"/>
      <c r="AE14" s="113"/>
      <c r="AF14" s="109"/>
      <c r="AG14" s="56"/>
      <c r="AH14" s="56"/>
      <c r="AI14" s="56"/>
      <c r="AJ14" s="56"/>
      <c r="AK14" s="113"/>
      <c r="AL14" s="109"/>
      <c r="AM14" s="56"/>
      <c r="AN14" s="56"/>
      <c r="AO14" s="56"/>
      <c r="AP14" s="56"/>
      <c r="AQ14" s="113"/>
      <c r="AR14" s="109"/>
      <c r="AS14" s="56"/>
      <c r="AT14" s="56"/>
      <c r="AU14" s="56"/>
      <c r="AV14" s="56"/>
      <c r="AW14" s="56"/>
      <c r="AX14" s="113"/>
      <c r="AY14" s="109"/>
      <c r="AZ14" s="56"/>
      <c r="BA14" s="56"/>
      <c r="BB14" s="56"/>
      <c r="BC14" s="56"/>
      <c r="BD14" s="113"/>
      <c r="BE14" s="109"/>
      <c r="BF14" s="56"/>
      <c r="BG14" s="56"/>
      <c r="BH14" s="56"/>
      <c r="BI14" s="56"/>
      <c r="BJ14" s="113"/>
      <c r="BK14" s="109"/>
      <c r="BL14" s="56"/>
      <c r="BM14" s="56"/>
      <c r="BN14" s="56"/>
      <c r="BO14" s="56"/>
      <c r="BP14" s="56"/>
      <c r="BQ14" s="113"/>
      <c r="BR14" s="109"/>
      <c r="BS14" s="56"/>
      <c r="BT14" s="56"/>
      <c r="BU14" s="56"/>
      <c r="BV14" s="56"/>
      <c r="BW14" s="113"/>
      <c r="BX14" s="109"/>
      <c r="BY14" s="56"/>
      <c r="BZ14" s="56"/>
      <c r="CA14" s="56"/>
      <c r="CB14" s="56"/>
      <c r="CC14" s="56"/>
      <c r="CD14" s="113"/>
      <c r="CE14" s="109"/>
      <c r="CF14" s="93"/>
      <c r="CG14" s="89"/>
      <c r="CH14" s="48"/>
      <c r="CI14" s="67"/>
      <c r="CJ14" s="69"/>
      <c r="CK14" s="67"/>
      <c r="CL14" s="57"/>
      <c r="CM14" s="67"/>
      <c r="CN14" s="67"/>
      <c r="CO14" s="82"/>
      <c r="CP14" s="83"/>
      <c r="CQ14" s="67"/>
      <c r="CR14" s="71"/>
    </row>
    <row r="15" spans="1:96">
      <c r="A15" s="49"/>
      <c r="B15" s="62"/>
      <c r="C15" s="49"/>
      <c r="D15" s="62"/>
      <c r="E15" s="46" t="s">
        <v>138</v>
      </c>
      <c r="F15" s="111"/>
      <c r="G15" s="47"/>
      <c r="H15" s="47"/>
      <c r="I15" s="47"/>
      <c r="J15" s="47"/>
      <c r="K15" s="47"/>
      <c r="L15" s="115"/>
      <c r="M15" s="111"/>
      <c r="N15" s="47"/>
      <c r="O15" s="47"/>
      <c r="P15" s="47"/>
      <c r="Q15" s="47"/>
      <c r="R15" s="115"/>
      <c r="S15" s="111"/>
      <c r="T15" s="47"/>
      <c r="U15" s="47"/>
      <c r="V15" s="47"/>
      <c r="W15" s="47"/>
      <c r="X15" s="115"/>
      <c r="Y15" s="111"/>
      <c r="Z15" s="47"/>
      <c r="AA15" s="47"/>
      <c r="AB15" s="47"/>
      <c r="AC15" s="47"/>
      <c r="AD15" s="47"/>
      <c r="AE15" s="115"/>
      <c r="AF15" s="111"/>
      <c r="AG15" s="47"/>
      <c r="AH15" s="47"/>
      <c r="AI15" s="47"/>
      <c r="AJ15" s="47"/>
      <c r="AK15" s="115"/>
      <c r="AL15" s="111"/>
      <c r="AM15" s="47"/>
      <c r="AN15" s="47"/>
      <c r="AO15" s="47"/>
      <c r="AP15" s="47"/>
      <c r="AQ15" s="115"/>
      <c r="AR15" s="111"/>
      <c r="AS15" s="47"/>
      <c r="AT15" s="47"/>
      <c r="AU15" s="47"/>
      <c r="AV15" s="47"/>
      <c r="AW15" s="47"/>
      <c r="AX15" s="115"/>
      <c r="AY15" s="111"/>
      <c r="AZ15" s="47"/>
      <c r="BA15" s="47"/>
      <c r="BB15" s="47"/>
      <c r="BC15" s="47"/>
      <c r="BD15" s="115"/>
      <c r="BE15" s="111"/>
      <c r="BF15" s="47"/>
      <c r="BG15" s="47"/>
      <c r="BH15" s="47"/>
      <c r="BI15" s="47"/>
      <c r="BJ15" s="115"/>
      <c r="BK15" s="111"/>
      <c r="BL15" s="47"/>
      <c r="BM15" s="47"/>
      <c r="BN15" s="47"/>
      <c r="BO15" s="47"/>
      <c r="BP15" s="47"/>
      <c r="BQ15" s="115"/>
      <c r="BR15" s="111"/>
      <c r="BS15" s="47"/>
      <c r="BT15" s="47"/>
      <c r="BU15" s="47"/>
      <c r="BV15" s="47"/>
      <c r="BW15" s="115"/>
      <c r="BX15" s="111"/>
      <c r="BY15" s="47"/>
      <c r="BZ15" s="47"/>
      <c r="CA15" s="47"/>
      <c r="CB15" s="47"/>
      <c r="CC15" s="47"/>
      <c r="CD15" s="115"/>
      <c r="CE15" s="111"/>
      <c r="CF15" s="95"/>
      <c r="CG15" s="91"/>
      <c r="CH15" s="48"/>
      <c r="CI15" s="68"/>
      <c r="CJ15" s="69"/>
      <c r="CK15" s="68"/>
      <c r="CL15" s="57"/>
      <c r="CM15" s="67"/>
      <c r="CN15" s="67"/>
      <c r="CO15" s="84"/>
      <c r="CP15" s="81"/>
      <c r="CQ15" s="67"/>
      <c r="CR15" s="71"/>
    </row>
    <row r="16" spans="1:96">
      <c r="A16" s="49"/>
      <c r="B16" s="62"/>
      <c r="C16" s="49"/>
      <c r="D16" s="62"/>
      <c r="E16" s="46" t="s">
        <v>139</v>
      </c>
      <c r="F16" s="111"/>
      <c r="G16" s="47"/>
      <c r="H16" s="47"/>
      <c r="I16" s="47"/>
      <c r="J16" s="47"/>
      <c r="K16" s="47"/>
      <c r="L16" s="115"/>
      <c r="M16" s="111"/>
      <c r="N16" s="47"/>
      <c r="O16" s="47"/>
      <c r="P16" s="47"/>
      <c r="Q16" s="47"/>
      <c r="R16" s="115"/>
      <c r="S16" s="111"/>
      <c r="T16" s="47"/>
      <c r="U16" s="47"/>
      <c r="V16" s="47"/>
      <c r="W16" s="47"/>
      <c r="X16" s="115"/>
      <c r="Y16" s="111"/>
      <c r="Z16" s="47"/>
      <c r="AA16" s="47"/>
      <c r="AB16" s="47"/>
      <c r="AC16" s="47"/>
      <c r="AD16" s="47"/>
      <c r="AE16" s="115"/>
      <c r="AF16" s="111"/>
      <c r="AG16" s="47"/>
      <c r="AH16" s="47"/>
      <c r="AI16" s="47"/>
      <c r="AJ16" s="47"/>
      <c r="AK16" s="115"/>
      <c r="AL16" s="111"/>
      <c r="AM16" s="47"/>
      <c r="AN16" s="47"/>
      <c r="AO16" s="47"/>
      <c r="AP16" s="47"/>
      <c r="AQ16" s="115"/>
      <c r="AR16" s="111"/>
      <c r="AS16" s="47"/>
      <c r="AT16" s="47"/>
      <c r="AU16" s="47"/>
      <c r="AV16" s="47"/>
      <c r="AW16" s="47"/>
      <c r="AX16" s="115"/>
      <c r="AY16" s="111"/>
      <c r="AZ16" s="47"/>
      <c r="BA16" s="47"/>
      <c r="BB16" s="47"/>
      <c r="BC16" s="47"/>
      <c r="BD16" s="115"/>
      <c r="BE16" s="111"/>
      <c r="BF16" s="47"/>
      <c r="BG16" s="47"/>
      <c r="BH16" s="47"/>
      <c r="BI16" s="47"/>
      <c r="BJ16" s="115"/>
      <c r="BK16" s="111"/>
      <c r="BL16" s="47"/>
      <c r="BM16" s="47"/>
      <c r="BN16" s="47"/>
      <c r="BO16" s="47"/>
      <c r="BP16" s="47"/>
      <c r="BQ16" s="115"/>
      <c r="BR16" s="111"/>
      <c r="BS16" s="47"/>
      <c r="BT16" s="47"/>
      <c r="BU16" s="47"/>
      <c r="BV16" s="47"/>
      <c r="BW16" s="115"/>
      <c r="BX16" s="111"/>
      <c r="BY16" s="47"/>
      <c r="BZ16" s="47"/>
      <c r="CA16" s="47"/>
      <c r="CB16" s="47"/>
      <c r="CC16" s="47"/>
      <c r="CD16" s="115"/>
      <c r="CE16" s="111"/>
      <c r="CF16" s="95"/>
      <c r="CG16" s="91"/>
      <c r="CH16" s="48"/>
      <c r="CI16" s="68"/>
      <c r="CJ16" s="69"/>
      <c r="CK16" s="68"/>
      <c r="CL16" s="57"/>
      <c r="CM16" s="67"/>
      <c r="CN16" s="67"/>
      <c r="CO16" s="84"/>
      <c r="CP16" s="81"/>
      <c r="CQ16" s="85"/>
    </row>
    <row r="17" spans="1:96">
      <c r="A17" s="106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48"/>
      <c r="CI17" s="68"/>
      <c r="CJ17" s="69"/>
      <c r="CK17" s="68"/>
      <c r="CL17" s="57"/>
      <c r="CM17" s="48"/>
      <c r="CN17" s="48"/>
      <c r="CO17" s="70"/>
      <c r="CP17" s="54"/>
    </row>
    <row r="18" spans="1:96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48"/>
      <c r="CO18" s="48"/>
      <c r="CP18" s="54"/>
      <c r="CQ18" s="48"/>
      <c r="CR18" s="48"/>
    </row>
    <row r="19" spans="1:96" s="45" customFormat="1">
      <c r="A19" s="72"/>
      <c r="B19" s="73" t="s">
        <v>118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4"/>
      <c r="CQ19" s="72"/>
      <c r="CR19" s="72"/>
    </row>
    <row r="20" spans="1:96" s="45" customFormat="1">
      <c r="A20" s="72"/>
      <c r="B20" s="72"/>
      <c r="C20" s="72"/>
      <c r="D20" s="72"/>
      <c r="E20" s="75"/>
      <c r="F20" s="76" t="s">
        <v>95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24</v>
      </c>
      <c r="M20" s="76" t="s">
        <v>25</v>
      </c>
      <c r="N20" s="76" t="s">
        <v>26</v>
      </c>
      <c r="O20" s="76" t="s">
        <v>27</v>
      </c>
      <c r="P20" s="76" t="s">
        <v>28</v>
      </c>
      <c r="Q20" s="76" t="s">
        <v>29</v>
      </c>
      <c r="R20" s="76" t="s">
        <v>24</v>
      </c>
      <c r="S20" s="76" t="s">
        <v>30</v>
      </c>
      <c r="T20" s="76" t="s">
        <v>31</v>
      </c>
      <c r="U20" s="76" t="s">
        <v>32</v>
      </c>
      <c r="V20" s="76" t="s">
        <v>33</v>
      </c>
      <c r="W20" s="76" t="s">
        <v>34</v>
      </c>
      <c r="X20" s="76" t="s">
        <v>24</v>
      </c>
      <c r="Y20" s="76" t="s">
        <v>35</v>
      </c>
      <c r="Z20" s="76" t="s">
        <v>36</v>
      </c>
      <c r="AA20" s="76" t="s">
        <v>37</v>
      </c>
      <c r="AB20" s="76" t="s">
        <v>38</v>
      </c>
      <c r="AC20" s="76" t="s">
        <v>39</v>
      </c>
      <c r="AD20" s="76" t="s">
        <v>40</v>
      </c>
      <c r="AE20" s="76" t="s">
        <v>24</v>
      </c>
      <c r="AF20" s="76" t="s">
        <v>41</v>
      </c>
      <c r="AG20" s="76" t="s">
        <v>42</v>
      </c>
      <c r="AH20" s="76" t="s">
        <v>43</v>
      </c>
      <c r="AI20" s="76" t="s">
        <v>44</v>
      </c>
      <c r="AJ20" s="76" t="s">
        <v>45</v>
      </c>
      <c r="AK20" s="76" t="s">
        <v>24</v>
      </c>
      <c r="AL20" s="76" t="s">
        <v>46</v>
      </c>
      <c r="AM20" s="76" t="s">
        <v>47</v>
      </c>
      <c r="AN20" s="76" t="s">
        <v>48</v>
      </c>
      <c r="AO20" s="76" t="s">
        <v>49</v>
      </c>
      <c r="AP20" s="76" t="s">
        <v>50</v>
      </c>
      <c r="AQ20" s="76" t="s">
        <v>24</v>
      </c>
      <c r="AR20" s="76" t="s">
        <v>51</v>
      </c>
      <c r="AS20" s="76" t="s">
        <v>52</v>
      </c>
      <c r="AT20" s="76" t="s">
        <v>53</v>
      </c>
      <c r="AU20" s="76" t="s">
        <v>54</v>
      </c>
      <c r="AV20" s="76" t="s">
        <v>55</v>
      </c>
      <c r="AW20" s="76" t="s">
        <v>56</v>
      </c>
      <c r="AX20" s="76" t="s">
        <v>24</v>
      </c>
      <c r="AY20" s="76" t="s">
        <v>57</v>
      </c>
      <c r="AZ20" s="76" t="s">
        <v>58</v>
      </c>
      <c r="BA20" s="76" t="s">
        <v>59</v>
      </c>
      <c r="BB20" s="76" t="s">
        <v>60</v>
      </c>
      <c r="BC20" s="76" t="s">
        <v>61</v>
      </c>
      <c r="BD20" s="76" t="s">
        <v>24</v>
      </c>
      <c r="BE20" s="76" t="s">
        <v>62</v>
      </c>
      <c r="BF20" s="76" t="s">
        <v>63</v>
      </c>
      <c r="BG20" s="76" t="s">
        <v>64</v>
      </c>
      <c r="BH20" s="76" t="s">
        <v>65</v>
      </c>
      <c r="BI20" s="76" t="s">
        <v>66</v>
      </c>
      <c r="BJ20" s="76" t="s">
        <v>24</v>
      </c>
      <c r="BK20" s="76" t="s">
        <v>67</v>
      </c>
      <c r="BL20" s="76" t="s">
        <v>68</v>
      </c>
      <c r="BM20" s="76" t="s">
        <v>69</v>
      </c>
      <c r="BN20" s="76" t="s">
        <v>70</v>
      </c>
      <c r="BO20" s="76" t="s">
        <v>71</v>
      </c>
      <c r="BP20" s="76" t="s">
        <v>72</v>
      </c>
      <c r="BQ20" s="76" t="s">
        <v>24</v>
      </c>
      <c r="BR20" s="76" t="s">
        <v>73</v>
      </c>
      <c r="BS20" s="76" t="s">
        <v>74</v>
      </c>
      <c r="BT20" s="76" t="s">
        <v>75</v>
      </c>
      <c r="BU20" s="76" t="s">
        <v>76</v>
      </c>
      <c r="BV20" s="76" t="s">
        <v>77</v>
      </c>
      <c r="BW20" s="76" t="s">
        <v>24</v>
      </c>
      <c r="BX20" s="76" t="s">
        <v>78</v>
      </c>
      <c r="BY20" s="76" t="s">
        <v>79</v>
      </c>
      <c r="BZ20" s="76" t="s">
        <v>80</v>
      </c>
      <c r="CA20" s="76" t="s">
        <v>81</v>
      </c>
      <c r="CB20" s="76" t="s">
        <v>82</v>
      </c>
      <c r="CC20" s="76" t="s">
        <v>119</v>
      </c>
      <c r="CD20" s="76" t="s">
        <v>24</v>
      </c>
      <c r="CE20" s="76" t="s">
        <v>83</v>
      </c>
      <c r="CF20" s="76" t="s">
        <v>84</v>
      </c>
      <c r="CG20" s="76" t="s">
        <v>140</v>
      </c>
      <c r="CH20" s="72"/>
      <c r="CI20" s="72"/>
      <c r="CJ20" s="72"/>
      <c r="CK20" s="72"/>
      <c r="CL20" s="72"/>
      <c r="CM20" s="72"/>
      <c r="CN20" s="72"/>
      <c r="CO20" s="72"/>
      <c r="CP20" s="74"/>
      <c r="CQ20" s="72"/>
      <c r="CR20" s="72"/>
    </row>
    <row r="21" spans="1:96" s="45" customFormat="1">
      <c r="A21" s="72"/>
      <c r="B21" s="72" t="s">
        <v>8</v>
      </c>
      <c r="C21" s="72"/>
      <c r="D21" s="72"/>
      <c r="E21" s="77" t="s">
        <v>130</v>
      </c>
      <c r="F21" s="108"/>
      <c r="G21" s="78"/>
      <c r="H21" s="78"/>
      <c r="I21" s="78"/>
      <c r="J21" s="78"/>
      <c r="K21" s="78"/>
      <c r="L21" s="112"/>
      <c r="M21" s="108"/>
      <c r="N21" s="78"/>
      <c r="O21" s="78"/>
      <c r="P21" s="78"/>
      <c r="Q21" s="78"/>
      <c r="R21" s="112"/>
      <c r="S21" s="108"/>
      <c r="T21" s="78"/>
      <c r="U21" s="78"/>
      <c r="V21" s="78"/>
      <c r="W21" s="78"/>
      <c r="X21" s="112"/>
      <c r="Y21" s="108"/>
      <c r="Z21" s="78"/>
      <c r="AA21" s="78"/>
      <c r="AB21" s="78"/>
      <c r="AC21" s="78"/>
      <c r="AD21" s="78"/>
      <c r="AE21" s="112"/>
      <c r="AF21" s="108"/>
      <c r="AG21" s="78"/>
      <c r="AH21" s="78"/>
      <c r="AI21" s="78"/>
      <c r="AJ21" s="78"/>
      <c r="AK21" s="112"/>
      <c r="AL21" s="108"/>
      <c r="AM21" s="78"/>
      <c r="AN21" s="78"/>
      <c r="AO21" s="78"/>
      <c r="AP21" s="78"/>
      <c r="AQ21" s="112"/>
      <c r="AR21" s="108"/>
      <c r="AS21" s="78"/>
      <c r="AT21" s="78"/>
      <c r="AU21" s="78"/>
      <c r="AV21" s="78"/>
      <c r="AW21" s="78"/>
      <c r="AX21" s="112"/>
      <c r="AY21" s="108"/>
      <c r="AZ21" s="78"/>
      <c r="BA21" s="78"/>
      <c r="BB21" s="78"/>
      <c r="BC21" s="78"/>
      <c r="BD21" s="112"/>
      <c r="BE21" s="108"/>
      <c r="BF21" s="78"/>
      <c r="BG21" s="78"/>
      <c r="BH21" s="78"/>
      <c r="BI21" s="78"/>
      <c r="BJ21" s="112"/>
      <c r="BK21" s="108"/>
      <c r="BL21" s="78"/>
      <c r="BM21" s="78"/>
      <c r="BN21" s="78"/>
      <c r="BO21" s="78"/>
      <c r="BP21" s="78"/>
      <c r="BQ21" s="112"/>
      <c r="BR21" s="108"/>
      <c r="BS21" s="78"/>
      <c r="BT21" s="78"/>
      <c r="BU21" s="78"/>
      <c r="BV21" s="78"/>
      <c r="BW21" s="112"/>
      <c r="BX21" s="108"/>
      <c r="BY21" s="78"/>
      <c r="BZ21" s="78"/>
      <c r="CA21" s="78"/>
      <c r="CB21" s="78"/>
      <c r="CC21" s="78"/>
      <c r="CD21" s="112"/>
      <c r="CE21" s="108"/>
      <c r="CF21" s="92"/>
      <c r="CG21" s="88"/>
      <c r="CH21" s="72"/>
      <c r="CI21" s="72"/>
      <c r="CJ21" s="72"/>
      <c r="CK21" s="72"/>
      <c r="CL21" s="72"/>
      <c r="CM21" s="72"/>
      <c r="CN21" s="72"/>
      <c r="CO21" s="72"/>
      <c r="CP21" s="74"/>
      <c r="CQ21" s="72"/>
      <c r="CR21" s="72"/>
    </row>
    <row r="22" spans="1:96" s="45" customFormat="1">
      <c r="A22" s="72"/>
      <c r="B22" s="72" t="s">
        <v>8</v>
      </c>
      <c r="C22" s="72"/>
      <c r="D22" s="72"/>
      <c r="E22" s="77" t="s">
        <v>129</v>
      </c>
      <c r="F22" s="109"/>
      <c r="G22" s="98"/>
      <c r="H22" s="98"/>
      <c r="I22" s="98"/>
      <c r="J22" s="98"/>
      <c r="K22" s="98"/>
      <c r="L22" s="113"/>
      <c r="M22" s="109"/>
      <c r="N22" s="98"/>
      <c r="O22" s="98"/>
      <c r="P22" s="98"/>
      <c r="Q22" s="98"/>
      <c r="R22" s="113"/>
      <c r="S22" s="109"/>
      <c r="T22" s="98"/>
      <c r="U22" s="98"/>
      <c r="V22" s="98"/>
      <c r="W22" s="98"/>
      <c r="X22" s="113"/>
      <c r="Y22" s="109"/>
      <c r="Z22" s="98"/>
      <c r="AA22" s="98"/>
      <c r="AB22" s="98"/>
      <c r="AC22" s="98"/>
      <c r="AD22" s="98"/>
      <c r="AE22" s="113"/>
      <c r="AF22" s="109"/>
      <c r="AG22" s="98"/>
      <c r="AH22" s="98"/>
      <c r="AI22" s="98"/>
      <c r="AJ22" s="98"/>
      <c r="AK22" s="113"/>
      <c r="AL22" s="109"/>
      <c r="AM22" s="98"/>
      <c r="AN22" s="98"/>
      <c r="AO22" s="98"/>
      <c r="AP22" s="98"/>
      <c r="AQ22" s="113"/>
      <c r="AR22" s="109"/>
      <c r="AS22" s="98"/>
      <c r="AT22" s="98"/>
      <c r="AU22" s="98"/>
      <c r="AV22" s="98"/>
      <c r="AW22" s="98"/>
      <c r="AX22" s="113"/>
      <c r="AY22" s="109"/>
      <c r="AZ22" s="98"/>
      <c r="BA22" s="98"/>
      <c r="BB22" s="98"/>
      <c r="BC22" s="98"/>
      <c r="BD22" s="113"/>
      <c r="BE22" s="109"/>
      <c r="BF22" s="98"/>
      <c r="BG22" s="98"/>
      <c r="BH22" s="98"/>
      <c r="BI22" s="98"/>
      <c r="BJ22" s="113"/>
      <c r="BK22" s="109"/>
      <c r="BL22" s="98"/>
      <c r="BM22" s="98"/>
      <c r="BN22" s="98"/>
      <c r="BO22" s="98"/>
      <c r="BP22" s="98"/>
      <c r="BQ22" s="113"/>
      <c r="BR22" s="109"/>
      <c r="BS22" s="98"/>
      <c r="BT22" s="98"/>
      <c r="BU22" s="98"/>
      <c r="BV22" s="98"/>
      <c r="BW22" s="113"/>
      <c r="BX22" s="109"/>
      <c r="BY22" s="98"/>
      <c r="BZ22" s="98"/>
      <c r="CA22" s="98"/>
      <c r="CB22" s="98"/>
      <c r="CC22" s="98"/>
      <c r="CD22" s="113"/>
      <c r="CE22" s="109"/>
      <c r="CF22" s="93"/>
      <c r="CG22" s="89"/>
      <c r="CH22" s="72"/>
      <c r="CI22" s="72"/>
      <c r="CJ22" s="72"/>
      <c r="CK22" s="72"/>
      <c r="CL22" s="72"/>
      <c r="CM22" s="72"/>
      <c r="CN22" s="72"/>
      <c r="CO22" s="72"/>
      <c r="CP22" s="74"/>
      <c r="CQ22" s="72"/>
      <c r="CR22" s="72"/>
    </row>
    <row r="23" spans="1:96" s="45" customFormat="1">
      <c r="A23" s="72"/>
      <c r="B23" s="72" t="s">
        <v>8</v>
      </c>
      <c r="C23" s="72"/>
      <c r="D23" s="72"/>
      <c r="E23" s="77" t="s">
        <v>131</v>
      </c>
      <c r="F23" s="109"/>
      <c r="G23" s="98"/>
      <c r="H23" s="98"/>
      <c r="I23" s="98"/>
      <c r="J23" s="98"/>
      <c r="K23" s="98"/>
      <c r="L23" s="113"/>
      <c r="M23" s="109"/>
      <c r="N23" s="98"/>
      <c r="O23" s="98"/>
      <c r="P23" s="98"/>
      <c r="Q23" s="98"/>
      <c r="R23" s="113"/>
      <c r="S23" s="109"/>
      <c r="T23" s="98"/>
      <c r="U23" s="98"/>
      <c r="V23" s="98"/>
      <c r="W23" s="98"/>
      <c r="X23" s="113"/>
      <c r="Y23" s="109"/>
      <c r="Z23" s="98"/>
      <c r="AA23" s="98"/>
      <c r="AB23" s="98"/>
      <c r="AC23" s="98"/>
      <c r="AD23" s="98"/>
      <c r="AE23" s="113"/>
      <c r="AF23" s="109"/>
      <c r="AG23" s="98"/>
      <c r="AH23" s="98"/>
      <c r="AI23" s="98"/>
      <c r="AJ23" s="98"/>
      <c r="AK23" s="113"/>
      <c r="AL23" s="109"/>
      <c r="AM23" s="98"/>
      <c r="AN23" s="98"/>
      <c r="AO23" s="98"/>
      <c r="AP23" s="98"/>
      <c r="AQ23" s="113"/>
      <c r="AR23" s="109"/>
      <c r="AS23" s="98"/>
      <c r="AT23" s="98"/>
      <c r="AU23" s="98"/>
      <c r="AV23" s="98"/>
      <c r="AW23" s="98"/>
      <c r="AX23" s="113"/>
      <c r="AY23" s="109"/>
      <c r="AZ23" s="98"/>
      <c r="BA23" s="98"/>
      <c r="BB23" s="98"/>
      <c r="BC23" s="98"/>
      <c r="BD23" s="113"/>
      <c r="BE23" s="109"/>
      <c r="BF23" s="98"/>
      <c r="BG23" s="98"/>
      <c r="BH23" s="98"/>
      <c r="BI23" s="98"/>
      <c r="BJ23" s="113"/>
      <c r="BK23" s="109"/>
      <c r="BL23" s="98"/>
      <c r="BM23" s="98"/>
      <c r="BN23" s="98"/>
      <c r="BO23" s="98"/>
      <c r="BP23" s="98"/>
      <c r="BQ23" s="113"/>
      <c r="BR23" s="109"/>
      <c r="BS23" s="98"/>
      <c r="BT23" s="98"/>
      <c r="BU23" s="98"/>
      <c r="BV23" s="98"/>
      <c r="BW23" s="113"/>
      <c r="BX23" s="109"/>
      <c r="BY23" s="98"/>
      <c r="BZ23" s="98"/>
      <c r="CA23" s="98"/>
      <c r="CB23" s="98"/>
      <c r="CC23" s="98"/>
      <c r="CD23" s="113"/>
      <c r="CE23" s="109"/>
      <c r="CF23" s="93"/>
      <c r="CG23" s="89"/>
      <c r="CH23" s="72"/>
      <c r="CI23" s="72"/>
      <c r="CJ23" s="72"/>
      <c r="CK23" s="72"/>
      <c r="CL23" s="72"/>
      <c r="CM23" s="72"/>
      <c r="CN23" s="72"/>
      <c r="CO23" s="72"/>
      <c r="CP23" s="74"/>
      <c r="CQ23" s="72"/>
      <c r="CR23" s="72"/>
    </row>
    <row r="24" spans="1:96" s="45" customFormat="1">
      <c r="A24" s="72"/>
      <c r="B24" s="72" t="s">
        <v>8</v>
      </c>
      <c r="C24" s="72"/>
      <c r="D24" s="72"/>
      <c r="E24" s="77" t="s">
        <v>132</v>
      </c>
      <c r="F24" s="109"/>
      <c r="G24" s="98"/>
      <c r="H24" s="98"/>
      <c r="I24" s="98"/>
      <c r="J24" s="98"/>
      <c r="K24" s="98"/>
      <c r="L24" s="113"/>
      <c r="M24" s="109"/>
      <c r="N24" s="98"/>
      <c r="O24" s="98"/>
      <c r="P24" s="98"/>
      <c r="Q24" s="98"/>
      <c r="R24" s="113"/>
      <c r="S24" s="109"/>
      <c r="T24" s="98"/>
      <c r="U24" s="98"/>
      <c r="V24" s="98"/>
      <c r="W24" s="98"/>
      <c r="X24" s="113"/>
      <c r="Y24" s="109"/>
      <c r="Z24" s="98"/>
      <c r="AA24" s="98"/>
      <c r="AB24" s="98"/>
      <c r="AC24" s="98"/>
      <c r="AD24" s="98"/>
      <c r="AE24" s="113"/>
      <c r="AF24" s="109"/>
      <c r="AG24" s="98"/>
      <c r="AH24" s="98"/>
      <c r="AI24" s="98"/>
      <c r="AJ24" s="98"/>
      <c r="AK24" s="113"/>
      <c r="AL24" s="109"/>
      <c r="AM24" s="98"/>
      <c r="AN24" s="98"/>
      <c r="AO24" s="98"/>
      <c r="AP24" s="98"/>
      <c r="AQ24" s="113"/>
      <c r="AR24" s="109"/>
      <c r="AS24" s="98"/>
      <c r="AT24" s="98"/>
      <c r="AU24" s="98"/>
      <c r="AV24" s="98"/>
      <c r="AW24" s="98"/>
      <c r="AX24" s="113"/>
      <c r="AY24" s="109"/>
      <c r="AZ24" s="98"/>
      <c r="BA24" s="98"/>
      <c r="BB24" s="98"/>
      <c r="BC24" s="98"/>
      <c r="BD24" s="113"/>
      <c r="BE24" s="109"/>
      <c r="BF24" s="98"/>
      <c r="BG24" s="98"/>
      <c r="BH24" s="98"/>
      <c r="BI24" s="98"/>
      <c r="BJ24" s="113"/>
      <c r="BK24" s="109"/>
      <c r="BL24" s="98"/>
      <c r="BM24" s="98"/>
      <c r="BN24" s="98"/>
      <c r="BO24" s="98"/>
      <c r="BP24" s="98"/>
      <c r="BQ24" s="113"/>
      <c r="BR24" s="109"/>
      <c r="BS24" s="98"/>
      <c r="BT24" s="98"/>
      <c r="BU24" s="98"/>
      <c r="BV24" s="98"/>
      <c r="BW24" s="113"/>
      <c r="BX24" s="109"/>
      <c r="BY24" s="98"/>
      <c r="BZ24" s="98"/>
      <c r="CA24" s="98"/>
      <c r="CB24" s="98"/>
      <c r="CC24" s="98"/>
      <c r="CD24" s="113"/>
      <c r="CE24" s="109"/>
      <c r="CF24" s="93"/>
      <c r="CG24" s="89"/>
      <c r="CH24" s="72"/>
      <c r="CI24" s="72"/>
      <c r="CJ24" s="72"/>
      <c r="CK24" s="72"/>
      <c r="CL24" s="72"/>
      <c r="CM24" s="72"/>
      <c r="CN24" s="72"/>
      <c r="CO24" s="72"/>
      <c r="CP24" s="74"/>
      <c r="CQ24" s="72"/>
      <c r="CR24" s="72"/>
    </row>
    <row r="25" spans="1:96" s="45" customFormat="1">
      <c r="A25" s="72"/>
      <c r="B25" s="72"/>
      <c r="C25" s="72"/>
      <c r="D25" s="72"/>
      <c r="E25" s="99" t="s">
        <v>133</v>
      </c>
      <c r="F25" s="110"/>
      <c r="G25" s="100"/>
      <c r="H25" s="100"/>
      <c r="I25" s="100"/>
      <c r="J25" s="100"/>
      <c r="K25" s="100"/>
      <c r="L25" s="114"/>
      <c r="M25" s="110"/>
      <c r="N25" s="100"/>
      <c r="O25" s="100"/>
      <c r="P25" s="100"/>
      <c r="Q25" s="100"/>
      <c r="R25" s="114"/>
      <c r="S25" s="110"/>
      <c r="T25" s="100"/>
      <c r="U25" s="100"/>
      <c r="V25" s="100"/>
      <c r="W25" s="100"/>
      <c r="X25" s="114"/>
      <c r="Y25" s="110"/>
      <c r="Z25" s="100"/>
      <c r="AA25" s="100"/>
      <c r="AB25" s="100"/>
      <c r="AC25" s="100"/>
      <c r="AD25" s="100"/>
      <c r="AE25" s="114"/>
      <c r="AF25" s="110"/>
      <c r="AG25" s="100"/>
      <c r="AH25" s="100"/>
      <c r="AI25" s="100"/>
      <c r="AJ25" s="100"/>
      <c r="AK25" s="114"/>
      <c r="AL25" s="110"/>
      <c r="AM25" s="100"/>
      <c r="AN25" s="100"/>
      <c r="AO25" s="100"/>
      <c r="AP25" s="100"/>
      <c r="AQ25" s="114"/>
      <c r="AR25" s="110"/>
      <c r="AS25" s="100"/>
      <c r="AT25" s="100"/>
      <c r="AU25" s="100"/>
      <c r="AV25" s="100"/>
      <c r="AW25" s="100"/>
      <c r="AX25" s="114"/>
      <c r="AY25" s="110"/>
      <c r="AZ25" s="100"/>
      <c r="BA25" s="100"/>
      <c r="BB25" s="100"/>
      <c r="BC25" s="100"/>
      <c r="BD25" s="114"/>
      <c r="BE25" s="110"/>
      <c r="BF25" s="100"/>
      <c r="BG25" s="100"/>
      <c r="BH25" s="100"/>
      <c r="BI25" s="100"/>
      <c r="BJ25" s="114"/>
      <c r="BK25" s="110"/>
      <c r="BL25" s="100"/>
      <c r="BM25" s="100"/>
      <c r="BN25" s="100"/>
      <c r="BO25" s="100"/>
      <c r="BP25" s="100"/>
      <c r="BQ25" s="114"/>
      <c r="BR25" s="110"/>
      <c r="BS25" s="100"/>
      <c r="BT25" s="100"/>
      <c r="BU25" s="100"/>
      <c r="BV25" s="100"/>
      <c r="BW25" s="114"/>
      <c r="BX25" s="110"/>
      <c r="BY25" s="100"/>
      <c r="BZ25" s="100"/>
      <c r="CA25" s="100"/>
      <c r="CB25" s="100"/>
      <c r="CC25" s="100"/>
      <c r="CD25" s="114"/>
      <c r="CE25" s="110"/>
      <c r="CF25" s="94"/>
      <c r="CG25" s="90"/>
      <c r="CH25" s="72"/>
      <c r="CI25" s="72"/>
      <c r="CJ25" s="72"/>
      <c r="CK25" s="72"/>
      <c r="CL25" s="72"/>
      <c r="CM25" s="72"/>
      <c r="CN25" s="72"/>
      <c r="CO25" s="72"/>
      <c r="CP25" s="74"/>
      <c r="CQ25" s="72"/>
      <c r="CR25" s="72"/>
    </row>
    <row r="26" spans="1:96" s="45" customFormat="1">
      <c r="B26" s="72"/>
      <c r="E26" s="77" t="s">
        <v>134</v>
      </c>
      <c r="F26" s="109"/>
      <c r="G26" s="98"/>
      <c r="H26" s="98"/>
      <c r="I26" s="98"/>
      <c r="J26" s="98"/>
      <c r="K26" s="98"/>
      <c r="L26" s="113"/>
      <c r="M26" s="109"/>
      <c r="N26" s="98"/>
      <c r="O26" s="98"/>
      <c r="P26" s="98"/>
      <c r="Q26" s="98"/>
      <c r="R26" s="113"/>
      <c r="S26" s="109"/>
      <c r="T26" s="98"/>
      <c r="U26" s="98"/>
      <c r="V26" s="98"/>
      <c r="W26" s="98"/>
      <c r="X26" s="113"/>
      <c r="Y26" s="109"/>
      <c r="Z26" s="98"/>
      <c r="AA26" s="98"/>
      <c r="AB26" s="98"/>
      <c r="AC26" s="98"/>
      <c r="AD26" s="98"/>
      <c r="AE26" s="113"/>
      <c r="AF26" s="109"/>
      <c r="AG26" s="98"/>
      <c r="AH26" s="98"/>
      <c r="AI26" s="98"/>
      <c r="AJ26" s="98"/>
      <c r="AK26" s="113"/>
      <c r="AL26" s="109"/>
      <c r="AM26" s="98"/>
      <c r="AN26" s="98"/>
      <c r="AO26" s="98"/>
      <c r="AP26" s="98"/>
      <c r="AQ26" s="113"/>
      <c r="AR26" s="109"/>
      <c r="AS26" s="98"/>
      <c r="AT26" s="98"/>
      <c r="AU26" s="98"/>
      <c r="AV26" s="98"/>
      <c r="AW26" s="98"/>
      <c r="AX26" s="113"/>
      <c r="AY26" s="109"/>
      <c r="AZ26" s="98"/>
      <c r="BA26" s="98"/>
      <c r="BB26" s="98"/>
      <c r="BC26" s="98"/>
      <c r="BD26" s="113"/>
      <c r="BE26" s="109"/>
      <c r="BF26" s="98"/>
      <c r="BG26" s="98"/>
      <c r="BH26" s="98"/>
      <c r="BI26" s="98"/>
      <c r="BJ26" s="113"/>
      <c r="BK26" s="109"/>
      <c r="BL26" s="98"/>
      <c r="BM26" s="98"/>
      <c r="BN26" s="98"/>
      <c r="BO26" s="98"/>
      <c r="BP26" s="98"/>
      <c r="BQ26" s="113"/>
      <c r="BR26" s="109"/>
      <c r="BS26" s="98"/>
      <c r="BT26" s="98"/>
      <c r="BU26" s="98"/>
      <c r="BV26" s="98"/>
      <c r="BW26" s="113"/>
      <c r="BX26" s="109"/>
      <c r="BY26" s="98"/>
      <c r="BZ26" s="98"/>
      <c r="CA26" s="98"/>
      <c r="CB26" s="98"/>
      <c r="CC26" s="98"/>
      <c r="CD26" s="113"/>
      <c r="CE26" s="109"/>
      <c r="CF26" s="93"/>
      <c r="CG26" s="89"/>
      <c r="CP26" s="101"/>
    </row>
    <row r="27" spans="1:96" s="45" customFormat="1">
      <c r="B27" s="72"/>
      <c r="E27" s="77" t="s">
        <v>135</v>
      </c>
      <c r="F27" s="109"/>
      <c r="G27" s="98"/>
      <c r="H27" s="98"/>
      <c r="I27" s="98"/>
      <c r="J27" s="98"/>
      <c r="K27" s="98"/>
      <c r="L27" s="113"/>
      <c r="M27" s="109"/>
      <c r="N27" s="98"/>
      <c r="O27" s="98"/>
      <c r="P27" s="98"/>
      <c r="Q27" s="98"/>
      <c r="R27" s="113"/>
      <c r="S27" s="109"/>
      <c r="T27" s="98"/>
      <c r="U27" s="98"/>
      <c r="V27" s="98"/>
      <c r="W27" s="98"/>
      <c r="X27" s="113"/>
      <c r="Y27" s="109"/>
      <c r="Z27" s="98"/>
      <c r="AA27" s="98"/>
      <c r="AB27" s="98"/>
      <c r="AC27" s="98"/>
      <c r="AD27" s="98"/>
      <c r="AE27" s="113"/>
      <c r="AF27" s="109"/>
      <c r="AG27" s="98"/>
      <c r="AH27" s="98"/>
      <c r="AI27" s="98"/>
      <c r="AJ27" s="98"/>
      <c r="AK27" s="113"/>
      <c r="AL27" s="109"/>
      <c r="AM27" s="98"/>
      <c r="AN27" s="98"/>
      <c r="AO27" s="98"/>
      <c r="AP27" s="98"/>
      <c r="AQ27" s="113"/>
      <c r="AR27" s="109"/>
      <c r="AS27" s="98"/>
      <c r="AT27" s="98"/>
      <c r="AU27" s="98"/>
      <c r="AV27" s="98"/>
      <c r="AW27" s="98"/>
      <c r="AX27" s="113"/>
      <c r="AY27" s="109"/>
      <c r="AZ27" s="98"/>
      <c r="BA27" s="98"/>
      <c r="BB27" s="98"/>
      <c r="BC27" s="98"/>
      <c r="BD27" s="113"/>
      <c r="BE27" s="109"/>
      <c r="BF27" s="98"/>
      <c r="BG27" s="98"/>
      <c r="BH27" s="98"/>
      <c r="BI27" s="98"/>
      <c r="BJ27" s="113"/>
      <c r="BK27" s="109"/>
      <c r="BL27" s="98"/>
      <c r="BM27" s="98"/>
      <c r="BN27" s="98"/>
      <c r="BO27" s="98"/>
      <c r="BP27" s="98"/>
      <c r="BQ27" s="113"/>
      <c r="BR27" s="109"/>
      <c r="BS27" s="98"/>
      <c r="BT27" s="98"/>
      <c r="BU27" s="98"/>
      <c r="BV27" s="98"/>
      <c r="BW27" s="113"/>
      <c r="BX27" s="109"/>
      <c r="BY27" s="98"/>
      <c r="BZ27" s="98"/>
      <c r="CA27" s="98"/>
      <c r="CB27" s="98"/>
      <c r="CC27" s="98"/>
      <c r="CD27" s="113"/>
      <c r="CE27" s="109"/>
      <c r="CF27" s="93"/>
      <c r="CG27" s="89"/>
      <c r="CP27" s="101"/>
    </row>
    <row r="28" spans="1:96" s="45" customFormat="1">
      <c r="B28" s="72"/>
      <c r="E28" s="102" t="s">
        <v>136</v>
      </c>
      <c r="F28" s="111"/>
      <c r="G28" s="103"/>
      <c r="H28" s="103"/>
      <c r="I28" s="103"/>
      <c r="J28" s="103"/>
      <c r="K28" s="103"/>
      <c r="L28" s="115"/>
      <c r="M28" s="111"/>
      <c r="N28" s="103"/>
      <c r="O28" s="103"/>
      <c r="P28" s="103"/>
      <c r="Q28" s="103"/>
      <c r="R28" s="115"/>
      <c r="S28" s="111"/>
      <c r="T28" s="103"/>
      <c r="U28" s="103"/>
      <c r="V28" s="103"/>
      <c r="W28" s="103"/>
      <c r="X28" s="115"/>
      <c r="Y28" s="111"/>
      <c r="Z28" s="103"/>
      <c r="AA28" s="103"/>
      <c r="AB28" s="103"/>
      <c r="AC28" s="103"/>
      <c r="AD28" s="103"/>
      <c r="AE28" s="115"/>
      <c r="AF28" s="111"/>
      <c r="AG28" s="103"/>
      <c r="AH28" s="103"/>
      <c r="AI28" s="103"/>
      <c r="AJ28" s="103"/>
      <c r="AK28" s="115"/>
      <c r="AL28" s="111"/>
      <c r="AM28" s="103"/>
      <c r="AN28" s="103"/>
      <c r="AO28" s="103"/>
      <c r="AP28" s="103"/>
      <c r="AQ28" s="115"/>
      <c r="AR28" s="111"/>
      <c r="AS28" s="103"/>
      <c r="AT28" s="103"/>
      <c r="AU28" s="103"/>
      <c r="AV28" s="103"/>
      <c r="AW28" s="103"/>
      <c r="AX28" s="115"/>
      <c r="AY28" s="111"/>
      <c r="AZ28" s="103"/>
      <c r="BA28" s="103"/>
      <c r="BB28" s="103"/>
      <c r="BC28" s="103"/>
      <c r="BD28" s="115"/>
      <c r="BE28" s="111"/>
      <c r="BF28" s="103"/>
      <c r="BG28" s="103"/>
      <c r="BH28" s="103"/>
      <c r="BI28" s="103"/>
      <c r="BJ28" s="115"/>
      <c r="BK28" s="111"/>
      <c r="BL28" s="103"/>
      <c r="BM28" s="103"/>
      <c r="BN28" s="103"/>
      <c r="BO28" s="103"/>
      <c r="BP28" s="103"/>
      <c r="BQ28" s="115"/>
      <c r="BR28" s="111"/>
      <c r="BS28" s="103"/>
      <c r="BT28" s="103"/>
      <c r="BU28" s="103"/>
      <c r="BV28" s="103"/>
      <c r="BW28" s="115"/>
      <c r="BX28" s="111"/>
      <c r="BY28" s="103"/>
      <c r="BZ28" s="103"/>
      <c r="CA28" s="103"/>
      <c r="CB28" s="103"/>
      <c r="CC28" s="103"/>
      <c r="CD28" s="115"/>
      <c r="CE28" s="111"/>
      <c r="CF28" s="95"/>
      <c r="CG28" s="91"/>
      <c r="CP28" s="101"/>
    </row>
    <row r="29" spans="1:96" s="45" customFormat="1">
      <c r="B29" s="72"/>
      <c r="E29" s="102" t="s">
        <v>137</v>
      </c>
      <c r="F29" s="111"/>
      <c r="G29" s="103"/>
      <c r="H29" s="103"/>
      <c r="I29" s="103"/>
      <c r="J29" s="103"/>
      <c r="K29" s="103"/>
      <c r="L29" s="115"/>
      <c r="M29" s="111"/>
      <c r="N29" s="103"/>
      <c r="O29" s="103"/>
      <c r="P29" s="103"/>
      <c r="Q29" s="103"/>
      <c r="R29" s="115"/>
      <c r="S29" s="111"/>
      <c r="T29" s="103"/>
      <c r="U29" s="103"/>
      <c r="V29" s="103"/>
      <c r="W29" s="103"/>
      <c r="X29" s="115"/>
      <c r="Y29" s="111"/>
      <c r="Z29" s="103"/>
      <c r="AA29" s="103"/>
      <c r="AB29" s="103"/>
      <c r="AC29" s="103"/>
      <c r="AD29" s="103"/>
      <c r="AE29" s="115"/>
      <c r="AF29" s="111"/>
      <c r="AG29" s="103"/>
      <c r="AH29" s="103"/>
      <c r="AI29" s="103"/>
      <c r="AJ29" s="103"/>
      <c r="AK29" s="115"/>
      <c r="AL29" s="111"/>
      <c r="AM29" s="103"/>
      <c r="AN29" s="103"/>
      <c r="AO29" s="103"/>
      <c r="AP29" s="103"/>
      <c r="AQ29" s="115"/>
      <c r="AR29" s="111"/>
      <c r="AS29" s="103"/>
      <c r="AT29" s="103"/>
      <c r="AU29" s="103"/>
      <c r="AV29" s="103"/>
      <c r="AW29" s="103"/>
      <c r="AX29" s="115"/>
      <c r="AY29" s="111"/>
      <c r="AZ29" s="103"/>
      <c r="BA29" s="103"/>
      <c r="BB29" s="103"/>
      <c r="BC29" s="103"/>
      <c r="BD29" s="115"/>
      <c r="BE29" s="111"/>
      <c r="BF29" s="103"/>
      <c r="BG29" s="103"/>
      <c r="BH29" s="103"/>
      <c r="BI29" s="103"/>
      <c r="BJ29" s="115"/>
      <c r="BK29" s="111"/>
      <c r="BL29" s="103"/>
      <c r="BM29" s="103"/>
      <c r="BN29" s="103"/>
      <c r="BO29" s="103"/>
      <c r="BP29" s="103"/>
      <c r="BQ29" s="115"/>
      <c r="BR29" s="111"/>
      <c r="BS29" s="103"/>
      <c r="BT29" s="103"/>
      <c r="BU29" s="103"/>
      <c r="BV29" s="103"/>
      <c r="BW29" s="115"/>
      <c r="BX29" s="111"/>
      <c r="BY29" s="103"/>
      <c r="BZ29" s="103"/>
      <c r="CA29" s="103"/>
      <c r="CB29" s="103"/>
      <c r="CC29" s="103"/>
      <c r="CD29" s="115"/>
      <c r="CE29" s="111"/>
      <c r="CF29" s="95"/>
      <c r="CG29" s="91"/>
      <c r="CP29" s="101"/>
    </row>
    <row r="30" spans="1:96" s="45" customFormat="1">
      <c r="B30" s="72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5"/>
      <c r="CE30" s="105"/>
      <c r="CF30" s="105"/>
      <c r="CG30" s="105"/>
      <c r="CP30" s="101"/>
    </row>
    <row r="31" spans="1:96" s="45" customFormat="1">
      <c r="B31" s="72"/>
      <c r="E31" s="77" t="s">
        <v>141</v>
      </c>
      <c r="F31" s="109"/>
      <c r="G31" s="98"/>
      <c r="H31" s="98"/>
      <c r="I31" s="98"/>
      <c r="J31" s="98"/>
      <c r="K31" s="98"/>
      <c r="L31" s="113"/>
      <c r="M31" s="109"/>
      <c r="N31" s="98"/>
      <c r="O31" s="98"/>
      <c r="P31" s="98"/>
      <c r="Q31" s="98"/>
      <c r="R31" s="113"/>
      <c r="S31" s="109"/>
      <c r="T31" s="98"/>
      <c r="U31" s="98"/>
      <c r="V31" s="98"/>
      <c r="W31" s="98"/>
      <c r="X31" s="113"/>
      <c r="Y31" s="109"/>
      <c r="Z31" s="98"/>
      <c r="AA31" s="98"/>
      <c r="AB31" s="98"/>
      <c r="AC31" s="98"/>
      <c r="AD31" s="98"/>
      <c r="AE31" s="113"/>
      <c r="AF31" s="109"/>
      <c r="AG31" s="98"/>
      <c r="AH31" s="98"/>
      <c r="AI31" s="98"/>
      <c r="AJ31" s="98"/>
      <c r="AK31" s="113"/>
      <c r="AL31" s="109"/>
      <c r="AM31" s="98"/>
      <c r="AN31" s="98"/>
      <c r="AO31" s="98"/>
      <c r="AP31" s="98"/>
      <c r="AQ31" s="113"/>
      <c r="AR31" s="109"/>
      <c r="AS31" s="98"/>
      <c r="AT31" s="98"/>
      <c r="AU31" s="98"/>
      <c r="AV31" s="98"/>
      <c r="AW31" s="98"/>
      <c r="AX31" s="113"/>
      <c r="AY31" s="109"/>
      <c r="AZ31" s="98"/>
      <c r="BA31" s="98"/>
      <c r="BB31" s="98"/>
      <c r="BC31" s="98"/>
      <c r="BD31" s="113"/>
      <c r="BE31" s="109"/>
      <c r="BF31" s="98"/>
      <c r="BG31" s="98"/>
      <c r="BH31" s="98"/>
      <c r="BI31" s="98"/>
      <c r="BJ31" s="113"/>
      <c r="BK31" s="109"/>
      <c r="BL31" s="98"/>
      <c r="BM31" s="98"/>
      <c r="BN31" s="98"/>
      <c r="BO31" s="98"/>
      <c r="BP31" s="98"/>
      <c r="BQ31" s="113"/>
      <c r="BR31" s="109"/>
      <c r="BS31" s="98"/>
      <c r="BT31" s="98"/>
      <c r="BU31" s="98"/>
      <c r="BV31" s="98"/>
      <c r="BW31" s="113"/>
      <c r="BX31" s="109"/>
      <c r="BY31" s="98"/>
      <c r="BZ31" s="98"/>
      <c r="CA31" s="98"/>
      <c r="CB31" s="98"/>
      <c r="CC31" s="98"/>
      <c r="CD31" s="113"/>
      <c r="CE31" s="109"/>
      <c r="CF31" s="93"/>
      <c r="CG31" s="89"/>
      <c r="CP31" s="101"/>
    </row>
    <row r="32" spans="1:96" s="45" customFormat="1">
      <c r="B32" s="72"/>
      <c r="E32" s="77" t="s">
        <v>142</v>
      </c>
      <c r="F32" s="109"/>
      <c r="G32" s="98"/>
      <c r="H32" s="98"/>
      <c r="I32" s="98"/>
      <c r="J32" s="98"/>
      <c r="K32" s="98"/>
      <c r="L32" s="113"/>
      <c r="M32" s="109"/>
      <c r="N32" s="98"/>
      <c r="O32" s="98"/>
      <c r="P32" s="98"/>
      <c r="Q32" s="98"/>
      <c r="R32" s="113"/>
      <c r="S32" s="109"/>
      <c r="T32" s="98"/>
      <c r="U32" s="98"/>
      <c r="V32" s="98"/>
      <c r="W32" s="98"/>
      <c r="X32" s="113"/>
      <c r="Y32" s="109"/>
      <c r="Z32" s="98"/>
      <c r="AA32" s="98"/>
      <c r="AB32" s="98"/>
      <c r="AC32" s="98"/>
      <c r="AD32" s="98"/>
      <c r="AE32" s="113"/>
      <c r="AF32" s="109"/>
      <c r="AG32" s="98"/>
      <c r="AH32" s="98"/>
      <c r="AI32" s="98"/>
      <c r="AJ32" s="98"/>
      <c r="AK32" s="113"/>
      <c r="AL32" s="109"/>
      <c r="AM32" s="98"/>
      <c r="AN32" s="98"/>
      <c r="AO32" s="98"/>
      <c r="AP32" s="98"/>
      <c r="AQ32" s="113"/>
      <c r="AR32" s="109"/>
      <c r="AS32" s="98"/>
      <c r="AT32" s="98"/>
      <c r="AU32" s="98"/>
      <c r="AV32" s="98"/>
      <c r="AW32" s="98"/>
      <c r="AX32" s="113"/>
      <c r="AY32" s="109"/>
      <c r="AZ32" s="98"/>
      <c r="BA32" s="98"/>
      <c r="BB32" s="98"/>
      <c r="BC32" s="98"/>
      <c r="BD32" s="113"/>
      <c r="BE32" s="109"/>
      <c r="BF32" s="98"/>
      <c r="BG32" s="98"/>
      <c r="BH32" s="98"/>
      <c r="BI32" s="98"/>
      <c r="BJ32" s="113"/>
      <c r="BK32" s="109"/>
      <c r="BL32" s="98"/>
      <c r="BM32" s="98"/>
      <c r="BN32" s="98"/>
      <c r="BO32" s="98"/>
      <c r="BP32" s="98"/>
      <c r="BQ32" s="113"/>
      <c r="BR32" s="109"/>
      <c r="BS32" s="98"/>
      <c r="BT32" s="98"/>
      <c r="BU32" s="98"/>
      <c r="BV32" s="98"/>
      <c r="BW32" s="113"/>
      <c r="BX32" s="109"/>
      <c r="BY32" s="98"/>
      <c r="BZ32" s="98"/>
      <c r="CA32" s="98"/>
      <c r="CB32" s="98"/>
      <c r="CC32" s="98"/>
      <c r="CD32" s="113"/>
      <c r="CE32" s="109"/>
      <c r="CF32" s="93"/>
      <c r="CG32" s="89"/>
      <c r="CP32" s="101"/>
    </row>
    <row r="33" spans="2:94" s="45" customFormat="1">
      <c r="B33" s="72"/>
      <c r="E33" s="77" t="s">
        <v>143</v>
      </c>
      <c r="F33" s="109"/>
      <c r="G33" s="98"/>
      <c r="H33" s="98"/>
      <c r="I33" s="98"/>
      <c r="J33" s="98"/>
      <c r="K33" s="98"/>
      <c r="L33" s="113"/>
      <c r="M33" s="109"/>
      <c r="N33" s="98"/>
      <c r="O33" s="98"/>
      <c r="P33" s="98"/>
      <c r="Q33" s="98"/>
      <c r="R33" s="113"/>
      <c r="S33" s="109"/>
      <c r="T33" s="98"/>
      <c r="U33" s="98"/>
      <c r="V33" s="98"/>
      <c r="W33" s="98"/>
      <c r="X33" s="113"/>
      <c r="Y33" s="109"/>
      <c r="Z33" s="98"/>
      <c r="AA33" s="98"/>
      <c r="AB33" s="98"/>
      <c r="AC33" s="98"/>
      <c r="AD33" s="98"/>
      <c r="AE33" s="113"/>
      <c r="AF33" s="109"/>
      <c r="AG33" s="98"/>
      <c r="AH33" s="98"/>
      <c r="AI33" s="98"/>
      <c r="AJ33" s="98"/>
      <c r="AK33" s="113"/>
      <c r="AL33" s="109"/>
      <c r="AM33" s="98"/>
      <c r="AN33" s="98"/>
      <c r="AO33" s="98"/>
      <c r="AP33" s="98"/>
      <c r="AQ33" s="113"/>
      <c r="AR33" s="109"/>
      <c r="AS33" s="98"/>
      <c r="AT33" s="98"/>
      <c r="AU33" s="98"/>
      <c r="AV33" s="98"/>
      <c r="AW33" s="98"/>
      <c r="AX33" s="113"/>
      <c r="AY33" s="109"/>
      <c r="AZ33" s="98"/>
      <c r="BA33" s="98"/>
      <c r="BB33" s="98"/>
      <c r="BC33" s="98"/>
      <c r="BD33" s="113"/>
      <c r="BE33" s="109"/>
      <c r="BF33" s="98"/>
      <c r="BG33" s="98"/>
      <c r="BH33" s="98"/>
      <c r="BI33" s="98"/>
      <c r="BJ33" s="113"/>
      <c r="BK33" s="109"/>
      <c r="BL33" s="98"/>
      <c r="BM33" s="98"/>
      <c r="BN33" s="98"/>
      <c r="BO33" s="98"/>
      <c r="BP33" s="98"/>
      <c r="BQ33" s="113"/>
      <c r="BR33" s="109"/>
      <c r="BS33" s="98"/>
      <c r="BT33" s="98"/>
      <c r="BU33" s="98"/>
      <c r="BV33" s="98"/>
      <c r="BW33" s="113"/>
      <c r="BX33" s="109"/>
      <c r="BY33" s="98"/>
      <c r="BZ33" s="98"/>
      <c r="CA33" s="98"/>
      <c r="CB33" s="98"/>
      <c r="CC33" s="98"/>
      <c r="CD33" s="113"/>
      <c r="CE33" s="109"/>
      <c r="CF33" s="93"/>
      <c r="CG33" s="89"/>
      <c r="CP33" s="101"/>
    </row>
    <row r="34" spans="2:94" s="45" customFormat="1">
      <c r="B34" s="72"/>
      <c r="E34" s="102" t="s">
        <v>138</v>
      </c>
      <c r="F34" s="111"/>
      <c r="G34" s="103"/>
      <c r="H34" s="103"/>
      <c r="I34" s="103"/>
      <c r="J34" s="103"/>
      <c r="K34" s="103"/>
      <c r="L34" s="115"/>
      <c r="M34" s="111"/>
      <c r="N34" s="103"/>
      <c r="O34" s="103"/>
      <c r="P34" s="103"/>
      <c r="Q34" s="103"/>
      <c r="R34" s="115"/>
      <c r="S34" s="111"/>
      <c r="T34" s="103"/>
      <c r="U34" s="103"/>
      <c r="V34" s="103"/>
      <c r="W34" s="103"/>
      <c r="X34" s="115"/>
      <c r="Y34" s="111"/>
      <c r="Z34" s="103"/>
      <c r="AA34" s="103"/>
      <c r="AB34" s="103"/>
      <c r="AC34" s="103"/>
      <c r="AD34" s="103"/>
      <c r="AE34" s="115"/>
      <c r="AF34" s="111"/>
      <c r="AG34" s="103"/>
      <c r="AH34" s="103"/>
      <c r="AI34" s="103"/>
      <c r="AJ34" s="103"/>
      <c r="AK34" s="115"/>
      <c r="AL34" s="111"/>
      <c r="AM34" s="103"/>
      <c r="AN34" s="103"/>
      <c r="AO34" s="103"/>
      <c r="AP34" s="103"/>
      <c r="AQ34" s="115"/>
      <c r="AR34" s="111"/>
      <c r="AS34" s="103"/>
      <c r="AT34" s="103"/>
      <c r="AU34" s="103"/>
      <c r="AV34" s="103"/>
      <c r="AW34" s="103"/>
      <c r="AX34" s="115"/>
      <c r="AY34" s="111"/>
      <c r="AZ34" s="103"/>
      <c r="BA34" s="103"/>
      <c r="BB34" s="103"/>
      <c r="BC34" s="103"/>
      <c r="BD34" s="115"/>
      <c r="BE34" s="111"/>
      <c r="BF34" s="103"/>
      <c r="BG34" s="103"/>
      <c r="BH34" s="103"/>
      <c r="BI34" s="103"/>
      <c r="BJ34" s="115"/>
      <c r="BK34" s="111"/>
      <c r="BL34" s="103"/>
      <c r="BM34" s="103"/>
      <c r="BN34" s="103"/>
      <c r="BO34" s="103"/>
      <c r="BP34" s="103"/>
      <c r="BQ34" s="115"/>
      <c r="BR34" s="111"/>
      <c r="BS34" s="103"/>
      <c r="BT34" s="103"/>
      <c r="BU34" s="103"/>
      <c r="BV34" s="103"/>
      <c r="BW34" s="115"/>
      <c r="BX34" s="111"/>
      <c r="BY34" s="103"/>
      <c r="BZ34" s="103"/>
      <c r="CA34" s="103"/>
      <c r="CB34" s="103"/>
      <c r="CC34" s="103"/>
      <c r="CD34" s="115"/>
      <c r="CE34" s="111"/>
      <c r="CF34" s="95"/>
      <c r="CG34" s="91"/>
      <c r="CP34" s="101"/>
    </row>
    <row r="35" spans="2:94" s="45" customFormat="1">
      <c r="B35" s="72"/>
      <c r="E35" s="102" t="s">
        <v>139</v>
      </c>
      <c r="F35" s="111"/>
      <c r="G35" s="103"/>
      <c r="H35" s="103"/>
      <c r="I35" s="103"/>
      <c r="J35" s="103"/>
      <c r="K35" s="103"/>
      <c r="L35" s="115"/>
      <c r="M35" s="111"/>
      <c r="N35" s="103"/>
      <c r="O35" s="103"/>
      <c r="P35" s="103"/>
      <c r="Q35" s="103"/>
      <c r="R35" s="115"/>
      <c r="S35" s="111"/>
      <c r="T35" s="103"/>
      <c r="U35" s="103"/>
      <c r="V35" s="103"/>
      <c r="W35" s="103"/>
      <c r="X35" s="115"/>
      <c r="Y35" s="111"/>
      <c r="Z35" s="103"/>
      <c r="AA35" s="103"/>
      <c r="AB35" s="103"/>
      <c r="AC35" s="103"/>
      <c r="AD35" s="103"/>
      <c r="AE35" s="115"/>
      <c r="AF35" s="111"/>
      <c r="AG35" s="103"/>
      <c r="AH35" s="103"/>
      <c r="AI35" s="103"/>
      <c r="AJ35" s="103"/>
      <c r="AK35" s="115"/>
      <c r="AL35" s="111"/>
      <c r="AM35" s="103"/>
      <c r="AN35" s="103"/>
      <c r="AO35" s="103"/>
      <c r="AP35" s="103"/>
      <c r="AQ35" s="115"/>
      <c r="AR35" s="111"/>
      <c r="AS35" s="103"/>
      <c r="AT35" s="103"/>
      <c r="AU35" s="103"/>
      <c r="AV35" s="103"/>
      <c r="AW35" s="103"/>
      <c r="AX35" s="115"/>
      <c r="AY35" s="111"/>
      <c r="AZ35" s="103"/>
      <c r="BA35" s="103"/>
      <c r="BB35" s="103"/>
      <c r="BC35" s="103"/>
      <c r="BD35" s="115"/>
      <c r="BE35" s="111"/>
      <c r="BF35" s="103"/>
      <c r="BG35" s="103"/>
      <c r="BH35" s="103"/>
      <c r="BI35" s="103"/>
      <c r="BJ35" s="115"/>
      <c r="BK35" s="111"/>
      <c r="BL35" s="103"/>
      <c r="BM35" s="103"/>
      <c r="BN35" s="103"/>
      <c r="BO35" s="103"/>
      <c r="BP35" s="103"/>
      <c r="BQ35" s="115"/>
      <c r="BR35" s="111"/>
      <c r="BS35" s="103"/>
      <c r="BT35" s="103"/>
      <c r="BU35" s="103"/>
      <c r="BV35" s="103"/>
      <c r="BW35" s="115"/>
      <c r="BX35" s="111"/>
      <c r="BY35" s="103"/>
      <c r="BZ35" s="103"/>
      <c r="CA35" s="103"/>
      <c r="CB35" s="103"/>
      <c r="CC35" s="103"/>
      <c r="CD35" s="115"/>
      <c r="CE35" s="111"/>
      <c r="CF35" s="95"/>
      <c r="CG35" s="91"/>
      <c r="CP35" s="101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topLeftCell="A32" workbookViewId="0">
      <selection activeCell="B2" sqref="B2:B70"/>
    </sheetView>
  </sheetViews>
  <sheetFormatPr defaultRowHeight="15"/>
  <cols>
    <col min="2" max="2" width="9.140625" style="19"/>
    <col min="3" max="3" width="9.140625" style="18"/>
    <col min="4" max="4" width="9.5703125" style="19" bestFit="1" customWidth="1"/>
    <col min="5" max="5" width="10.5703125" bestFit="1" customWidth="1"/>
    <col min="6" max="6" width="11.28515625" bestFit="1" customWidth="1"/>
    <col min="7" max="7" width="10.5703125" bestFit="1" customWidth="1"/>
    <col min="9" max="9" width="9.28515625" bestFit="1" customWidth="1"/>
    <col min="10" max="10" width="10.28515625" bestFit="1" customWidth="1"/>
    <col min="11" max="11" width="12.7109375" customWidth="1"/>
    <col min="12" max="12" width="11.42578125" customWidth="1"/>
    <col min="14" max="14" width="10.28515625" bestFit="1" customWidth="1"/>
    <col min="15" max="15" width="9.28515625" bestFit="1" customWidth="1"/>
    <col min="16" max="16" width="9.5703125" bestFit="1" customWidth="1"/>
    <col min="17" max="17" width="10.42578125" customWidth="1"/>
    <col min="18" max="18" width="16.7109375" customWidth="1"/>
    <col min="19" max="19" width="28.42578125" customWidth="1"/>
  </cols>
  <sheetData>
    <row r="1" spans="1:19" s="19" customFormat="1">
      <c r="A1" s="19" t="s">
        <v>86</v>
      </c>
      <c r="B1" s="19" t="s">
        <v>150</v>
      </c>
      <c r="C1" s="18" t="s">
        <v>88</v>
      </c>
      <c r="D1" s="19" t="s">
        <v>144</v>
      </c>
      <c r="E1" s="19" t="s">
        <v>129</v>
      </c>
      <c r="F1" s="19" t="s">
        <v>131</v>
      </c>
      <c r="G1" s="19" t="s">
        <v>132</v>
      </c>
      <c r="H1" s="19" t="s">
        <v>133</v>
      </c>
      <c r="I1" s="19" t="s">
        <v>134</v>
      </c>
      <c r="J1" s="19" t="s">
        <v>135</v>
      </c>
      <c r="K1" s="19" t="s">
        <v>145</v>
      </c>
      <c r="L1" s="19" t="s">
        <v>137</v>
      </c>
      <c r="N1" s="19" t="s">
        <v>146</v>
      </c>
      <c r="O1" s="19" t="s">
        <v>142</v>
      </c>
      <c r="P1" s="19" t="s">
        <v>143</v>
      </c>
      <c r="Q1" s="19" t="s">
        <v>147</v>
      </c>
      <c r="R1" s="19" t="s">
        <v>139</v>
      </c>
    </row>
    <row r="2" spans="1:19">
      <c r="A2" t="s">
        <v>109</v>
      </c>
      <c r="B2" s="19">
        <v>2021</v>
      </c>
      <c r="C2" s="18">
        <v>600777</v>
      </c>
      <c r="D2" s="6">
        <v>541</v>
      </c>
      <c r="E2" s="6">
        <v>5464.6677030460341</v>
      </c>
      <c r="F2" s="6">
        <v>-3827.1459870000008</v>
      </c>
      <c r="G2" s="6">
        <v>1637.5217160460334</v>
      </c>
      <c r="H2" s="6"/>
      <c r="I2" s="6">
        <v>112.70447961000001</v>
      </c>
      <c r="J2" s="6">
        <v>-41.670210163720014</v>
      </c>
      <c r="K2" s="6">
        <v>1708.5559854923133</v>
      </c>
      <c r="L2" s="6">
        <v>1708.5559854923133</v>
      </c>
      <c r="M2" s="6"/>
      <c r="N2" s="6">
        <v>0</v>
      </c>
      <c r="O2" s="6">
        <v>0</v>
      </c>
      <c r="P2" s="6">
        <v>0</v>
      </c>
      <c r="Q2" s="6">
        <v>0</v>
      </c>
      <c r="R2" s="6">
        <v>0</v>
      </c>
    </row>
    <row r="3" spans="1:19">
      <c r="A3" s="19" t="s">
        <v>109</v>
      </c>
      <c r="B3" s="19">
        <v>2021</v>
      </c>
      <c r="C3" s="18">
        <v>608656</v>
      </c>
      <c r="D3" s="6">
        <v>358</v>
      </c>
      <c r="E3" s="6">
        <v>3884.0673796411811</v>
      </c>
      <c r="F3" s="6">
        <v>-2532.5661059999998</v>
      </c>
      <c r="G3" s="6">
        <v>1351.5012736411813</v>
      </c>
      <c r="H3" s="6"/>
      <c r="I3" s="6">
        <v>74.580783179999997</v>
      </c>
      <c r="J3" s="6">
        <v>-47.780662208750016</v>
      </c>
      <c r="K3" s="6">
        <v>1378.3013946124313</v>
      </c>
      <c r="L3" s="6">
        <v>1378.3013946124315</v>
      </c>
      <c r="M3" s="6"/>
      <c r="N3" s="6">
        <v>0</v>
      </c>
      <c r="O3" s="6">
        <v>0</v>
      </c>
      <c r="P3" s="6">
        <v>0</v>
      </c>
      <c r="Q3" s="6">
        <v>0</v>
      </c>
      <c r="R3" s="6">
        <v>0</v>
      </c>
    </row>
    <row r="4" spans="1:19">
      <c r="A4" s="19" t="s">
        <v>109</v>
      </c>
      <c r="B4" s="19">
        <v>2021</v>
      </c>
      <c r="C4" s="18">
        <v>923620</v>
      </c>
      <c r="D4" s="6">
        <v>701</v>
      </c>
      <c r="E4" s="6">
        <v>5180.0551322738147</v>
      </c>
      <c r="F4" s="6">
        <v>-2956.4705172166418</v>
      </c>
      <c r="G4" s="6">
        <v>2223.5846150571729</v>
      </c>
      <c r="H4" s="6"/>
      <c r="I4" s="6">
        <v>86.780294999999981</v>
      </c>
      <c r="J4" s="6">
        <v>16.549683366642753</v>
      </c>
      <c r="K4" s="6">
        <v>2326.9145934238159</v>
      </c>
      <c r="L4" s="6">
        <v>2326.9145934238159</v>
      </c>
      <c r="M4" s="6"/>
      <c r="N4" s="6">
        <v>0</v>
      </c>
      <c r="O4" s="6">
        <v>0</v>
      </c>
      <c r="P4" s="6">
        <v>0</v>
      </c>
      <c r="Q4" s="6">
        <v>0</v>
      </c>
      <c r="R4" s="6">
        <v>0</v>
      </c>
    </row>
    <row r="5" spans="1:19">
      <c r="A5" s="19" t="s">
        <v>109</v>
      </c>
      <c r="B5" s="19">
        <v>2021</v>
      </c>
      <c r="C5" s="18">
        <v>916944</v>
      </c>
      <c r="D5" s="6">
        <v>338</v>
      </c>
      <c r="E5" s="6">
        <v>4900.9880143399005</v>
      </c>
      <c r="F5" s="6">
        <v>-3333.8629999999998</v>
      </c>
      <c r="G5" s="6">
        <v>1567.1250143399006</v>
      </c>
      <c r="H5" s="6"/>
      <c r="I5" s="6">
        <v>98.961330000000004</v>
      </c>
      <c r="J5" s="6">
        <v>-115.03853150000003</v>
      </c>
      <c r="K5" s="6">
        <v>1551.0478128399006</v>
      </c>
      <c r="L5" s="6">
        <v>1551.0478128399006</v>
      </c>
      <c r="M5" s="6"/>
      <c r="N5" s="6">
        <v>0</v>
      </c>
      <c r="O5" s="6">
        <v>0</v>
      </c>
      <c r="P5" s="6">
        <v>0</v>
      </c>
      <c r="Q5" s="6">
        <v>0</v>
      </c>
      <c r="R5" s="6">
        <v>0</v>
      </c>
    </row>
    <row r="6" spans="1:19">
      <c r="A6" s="19" t="s">
        <v>109</v>
      </c>
      <c r="B6" s="19">
        <v>2021</v>
      </c>
      <c r="C6" s="18">
        <v>924925</v>
      </c>
      <c r="D6" s="6">
        <v>537</v>
      </c>
      <c r="E6" s="6">
        <v>4167.5342696533589</v>
      </c>
      <c r="F6" s="6">
        <v>-5296.7032421602789</v>
      </c>
      <c r="G6" s="6">
        <v>-1129.16897250692</v>
      </c>
      <c r="H6" s="6"/>
      <c r="I6" s="6">
        <v>157.22554500000001</v>
      </c>
      <c r="J6" s="6">
        <v>-354.43065953484364</v>
      </c>
      <c r="K6" s="6">
        <v>-1326.3740870417637</v>
      </c>
      <c r="L6" s="6">
        <v>-1326.3740870417632</v>
      </c>
      <c r="M6" s="6"/>
      <c r="N6" s="6">
        <v>0</v>
      </c>
      <c r="O6" s="6">
        <v>0</v>
      </c>
      <c r="P6" s="6">
        <v>0</v>
      </c>
      <c r="Q6" s="6">
        <v>0</v>
      </c>
      <c r="R6" s="6">
        <v>0</v>
      </c>
    </row>
    <row r="7" spans="1:19">
      <c r="A7" s="19" t="s">
        <v>109</v>
      </c>
      <c r="B7" s="19">
        <v>2021</v>
      </c>
      <c r="C7" s="107">
        <v>924060</v>
      </c>
      <c r="D7" s="6">
        <v>814</v>
      </c>
      <c r="E7" s="6">
        <v>8139.4990611849198</v>
      </c>
      <c r="F7" s="6">
        <v>-10316.321790108566</v>
      </c>
      <c r="G7" s="6">
        <v>-2176.8227289236465</v>
      </c>
      <c r="H7" s="6"/>
      <c r="I7" s="6">
        <v>300.70787999999999</v>
      </c>
      <c r="J7" s="6">
        <v>-184.21538100265388</v>
      </c>
      <c r="K7" s="6">
        <v>-2060.3302299263005</v>
      </c>
      <c r="L7" s="6">
        <v>-2060.3302299263009</v>
      </c>
      <c r="M7" s="6"/>
      <c r="N7" s="6">
        <v>0</v>
      </c>
      <c r="O7" s="6">
        <v>0</v>
      </c>
      <c r="P7" s="6">
        <v>0</v>
      </c>
      <c r="Q7" s="6">
        <v>0</v>
      </c>
      <c r="R7" s="6">
        <v>0</v>
      </c>
    </row>
    <row r="8" spans="1:19">
      <c r="A8" s="19" t="s">
        <v>109</v>
      </c>
      <c r="B8" s="19">
        <v>2021</v>
      </c>
      <c r="C8" s="18">
        <v>925362</v>
      </c>
      <c r="D8" s="6">
        <v>953</v>
      </c>
      <c r="E8" s="6">
        <v>14917.155053405193</v>
      </c>
      <c r="F8" s="6">
        <v>-12082.134</v>
      </c>
      <c r="G8" s="6">
        <v>2835.021053405193</v>
      </c>
      <c r="H8" s="6"/>
      <c r="I8" s="6">
        <v>352.05726000000004</v>
      </c>
      <c r="J8" s="6">
        <v>-209.24586000000033</v>
      </c>
      <c r="K8" s="6">
        <v>2977.8324534051926</v>
      </c>
      <c r="L8" s="6">
        <v>2977.8324534051931</v>
      </c>
      <c r="M8" s="6"/>
      <c r="N8" s="6">
        <v>0</v>
      </c>
      <c r="O8" s="6">
        <v>0</v>
      </c>
      <c r="P8" s="6">
        <v>0</v>
      </c>
      <c r="Q8" s="6">
        <v>0</v>
      </c>
      <c r="R8" s="6">
        <v>0</v>
      </c>
    </row>
    <row r="9" spans="1:19">
      <c r="A9" s="19" t="s">
        <v>109</v>
      </c>
      <c r="B9" s="19">
        <v>2021</v>
      </c>
      <c r="C9" s="18">
        <v>919282</v>
      </c>
      <c r="D9" s="6">
        <v>1986</v>
      </c>
      <c r="E9" s="6">
        <v>26984.455342465157</v>
      </c>
      <c r="F9" s="6">
        <v>-17517.26628298367</v>
      </c>
      <c r="G9" s="6">
        <v>9467.1890594814868</v>
      </c>
      <c r="H9" s="6"/>
      <c r="I9" s="6">
        <v>512.67011130000003</v>
      </c>
      <c r="J9" s="6">
        <v>-299.80264771011855</v>
      </c>
      <c r="K9" s="6">
        <v>9680.0565230713673</v>
      </c>
      <c r="L9" s="6">
        <v>9680.0565230713673</v>
      </c>
      <c r="M9" s="6"/>
      <c r="N9" s="6">
        <v>0</v>
      </c>
      <c r="O9" s="6">
        <v>0</v>
      </c>
      <c r="P9" s="6">
        <v>0</v>
      </c>
      <c r="Q9" s="6">
        <v>0</v>
      </c>
      <c r="R9" s="6">
        <v>0</v>
      </c>
    </row>
    <row r="10" spans="1:19">
      <c r="A10" s="19" t="s">
        <v>109</v>
      </c>
      <c r="B10" s="19">
        <v>2021</v>
      </c>
      <c r="C10" s="18">
        <v>922064</v>
      </c>
      <c r="D10" s="6">
        <v>261</v>
      </c>
      <c r="E10" s="6">
        <v>3925.3072676620845</v>
      </c>
      <c r="F10" s="6">
        <v>-2883.5686357685013</v>
      </c>
      <c r="G10" s="6">
        <v>1041.7386318935833</v>
      </c>
      <c r="H10" s="6"/>
      <c r="I10" s="6">
        <v>84.776584499999998</v>
      </c>
      <c r="J10" s="6">
        <v>-2852.8742565046018</v>
      </c>
      <c r="K10" s="6">
        <v>-1726.3590401110187</v>
      </c>
      <c r="L10" s="6">
        <v>-1726.3590401110187</v>
      </c>
      <c r="M10" s="6"/>
      <c r="N10" s="6">
        <v>0</v>
      </c>
      <c r="O10" s="6">
        <v>0</v>
      </c>
      <c r="P10" s="6">
        <v>0</v>
      </c>
      <c r="Q10" s="6">
        <v>0</v>
      </c>
      <c r="R10" s="6">
        <v>0</v>
      </c>
    </row>
    <row r="11" spans="1:19">
      <c r="A11" s="19" t="s">
        <v>109</v>
      </c>
      <c r="B11" s="19">
        <v>2021</v>
      </c>
      <c r="C11" s="18">
        <v>333825</v>
      </c>
      <c r="D11" s="6">
        <v>526</v>
      </c>
      <c r="E11" s="6">
        <v>5077.5944317061831</v>
      </c>
      <c r="F11" s="6">
        <v>-3891.5885342124534</v>
      </c>
      <c r="G11" s="6">
        <v>1186.0058974937297</v>
      </c>
      <c r="H11" s="6"/>
      <c r="I11" s="6">
        <v>115.10058239999998</v>
      </c>
      <c r="J11" s="6">
        <v>-144.04246255062267</v>
      </c>
      <c r="K11" s="6">
        <v>1157.0640173431068</v>
      </c>
      <c r="L11" s="6">
        <v>1157.0640173431066</v>
      </c>
      <c r="M11" s="6"/>
      <c r="N11" s="6">
        <v>0</v>
      </c>
      <c r="O11" s="6">
        <v>0</v>
      </c>
      <c r="P11" s="6">
        <v>0</v>
      </c>
      <c r="Q11" s="6">
        <v>0</v>
      </c>
      <c r="R11" s="6">
        <v>0</v>
      </c>
    </row>
    <row r="12" spans="1:19">
      <c r="A12" s="19" t="s">
        <v>109</v>
      </c>
      <c r="B12" s="19">
        <v>2021</v>
      </c>
      <c r="C12" s="18">
        <v>611373</v>
      </c>
      <c r="D12" s="6">
        <v>486</v>
      </c>
      <c r="E12" s="6">
        <v>4256.5574412770211</v>
      </c>
      <c r="F12" s="6">
        <v>-3590.3944941732284</v>
      </c>
      <c r="G12" s="6">
        <v>666.1629471037927</v>
      </c>
      <c r="H12" s="6"/>
      <c r="I12" s="6">
        <v>106.3476864</v>
      </c>
      <c r="J12" s="6">
        <v>-157.71405302677169</v>
      </c>
      <c r="K12" s="6">
        <v>614.79658047702105</v>
      </c>
      <c r="L12" s="6">
        <v>614.79658047702083</v>
      </c>
      <c r="M12" s="6"/>
      <c r="N12" s="6">
        <v>0</v>
      </c>
      <c r="O12" s="6">
        <v>0</v>
      </c>
      <c r="P12" s="6">
        <v>0</v>
      </c>
      <c r="Q12" s="6">
        <v>0</v>
      </c>
      <c r="R12" s="6">
        <v>0</v>
      </c>
    </row>
    <row r="13" spans="1:19">
      <c r="A13" s="19" t="s">
        <v>109</v>
      </c>
      <c r="B13" s="19">
        <v>2021</v>
      </c>
      <c r="C13" s="18">
        <v>332780</v>
      </c>
      <c r="D13" s="6">
        <v>498</v>
      </c>
      <c r="E13" s="6">
        <v>2768.2552992556198</v>
      </c>
      <c r="F13" s="6">
        <v>-2865.255105085389</v>
      </c>
      <c r="G13" s="6">
        <v>-96.99980582976923</v>
      </c>
      <c r="H13" s="6"/>
      <c r="I13" s="6">
        <v>83.43287819999999</v>
      </c>
      <c r="J13" s="6">
        <v>-161.09558266641369</v>
      </c>
      <c r="K13" s="6">
        <v>-174.66251029618292</v>
      </c>
      <c r="L13" s="6">
        <v>-174.66251029618252</v>
      </c>
      <c r="M13" s="6"/>
      <c r="N13" s="6">
        <v>0</v>
      </c>
      <c r="O13" s="6">
        <v>0</v>
      </c>
      <c r="P13" s="6">
        <v>0</v>
      </c>
      <c r="Q13" s="6">
        <v>0</v>
      </c>
      <c r="R13" s="6">
        <v>0</v>
      </c>
    </row>
    <row r="14" spans="1:19">
      <c r="A14" s="19" t="s">
        <v>109</v>
      </c>
      <c r="B14" s="19">
        <v>2021</v>
      </c>
      <c r="C14" s="18">
        <v>333997</v>
      </c>
      <c r="D14" s="6">
        <v>381</v>
      </c>
      <c r="E14" s="6">
        <v>5508.1824974511364</v>
      </c>
      <c r="F14" s="6">
        <v>-4551.670523612438</v>
      </c>
      <c r="G14" s="6">
        <v>956.5119738386984</v>
      </c>
      <c r="H14" s="6"/>
      <c r="I14" s="6">
        <v>129.61637144999995</v>
      </c>
      <c r="J14" s="6">
        <v>-428.64343094074144</v>
      </c>
      <c r="K14" s="6">
        <v>657.48491434795699</v>
      </c>
      <c r="L14" s="6">
        <v>657.48491434795756</v>
      </c>
      <c r="M14" s="6"/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/>
    </row>
    <row r="15" spans="1:19">
      <c r="A15" s="19" t="s">
        <v>109</v>
      </c>
      <c r="B15" s="19">
        <v>2021</v>
      </c>
      <c r="C15" s="18">
        <v>324101</v>
      </c>
      <c r="D15" s="6">
        <v>348</v>
      </c>
      <c r="E15" s="6">
        <v>5872.6506751481165</v>
      </c>
      <c r="F15" s="6">
        <v>-5687.3882833480166</v>
      </c>
      <c r="G15" s="6">
        <v>185.26239180009998</v>
      </c>
      <c r="H15" s="6"/>
      <c r="I15" s="6">
        <v>161.81916479999998</v>
      </c>
      <c r="J15" s="6">
        <v>-1683.0756510519827</v>
      </c>
      <c r="K15" s="6">
        <v>-1335.9940944518828</v>
      </c>
      <c r="L15" s="6">
        <v>-1335.9940944518837</v>
      </c>
      <c r="M15" s="6"/>
      <c r="N15" s="6">
        <v>0</v>
      </c>
      <c r="O15" s="6">
        <v>0</v>
      </c>
      <c r="P15" s="6">
        <v>0</v>
      </c>
      <c r="Q15" s="6">
        <v>0</v>
      </c>
      <c r="R15" s="6">
        <v>0</v>
      </c>
    </row>
    <row r="16" spans="1:19">
      <c r="A16" s="19" t="s">
        <v>109</v>
      </c>
      <c r="B16" s="19">
        <v>2021</v>
      </c>
      <c r="C16" s="18">
        <v>612705</v>
      </c>
      <c r="D16" s="6">
        <v>912</v>
      </c>
      <c r="E16" s="6">
        <v>5654.627213711784</v>
      </c>
      <c r="F16" s="6">
        <v>-4292.9526483769632</v>
      </c>
      <c r="G16" s="6">
        <v>1361.6745653348207</v>
      </c>
      <c r="H16" s="6"/>
      <c r="I16" s="6">
        <v>126.39006719999996</v>
      </c>
      <c r="J16" s="6">
        <v>-196.01837014450211</v>
      </c>
      <c r="K16" s="6">
        <v>1292.0462623903186</v>
      </c>
      <c r="L16" s="6">
        <v>1292.0462623903186</v>
      </c>
      <c r="M16" s="6"/>
      <c r="N16" s="6">
        <v>0</v>
      </c>
      <c r="O16" s="6">
        <v>0</v>
      </c>
      <c r="P16" s="6">
        <v>0</v>
      </c>
      <c r="Q16" s="6">
        <v>0</v>
      </c>
      <c r="R16" s="6">
        <v>0</v>
      </c>
    </row>
    <row r="17" spans="1:18">
      <c r="A17" s="19" t="s">
        <v>109</v>
      </c>
      <c r="B17" s="19">
        <v>2021</v>
      </c>
      <c r="C17" s="18">
        <v>610609</v>
      </c>
      <c r="D17" s="6">
        <v>433</v>
      </c>
      <c r="E17" s="6">
        <v>4072.1050724631377</v>
      </c>
      <c r="F17" s="6">
        <v>-6137.6006310646389</v>
      </c>
      <c r="G17" s="6">
        <v>-2065.4955586015012</v>
      </c>
      <c r="H17" s="6"/>
      <c r="I17" s="6">
        <v>176.17596569999998</v>
      </c>
      <c r="J17" s="6">
        <v>-1280.3983692353615</v>
      </c>
      <c r="K17" s="6">
        <v>-3169.7179621368628</v>
      </c>
      <c r="L17" s="6">
        <v>-3169.7179621368641</v>
      </c>
      <c r="M17" s="6"/>
      <c r="N17" s="6">
        <v>14.174597300380128</v>
      </c>
      <c r="O17" s="6">
        <v>-0.40687290000000331</v>
      </c>
      <c r="P17" s="6">
        <v>-13.767724400380303</v>
      </c>
      <c r="Q17" s="6">
        <v>-1.7763568394002505E-13</v>
      </c>
      <c r="R17" s="6">
        <v>5.6132876125047915E-13</v>
      </c>
    </row>
    <row r="18" spans="1:18">
      <c r="A18" s="19" t="s">
        <v>109</v>
      </c>
      <c r="B18" s="19">
        <v>2021</v>
      </c>
      <c r="C18" s="18">
        <v>641905</v>
      </c>
      <c r="D18" s="6">
        <v>352</v>
      </c>
      <c r="E18" s="6">
        <v>3557.9164354418817</v>
      </c>
      <c r="F18" s="6">
        <v>-2687.1841881318674</v>
      </c>
      <c r="G18" s="6">
        <v>870.73224731001437</v>
      </c>
      <c r="H18" s="6"/>
      <c r="I18" s="6">
        <v>78.830769599999968</v>
      </c>
      <c r="J18" s="6">
        <v>-89.101183669999898</v>
      </c>
      <c r="K18" s="6">
        <v>860.46183324001436</v>
      </c>
      <c r="L18" s="6">
        <v>860.4618332400139</v>
      </c>
      <c r="M18" s="6"/>
      <c r="N18" s="6">
        <v>0</v>
      </c>
      <c r="O18" s="6">
        <v>0</v>
      </c>
      <c r="P18" s="6">
        <v>0</v>
      </c>
      <c r="Q18" s="6">
        <v>0</v>
      </c>
      <c r="R18" s="6">
        <v>0</v>
      </c>
    </row>
    <row r="19" spans="1:18">
      <c r="A19" s="19" t="s">
        <v>109</v>
      </c>
      <c r="B19" s="19">
        <v>2021</v>
      </c>
      <c r="C19" s="18">
        <v>339246</v>
      </c>
      <c r="D19" s="6">
        <v>480</v>
      </c>
      <c r="E19" s="6">
        <v>5258.1777424727607</v>
      </c>
      <c r="F19" s="6">
        <v>-4869.5999999999995</v>
      </c>
      <c r="G19" s="6">
        <v>388.5777424727612</v>
      </c>
      <c r="H19" s="6"/>
      <c r="I19" s="6">
        <v>144.95675444839856</v>
      </c>
      <c r="J19" s="6">
        <v>-1013.8294564768684</v>
      </c>
      <c r="K19" s="6">
        <v>-480.2949595557086</v>
      </c>
      <c r="L19" s="6">
        <v>-480.29495955570826</v>
      </c>
      <c r="M19" s="6"/>
      <c r="N19" s="6">
        <v>-831.89000000000033</v>
      </c>
      <c r="O19" s="6">
        <v>24.763445551601407</v>
      </c>
      <c r="P19" s="6">
        <v>1013.8294564768684</v>
      </c>
      <c r="Q19" s="6">
        <v>206.70290202846945</v>
      </c>
      <c r="R19" s="6">
        <v>206.70290202846925</v>
      </c>
    </row>
    <row r="20" spans="1:18">
      <c r="A20" s="19" t="s">
        <v>109</v>
      </c>
      <c r="B20" s="19">
        <v>2021</v>
      </c>
      <c r="C20" s="18">
        <v>645200</v>
      </c>
      <c r="D20" s="6">
        <v>504</v>
      </c>
      <c r="E20" s="6">
        <v>7779.4280720120814</v>
      </c>
      <c r="F20" s="6">
        <v>-5112.8065116279067</v>
      </c>
      <c r="G20" s="6">
        <v>2666.6215603841747</v>
      </c>
      <c r="H20" s="6"/>
      <c r="I20" s="6">
        <v>152.20477674418603</v>
      </c>
      <c r="J20" s="6">
        <v>-118.10956511627955</v>
      </c>
      <c r="K20" s="6">
        <v>2700.716772012081</v>
      </c>
      <c r="L20" s="6">
        <v>2700.7167720120815</v>
      </c>
      <c r="M20" s="6"/>
      <c r="N20" s="6">
        <v>0</v>
      </c>
      <c r="O20" s="6">
        <v>0</v>
      </c>
      <c r="P20" s="6">
        <v>0</v>
      </c>
      <c r="Q20" s="6">
        <v>0</v>
      </c>
      <c r="R20" s="6">
        <v>8.7041485130612273E-14</v>
      </c>
    </row>
    <row r="21" spans="1:18">
      <c r="A21" s="19" t="s">
        <v>109</v>
      </c>
      <c r="B21" s="19">
        <v>2021</v>
      </c>
      <c r="C21" s="18">
        <v>919575</v>
      </c>
      <c r="D21" s="6">
        <v>563</v>
      </c>
      <c r="E21" s="6">
        <v>8968.7642922034065</v>
      </c>
      <c r="F21" s="6">
        <v>-6967.1666009852224</v>
      </c>
      <c r="G21" s="6">
        <v>2001.5976912181841</v>
      </c>
      <c r="H21" s="6"/>
      <c r="I21" s="6">
        <v>207.69763349753694</v>
      </c>
      <c r="J21" s="6">
        <v>-552.28343251231456</v>
      </c>
      <c r="K21" s="6">
        <v>1657.0118922034067</v>
      </c>
      <c r="L21" s="6">
        <v>1657.0118922034067</v>
      </c>
      <c r="M21" s="6"/>
      <c r="N21" s="6">
        <v>-12.375073891625561</v>
      </c>
      <c r="O21" s="6">
        <v>0.36891231527093638</v>
      </c>
      <c r="P21" s="6">
        <v>12.006161576354657</v>
      </c>
      <c r="Q21" s="6">
        <v>3.1974423109204508E-14</v>
      </c>
      <c r="R21" s="6">
        <v>1.5454304502782179E-13</v>
      </c>
    </row>
    <row r="22" spans="1:18">
      <c r="A22" s="19" t="s">
        <v>109</v>
      </c>
      <c r="B22" s="19">
        <v>2021</v>
      </c>
      <c r="C22" s="18">
        <v>920833</v>
      </c>
      <c r="D22" s="6">
        <v>507</v>
      </c>
      <c r="E22" s="6">
        <v>9850.284990499862</v>
      </c>
      <c r="F22" s="6">
        <v>-6940.8642567567567</v>
      </c>
      <c r="G22" s="6">
        <v>2909.4207337431053</v>
      </c>
      <c r="H22" s="6"/>
      <c r="I22" s="6">
        <v>207.04766655405405</v>
      </c>
      <c r="J22" s="6">
        <v>-1128.9436097972973</v>
      </c>
      <c r="K22" s="6">
        <v>1987.5247904998621</v>
      </c>
      <c r="L22" s="6">
        <v>1987.5247904998628</v>
      </c>
      <c r="M22" s="6"/>
      <c r="N22" s="6">
        <v>0</v>
      </c>
      <c r="O22" s="6">
        <v>0</v>
      </c>
      <c r="P22" s="6">
        <v>0</v>
      </c>
      <c r="Q22" s="6">
        <v>0</v>
      </c>
      <c r="R22" s="6">
        <v>-2.1671553440683056E-13</v>
      </c>
    </row>
    <row r="23" spans="1:18">
      <c r="A23" s="19" t="s">
        <v>109</v>
      </c>
      <c r="B23" s="19">
        <v>2021</v>
      </c>
      <c r="C23" s="18">
        <v>552680</v>
      </c>
      <c r="D23" s="6">
        <v>807</v>
      </c>
      <c r="E23" s="6">
        <v>9429.23498353586</v>
      </c>
      <c r="F23" s="6">
        <v>-9732.8365786314516</v>
      </c>
      <c r="G23" s="6">
        <v>-303.60159509559162</v>
      </c>
      <c r="H23" s="6"/>
      <c r="I23" s="6">
        <v>286.63477454981995</v>
      </c>
      <c r="J23" s="6">
        <v>-690.35216612244903</v>
      </c>
      <c r="K23" s="6">
        <v>-707.31898666822076</v>
      </c>
      <c r="L23" s="6">
        <v>-707.31898666822156</v>
      </c>
      <c r="M23" s="6"/>
      <c r="N23" s="6">
        <v>-313.573421368548</v>
      </c>
      <c r="O23" s="6">
        <v>9.2348254501800469</v>
      </c>
      <c r="P23" s="6">
        <v>690.35216612244903</v>
      </c>
      <c r="Q23" s="6">
        <v>386.01357020408108</v>
      </c>
      <c r="R23" s="6">
        <v>386.01357020408273</v>
      </c>
    </row>
    <row r="24" spans="1:18">
      <c r="A24" s="19" t="s">
        <v>109</v>
      </c>
      <c r="B24" s="19">
        <v>2021</v>
      </c>
      <c r="C24" s="18">
        <v>334948</v>
      </c>
      <c r="D24" s="6">
        <v>488</v>
      </c>
      <c r="E24" s="6">
        <v>5792.2369072758311</v>
      </c>
      <c r="F24" s="6">
        <v>-3953.3346613545814</v>
      </c>
      <c r="G24" s="6">
        <v>1838.9022459212497</v>
      </c>
      <c r="H24" s="6"/>
      <c r="I24" s="6">
        <v>115.74523984063745</v>
      </c>
      <c r="J24" s="6">
        <v>-141.95261075697209</v>
      </c>
      <c r="K24" s="6">
        <v>1812.694875004915</v>
      </c>
      <c r="L24" s="6">
        <v>1812.6948750049148</v>
      </c>
      <c r="M24" s="6"/>
      <c r="N24" s="6">
        <v>-113.4153386454185</v>
      </c>
      <c r="O24" s="6">
        <v>3.3205601593625582</v>
      </c>
      <c r="P24" s="6">
        <v>141.95261075697209</v>
      </c>
      <c r="Q24" s="6">
        <v>31.857832270916148</v>
      </c>
      <c r="R24" s="6">
        <v>31.857832270916038</v>
      </c>
    </row>
    <row r="25" spans="1:18">
      <c r="A25" s="19" t="s">
        <v>109</v>
      </c>
      <c r="B25" s="19">
        <v>2021</v>
      </c>
      <c r="C25" s="18">
        <v>530781</v>
      </c>
      <c r="D25" s="6">
        <v>409</v>
      </c>
      <c r="E25" s="6">
        <v>4207.1827216476231</v>
      </c>
      <c r="F25" s="6">
        <v>-3898.7775365853654</v>
      </c>
      <c r="G25" s="6">
        <v>308.40518506225771</v>
      </c>
      <c r="H25" s="6"/>
      <c r="I25" s="6">
        <v>114.25165609756095</v>
      </c>
      <c r="J25" s="6">
        <v>-138.95454756097558</v>
      </c>
      <c r="K25" s="6">
        <v>283.70229359884308</v>
      </c>
      <c r="L25" s="6">
        <v>283.7022935988432</v>
      </c>
      <c r="M25" s="6"/>
      <c r="N25" s="6">
        <v>-9.5324634146344351</v>
      </c>
      <c r="O25" s="6">
        <v>0.27934390243904161</v>
      </c>
      <c r="P25" s="6">
        <v>138.95454756097558</v>
      </c>
      <c r="Q25" s="6">
        <v>129.7014280487802</v>
      </c>
      <c r="R25" s="6">
        <v>129.70142804877932</v>
      </c>
    </row>
    <row r="26" spans="1:18">
      <c r="A26" s="19" t="s">
        <v>109</v>
      </c>
      <c r="B26" s="19">
        <v>2021</v>
      </c>
      <c r="C26" s="18">
        <v>602071</v>
      </c>
      <c r="D26" s="6">
        <v>1062</v>
      </c>
      <c r="E26" s="6">
        <v>7061.9581138444864</v>
      </c>
      <c r="F26" s="6">
        <v>-9542.5044545454566</v>
      </c>
      <c r="G26" s="6">
        <v>-2480.5463407009702</v>
      </c>
      <c r="H26" s="6"/>
      <c r="I26" s="6">
        <v>277.99153363636367</v>
      </c>
      <c r="J26" s="6">
        <v>-1132.1424559090906</v>
      </c>
      <c r="K26" s="6">
        <v>-3334.697262973697</v>
      </c>
      <c r="L26" s="6">
        <v>-3334.6972629736974</v>
      </c>
      <c r="M26" s="6"/>
      <c r="N26" s="6">
        <v>-341.44554545454184</v>
      </c>
      <c r="O26" s="6">
        <v>9.9469663636363208</v>
      </c>
      <c r="P26" s="6">
        <v>1132.1424559090906</v>
      </c>
      <c r="Q26" s="6">
        <v>800.64387681818505</v>
      </c>
      <c r="R26" s="6">
        <v>800.64387681818266</v>
      </c>
    </row>
    <row r="27" spans="1:18">
      <c r="A27" s="19" t="s">
        <v>109</v>
      </c>
      <c r="B27" s="19">
        <v>2021</v>
      </c>
      <c r="C27" s="18">
        <v>582964</v>
      </c>
      <c r="D27" s="6">
        <v>1046</v>
      </c>
      <c r="E27" s="6">
        <v>7836.0805356345882</v>
      </c>
      <c r="F27" s="6">
        <v>-9398.7425563909783</v>
      </c>
      <c r="G27" s="6">
        <v>-1562.6620207563901</v>
      </c>
      <c r="H27" s="6"/>
      <c r="I27" s="6">
        <v>273.80347669172932</v>
      </c>
      <c r="J27" s="6">
        <v>-165.74937142856993</v>
      </c>
      <c r="K27" s="6">
        <v>-1454.6079154932308</v>
      </c>
      <c r="L27" s="6">
        <v>-1454.6079154932297</v>
      </c>
      <c r="M27" s="6"/>
      <c r="N27" s="6">
        <v>17.97082706766912</v>
      </c>
      <c r="O27" s="6">
        <v>-0.52352481203007528</v>
      </c>
      <c r="P27" s="6">
        <v>-17.447302255639102</v>
      </c>
      <c r="Q27" s="6">
        <v>-5.6843418860808015E-14</v>
      </c>
      <c r="R27" s="6">
        <v>-3.979039320256561E-13</v>
      </c>
    </row>
    <row r="28" spans="1:18">
      <c r="A28" s="19" t="s">
        <v>109</v>
      </c>
      <c r="B28" s="19">
        <v>2021</v>
      </c>
      <c r="C28" s="18">
        <v>585644</v>
      </c>
      <c r="D28" s="6">
        <v>936</v>
      </c>
      <c r="E28" s="6">
        <v>7539.5020800869988</v>
      </c>
      <c r="F28" s="6">
        <v>-10104.602078395625</v>
      </c>
      <c r="G28" s="6">
        <v>-2565.0999983086258</v>
      </c>
      <c r="H28" s="6"/>
      <c r="I28" s="6">
        <v>294.37720474020045</v>
      </c>
      <c r="J28" s="6">
        <v>-3529.4604558523251</v>
      </c>
      <c r="K28" s="6">
        <v>-5800.1832494207501</v>
      </c>
      <c r="L28" s="6">
        <v>-5800.1832494207501</v>
      </c>
      <c r="M28" s="6"/>
      <c r="N28" s="6">
        <v>-1738.0779216043752</v>
      </c>
      <c r="O28" s="6">
        <v>50.635395259799495</v>
      </c>
      <c r="P28" s="6">
        <v>3529.4604558523251</v>
      </c>
      <c r="Q28" s="6">
        <v>1842.0179295077494</v>
      </c>
      <c r="R28" s="6">
        <v>1842.0179295077473</v>
      </c>
    </row>
    <row r="29" spans="1:18">
      <c r="A29" s="19" t="s">
        <v>109</v>
      </c>
      <c r="B29" s="19">
        <v>2021</v>
      </c>
      <c r="C29" s="18">
        <v>318285</v>
      </c>
      <c r="D29" s="6">
        <v>314</v>
      </c>
      <c r="E29" s="6">
        <v>2671.8999999999996</v>
      </c>
      <c r="F29" s="6">
        <v>-1517.6115789473681</v>
      </c>
      <c r="G29" s="6">
        <v>1154.2884210526315</v>
      </c>
      <c r="H29" s="6"/>
      <c r="I29" s="6">
        <v>44.426236532507737</v>
      </c>
      <c r="J29" s="6">
        <v>-42.54486773993807</v>
      </c>
      <c r="K29" s="6">
        <v>1156.1697898452012</v>
      </c>
      <c r="L29" s="6">
        <v>1156.1697898452012</v>
      </c>
      <c r="M29" s="6"/>
      <c r="N29" s="6">
        <v>0</v>
      </c>
      <c r="O29" s="6">
        <v>0</v>
      </c>
      <c r="P29" s="6">
        <v>0</v>
      </c>
      <c r="Q29" s="6">
        <v>0</v>
      </c>
      <c r="R29" s="6">
        <v>4.2632564145606011E-14</v>
      </c>
    </row>
    <row r="30" spans="1:18">
      <c r="A30" s="19" t="s">
        <v>109</v>
      </c>
      <c r="B30" s="19">
        <v>2021</v>
      </c>
      <c r="C30" s="18">
        <v>309473</v>
      </c>
      <c r="D30" s="6">
        <v>307</v>
      </c>
      <c r="E30" s="6">
        <v>2546.1174300000007</v>
      </c>
      <c r="F30" s="6">
        <v>-1483.7815189873415</v>
      </c>
      <c r="G30" s="6">
        <v>1062.3359110126592</v>
      </c>
      <c r="H30" s="6"/>
      <c r="I30" s="6">
        <v>43.435933860759498</v>
      </c>
      <c r="J30" s="6">
        <v>-42.55244044303798</v>
      </c>
      <c r="K30" s="6">
        <v>1063.2194044303806</v>
      </c>
      <c r="L30" s="6">
        <v>1063.2194044303799</v>
      </c>
      <c r="M30" s="6"/>
      <c r="N30" s="6">
        <v>0</v>
      </c>
      <c r="O30" s="6">
        <v>0</v>
      </c>
      <c r="P30" s="6">
        <v>0</v>
      </c>
      <c r="Q30" s="6">
        <v>0</v>
      </c>
      <c r="R30" s="6">
        <v>-1.0658141036401503E-13</v>
      </c>
    </row>
    <row r="31" spans="1:18">
      <c r="A31" s="19" t="s">
        <v>109</v>
      </c>
      <c r="B31" s="19">
        <v>2021</v>
      </c>
      <c r="C31" s="18">
        <v>319891</v>
      </c>
      <c r="D31" s="6">
        <v>292</v>
      </c>
      <c r="E31" s="6">
        <v>570.9787500000001</v>
      </c>
      <c r="F31" s="6">
        <v>-309.45186666666672</v>
      </c>
      <c r="G31" s="6">
        <v>261.52688333333339</v>
      </c>
      <c r="H31" s="6"/>
      <c r="I31" s="6">
        <v>8.9419160000000009</v>
      </c>
      <c r="J31" s="6">
        <v>-8.3114650000000054</v>
      </c>
      <c r="K31" s="6">
        <v>262.15733433333338</v>
      </c>
      <c r="L31" s="6">
        <v>262.15733433333344</v>
      </c>
      <c r="M31" s="6"/>
      <c r="N31" s="6">
        <v>0</v>
      </c>
      <c r="O31" s="6">
        <v>0</v>
      </c>
      <c r="P31" s="6">
        <v>0</v>
      </c>
      <c r="Q31" s="6">
        <v>0</v>
      </c>
      <c r="R31" s="6">
        <v>-2.6201263381153694E-14</v>
      </c>
    </row>
    <row r="32" spans="1:18">
      <c r="A32" s="19" t="s">
        <v>109</v>
      </c>
      <c r="B32" s="19">
        <v>2021</v>
      </c>
      <c r="C32" s="18">
        <v>183252</v>
      </c>
      <c r="D32" s="6">
        <v>250</v>
      </c>
      <c r="E32" s="6">
        <v>989.3291557786298</v>
      </c>
      <c r="F32" s="6">
        <v>-1417.5775193798447</v>
      </c>
      <c r="G32" s="6">
        <v>-428.24836360121492</v>
      </c>
      <c r="H32" s="6"/>
      <c r="I32" s="6">
        <v>41.670203488372088</v>
      </c>
      <c r="J32" s="6">
        <v>-1491.9155782558139</v>
      </c>
      <c r="K32" s="6">
        <v>-1878.4937383686568</v>
      </c>
      <c r="L32" s="6">
        <v>-1878.493738368657</v>
      </c>
      <c r="M32" s="6"/>
      <c r="N32" s="6">
        <v>-1508.3024806201545</v>
      </c>
      <c r="O32" s="6">
        <v>44.337096511627912</v>
      </c>
      <c r="P32" s="6">
        <v>1491.9155782558139</v>
      </c>
      <c r="Q32" s="6">
        <v>27.95019414728722</v>
      </c>
      <c r="R32" s="6">
        <v>27.95019414728727</v>
      </c>
    </row>
    <row r="33" spans="1:18">
      <c r="A33" s="19" t="s">
        <v>109</v>
      </c>
      <c r="B33" s="19">
        <v>2021</v>
      </c>
      <c r="C33" s="18">
        <v>171445</v>
      </c>
      <c r="D33" s="6">
        <v>292</v>
      </c>
      <c r="E33" s="6">
        <v>1365.4759367608067</v>
      </c>
      <c r="F33" s="6">
        <v>-1656.524673267327</v>
      </c>
      <c r="G33" s="6">
        <v>-291.0487365065203</v>
      </c>
      <c r="H33" s="6"/>
      <c r="I33" s="6">
        <v>48.67073346534653</v>
      </c>
      <c r="J33" s="6">
        <v>-1239.0043592574257</v>
      </c>
      <c r="K33" s="6">
        <v>-1481.3823622985994</v>
      </c>
      <c r="L33" s="6">
        <v>-1481.3823622985992</v>
      </c>
      <c r="M33" s="6"/>
      <c r="N33" s="6">
        <v>-1208.3553267326729</v>
      </c>
      <c r="O33" s="6">
        <v>35.502966534653467</v>
      </c>
      <c r="P33" s="6">
        <v>1239.0043592574257</v>
      </c>
      <c r="Q33" s="6">
        <v>66.151999059406307</v>
      </c>
      <c r="R33" s="6">
        <v>66.151999059406535</v>
      </c>
    </row>
    <row r="34" spans="1:18">
      <c r="A34" s="19" t="s">
        <v>109</v>
      </c>
      <c r="B34" s="19">
        <v>2021</v>
      </c>
      <c r="C34" s="18">
        <v>303802</v>
      </c>
      <c r="D34" s="6">
        <v>204</v>
      </c>
      <c r="E34" s="6">
        <v>921.64440153349494</v>
      </c>
      <c r="F34" s="6">
        <v>-1157.2971098265896</v>
      </c>
      <c r="G34" s="6">
        <v>-235.65270829309463</v>
      </c>
      <c r="H34" s="6"/>
      <c r="I34" s="6">
        <v>34.002908670520227</v>
      </c>
      <c r="J34" s="6">
        <v>-1756.5039427938343</v>
      </c>
      <c r="K34" s="6">
        <v>-1958.1537424164087</v>
      </c>
      <c r="L34" s="6">
        <v>-1958.1537424164085</v>
      </c>
      <c r="M34" s="6"/>
      <c r="N34" s="6">
        <v>-1787.0028901734104</v>
      </c>
      <c r="O34" s="6">
        <v>52.504491329479769</v>
      </c>
      <c r="P34" s="6">
        <v>1756.5039427938343</v>
      </c>
      <c r="Q34" s="6">
        <v>22.005543949903767</v>
      </c>
      <c r="R34" s="6">
        <v>22.005543949903938</v>
      </c>
    </row>
    <row r="35" spans="1:18">
      <c r="A35" s="19" t="s">
        <v>109</v>
      </c>
      <c r="B35" s="19">
        <v>2021</v>
      </c>
      <c r="C35" s="18">
        <v>927828</v>
      </c>
      <c r="D35" s="6">
        <v>1044</v>
      </c>
      <c r="E35" s="6">
        <v>13576.741763652559</v>
      </c>
      <c r="F35" s="6">
        <v>-9127.6193036750483</v>
      </c>
      <c r="G35" s="6">
        <v>4449.1224599775105</v>
      </c>
      <c r="H35" s="6"/>
      <c r="I35" s="6">
        <v>267.72117911025146</v>
      </c>
      <c r="J35" s="6">
        <v>42.258748433269147</v>
      </c>
      <c r="K35" s="6">
        <v>4759.1023875210312</v>
      </c>
      <c r="L35" s="6">
        <v>4759.1023875210321</v>
      </c>
      <c r="M35" s="6"/>
      <c r="N35" s="6">
        <v>87.4293036750488</v>
      </c>
      <c r="O35" s="6">
        <v>-2.5643791102514673</v>
      </c>
      <c r="P35" s="6">
        <v>-42.258748433269147</v>
      </c>
      <c r="Q35" s="6">
        <v>42.606176131528187</v>
      </c>
      <c r="R35" s="6">
        <v>42.606176131528876</v>
      </c>
    </row>
    <row r="36" spans="1:18">
      <c r="A36" s="19" t="s">
        <v>109</v>
      </c>
      <c r="B36" s="19">
        <v>2021</v>
      </c>
      <c r="C36" s="18">
        <v>701350</v>
      </c>
      <c r="D36" s="6">
        <v>433</v>
      </c>
      <c r="E36" s="6">
        <v>4395.5268014549329</v>
      </c>
      <c r="F36" s="6">
        <v>-4273.3552141527007</v>
      </c>
      <c r="G36" s="6">
        <v>122.17158730223218</v>
      </c>
      <c r="H36" s="6"/>
      <c r="I36" s="6">
        <v>127.03010502793295</v>
      </c>
      <c r="J36" s="6">
        <v>-771.33137999999997</v>
      </c>
      <c r="K36" s="6">
        <v>-522.12968766983488</v>
      </c>
      <c r="L36" s="6">
        <v>-522.12968766983352</v>
      </c>
      <c r="M36" s="6"/>
      <c r="N36" s="6">
        <v>-1026.3947858472993</v>
      </c>
      <c r="O36" s="6">
        <v>30.510694972067014</v>
      </c>
      <c r="P36" s="6">
        <v>771.33137999999997</v>
      </c>
      <c r="Q36" s="6">
        <v>-224.55271087523238</v>
      </c>
      <c r="R36" s="6">
        <v>-224.55271087523406</v>
      </c>
    </row>
    <row r="37" spans="1:18">
      <c r="A37" s="19" t="s">
        <v>109</v>
      </c>
      <c r="B37" s="19">
        <v>2021</v>
      </c>
      <c r="C37" s="18">
        <v>846099</v>
      </c>
      <c r="D37" s="6">
        <v>456</v>
      </c>
      <c r="E37" s="6">
        <v>4269.1122192937219</v>
      </c>
      <c r="F37" s="6">
        <v>-3078.3637847866426</v>
      </c>
      <c r="G37" s="6">
        <v>1190.7484345070793</v>
      </c>
      <c r="H37" s="6"/>
      <c r="I37" s="6">
        <v>90.222011131725424</v>
      </c>
      <c r="J37" s="6">
        <v>-733.66418293135428</v>
      </c>
      <c r="K37" s="6">
        <v>547.30626270745051</v>
      </c>
      <c r="L37" s="6">
        <v>547.30626270745063</v>
      </c>
      <c r="M37" s="6"/>
      <c r="N37" s="6">
        <v>-560.31621521335808</v>
      </c>
      <c r="O37" s="6">
        <v>16.421988868274589</v>
      </c>
      <c r="P37" s="6">
        <v>733.66418293135428</v>
      </c>
      <c r="Q37" s="6">
        <v>189.76995658627084</v>
      </c>
      <c r="R37" s="6">
        <v>189.76995658627112</v>
      </c>
    </row>
    <row r="38" spans="1:18">
      <c r="A38" s="19" t="s">
        <v>109</v>
      </c>
      <c r="B38" s="19">
        <v>2021</v>
      </c>
      <c r="C38" s="18">
        <v>888308</v>
      </c>
      <c r="D38" s="6">
        <v>360</v>
      </c>
      <c r="E38" s="6">
        <v>3381.2647624670954</v>
      </c>
      <c r="F38" s="6">
        <v>-3120.432911392405</v>
      </c>
      <c r="G38" s="6">
        <v>260.83185107469035</v>
      </c>
      <c r="H38" s="6"/>
      <c r="I38" s="6">
        <v>91.735291139240488</v>
      </c>
      <c r="J38" s="6">
        <v>-598.16777999999999</v>
      </c>
      <c r="K38" s="6">
        <v>-245.60063778606917</v>
      </c>
      <c r="L38" s="6">
        <v>-245.60063778606809</v>
      </c>
      <c r="M38" s="6"/>
      <c r="N38" s="6">
        <v>-988.13708860759493</v>
      </c>
      <c r="O38" s="6">
        <v>29.049508860759488</v>
      </c>
      <c r="P38" s="6">
        <v>598.16777999999999</v>
      </c>
      <c r="Q38" s="6">
        <v>-360.91979974683545</v>
      </c>
      <c r="R38" s="6">
        <v>-360.91979974683568</v>
      </c>
    </row>
    <row r="39" spans="1:18">
      <c r="A39" s="19" t="s">
        <v>109</v>
      </c>
      <c r="B39" s="19">
        <v>2021</v>
      </c>
      <c r="C39" s="18">
        <v>243525</v>
      </c>
      <c r="D39" s="6">
        <v>2328</v>
      </c>
      <c r="E39" s="6">
        <v>38862.107457958191</v>
      </c>
      <c r="F39" s="6">
        <v>-24777.865434716983</v>
      </c>
      <c r="G39" s="6">
        <v>14084.242023241208</v>
      </c>
      <c r="H39" s="6"/>
      <c r="I39" s="6">
        <v>725.28909840000006</v>
      </c>
      <c r="J39" s="6">
        <v>-3942.6388015200005</v>
      </c>
      <c r="K39" s="6">
        <v>10866.892320121207</v>
      </c>
      <c r="L39" s="6">
        <v>10866.892320121215</v>
      </c>
      <c r="M39" s="6"/>
      <c r="N39" s="6">
        <v>-2298.9772052830176</v>
      </c>
      <c r="O39" s="6">
        <v>67.294864799999914</v>
      </c>
      <c r="P39" s="6">
        <v>3942.6388015200005</v>
      </c>
      <c r="Q39" s="6">
        <v>1710.956461036983</v>
      </c>
      <c r="R39" s="6">
        <v>1710.9564610369775</v>
      </c>
    </row>
    <row r="40" spans="1:18">
      <c r="A40" s="19" t="s">
        <v>109</v>
      </c>
      <c r="B40" s="19">
        <v>2021</v>
      </c>
      <c r="C40" s="18">
        <v>825018</v>
      </c>
      <c r="D40" s="6">
        <v>536</v>
      </c>
      <c r="E40" s="6">
        <v>5084.9012410510386</v>
      </c>
      <c r="F40" s="6">
        <v>-3669.7628892333673</v>
      </c>
      <c r="G40" s="6">
        <v>1415.1383518176713</v>
      </c>
      <c r="H40" s="6"/>
      <c r="I40" s="6">
        <v>108.37734216050175</v>
      </c>
      <c r="J40" s="6">
        <v>-572.08077537868235</v>
      </c>
      <c r="K40" s="6">
        <v>951.43491859949063</v>
      </c>
      <c r="L40" s="6">
        <v>951.43491859949074</v>
      </c>
      <c r="M40" s="6"/>
      <c r="N40" s="6">
        <v>-260.16975707251504</v>
      </c>
      <c r="O40" s="6">
        <v>7.6834682874982434</v>
      </c>
      <c r="P40" s="6">
        <v>572.08077537868235</v>
      </c>
      <c r="Q40" s="6">
        <v>319.59448659366558</v>
      </c>
      <c r="R40" s="6">
        <v>319.59448659366615</v>
      </c>
    </row>
    <row r="41" spans="1:18">
      <c r="A41" s="19" t="s">
        <v>109</v>
      </c>
      <c r="B41" s="19">
        <v>2021</v>
      </c>
      <c r="C41" s="18">
        <v>994179</v>
      </c>
      <c r="D41" s="6">
        <v>983</v>
      </c>
      <c r="E41" s="6">
        <v>9587.638638429391</v>
      </c>
      <c r="F41" s="6">
        <v>-6796.1656533847836</v>
      </c>
      <c r="G41" s="6">
        <v>2791.4729850446074</v>
      </c>
      <c r="H41" s="6"/>
      <c r="I41" s="6">
        <v>199.34543184319693</v>
      </c>
      <c r="J41" s="6">
        <v>-1042.8747328866352</v>
      </c>
      <c r="K41" s="6">
        <v>1947.943684001169</v>
      </c>
      <c r="L41" s="6">
        <v>1947.9436840011681</v>
      </c>
      <c r="M41" s="6"/>
      <c r="N41" s="6">
        <v>-366.42602200345209</v>
      </c>
      <c r="O41" s="6">
        <v>10.748024300803067</v>
      </c>
      <c r="P41" s="6">
        <v>1042.8747328866352</v>
      </c>
      <c r="Q41" s="6">
        <v>687.19673518398622</v>
      </c>
      <c r="R41" s="6">
        <v>687.19673518398554</v>
      </c>
    </row>
    <row r="42" spans="1:18">
      <c r="A42" s="19" t="s">
        <v>109</v>
      </c>
      <c r="B42" s="19">
        <v>2021</v>
      </c>
      <c r="C42" s="18">
        <v>230414</v>
      </c>
      <c r="D42" s="6">
        <v>2028</v>
      </c>
      <c r="E42" s="6">
        <v>13252.117376799393</v>
      </c>
      <c r="F42" s="6">
        <v>-8807.1353231626617</v>
      </c>
      <c r="G42" s="6">
        <v>4444.9820536367315</v>
      </c>
      <c r="H42" s="6"/>
      <c r="I42" s="6">
        <v>261.45430897291766</v>
      </c>
      <c r="J42" s="6">
        <v>-1297.6540770807353</v>
      </c>
      <c r="K42" s="6">
        <v>3408.7822855289141</v>
      </c>
      <c r="L42" s="6">
        <v>3408.7822855289141</v>
      </c>
      <c r="M42" s="6"/>
      <c r="N42" s="6">
        <v>-108.56922242557448</v>
      </c>
      <c r="O42" s="6">
        <v>3.2230560770823615</v>
      </c>
      <c r="P42" s="6">
        <v>1297.6540770807353</v>
      </c>
      <c r="Q42" s="6">
        <v>1192.3079107322433</v>
      </c>
      <c r="R42" s="6">
        <v>1192.3079107322419</v>
      </c>
    </row>
    <row r="43" spans="1:18">
      <c r="A43" s="19" t="s">
        <v>109</v>
      </c>
      <c r="B43" s="19">
        <v>2021</v>
      </c>
      <c r="C43" s="18">
        <v>248869</v>
      </c>
      <c r="D43" s="6">
        <v>2042</v>
      </c>
      <c r="E43" s="6">
        <v>10927.131624357678</v>
      </c>
      <c r="F43" s="6">
        <v>-7778.9263040058349</v>
      </c>
      <c r="G43" s="6">
        <v>3148.2053203518435</v>
      </c>
      <c r="H43" s="6"/>
      <c r="I43" s="6">
        <v>227.82364892960626</v>
      </c>
      <c r="J43" s="6">
        <v>-1140.985663185</v>
      </c>
      <c r="K43" s="6">
        <v>2235.0433060964497</v>
      </c>
      <c r="L43" s="6">
        <v>2235.0433060964488</v>
      </c>
      <c r="M43" s="6"/>
      <c r="N43" s="6">
        <v>-57.14196599416573</v>
      </c>
      <c r="O43" s="6">
        <v>1.6735331703937391</v>
      </c>
      <c r="P43" s="6">
        <v>1140.985663185</v>
      </c>
      <c r="Q43" s="6">
        <v>1085.517230361228</v>
      </c>
      <c r="R43" s="6">
        <v>1085.5172303612267</v>
      </c>
    </row>
    <row r="44" spans="1:18">
      <c r="A44" s="19" t="s">
        <v>109</v>
      </c>
      <c r="B44" s="19">
        <v>2021</v>
      </c>
      <c r="C44" s="18">
        <v>696234</v>
      </c>
      <c r="D44" s="6">
        <v>36</v>
      </c>
      <c r="E44" s="6">
        <v>386.40096994363938</v>
      </c>
      <c r="F44" s="6">
        <v>-209.41075848295065</v>
      </c>
      <c r="G44" s="6">
        <v>176.99021146068873</v>
      </c>
      <c r="H44" s="6"/>
      <c r="I44" s="6">
        <v>6.2194005899999993</v>
      </c>
      <c r="J44" s="6">
        <v>-366.59107486519849</v>
      </c>
      <c r="K44" s="6">
        <v>-183.38146281450977</v>
      </c>
      <c r="L44" s="6">
        <v>-183.3814628145098</v>
      </c>
      <c r="M44" s="6"/>
      <c r="N44" s="6">
        <v>-2309.3353088258727</v>
      </c>
      <c r="O44" s="6">
        <v>68.58616761750001</v>
      </c>
      <c r="P44" s="6">
        <v>366.59107486519849</v>
      </c>
      <c r="Q44" s="6">
        <v>-1874.1580663431741</v>
      </c>
      <c r="R44" s="6">
        <v>-1874.1580663431746</v>
      </c>
    </row>
    <row r="45" spans="1:18">
      <c r="A45" s="19" t="s">
        <v>109</v>
      </c>
      <c r="B45" s="19">
        <v>2021</v>
      </c>
      <c r="C45" s="18">
        <v>708735</v>
      </c>
      <c r="D45" s="6">
        <v>481</v>
      </c>
      <c r="E45" s="6">
        <v>4522.6936393183532</v>
      </c>
      <c r="F45" s="6">
        <v>-2761.3879621516708</v>
      </c>
      <c r="G45" s="6">
        <v>1761.3056771666825</v>
      </c>
      <c r="H45" s="6"/>
      <c r="I45" s="6">
        <v>82.043208000000007</v>
      </c>
      <c r="J45" s="6">
        <v>-410.25725809411762</v>
      </c>
      <c r="K45" s="6">
        <v>1433.091627072565</v>
      </c>
      <c r="L45" s="6">
        <v>1433.0916270725634</v>
      </c>
      <c r="M45" s="6"/>
      <c r="N45" s="6">
        <v>-57.40931314244699</v>
      </c>
      <c r="O45" s="6">
        <v>1.705680000000001</v>
      </c>
      <c r="P45" s="6">
        <v>410.25725809411762</v>
      </c>
      <c r="Q45" s="6">
        <v>354.5536249516706</v>
      </c>
      <c r="R45" s="6">
        <v>354.55362495167151</v>
      </c>
    </row>
    <row r="46" spans="1:18">
      <c r="A46" s="19" t="s">
        <v>109</v>
      </c>
      <c r="B46" s="19">
        <v>2021</v>
      </c>
      <c r="C46" s="18">
        <v>485133</v>
      </c>
      <c r="D46" s="6">
        <v>259</v>
      </c>
      <c r="E46" s="6">
        <v>3596.0645415372414</v>
      </c>
      <c r="F46" s="6">
        <v>-2388.6755343431373</v>
      </c>
      <c r="G46" s="6">
        <v>1207.3890071941041</v>
      </c>
      <c r="H46" s="6"/>
      <c r="I46" s="6">
        <v>70.375838715</v>
      </c>
      <c r="J46" s="6">
        <v>-362.51404506926474</v>
      </c>
      <c r="K46" s="6">
        <v>915.25080083983937</v>
      </c>
      <c r="L46" s="6">
        <v>915.25080083983914</v>
      </c>
      <c r="M46" s="6"/>
      <c r="N46" s="6">
        <v>-101.44954006862737</v>
      </c>
      <c r="O46" s="6">
        <v>2.9889352350000005</v>
      </c>
      <c r="P46" s="6">
        <v>362.51404506926474</v>
      </c>
      <c r="Q46" s="6">
        <v>264.05344023563737</v>
      </c>
      <c r="R46" s="6">
        <v>264.05344023563742</v>
      </c>
    </row>
    <row r="47" spans="1:18">
      <c r="A47" s="19" t="s">
        <v>109</v>
      </c>
      <c r="B47" s="19">
        <v>2021</v>
      </c>
      <c r="C47" s="18">
        <v>892823</v>
      </c>
      <c r="D47" s="6">
        <v>273</v>
      </c>
      <c r="E47" s="6">
        <v>3886.4714342847383</v>
      </c>
      <c r="F47" s="6">
        <v>-2516.6526986964327</v>
      </c>
      <c r="G47" s="6">
        <v>1369.8187355883056</v>
      </c>
      <c r="H47" s="6"/>
      <c r="I47" s="6">
        <v>74.179938104999991</v>
      </c>
      <c r="J47" s="6">
        <v>-371.73898609001475</v>
      </c>
      <c r="K47" s="6">
        <v>1072.2596876032908</v>
      </c>
      <c r="L47" s="6">
        <v>1072.2596876032906</v>
      </c>
      <c r="M47" s="6"/>
      <c r="N47" s="6">
        <v>-36.874032215332299</v>
      </c>
      <c r="O47" s="6">
        <v>1.0868855400000035</v>
      </c>
      <c r="P47" s="6">
        <v>371.73898609001475</v>
      </c>
      <c r="Q47" s="6">
        <v>335.95183941468247</v>
      </c>
      <c r="R47" s="6">
        <v>335.95183941468241</v>
      </c>
    </row>
    <row r="48" spans="1:18">
      <c r="A48" s="19" t="s">
        <v>109</v>
      </c>
      <c r="B48" s="19">
        <v>2021</v>
      </c>
      <c r="C48" s="18">
        <v>281853</v>
      </c>
      <c r="D48" s="6">
        <v>925</v>
      </c>
      <c r="E48" s="6">
        <v>17847.194201807008</v>
      </c>
      <c r="F48" s="6">
        <v>-19397.441519460972</v>
      </c>
      <c r="G48" s="6">
        <v>-1550.2473176539643</v>
      </c>
      <c r="H48" s="6"/>
      <c r="I48" s="6">
        <v>577.15634924999995</v>
      </c>
      <c r="J48" s="6">
        <v>-3137.3924035097643</v>
      </c>
      <c r="K48" s="6">
        <v>-4110.4833719137287</v>
      </c>
      <c r="L48" s="6">
        <v>-4110.4833719137287</v>
      </c>
      <c r="M48" s="6"/>
      <c r="N48" s="6">
        <v>-2159.9313259507949</v>
      </c>
      <c r="O48" s="6">
        <v>64.267139429999972</v>
      </c>
      <c r="P48" s="6">
        <v>3137.3924035097643</v>
      </c>
      <c r="Q48" s="6">
        <v>1041.7282169889695</v>
      </c>
      <c r="R48" s="6">
        <v>1041.728216988972</v>
      </c>
    </row>
    <row r="49" spans="1:18">
      <c r="A49" s="19" t="s">
        <v>109</v>
      </c>
      <c r="B49" s="19">
        <v>2021</v>
      </c>
      <c r="C49" s="18">
        <v>366440</v>
      </c>
      <c r="D49" s="6">
        <v>280</v>
      </c>
      <c r="E49" s="6">
        <v>421.66449076289831</v>
      </c>
      <c r="F49" s="6">
        <v>-227.57968356997969</v>
      </c>
      <c r="G49" s="6">
        <v>194.08480719291862</v>
      </c>
      <c r="H49" s="6"/>
      <c r="I49" s="6">
        <v>6.6023999999999985</v>
      </c>
      <c r="J49" s="6">
        <v>-34.330399411764702</v>
      </c>
      <c r="K49" s="6">
        <v>166.35680778115392</v>
      </c>
      <c r="L49" s="6">
        <v>166.35680778115395</v>
      </c>
      <c r="M49" s="6"/>
      <c r="N49" s="6">
        <v>-8.1278458417849837</v>
      </c>
      <c r="O49" s="6">
        <v>0.23579999999999995</v>
      </c>
      <c r="P49" s="6">
        <v>34.330399411764702</v>
      </c>
      <c r="Q49" s="6">
        <v>26.438353569979718</v>
      </c>
      <c r="R49" s="6">
        <v>26.438353569979732</v>
      </c>
    </row>
    <row r="50" spans="1:18">
      <c r="A50" s="19" t="s">
        <v>109</v>
      </c>
      <c r="B50" s="19">
        <v>2021</v>
      </c>
      <c r="C50" s="18">
        <v>657778</v>
      </c>
      <c r="D50" s="6">
        <v>287</v>
      </c>
      <c r="E50" s="6">
        <v>419.36268413432026</v>
      </c>
      <c r="F50" s="6">
        <v>-233.19046737602898</v>
      </c>
      <c r="G50" s="6">
        <v>186.17221675829128</v>
      </c>
      <c r="H50" s="6"/>
      <c r="I50" s="6">
        <v>6.7674600000000007</v>
      </c>
      <c r="J50" s="6">
        <v>-34.673488411764716</v>
      </c>
      <c r="K50" s="6">
        <v>158.26618834652658</v>
      </c>
      <c r="L50" s="6">
        <v>158.26618834652655</v>
      </c>
      <c r="M50" s="6"/>
      <c r="N50" s="6">
        <v>-4.8750620357358043</v>
      </c>
      <c r="O50" s="6">
        <v>0.14147999999999966</v>
      </c>
      <c r="P50" s="6">
        <v>34.673488411764716</v>
      </c>
      <c r="Q50" s="6">
        <v>29.939906376028912</v>
      </c>
      <c r="R50" s="6">
        <v>29.939906376028894</v>
      </c>
    </row>
    <row r="51" spans="1:18">
      <c r="A51" s="19" t="s">
        <v>109</v>
      </c>
      <c r="B51" s="19">
        <v>2021</v>
      </c>
      <c r="C51" s="18">
        <v>838235</v>
      </c>
      <c r="D51" s="6">
        <v>278</v>
      </c>
      <c r="E51" s="6">
        <v>292.72155008138748</v>
      </c>
      <c r="F51" s="6">
        <v>-225.95411440162269</v>
      </c>
      <c r="G51" s="6">
        <v>66.767435679764787</v>
      </c>
      <c r="H51" s="6"/>
      <c r="I51" s="6">
        <v>6.5552399999999995</v>
      </c>
      <c r="J51" s="6">
        <v>-34.330399411764702</v>
      </c>
      <c r="K51" s="6">
        <v>38.992276268000083</v>
      </c>
      <c r="L51" s="6">
        <v>38.992276268000033</v>
      </c>
      <c r="M51" s="6"/>
      <c r="N51" s="6">
        <v>-9.7534150101420138</v>
      </c>
      <c r="O51" s="6">
        <v>0.28295999999999877</v>
      </c>
      <c r="P51" s="6">
        <v>34.330399411764702</v>
      </c>
      <c r="Q51" s="6">
        <v>24.859944401622688</v>
      </c>
      <c r="R51" s="6">
        <v>24.859944401622705</v>
      </c>
    </row>
    <row r="52" spans="1:18">
      <c r="A52" s="19" t="s">
        <v>109</v>
      </c>
      <c r="B52" s="19">
        <v>2021</v>
      </c>
      <c r="C52" s="18">
        <v>939960</v>
      </c>
      <c r="D52" s="6">
        <v>290</v>
      </c>
      <c r="E52" s="6">
        <v>269.16368683276107</v>
      </c>
      <c r="F52" s="6">
        <v>-235.09105882352941</v>
      </c>
      <c r="G52" s="6">
        <v>34.072628009231664</v>
      </c>
      <c r="H52" s="6"/>
      <c r="I52" s="6">
        <v>6.8381999999999996</v>
      </c>
      <c r="J52" s="6">
        <v>-37.189474411764706</v>
      </c>
      <c r="K52" s="6">
        <v>3.7213535974669574</v>
      </c>
      <c r="L52" s="6">
        <v>3.721353597466976</v>
      </c>
      <c r="M52" s="6"/>
      <c r="N52" s="6">
        <v>-20.26647058823535</v>
      </c>
      <c r="O52" s="6">
        <v>0.58950000000000014</v>
      </c>
      <c r="P52" s="6">
        <v>37.189474411764706</v>
      </c>
      <c r="Q52" s="6">
        <v>17.512503823529357</v>
      </c>
      <c r="R52" s="6">
        <v>17.5125038235294</v>
      </c>
    </row>
    <row r="53" spans="1:18">
      <c r="A53" s="19" t="s">
        <v>109</v>
      </c>
      <c r="B53" s="19">
        <v>2021</v>
      </c>
      <c r="C53" s="18">
        <v>951949</v>
      </c>
      <c r="D53" s="6">
        <v>282</v>
      </c>
      <c r="E53" s="6">
        <v>239.95037791400222</v>
      </c>
      <c r="F53" s="6">
        <v>-228.78699444337994</v>
      </c>
      <c r="G53" s="6">
        <v>11.163383470622279</v>
      </c>
      <c r="H53" s="6"/>
      <c r="I53" s="6">
        <v>6.6495599999999984</v>
      </c>
      <c r="J53" s="6">
        <v>-36.274570411764707</v>
      </c>
      <c r="K53" s="6">
        <v>-18.461626941142431</v>
      </c>
      <c r="L53" s="6">
        <v>-18.461626941142441</v>
      </c>
      <c r="M53" s="6"/>
      <c r="N53" s="6">
        <v>-20.282534968384823</v>
      </c>
      <c r="O53" s="6">
        <v>0.58950000000000014</v>
      </c>
      <c r="P53" s="6">
        <v>36.274570411764707</v>
      </c>
      <c r="Q53" s="6">
        <v>16.581535443379884</v>
      </c>
      <c r="R53" s="6">
        <v>16.581535443379892</v>
      </c>
    </row>
    <row r="54" spans="1:18">
      <c r="A54" s="19" t="s">
        <v>109</v>
      </c>
      <c r="B54" s="19">
        <v>2021</v>
      </c>
      <c r="C54" s="18">
        <v>370668</v>
      </c>
      <c r="D54" s="6">
        <v>309</v>
      </c>
      <c r="E54" s="6">
        <v>371.18277806333327</v>
      </c>
      <c r="F54" s="6">
        <v>-282.80489367369591</v>
      </c>
      <c r="G54" s="6">
        <v>88.377884389637359</v>
      </c>
      <c r="H54" s="6"/>
      <c r="I54" s="6">
        <v>8.2577159999999985</v>
      </c>
      <c r="J54" s="6">
        <v>-42.381554611764713</v>
      </c>
      <c r="K54" s="6">
        <v>54.254045777872648</v>
      </c>
      <c r="L54" s="6">
        <v>54.254045777872712</v>
      </c>
      <c r="M54" s="6"/>
      <c r="N54" s="6">
        <v>-8.2370357380688208</v>
      </c>
      <c r="O54" s="6">
        <v>0.24051600000000126</v>
      </c>
      <c r="P54" s="6">
        <v>42.381554611764713</v>
      </c>
      <c r="Q54" s="6">
        <v>34.385034873695894</v>
      </c>
      <c r="R54" s="6">
        <v>34.385034873695872</v>
      </c>
    </row>
    <row r="55" spans="1:18">
      <c r="A55" s="19" t="s">
        <v>109</v>
      </c>
      <c r="B55" s="19">
        <v>2021</v>
      </c>
      <c r="C55" s="18">
        <v>658577</v>
      </c>
      <c r="D55" s="6">
        <v>317</v>
      </c>
      <c r="E55" s="6">
        <v>455.51833502814918</v>
      </c>
      <c r="F55" s="6">
        <v>-302.5848032186459</v>
      </c>
      <c r="G55" s="6">
        <v>152.93353180950328</v>
      </c>
      <c r="H55" s="6"/>
      <c r="I55" s="6">
        <v>8.8452510000000029</v>
      </c>
      <c r="J55" s="6">
        <v>-44.199926311764713</v>
      </c>
      <c r="K55" s="6">
        <v>117.57885649773857</v>
      </c>
      <c r="L55" s="6">
        <v>117.5788564977385</v>
      </c>
      <c r="M55" s="6"/>
      <c r="N55" s="6">
        <v>-0.95452619311877729</v>
      </c>
      <c r="O55" s="6">
        <v>2.7902999999999858E-2</v>
      </c>
      <c r="P55" s="6">
        <v>44.199926311764713</v>
      </c>
      <c r="Q55" s="6">
        <v>43.273303118645934</v>
      </c>
      <c r="R55" s="6">
        <v>43.27330311864597</v>
      </c>
    </row>
    <row r="56" spans="1:18">
      <c r="A56" s="19" t="s">
        <v>109</v>
      </c>
      <c r="B56" s="19">
        <v>2021</v>
      </c>
      <c r="C56" s="18">
        <v>257808</v>
      </c>
      <c r="D56" s="6">
        <v>1092</v>
      </c>
      <c r="E56" s="6">
        <v>7618.2336755004471</v>
      </c>
      <c r="F56" s="6">
        <v>-5308.7210588235303</v>
      </c>
      <c r="G56" s="6">
        <v>2309.5126166769169</v>
      </c>
      <c r="H56" s="6"/>
      <c r="I56" s="6">
        <v>157.80522000000002</v>
      </c>
      <c r="J56" s="6">
        <v>-772.6373758235294</v>
      </c>
      <c r="K56" s="6">
        <v>1694.6804608533873</v>
      </c>
      <c r="L56" s="6">
        <v>1694.6804608533873</v>
      </c>
      <c r="M56" s="6"/>
      <c r="N56" s="6">
        <v>-2.7533531010703882E-13</v>
      </c>
      <c r="O56" s="6">
        <v>-1.5210055437364645E-14</v>
      </c>
      <c r="P56" s="6">
        <v>772.6373758235294</v>
      </c>
      <c r="Q56" s="6">
        <v>772.63737582352906</v>
      </c>
      <c r="R56" s="6">
        <v>772.63737582353019</v>
      </c>
    </row>
    <row r="57" spans="1:18">
      <c r="A57" s="19" t="s">
        <v>109</v>
      </c>
      <c r="B57" s="19">
        <v>2021</v>
      </c>
      <c r="C57" s="18">
        <v>448645</v>
      </c>
      <c r="D57" s="6">
        <v>515</v>
      </c>
      <c r="E57" s="6">
        <v>5432.9721067990913</v>
      </c>
      <c r="F57" s="6">
        <v>-4173.168725915215</v>
      </c>
      <c r="G57" s="6">
        <v>1259.8033808838763</v>
      </c>
      <c r="H57" s="6"/>
      <c r="I57" s="6">
        <v>122.45744160000001</v>
      </c>
      <c r="J57" s="6">
        <v>-633.56270670211757</v>
      </c>
      <c r="K57" s="6">
        <v>748.69811578175882</v>
      </c>
      <c r="L57" s="6">
        <v>748.6981157817595</v>
      </c>
      <c r="M57" s="6"/>
      <c r="N57" s="6">
        <v>-178.27128537890263</v>
      </c>
      <c r="O57" s="6">
        <v>5.2311916799999905</v>
      </c>
      <c r="P57" s="6">
        <v>633.56270670211757</v>
      </c>
      <c r="Q57" s="6">
        <v>460.52261300321493</v>
      </c>
      <c r="R57" s="6">
        <v>460.52261300321589</v>
      </c>
    </row>
    <row r="58" spans="1:18">
      <c r="A58" s="19" t="s">
        <v>109</v>
      </c>
      <c r="B58" s="19">
        <v>2021</v>
      </c>
      <c r="C58" s="18">
        <v>312585</v>
      </c>
      <c r="D58" s="6">
        <v>452</v>
      </c>
      <c r="E58" s="6">
        <v>5900.6369211929496</v>
      </c>
      <c r="F58" s="6">
        <v>-3629.0651540694885</v>
      </c>
      <c r="G58" s="6">
        <v>2271.5717671234611</v>
      </c>
      <c r="H58" s="6"/>
      <c r="I58" s="6">
        <v>107.80279298245615</v>
      </c>
      <c r="J58" s="6">
        <v>-599.47154576470598</v>
      </c>
      <c r="K58" s="6">
        <v>1779.9030143412112</v>
      </c>
      <c r="L58" s="6">
        <v>1779.9030143412117</v>
      </c>
      <c r="M58" s="6"/>
      <c r="N58" s="6">
        <v>-489.76321769521832</v>
      </c>
      <c r="O58" s="6">
        <v>14.548607017543855</v>
      </c>
      <c r="P58" s="6">
        <v>599.47154576470598</v>
      </c>
      <c r="Q58" s="6">
        <v>124.25693508703154</v>
      </c>
      <c r="R58" s="6">
        <v>124.25693508703199</v>
      </c>
    </row>
    <row r="59" spans="1:18">
      <c r="A59" s="19" t="s">
        <v>109</v>
      </c>
      <c r="B59" s="19">
        <v>2021</v>
      </c>
      <c r="C59" s="18">
        <v>776831</v>
      </c>
      <c r="D59" s="6">
        <v>375</v>
      </c>
      <c r="E59" s="6">
        <v>5460.2500489957292</v>
      </c>
      <c r="F59" s="6">
        <v>-4050.0630441176472</v>
      </c>
      <c r="G59" s="6">
        <v>1410.187004878082</v>
      </c>
      <c r="H59" s="6"/>
      <c r="I59" s="6">
        <v>120.46770000000001</v>
      </c>
      <c r="J59" s="6">
        <v>-785.91906882352941</v>
      </c>
      <c r="K59" s="6">
        <v>744.73563605455263</v>
      </c>
      <c r="L59" s="6">
        <v>744.73563605455172</v>
      </c>
      <c r="M59" s="6"/>
      <c r="N59" s="6">
        <v>-1350.0210147058822</v>
      </c>
      <c r="O59" s="6">
        <v>40.155899999999981</v>
      </c>
      <c r="P59" s="6">
        <v>785.91906882352941</v>
      </c>
      <c r="Q59" s="6">
        <v>-523.94604588235279</v>
      </c>
      <c r="R59" s="6">
        <v>-523.94604588235279</v>
      </c>
    </row>
    <row r="60" spans="1:18">
      <c r="A60" s="19" t="s">
        <v>109</v>
      </c>
      <c r="B60" s="19">
        <v>2021</v>
      </c>
      <c r="C60" s="18">
        <v>969653</v>
      </c>
      <c r="D60" s="6">
        <v>906</v>
      </c>
      <c r="E60" s="6">
        <v>15856.673041173894</v>
      </c>
      <c r="F60" s="6">
        <v>-8995.3567448902522</v>
      </c>
      <c r="G60" s="6">
        <v>6861.3162962836413</v>
      </c>
      <c r="H60" s="6"/>
      <c r="I60" s="6">
        <v>266.93056709999991</v>
      </c>
      <c r="J60" s="6">
        <v>-1355.5072441667646</v>
      </c>
      <c r="K60" s="6">
        <v>5772.7396192168771</v>
      </c>
      <c r="L60" s="6">
        <v>5772.7396192168762</v>
      </c>
      <c r="M60" s="6"/>
      <c r="N60" s="6">
        <v>-317.71679452151091</v>
      </c>
      <c r="O60" s="6">
        <v>9.4280111999999825</v>
      </c>
      <c r="P60" s="6">
        <v>1355.5072441667646</v>
      </c>
      <c r="Q60" s="6">
        <v>1047.2184608452537</v>
      </c>
      <c r="R60" s="6">
        <v>1047.218460845254</v>
      </c>
    </row>
    <row r="61" spans="1:18">
      <c r="A61" s="19" t="s">
        <v>109</v>
      </c>
      <c r="B61" s="19">
        <v>2021</v>
      </c>
      <c r="C61" s="18" t="s">
        <v>148</v>
      </c>
      <c r="D61" s="6">
        <v>25</v>
      </c>
      <c r="E61" s="6">
        <v>410.1623010130528</v>
      </c>
      <c r="F61" s="6">
        <v>-284.45387499999998</v>
      </c>
      <c r="G61" s="6">
        <v>125.70842601305282</v>
      </c>
      <c r="H61" s="6"/>
      <c r="I61" s="6">
        <v>8.4038662500000001</v>
      </c>
      <c r="J61" s="6">
        <v>-764.66842456999984</v>
      </c>
      <c r="K61" s="6">
        <v>-630.55613230694712</v>
      </c>
      <c r="L61" s="6">
        <v>-630.55613230694712</v>
      </c>
      <c r="M61" s="6"/>
      <c r="N61" s="6">
        <v>-5040.5226649999995</v>
      </c>
      <c r="O61" s="6">
        <v>148.91650995000001</v>
      </c>
      <c r="P61" s="6">
        <v>764.66842456999984</v>
      </c>
      <c r="Q61" s="6">
        <v>-4126.93773048</v>
      </c>
      <c r="R61" s="6">
        <v>-4126.93773048</v>
      </c>
    </row>
    <row r="62" spans="1:18">
      <c r="A62" s="19" t="s">
        <v>109</v>
      </c>
      <c r="B62" s="19">
        <v>2021</v>
      </c>
      <c r="C62" s="18" t="s">
        <v>149</v>
      </c>
      <c r="D62" s="6">
        <v>41</v>
      </c>
      <c r="E62" s="6">
        <v>683.01039644723096</v>
      </c>
      <c r="F62" s="6">
        <v>-466.50435499999998</v>
      </c>
      <c r="G62" s="6">
        <v>216.50604144723098</v>
      </c>
      <c r="H62" s="6"/>
      <c r="I62" s="6">
        <v>13.782340649999998</v>
      </c>
      <c r="J62" s="6">
        <v>-774.46622488499997</v>
      </c>
      <c r="K62" s="6">
        <v>-544.17784278776901</v>
      </c>
      <c r="L62" s="6">
        <v>-544.17784278776901</v>
      </c>
      <c r="M62" s="6"/>
      <c r="N62" s="6">
        <v>-4926.7411150000007</v>
      </c>
      <c r="O62" s="6">
        <v>145.55496345</v>
      </c>
      <c r="P62" s="6">
        <v>774.46622488499997</v>
      </c>
      <c r="Q62" s="6">
        <v>-4006.7199266650005</v>
      </c>
      <c r="R62" s="6">
        <v>-4006.719926665</v>
      </c>
    </row>
    <row r="63" spans="1:18">
      <c r="A63" s="19" t="s">
        <v>109</v>
      </c>
      <c r="B63" s="19">
        <v>2021</v>
      </c>
      <c r="C63" s="18">
        <v>407665</v>
      </c>
      <c r="D63" s="6">
        <v>28</v>
      </c>
      <c r="E63" s="6">
        <v>246.24545778380164</v>
      </c>
      <c r="F63" s="6">
        <v>-165.8048</v>
      </c>
      <c r="G63" s="6">
        <v>80.44065778380164</v>
      </c>
      <c r="H63" s="6"/>
      <c r="I63" s="6">
        <v>4.8288239999999991</v>
      </c>
      <c r="J63" s="6">
        <v>-630.39373239999998</v>
      </c>
      <c r="K63" s="6">
        <v>-545.12425061619831</v>
      </c>
      <c r="L63" s="6">
        <v>-545.12425061619842</v>
      </c>
      <c r="M63" s="6"/>
      <c r="N63" s="6">
        <v>-4263.5519999999988</v>
      </c>
      <c r="O63" s="6">
        <v>124.16976</v>
      </c>
      <c r="P63" s="6">
        <v>630.39373239999998</v>
      </c>
      <c r="Q63" s="6">
        <v>-3508.9885075999991</v>
      </c>
      <c r="R63" s="6">
        <v>-3508.9885075999996</v>
      </c>
    </row>
    <row r="64" spans="1:18">
      <c r="A64" s="19" t="s">
        <v>109</v>
      </c>
      <c r="B64" s="19">
        <v>2021</v>
      </c>
      <c r="C64" s="18">
        <v>565992</v>
      </c>
      <c r="D64" s="6">
        <v>12</v>
      </c>
      <c r="E64" s="6">
        <v>103.20144258912623</v>
      </c>
      <c r="F64" s="6">
        <v>-71.059200000000004</v>
      </c>
      <c r="G64" s="6">
        <v>32.142242589126226</v>
      </c>
      <c r="H64" s="6"/>
      <c r="I64" s="6">
        <v>2.0694959999999996</v>
      </c>
      <c r="J64" s="6">
        <v>-646.77847499999996</v>
      </c>
      <c r="K64" s="6">
        <v>-612.56673641087377</v>
      </c>
      <c r="L64" s="6">
        <v>-612.56673641087377</v>
      </c>
      <c r="M64" s="6"/>
      <c r="N64" s="6">
        <v>-4370.1408000000001</v>
      </c>
      <c r="O64" s="6">
        <v>127.27400399999998</v>
      </c>
      <c r="P64" s="6">
        <v>646.77847499999996</v>
      </c>
      <c r="Q64" s="6">
        <v>-3596.0883210000002</v>
      </c>
      <c r="R64" s="6">
        <v>-3596.0883210000002</v>
      </c>
    </row>
    <row r="65" spans="1:18">
      <c r="A65" s="19" t="s">
        <v>109</v>
      </c>
      <c r="B65" s="19">
        <v>2021</v>
      </c>
      <c r="C65" s="18">
        <v>451217</v>
      </c>
      <c r="D65" s="6">
        <v>462</v>
      </c>
      <c r="E65" s="6">
        <v>6674.247421149772</v>
      </c>
      <c r="F65" s="6">
        <v>-4757.8492499999993</v>
      </c>
      <c r="G65" s="6">
        <v>1916.3981711497727</v>
      </c>
      <c r="H65" s="6"/>
      <c r="I65" s="6">
        <v>140.33769749999999</v>
      </c>
      <c r="J65" s="6">
        <v>-776.58148837499982</v>
      </c>
      <c r="K65" s="6">
        <v>1280.1543802747728</v>
      </c>
      <c r="L65" s="6">
        <v>1280.1543802747728</v>
      </c>
      <c r="M65" s="6"/>
      <c r="N65" s="6">
        <v>-576.70900000000017</v>
      </c>
      <c r="O65" s="6">
        <v>17.010629999999988</v>
      </c>
      <c r="P65" s="6">
        <v>776.58148837499982</v>
      </c>
      <c r="Q65" s="6">
        <v>216.88311837499964</v>
      </c>
      <c r="R65" s="6">
        <v>216.88311837499975</v>
      </c>
    </row>
    <row r="66" spans="1:18">
      <c r="A66" s="19" t="s">
        <v>109</v>
      </c>
      <c r="B66" s="19">
        <v>2021</v>
      </c>
      <c r="C66" s="18">
        <v>999799</v>
      </c>
      <c r="D66" s="6">
        <v>0</v>
      </c>
      <c r="E66" s="6">
        <v>0</v>
      </c>
      <c r="F66" s="6">
        <v>0</v>
      </c>
      <c r="G66" s="6">
        <v>0</v>
      </c>
      <c r="H66" s="6"/>
      <c r="I66" s="6">
        <v>0</v>
      </c>
      <c r="J66" s="6">
        <v>-554.89030500000001</v>
      </c>
      <c r="K66" s="6">
        <v>-554.89030500000001</v>
      </c>
      <c r="L66" s="6">
        <v>-554.89030500000001</v>
      </c>
      <c r="M66" s="6"/>
      <c r="N66" s="6">
        <v>-3810.7712000000001</v>
      </c>
      <c r="O66" s="6">
        <v>111.5025</v>
      </c>
      <c r="P66" s="6">
        <v>554.89030500000001</v>
      </c>
      <c r="Q66" s="6">
        <v>-3144.3783950000002</v>
      </c>
      <c r="R66" s="6">
        <v>-3144.3783950000002</v>
      </c>
    </row>
    <row r="67" spans="1:18">
      <c r="A67" s="19" t="s">
        <v>109</v>
      </c>
      <c r="B67" s="19">
        <v>2021</v>
      </c>
      <c r="C67" s="18">
        <v>956997</v>
      </c>
      <c r="D67" s="6">
        <v>0</v>
      </c>
      <c r="E67" s="6">
        <v>0</v>
      </c>
      <c r="F67" s="6">
        <v>0</v>
      </c>
      <c r="G67" s="6">
        <v>0</v>
      </c>
      <c r="H67" s="6"/>
      <c r="I67" s="6">
        <v>0</v>
      </c>
      <c r="J67" s="6">
        <v>-655.41341730022486</v>
      </c>
      <c r="K67" s="6">
        <v>-655.41341730022486</v>
      </c>
      <c r="L67" s="6">
        <v>-655.41341730022486</v>
      </c>
      <c r="M67" s="6"/>
      <c r="N67" s="6">
        <v>-4501.9217649499997</v>
      </c>
      <c r="O67" s="6">
        <v>132.49898294849999</v>
      </c>
      <c r="P67" s="6">
        <v>655.41341730022486</v>
      </c>
      <c r="Q67" s="6">
        <v>-3714.0093647012745</v>
      </c>
      <c r="R67" s="6">
        <v>-3714.0093647012745</v>
      </c>
    </row>
    <row r="68" spans="1:18">
      <c r="A68" s="19" t="s">
        <v>109</v>
      </c>
      <c r="B68" s="19">
        <v>2021</v>
      </c>
      <c r="C68" s="18">
        <v>630258</v>
      </c>
      <c r="D68" s="6">
        <v>0</v>
      </c>
      <c r="E68" s="6">
        <v>0</v>
      </c>
      <c r="F68" s="6">
        <v>0</v>
      </c>
      <c r="G68" s="6">
        <v>0</v>
      </c>
      <c r="H68" s="6"/>
      <c r="I68" s="6">
        <v>0</v>
      </c>
      <c r="J68" s="6">
        <v>-717.92312201250002</v>
      </c>
      <c r="K68" s="6">
        <v>-717.92312201250002</v>
      </c>
      <c r="L68" s="6">
        <v>-717.92312201250002</v>
      </c>
      <c r="M68" s="6"/>
      <c r="N68" s="6">
        <v>-4931.5042750000002</v>
      </c>
      <c r="O68" s="6">
        <v>145.35012825000001</v>
      </c>
      <c r="P68" s="6">
        <v>717.92312201250002</v>
      </c>
      <c r="Q68" s="6">
        <v>-4068.2310247374999</v>
      </c>
      <c r="R68" s="6">
        <v>-4068.2310247374999</v>
      </c>
    </row>
    <row r="69" spans="1:18">
      <c r="A69" s="19" t="s">
        <v>109</v>
      </c>
      <c r="B69" s="19">
        <v>2021</v>
      </c>
      <c r="C69" s="18">
        <v>483527</v>
      </c>
      <c r="D69" s="6">
        <v>0</v>
      </c>
      <c r="E69" s="6">
        <v>0</v>
      </c>
      <c r="F69" s="6">
        <v>0</v>
      </c>
      <c r="G69" s="6">
        <v>0</v>
      </c>
      <c r="H69" s="6"/>
      <c r="I69" s="6">
        <v>0</v>
      </c>
      <c r="J69" s="6">
        <v>-609.11438939009997</v>
      </c>
      <c r="K69" s="6">
        <v>-609.11438939009997</v>
      </c>
      <c r="L69" s="6">
        <v>-609.11438939009997</v>
      </c>
      <c r="M69" s="6"/>
      <c r="N69" s="6">
        <v>-4183.7635422000003</v>
      </c>
      <c r="O69" s="6">
        <v>123.000946266</v>
      </c>
      <c r="P69" s="6">
        <v>609.11438939009997</v>
      </c>
      <c r="Q69" s="6">
        <v>-3451.6482065439004</v>
      </c>
      <c r="R69" s="6">
        <v>-3451.6482065439004</v>
      </c>
    </row>
    <row r="70" spans="1:18">
      <c r="A70" s="19" t="s">
        <v>109</v>
      </c>
      <c r="B70" s="19">
        <v>2021</v>
      </c>
      <c r="C70" s="18">
        <v>475115</v>
      </c>
      <c r="D70" s="6">
        <v>0</v>
      </c>
      <c r="E70" s="6">
        <v>0</v>
      </c>
      <c r="F70" s="6">
        <v>0</v>
      </c>
      <c r="G70" s="6">
        <v>0</v>
      </c>
      <c r="H70" s="6"/>
      <c r="I70" s="6">
        <v>0</v>
      </c>
      <c r="J70" s="6">
        <v>-827.53253864999976</v>
      </c>
      <c r="K70" s="6">
        <v>-827.53253864999976</v>
      </c>
      <c r="L70" s="6">
        <v>-827.53253864999976</v>
      </c>
      <c r="M70" s="6"/>
      <c r="N70" s="6">
        <v>-5684.8442999999988</v>
      </c>
      <c r="O70" s="6">
        <v>167.96070899999998</v>
      </c>
      <c r="P70" s="6">
        <v>827.53253864999976</v>
      </c>
      <c r="Q70" s="6">
        <v>-4689.351052349999</v>
      </c>
      <c r="R70" s="6">
        <v>-4689.351052349999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  <vt:lpstr>2020BF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2021-08-24T08:31:57Z</dcterms:modified>
</cp:coreProperties>
</file>