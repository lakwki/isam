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 activeTab="1"/>
  </bookViews>
  <sheets>
    <sheet name="ST" sheetId="1" r:id="rId1"/>
    <sheet name="Template" sheetId="2" r:id="rId2"/>
  </sheets>
  <calcPr calcId="145621"/>
</workbook>
</file>

<file path=xl/sharedStrings.xml><?xml version="1.0" encoding="utf-8"?>
<sst xmlns="http://schemas.openxmlformats.org/spreadsheetml/2006/main" count="32" uniqueCount="29">
  <si>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</si>
  <si>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</si>
  <si>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</si>
  <si>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</si>
  <si>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</si>
  <si>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</si>
  <si>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</si>
  <si>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</si>
  <si>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</si>
  <si>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</si>
  <si>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</si>
  <si>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</si>
  <si>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</si>
  <si>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</si>
  <si>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</si>
  <si>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</si>
  <si>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</si>
  <si>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</si>
  <si>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</si>
  <si>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</si>
  <si>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</si>
  <si>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</si>
  <si>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</si>
  <si>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</si>
  <si>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</si>
  <si>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cash recovery on MD</t>
  </si>
  <si>
    <t>MD sell through</t>
  </si>
  <si>
    <t>FCST</t>
  </si>
  <si>
    <t>Sell Thru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</si>
</sst>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69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166" fontId="12" fillId="0" borderId="0" xfId="3" applyNumberFormat="1" applyFont="1" applyFill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4" fillId="9" borderId="12" xfId="0" applyFont="1" applyFill="1" applyBorder="1" applyAlignment="1">
      <alignment vertical="top"/>
    </xf>
    <xf numFmtId="0" fontId="14" fillId="9" borderId="13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10" fontId="13" fillId="9" borderId="13" xfId="0" applyNumberFormat="1" applyFont="1" applyFill="1" applyBorder="1" applyAlignment="1">
      <alignment vertical="top"/>
    </xf>
    <xf numFmtId="0" fontId="13" fillId="9" borderId="14" xfId="0" applyFont="1" applyFill="1" applyBorder="1" applyAlignment="1">
      <alignment vertical="top"/>
    </xf>
    <xf numFmtId="0" fontId="13" fillId="9" borderId="12" xfId="0" applyFont="1" applyFill="1" applyBorder="1" applyAlignment="1">
      <alignment vertical="top"/>
    </xf>
    <xf numFmtId="0" fontId="13" fillId="9" borderId="12" xfId="0" applyFont="1" applyFill="1" applyBorder="1" applyAlignment="1">
      <alignment horizontal="center" vertical="top" wrapText="1"/>
    </xf>
    <xf numFmtId="0" fontId="13" fillId="9" borderId="13" xfId="0" applyFont="1" applyFill="1" applyBorder="1" applyAlignment="1">
      <alignment horizontal="center" vertical="top" wrapText="1"/>
    </xf>
    <xf numFmtId="10" fontId="13" fillId="9" borderId="13" xfId="0" applyNumberFormat="1" applyFont="1" applyFill="1" applyBorder="1" applyAlignment="1">
      <alignment horizontal="center" vertical="top" wrapText="1"/>
    </xf>
    <xf numFmtId="0" fontId="13" fillId="9" borderId="14" xfId="0" applyFont="1" applyFill="1" applyBorder="1" applyAlignment="1">
      <alignment horizontal="center" vertical="top" wrapText="1"/>
    </xf>
    <xf numFmtId="0" fontId="14" fillId="10" borderId="12" xfId="0" applyFont="1" applyFill="1" applyBorder="1" applyAlignment="1">
      <alignment vertical="top"/>
    </xf>
    <xf numFmtId="0" fontId="13" fillId="10" borderId="13" xfId="0" applyFont="1" applyFill="1" applyBorder="1" applyAlignment="1">
      <alignment vertical="top"/>
    </xf>
    <xf numFmtId="10" fontId="13" fillId="10" borderId="13" xfId="0" applyNumberFormat="1" applyFont="1" applyFill="1" applyBorder="1" applyAlignment="1">
      <alignment vertical="top"/>
    </xf>
    <xf numFmtId="0" fontId="13" fillId="10" borderId="14" xfId="0" applyFont="1" applyFill="1" applyBorder="1" applyAlignment="1">
      <alignment vertical="top"/>
    </xf>
    <xf numFmtId="0" fontId="13" fillId="10" borderId="6" xfId="0" applyFont="1" applyFill="1" applyBorder="1" applyAlignment="1">
      <alignment horizontal="center" vertical="top" wrapText="1"/>
    </xf>
    <xf numFmtId="0" fontId="13" fillId="10" borderId="7" xfId="0" applyFont="1" applyFill="1" applyBorder="1" applyAlignment="1">
      <alignment horizontal="center" vertical="top" wrapText="1"/>
    </xf>
    <xf numFmtId="10" fontId="13" fillId="10" borderId="7" xfId="0" applyNumberFormat="1" applyFont="1" applyFill="1" applyBorder="1" applyAlignment="1">
      <alignment horizontal="center" vertical="top" wrapText="1"/>
    </xf>
    <xf numFmtId="0" fontId="13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3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:BJ3"/>
  <x:sheetViews>
    <x:sheetView workbookViewId="0">
      <x:selection activeCell="C5" sqref="C5"/>
    </x:sheetView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3"/>
      <x:c r="BJ1" s="39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29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7" t="s"/>
      <x:c r="BD4" s="10" t="s"/>
      <x:c r="BE4" s="5" t="s"/>
      <x:c r="BF4" s="5" t="s"/>
      <x:c r="BG4" s="5" t="s"/>
      <x:c r="BH4" s="5" t="s"/>
      <x:c r="BI4" s="5" t="s"/>
      <x:c r="BJ4" s="7" t="s"/>
      <x:c r="BK4" s="49" t="s">
        <x:v>11</x:v>
      </x:c>
      <x:c r="BL4" s="50"/>
      <x:c r="BM4" s="51"/>
      <x:c r="BN4" s="52"/>
      <x:c r="BO4" s="52"/>
      <x:c r="BP4" s="53"/>
      <x:c r="BQ4" s="54"/>
      <x:c r="BR4" s="53"/>
      <x:c r="BT4" s="59" t="s">
        <x:v>27</x:v>
      </x:c>
      <x:c r="BU4" s="60"/>
      <x:c r="BV4" s="60"/>
      <x:c r="BW4" s="60"/>
      <x:c r="BX4" s="60"/>
      <x:c r="BY4" s="61"/>
      <x:c r="BZ4" s="61"/>
      <x:c r="CA4" s="61"/>
      <x:c r="CB4" s="61"/>
      <x:c r="CC4" s="60"/>
      <x:c r="CD4" s="62"/>
    </x:row>
    <x:row r="5" ht="45.75" customHeight="1">
      <x:c r="A5" s="41" t="s">
        <x:v>30</x:v>
      </x:c>
      <x:c r="B5" s="41" t="s">
        <x:v>31</x:v>
      </x:c>
      <x:c r="C5" s="41" t="s">
        <x:v>32</x:v>
      </x:c>
      <x:c r="D5" s="41" t="s">
        <x:v>33</x:v>
      </x:c>
      <x:c r="E5" s="41" t="s">
        <x:v>34</x:v>
      </x:c>
      <x:c r="F5" s="41" t="s">
        <x:v>83</x:v>
      </x:c>
      <x:c r="G5" s="41" t="s">
        <x:v>35</x:v>
      </x:c>
      <x:c r="H5" s="41" t="s">
        <x:v>36</x:v>
      </x:c>
      <x:c r="I5" s="41" t="s">
        <x:v>37</x:v>
      </x:c>
      <x:c r="J5" s="41" t="s">
        <x:v>38</x:v>
      </x:c>
      <x:c r="K5" s="41" t="s">
        <x:v>39</x:v>
      </x:c>
      <x:c r="L5" s="41" t="s">
        <x:v>40</x:v>
      </x:c>
      <x:c r="M5" s="41" t="s">
        <x:v>41</x:v>
      </x:c>
      <x:c r="N5" s="41" t="s">
        <x:v>42</x:v>
      </x:c>
      <x:c r="O5" s="41" t="s">
        <x:v>43</x:v>
      </x:c>
      <x:c r="P5" s="41" t="s">
        <x:v>44</x:v>
      </x:c>
      <x:c r="Q5" s="41" t="s">
        <x:v>45</x:v>
      </x:c>
      <x:c r="R5" s="41" t="s">
        <x:v>46</x:v>
      </x:c>
      <x:c r="S5" s="41" t="s">
        <x:v>47</x:v>
      </x:c>
      <x:c r="T5" s="41" t="s">
        <x:v>48</x:v>
      </x:c>
      <x:c r="U5" s="41" t="s">
        <x:v>49</x:v>
      </x:c>
      <x:c r="V5" s="41" t="s">
        <x:v>50</x:v>
      </x:c>
      <x:c r="W5" s="41" t="s">
        <x:v>51</x:v>
      </x:c>
      <x:c r="X5" s="41" t="s">
        <x:v>52</x:v>
      </x:c>
      <x:c r="Y5" s="41" t="s">
        <x:v>53</x:v>
      </x:c>
      <x:c r="Z5" s="41" t="s">
        <x:v>54</x:v>
      </x:c>
      <x:c r="AA5" s="41" t="s">
        <x:v>55</x:v>
      </x:c>
      <x:c r="AB5" s="41" t="s">
        <x:v>56</x:v>
      </x:c>
      <x:c r="AC5" s="41" t="s">
        <x:v>57</x:v>
      </x:c>
      <x:c r="AD5" s="41" t="s">
        <x:v>58</x:v>
      </x:c>
      <x:c r="AE5" s="41" t="s">
        <x:v>59</x:v>
      </x:c>
      <x:c r="AF5" s="41" t="s">
        <x:v>60</x:v>
      </x:c>
      <x:c r="AG5" s="41" t="s">
        <x:v>61</x:v>
      </x:c>
      <x:c r="AH5" s="41" t="s">
        <x:v>62</x:v>
      </x:c>
      <x:c r="AI5" s="41" t="s">
        <x:v>63</x:v>
      </x:c>
      <x:c r="AJ5" s="41" t="s">
        <x:v>64</x:v>
      </x:c>
      <x:c r="AK5" s="41" t="s">
        <x:v>65</x:v>
      </x:c>
      <x:c r="AL5" s="41" t="s">
        <x:v>66</x:v>
      </x:c>
      <x:c r="AM5" s="41" t="s">
        <x:v>67</x:v>
      </x:c>
      <x:c r="AN5" s="41" t="s">
        <x:v>68</x:v>
      </x:c>
      <x:c r="AO5" s="41" t="s">
        <x:v>69</x:v>
      </x:c>
      <x:c r="AP5" s="41" t="s">
        <x:v>70</x:v>
      </x:c>
      <x:c r="AQ5" s="41" t="s">
        <x:v>71</x:v>
      </x:c>
      <x:c r="AR5" s="41" t="s">
        <x:v>72</x:v>
      </x:c>
      <x:c r="AS5" s="41" t="s">
        <x:v>73</x:v>
      </x:c>
      <x:c r="AT5" s="41" t="s">
        <x:v>74</x:v>
      </x:c>
      <x:c r="AU5" s="41" t="s">
        <x:v>75</x:v>
      </x:c>
      <x:c r="AV5" s="41" t="s">
        <x:v>76</x:v>
      </x:c>
      <x:c r="AW5" s="41" t="s">
        <x:v>77</x:v>
      </x:c>
      <x:c r="AX5" s="41" t="s">
        <x:v>78</x:v>
      </x:c>
      <x:c r="AY5" s="41" t="s">
        <x:v>79</x:v>
      </x:c>
      <x:c r="AZ5" s="41" t="s">
        <x:v>80</x:v>
      </x:c>
      <x:c r="BA5" s="41" t="s">
        <x:v>81</x:v>
      </x:c>
      <x:c r="BB5" s="41" t="s">
        <x:v>82</x:v>
      </x:c>
      <x:c r="BD5" s="32" t="s">
        <x:v>84</x:v>
      </x:c>
      <x:c r="BE5" s="33" t="s">
        <x:v>85</x:v>
      </x:c>
      <x:c r="BF5" s="33" t="s">
        <x:v>86</x:v>
      </x:c>
      <x:c r="BG5" s="33" t="s">
        <x:v>87</x:v>
      </x:c>
      <x:c r="BH5" s="33" t="s">
        <x:v>88</x:v>
      </x:c>
      <x:c r="BI5" s="33" t="s">
        <x:v>89</x:v>
      </x:c>
      <x:c r="BJ5" s="34" t="s">
        <x:v>90</x:v>
      </x:c>
      <x:c r="BK5" s="55" t="s">
        <x:v>12</x:v>
      </x:c>
      <x:c r="BL5" s="56" t="s">
        <x:v>13</x:v>
      </x:c>
      <x:c r="BM5" s="56" t="s">
        <x:v>14</x:v>
      </x:c>
      <x:c r="BN5" s="57" t="s">
        <x:v>15</x:v>
      </x:c>
      <x:c r="BO5" s="57" t="s">
        <x:v>28</x:v>
      </x:c>
      <x:c r="BP5" s="58" t="s">
        <x:v>16</x:v>
      </x:c>
      <x:c r="BQ5" s="55" t="s">
        <x:v>17</x:v>
      </x:c>
      <x:c r="BR5" s="58" t="s">
        <x:v>18</x:v>
      </x:c>
      <x:c r="BT5" s="63" t="s">
        <x:v>19</x:v>
      </x:c>
      <x:c r="BU5" s="64" t="s">
        <x:v>20</x:v>
      </x:c>
      <x:c r="BV5" s="64" t="s">
        <x:v>21</x:v>
      </x:c>
      <x:c r="BW5" s="64" t="s">
        <x:v>15</x:v>
      </x:c>
      <x:c r="BX5" s="64"/>
      <x:c r="BY5" s="65" t="s">
        <x:v>22</x:v>
      </x:c>
      <x:c r="BZ5" s="65" t="s">
        <x:v>23</x:v>
      </x:c>
      <x:c r="CA5" s="65" t="s">
        <x:v>26</x:v>
      </x:c>
      <x:c r="CB5" s="65" t="s">
        <x:v>24</x:v>
      </x:c>
      <x:c r="CC5" s="64"/>
      <x:c r="CD5" s="66" t="s">
        <x:v>25</x:v>
      </x:c>
    </x:row>
    <x:row r="6">
      <x:c r="BD6" s="32" t="s"/>
      <x:c r="BJ6" s="34" t="s"/>
    </x:row>
    <x:row r="7">
      <x:c r="A7" s="36" t="s">
        <x:v>91</x:v>
      </x:c>
      <x:c r="BC7" s="34" t="s"/>
      <x:c r="BD7" s="11" t="s"/>
      <x:c r="BJ7" s="13" t="s"/>
    </x:row>
    <x:row r="8">
      <x:c r="A8" s="17" t="s">
        <x:v>92</x:v>
      </x:c>
      <x:c r="BC8" s="34" t="s"/>
      <x:c r="BD8" s="11" t="s"/>
      <x:c r="BJ8" s="13" t="s"/>
    </x:row>
    <x:row r="9">
      <x:c r="A9" s="32" t="s">
        <x:v>93</x:v>
      </x:c>
      <x:c r="B9" t="s">
        <x:v>94</x:v>
      </x:c>
      <x:c r="C9" s="9" t="s">
        <x:v>95</x:v>
      </x:c>
      <x:c r="D9" t="s">
        <x:v>96</x:v>
      </x:c>
      <x:c r="E9" t="s">
        <x:v>97</x:v>
      </x:c>
      <x:c r="F9" t="n">
        <x:v>1002</x:v>
      </x:c>
      <x:c r="G9" s="33" t="n">
        <x:v>0.0009980039920159680638722555</x:v>
      </x:c>
      <x:c r="H9" s="33" t="n">
        <x:v>0.0129740518962075848303393214</x:v>
      </x:c>
      <x:c r="I9" s="33" t="n">
        <x:v>0.0379241516966067864271457086</x:v>
      </x:c>
      <x:c r="J9" s="33" t="n">
        <x:v>0.0658682634730538922155688623</x:v>
      </x:c>
      <x:c r="K9" s="33" t="n">
        <x:v>0.0808383233532934131736526946</x:v>
      </x:c>
      <x:c r="L9" s="33" t="n">
        <x:v>0.1077844311377245508982035928</x:v>
      </x:c>
      <x:c r="M9" s="33" t="n">
        <x:v>0.1267465069860279441117764471</x:v>
      </x:c>
      <x:c r="N9" s="33" t="n">
        <x:v>0.1457085828343313373253493014</x:v>
      </x:c>
      <x:c r="O9" s="33" t="n">
        <x:v>0.1526946107784431137724550898</x:v>
      </x:c>
      <x:c r="P9" s="33" t="n">
        <x:v>0.1586826347305389221556886228</x:v>
      </x:c>
      <x:c r="Q9" s="33" t="n">
        <x:v>0.1586826347305389221556886228</x:v>
      </x:c>
      <x:c r="R9" s="33" t="n">
        <x:v>0.1636726546906187624750499002</x:v>
      </x:c>
      <x:c r="S9" s="33" t="n">
        <x:v>0.1746506986027944111776447106</x:v>
      </x:c>
      <x:c r="T9" s="33" t="n">
        <x:v>0.179640718562874251497005988</x:v>
      </x:c>
      <x:c r="U9" s="33" t="n">
        <x:v>0.1976047904191616766467065868</x:v>
      </x:c>
      <x:c r="V9" s="33" t="n">
        <x:v>0.2095808383233532934131736527</x:v>
      </x:c>
      <x:c r="W9" s="23" t="n">
        <x:v>0.3273453093812375249500998004</x:v>
      </x:c>
      <x:c r="BC9" s="34" t="s"/>
      <x:c r="BD9" s="11" t="s">
        <x:v>98</x:v>
      </x:c>
      <x:c r="BE9" s="12" t="n">
        <x:f>=BO9</x:f>
      </x:c>
      <x:c r="BF9" s="12" t="n">
        <x:v>0.2325349301397205588822355289</x:v>
      </x:c>
      <x:c r="BG9" s="12" t="n">
        <x:v>0.730538922155688622754491018</x:v>
      </x:c>
      <x:c r="BH9" s="12" t="n">
        <x:v>0.0369261477045908183632734531</x:v>
      </x:c>
      <x:c r="BI9" s="12" t="n">
        <x:f>=BN9</x:f>
      </x:c>
      <x:c r="BJ9" s="13" t="n">
        <x:v>0</x:v>
      </x:c>
      <x:c r="BK9" s="31" t="n">
        <x:v>4025.40</x:v>
      </x:c>
      <x:c r="BL9" s="31" t="n">
        <x:v>-4517.1162</x:v>
      </x:c>
      <x:c r="BM9" s="31" t="n">
        <x:f>=BK9+BL9</x:f>
      </x:c>
      <x:c r="BN9" s="68" t="n">
        <x:f>=BM9/BK9</x:f>
      </x:c>
      <x:c r="BO9" s="68" t="n">
        <x:v>0.9630738522954091816367265469</x:v>
      </x:c>
      <x:c r="BP9" s="31" t="n">
        <x:v>4088.16</x:v>
      </x:c>
      <x:c r="BQ9" s="42" t="n">
        <x:v>37</x:v>
      </x:c>
      <x:c r="BR9" s="31" t="n">
        <x:v>150.96</x:v>
      </x:c>
      <x:c r="BT9" s="31" t="n">
        <x:v>6439.5941121290625000000</x:v>
      </x:c>
      <x:c r="BU9" s="31" t="n">
        <x:v>-4517.1162</x:v>
      </x:c>
      <x:c r="BV9" s="31" t="n">
        <x:f>=BT9+BU9</x:f>
      </x:c>
      <x:c r="BW9" s="68" t="n">
        <x:f>=BV9/BT9</x:f>
      </x:c>
      <x:c r="BY9" s="68" t="n">
        <x:f>=BO9</x:f>
      </x:c>
      <x:c r="BZ9" s="68" t="n">
        <x:f>=BF9</x:f>
      </x:c>
      <x:c r="CA9" s="68" t="n">
        <x:f>=BG9</x:f>
      </x:c>
      <x:c r="CB9" s="68" t="n">
        <x:f>=1 - BY9</x:f>
      </x:c>
      <x:c r="CD9" s="68" t="n">
        <x:f>=CA9/(1-BZ9)</x:f>
      </x:c>
    </x:row>
    <x:row r="10">
      <x:c r="A10" s="32" t="s">
        <x:v>99</x:v>
      </x:c>
      <x:c r="B10" t="s">
        <x:v>94</x:v>
      </x:c>
      <x:c r="C10" s="9" t="s">
        <x:v>100</x:v>
      </x:c>
      <x:c r="D10" t="s">
        <x:v>96</x:v>
      </x:c>
      <x:c r="E10" t="s">
        <x:v>97</x:v>
      </x:c>
      <x:c r="F10" t="n">
        <x:v>1037</x:v>
      </x:c>
      <x:c r="G10" s="33" t="n">
        <x:v>0.0154291224686595949855351977</x:v>
      </x:c>
      <x:c r="H10" s="33" t="n">
        <x:v>0.0482160077145612343297974928</x:v>
      </x:c>
      <x:c r="I10" s="33" t="n">
        <x:v>0.0810028929604628736740597878</x:v>
      </x:c>
      <x:c r="J10" s="33" t="n">
        <x:v>0.1147540983606557377049180328</x:v>
      </x:c>
      <x:c r="K10" s="33" t="n">
        <x:v>0.1292189006750241080038572806</x:v>
      </x:c>
      <x:c r="L10" s="33" t="n">
        <x:v>0.1436837029893924783027965284</x:v>
      </x:c>
      <x:c r="M10" s="33" t="n">
        <x:v>0.1485053037608486017357762777</x:v>
      </x:c>
      <x:c r="N10" s="33" t="n">
        <x:v>0.1513982642237222757955641273</x:v>
      </x:c>
      <x:c r="O10" s="33" t="n">
        <x:v>0.1523625843780135004821600771</x:v>
      </x:c>
      <x:c r="P10" s="33" t="n">
        <x:v>0.1591128254580520732883317261</x:v>
      </x:c>
      <x:c r="Q10" s="33" t="n">
        <x:v>0.166827386692381870781099325</x:v>
      </x:c>
      <x:c r="R10" s="33" t="n">
        <x:v>0.1764705882352941176470588235</x:v>
      </x:c>
      <x:c r="S10" s="33" t="n">
        <x:v>0.1832208293153326904532304725</x:v>
      </x:c>
      <x:c r="T10" s="33" t="n">
        <x:v>0.2015429122468659594985535198</x:v>
      </x:c>
      <x:c r="U10" s="23" t="n">
        <x:v>0.3481195756991321118611378978</x:v>
      </x:c>
      <x:c r="BC10" s="34" t="s"/>
      <x:c r="BD10" s="11" t="s">
        <x:v>101</x:v>
      </x:c>
      <x:c r="BE10" s="12" t="n">
        <x:f>=BO10</x:f>
      </x:c>
      <x:c r="BF10" s="12" t="n">
        <x:v>0.2295081967213114754098360656</x:v>
      </x:c>
      <x:c r="BG10" s="12" t="n">
        <x:v>0.766634522661523625843780135</x:v>
      </x:c>
      <x:c r="BH10" s="12" t="n">
        <x:v>0.0038572806171648987463837994</x:v>
      </x:c>
      <x:c r="BI10" s="12" t="n">
        <x:f>=BN10</x:f>
      </x:c>
      <x:c r="BJ10" s="13" t="n">
        <x:v>0</x:v>
      </x:c>
      <x:c r="BK10" s="31" t="n">
        <x:v>4307.80</x:v>
      </x:c>
      <x:c r="BL10" s="31" t="n">
        <x:v>-4697.1952</x:v>
      </x:c>
      <x:c r="BM10" s="31" t="n">
        <x:f>=BK10+BL10</x:f>
      </x:c>
      <x:c r="BN10" s="68" t="n">
        <x:f>=BM10/BK10</x:f>
      </x:c>
      <x:c r="BO10" s="68" t="n">
        <x:v>0.9961427193828351012536162006</x:v>
      </x:c>
      <x:c r="BP10" s="31" t="n">
        <x:v>4230.96</x:v>
      </x:c>
      <x:c r="BQ10" s="42" t="n">
        <x:v>4</x:v>
      </x:c>
      <x:c r="BR10" s="31" t="n">
        <x:v>16.32</x:v>
      </x:c>
      <x:c r="BT10" s="31" t="n">
        <x:v>6806.32224977828125000000</x:v>
      </x:c>
      <x:c r="BU10" s="31" t="n">
        <x:v>-4697.1952</x:v>
      </x:c>
      <x:c r="BV10" s="31" t="n">
        <x:f>=BT10+BU10</x:f>
      </x:c>
      <x:c r="BW10" s="68" t="n">
        <x:f>=BV10/BT10</x:f>
      </x:c>
      <x:c r="BY10" s="68" t="n">
        <x:f>=BO10</x:f>
      </x:c>
      <x:c r="BZ10" s="68" t="n">
        <x:f>=BF10</x:f>
      </x:c>
      <x:c r="CA10" s="68" t="n">
        <x:f>=BG10</x:f>
      </x:c>
      <x:c r="CB10" s="68" t="n">
        <x:f>=1 - BY10</x:f>
      </x:c>
      <x:c r="CD10" s="68" t="n">
        <x:f>=CA10/(1-BZ10)</x:f>
      </x:c>
    </x:row>
    <x:row r="11">
      <x:c r="A11" s="32" t="s">
        <x:v>102</x:v>
      </x:c>
      <x:c r="B11" t="s">
        <x:v>94</x:v>
      </x:c>
      <x:c r="C11" s="9" t="s">
        <x:v>103</x:v>
      </x:c>
      <x:c r="D11" t="s">
        <x:v>96</x:v>
      </x:c>
      <x:c r="E11" t="s">
        <x:v>97</x:v>
      </x:c>
      <x:c r="F11" t="n">
        <x:v>868</x:v>
      </x:c>
      <x:c r="G11" s="33" t="n">
        <x:v>0.025345622119815668202764977</x:v>
      </x:c>
      <x:c r="H11" s="33" t="n">
        <x:v>0.0529953917050691244239631336</x:v>
      </x:c>
      <x:c r="I11" s="33" t="n">
        <x:v>0.0771889400921658986175115207</x:v>
      </x:c>
      <x:c r="J11" s="33" t="n">
        <x:v>0.0956221198156682027649769585</x:v>
      </x:c>
      <x:c r="K11" s="33" t="n">
        <x:v>0.1071428571428571428571428571</x:v>
      </x:c>
      <x:c r="L11" s="33" t="n">
        <x:v>0.1175115207373271889400921659</x:v>
      </x:c>
      <x:c r="M11" s="33" t="n">
        <x:v>0.1278801843317972350230414747</x:v>
      </x:c>
      <x:c r="N11" s="33" t="n">
        <x:v>0.133640552995391705069124424</x:v>
      </x:c>
      <x:c r="O11" s="33" t="n">
        <x:v>0.1382488479262672811059907834</x:v>
      </x:c>
      <x:c r="P11" s="33" t="n">
        <x:v>0.1405529953917050691244239631</x:v>
      </x:c>
      <x:c r="Q11" s="33" t="n">
        <x:v>0.1428571428571428571428571429</x:v>
      </x:c>
      <x:c r="R11" s="33" t="n">
        <x:v>0.1509216589861751152073732719</x:v>
      </x:c>
      <x:c r="S11" s="33" t="n">
        <x:v>0.1566820276497695852534562212</x:v>
      </x:c>
      <x:c r="T11" s="33" t="n">
        <x:v>0.1682027649769585253456221198</x:v>
      </x:c>
      <x:c r="U11" s="23" t="n">
        <x:v>0.2960829493087557603686635945</x:v>
      </x:c>
      <x:c r="BC11" s="34" t="s"/>
      <x:c r="BD11" s="11" t="s">
        <x:v>101</x:v>
      </x:c>
      <x:c r="BE11" s="12" t="n">
        <x:f>=BO11</x:f>
      </x:c>
      <x:c r="BF11" s="12" t="n">
        <x:v>0.1912442396313364055299539171</x:v>
      </x:c>
      <x:c r="BG11" s="12" t="n">
        <x:v>0.7983870967741935483870967742</x:v>
      </x:c>
      <x:c r="BH11" s="12" t="n">
        <x:v>0.0103686635944700460829493088</x:v>
      </x:c>
      <x:c r="BI11" s="12" t="n">
        <x:f>=BN11</x:f>
      </x:c>
      <x:c r="BJ11" s="13" t="n">
        <x:v>0</x:v>
      </x:c>
      <x:c r="BK11" s="31" t="n">
        <x:v>3437.43</x:v>
      </x:c>
      <x:c r="BL11" s="31" t="n">
        <x:v>-3931.1720</x:v>
      </x:c>
      <x:c r="BM11" s="31" t="n">
        <x:f>=BK11+BL11</x:f>
      </x:c>
      <x:c r="BN11" s="68" t="n">
        <x:f>=BM11/BK11</x:f>
      </x:c>
      <x:c r="BO11" s="68" t="n">
        <x:v>0.9896313364055299539170506912</x:v>
      </x:c>
      <x:c r="BP11" s="31" t="n">
        <x:v>3541.44</x:v>
      </x:c>
      <x:c r="BQ11" s="42" t="n">
        <x:v>9</x:v>
      </x:c>
      <x:c r="BR11" s="31" t="n">
        <x:v>36.72</x:v>
      </x:c>
      <x:c r="BT11" s="31" t="n">
        <x:v>5528.7678137006250000000</x:v>
      </x:c>
      <x:c r="BU11" s="31" t="n">
        <x:v>-3931.1720</x:v>
      </x:c>
      <x:c r="BV11" s="31" t="n">
        <x:f>=BT11+BU11</x:f>
      </x:c>
      <x:c r="BW11" s="68" t="n">
        <x:f>=BV11/BT11</x:f>
      </x:c>
      <x:c r="BY11" s="68" t="n">
        <x:f>=BO11</x:f>
      </x:c>
      <x:c r="BZ11" s="68" t="n">
        <x:f>=BF11</x:f>
      </x:c>
      <x:c r="CA11" s="68" t="n">
        <x:f>=BG11</x:f>
      </x:c>
      <x:c r="CB11" s="68" t="n">
        <x:f>=1 - BY11</x:f>
      </x:c>
      <x:c r="CD11" s="68" t="n">
        <x:f>=CA11/(1-BZ11)</x:f>
      </x:c>
    </x:row>
    <x:row r="12">
      <x:c r="BC12" s="34" t="s"/>
      <x:c r="BD12" s="11" t="s"/>
      <x:c r="BJ12" s="13" t="s"/>
      <x:c r="BK12" s="21" t="n">
        <x:v>11770.63</x:v>
      </x:c>
      <x:c r="BL12" s="21" t="n">
        <x:v>-13145.4834</x:v>
      </x:c>
      <x:c r="BM12" s="21" t="n">
        <x:f>=BK12+BL12</x:f>
      </x:c>
      <x:c r="BN12" s="22" t="n">
        <x:v>-0.1168037224855424051219008668</x:v>
      </x:c>
      <x:c r="BP12" s="21" t="n">
        <x:v>-11860.56</x:v>
      </x:c>
      <x:c r="BQ12" s="21" t="n">
        <x:v>50</x:v>
      </x:c>
      <x:c r="BR12" s="21" t="n">
        <x:v>204.00</x:v>
      </x:c>
      <x:c r="BT12" s="21" t="n">
        <x:v>18774.68417560796875000000</x:v>
      </x:c>
      <x:c r="BU12" s="21" t="n">
        <x:v>-13145.4834</x:v>
      </x:c>
      <x:c r="BV12" s="21" t="n">
        <x:f>=BT12+BU12</x:f>
      </x:c>
      <x:c r="BW12" s="22" t="n">
        <x:v>0.2998293192554160178600678801</x:v>
      </x:c>
    </x:row>
    <x:row r="13">
      <x:c r="A13" s="36" t="s">
        <x:v>104</x:v>
      </x:c>
      <x:c r="BC13" s="34" t="s"/>
      <x:c r="BD13" s="11" t="s"/>
      <x:c r="BJ13" s="13" t="s"/>
    </x:row>
    <x:row r="14">
      <x:c r="A14" s="17" t="s">
        <x:v>105</x:v>
      </x:c>
      <x:c r="BC14" s="34" t="s"/>
      <x:c r="BD14" s="11" t="s"/>
      <x:c r="BJ14" s="13" t="s"/>
    </x:row>
    <x:row r="15">
      <x:c r="A15" s="32" t="s">
        <x:v>106</x:v>
      </x:c>
      <x:c r="B15" t="s"/>
      <x:c r="C15" t="s">
        <x:v>107</x:v>
      </x:c>
      <x:c r="D15" t="s">
        <x:v>108</x:v>
      </x:c>
      <x:c r="E15" t="s">
        <x:v>109</x:v>
      </x:c>
      <x:c r="F15" t="n">
        <x:v>547</x:v>
      </x:c>
      <x:c r="G15" s="33" t="n">
        <x:v>0.0859232175502742230347349177</x:v>
      </x:c>
      <x:c r="H15" s="33" t="n">
        <x:v>0.2321755027422303473491773309</x:v>
      </x:c>
      <x:c r="I15" s="33" t="n">
        <x:v>0.288848263254113345521023766</x:v>
      </x:c>
      <x:c r="J15" s="33" t="n">
        <x:v>0.3345521023765996343692870201</x:v>
      </x:c>
      <x:c r="K15" s="33" t="n">
        <x:v>0.3711151736745886654478976234</x:v>
      </x:c>
      <x:c r="L15" s="33" t="n">
        <x:v>0.422303473491773308957952468</x:v>
      </x:c>
      <x:c r="M15" s="33" t="n">
        <x:v>0.455210237659963436928702011</x:v>
      </x:c>
      <x:c r="N15" s="33" t="n">
        <x:v>0.6965265082266910420475319927</x:v>
      </x:c>
      <x:c r="O15" s="24" t="n">
        <x:v>0.7733089579524680073126142596</x:v>
      </x:c>
      <x:c r="P15" s="33" t="n">
        <x:v>0.7733089579524680073126142596</x:v>
      </x:c>
      <x:c r="Q15" s="33" t="n">
        <x:v>0.7733089579524680073126142596</x:v>
      </x:c>
      <x:c r="R15" s="33" t="n">
        <x:v>0.7733089579524680073126142596</x:v>
      </x:c>
      <x:c r="S15" s="33" t="n">
        <x:v>0.7733089579524680073126142596</x:v>
      </x:c>
      <x:c r="T15" s="33" t="n">
        <x:v>0.8007312614259597806215722121</x:v>
      </x:c>
      <x:c r="U15" s="33" t="n">
        <x:v>0.8007312614259597806215722121</x:v>
      </x:c>
      <x:c r="V15" s="33" t="n">
        <x:v>0.8007312614259597806215722121</x:v>
      </x:c>
      <x:c r="W15" s="33" t="n">
        <x:v>0.7989031078610603290676416819</x:v>
      </x:c>
      <x:c r="X15" s="33" t="n">
        <x:v>0.822669104204753199268738574</x:v>
      </x:c>
      <x:c r="Y15" s="33" t="n">
        <x:v>0.822669104204753199268738574</x:v>
      </x:c>
      <x:c r="Z15" s="33" t="n">
        <x:v>0.8281535648994515539305301645</x:v>
      </x:c>
      <x:c r="AA15" s="23" t="n">
        <x:v>0.9414990859232175502742230347</x:v>
      </x:c>
      <x:c r="BC15" s="34" t="s"/>
      <x:c r="BD15" s="11" t="s">
        <x:v>110</x:v>
      </x:c>
      <x:c r="BE15" s="12" t="n">
        <x:f>=BO15</x:f>
      </x:c>
      <x:c r="BF15" s="12" t="n">
        <x:v>0.8135283363802559414990859232</x:v>
      </x:c>
      <x:c r="BG15" s="12" t="n">
        <x:v>0.1755027422303473491773308958</x:v>
      </x:c>
      <x:c r="BH15" s="12" t="n">
        <x:v>0.010968921389396709323583181</x:v>
      </x:c>
      <x:c r="BI15" s="12" t="n">
        <x:f>=BN15</x:f>
      </x:c>
      <x:c r="BJ15" s="13" t="n">
        <x:v>0</x:v>
      </x:c>
      <x:c r="BK15" s="31" t="n">
        <x:v>5464.70</x:v>
      </x:c>
      <x:c r="BL15" s="31" t="n">
        <x:v>-3751.13741648274753088392</x:v>
      </x:c>
      <x:c r="BM15" s="31" t="n">
        <x:f>=BK15+BL15</x:f>
      </x:c>
      <x:c r="BN15" s="68" t="n">
        <x:f>=BM15/BK15</x:f>
      </x:c>
      <x:c r="BO15" s="68" t="n">
        <x:v>0.989031078610603290676416819</x:v>
      </x:c>
      <x:c r="BP15" s="31" t="n">
        <x:v>3793.842697404894361736</x:v>
      </x:c>
      <x:c r="BQ15" s="42" t="n">
        <x:v>6</x:v>
      </x:c>
      <x:c r="BR15" s="31" t="n">
        <x:v>41.614362311571053328</x:v>
      </x:c>
      <x:c r="BT15" s="31" t="n">
        <x:v>7221.9377635856250000000000000</x:v>
      </x:c>
      <x:c r="BU15" s="31" t="n">
        <x:v>-3751.13741648274753088392</x:v>
      </x:c>
      <x:c r="BV15" s="31" t="n">
        <x:f>=BT15+BU15</x:f>
      </x:c>
      <x:c r="BW15" s="68" t="n">
        <x:f>=BV15/BT15</x:f>
      </x:c>
      <x:c r="BY15" s="68" t="n">
        <x:f>=BO15</x:f>
      </x:c>
      <x:c r="BZ15" s="68" t="n">
        <x:f>=BF15</x:f>
      </x:c>
      <x:c r="CA15" s="68" t="n">
        <x:f>=BG15</x:f>
      </x:c>
      <x:c r="CB15" s="68" t="n">
        <x:f>=1 - BY15</x:f>
      </x:c>
      <x:c r="CD15" s="68" t="n">
        <x:f>=CA15/(1-BZ15)</x:f>
      </x:c>
    </x:row>
    <x:row r="16">
      <x:c r="A16" s="32" t="s">
        <x:v>111</x:v>
      </x:c>
      <x:c r="B16" t="s"/>
      <x:c r="C16" t="s">
        <x:v>112</x:v>
      </x:c>
      <x:c r="D16" t="s">
        <x:v>108</x:v>
      </x:c>
      <x:c r="E16" t="s">
        <x:v>109</x:v>
      </x:c>
      <x:c r="F16" t="n">
        <x:v>365</x:v>
      </x:c>
      <x:c r="G16" s="33" t="n">
        <x:v>0.126027397260273972602739726</x:v>
      </x:c>
      <x:c r="H16" s="33" t="n">
        <x:v>0.3589041095890410958904109589</x:v>
      </x:c>
      <x:c r="I16" s="33" t="n">
        <x:v>0.5041095890410958904109589041</x:v>
      </x:c>
      <x:c r="J16" s="33" t="n">
        <x:v>0.6054794520547945205479452055</x:v>
      </x:c>
      <x:c r="K16" s="33" t="n">
        <x:v>0.6410958904109589041095890411</x:v>
      </x:c>
      <x:c r="L16" s="24" t="n">
        <x:v>0.7287671232876712328767123288</x:v>
      </x:c>
      <x:c r="M16" s="33" t="n">
        <x:v>0.8191780821917808219178082192</x:v>
      </x:c>
      <x:c r="N16" s="33" t="n">
        <x:v>0.9287671232876712328767123288</x:v>
      </x:c>
      <x:c r="O16" s="33" t="n">
        <x:v>0.9643835616438356164383561644</x:v>
      </x:c>
      <x:c r="P16" s="33" t="n">
        <x:v>0.9643835616438356164383561644</x:v>
      </x:c>
      <x:c r="Q16" s="33" t="n">
        <x:v>0.9643835616438356164383561644</x:v>
      </x:c>
      <x:c r="R16" s="33" t="n">
        <x:v>0.9643835616438356164383561644</x:v>
      </x:c>
      <x:c r="S16" s="33" t="n">
        <x:v>0.9643835616438356164383561644</x:v>
      </x:c>
      <x:c r="T16" s="33" t="n">
        <x:v>0.9726027397260273972602739726</x:v>
      </x:c>
      <x:c r="U16" s="33" t="n">
        <x:v>0.9726027397260273972602739726</x:v>
      </x:c>
      <x:c r="V16" s="33" t="n">
        <x:v>0.9726027397260273972602739726</x:v>
      </x:c>
      <x:c r="W16" s="33" t="n">
        <x:v>0.9835616438356164383561643836</x:v>
      </x:c>
      <x:c r="X16" s="33" t="n">
        <x:v>0.9808219178082191780821917808</x:v>
      </x:c>
      <x:c r="Y16" s="33" t="n">
        <x:v>0.9808219178082191780821917808</x:v>
      </x:c>
      <x:c r="Z16" s="33" t="n">
        <x:v>0.9780821917808219178082191781</x:v>
      </x:c>
      <x:c r="AA16" s="23" t="n">
        <x:v>0.9780821917808219178082191781</x:v>
      </x:c>
      <x:c r="BC16" s="34" t="s"/>
      <x:c r="BD16" s="11" t="s">
        <x:v>110</x:v>
      </x:c>
      <x:c r="BE16" s="12" t="n">
        <x:f>=BO16</x:f>
      </x:c>
      <x:c r="BF16" s="12" t="n">
        <x:v>0.9726027397260273972602739726</x:v>
      </x:c>
      <x:c r="BG16" s="12" t="n">
        <x:v>0.0082191780821917808219178082</x:v>
      </x:c>
      <x:c r="BH16" s="12" t="n">
        <x:v>0.0191780821917808219178082192</x:v>
      </x:c>
      <x:c r="BI16" s="12" t="n">
        <x:f>=BN16</x:f>
      </x:c>
      <x:c r="BJ16" s="13" t="n">
        <x:v>0</x:v>
      </x:c>
      <x:c r="BK16" s="31" t="n">
        <x:v>3884.07</x:v>
      </x:c>
      <x:c r="BL16" s="31" t="n">
        <x:v>-2503.04416273528857179640</x:v>
      </x:c>
      <x:c r="BM16" s="31" t="n">
        <x:f>=BK16+BL16</x:f>
      </x:c>
      <x:c r="BN16" s="68" t="n">
        <x:f>=BM16/BK16</x:f>
      </x:c>
      <x:c r="BO16" s="68" t="n">
        <x:v>0.9808219178082191780821917808</x:v>
      </x:c>
      <x:c r="BP16" s="31" t="n">
        <x:v>2531.540373953905744120</x:v>
      </x:c>
      <x:c r="BQ16" s="42" t="n">
        <x:v>7</x:v>
      </x:c>
      <x:c r="BR16" s="31" t="n">
        <x:v>48.550089363499562216</x:v>
      </x:c>
      <x:c r="BT16" s="31" t="n">
        <x:v>5056.6326758843750000000000000</x:v>
      </x:c>
      <x:c r="BU16" s="31" t="n">
        <x:v>-2503.04416273528857179640</x:v>
      </x:c>
      <x:c r="BV16" s="31" t="n">
        <x:f>=BT16+BU16</x:f>
      </x:c>
      <x:c r="BW16" s="68" t="n">
        <x:f>=BV16/BT16</x:f>
      </x:c>
      <x:c r="BY16" s="68" t="n">
        <x:f>=BO16</x:f>
      </x:c>
      <x:c r="BZ16" s="68" t="n">
        <x:f>=BF16</x:f>
      </x:c>
      <x:c r="CA16" s="68" t="n">
        <x:f>=BG16</x:f>
      </x:c>
      <x:c r="CB16" s="68" t="n">
        <x:f>=1 - BY16</x:f>
      </x:c>
      <x:c r="CD16" s="68" t="n">
        <x:f>=CA16/(1-BZ16)</x:f>
      </x:c>
    </x:row>
    <x:row r="17">
      <x:c r="A17" s="32" t="s">
        <x:v>113</x:v>
      </x:c>
      <x:c r="B17" t="s"/>
      <x:c r="C17" t="s">
        <x:v>114</x:v>
      </x:c>
      <x:c r="D17" t="s">
        <x:v>108</x:v>
      </x:c>
      <x:c r="E17" t="s">
        <x:v>109</x:v>
      </x:c>
      <x:c r="F17" t="n">
        <x:v>697</x:v>
      </x:c>
      <x:c r="G17" s="33" t="n">
        <x:v>0.0028694404591104734576757532</x:v>
      </x:c>
      <x:c r="H17" s="33" t="n">
        <x:v>0.3357245337159253945480631277</x:v>
      </x:c>
      <x:c r="I17" s="33" t="n">
        <x:v>0.698708751793400286944045911</x:v>
      </x:c>
      <x:c r="J17" s="24" t="n">
        <x:v>0.7847919655667144906743185079</x:v>
      </x:c>
      <x:c r="K17" s="33" t="n">
        <x:v>0.7905308464849354375896700143</x:v>
      </x:c>
      <x:c r="L17" s="33" t="n">
        <x:v>0.8593974175035868005738880918</x:v>
      </x:c>
      <x:c r="M17" s="33" t="n">
        <x:v>0.9784791965566714490674318508</x:v>
      </x:c>
      <x:c r="N17" s="33" t="n">
        <x:v>0.9756097560975609756097560976</x:v>
      </x:c>
      <x:c r="O17" s="33" t="n">
        <x:v>0.9756097560975609756097560976</x:v>
      </x:c>
      <x:c r="P17" s="33" t="n">
        <x:v>0.9756097560975609756097560976</x:v>
      </x:c>
      <x:c r="Q17" s="33" t="n">
        <x:v>0.9756097560975609756097560976</x:v>
      </x:c>
      <x:c r="R17" s="33" t="n">
        <x:v>0.9756097560975609756097560976</x:v>
      </x:c>
      <x:c r="S17" s="33" t="n">
        <x:v>0.9827833572453371592539454806</x:v>
      </x:c>
      <x:c r="T17" s="33" t="n">
        <x:v>0.9827833572453371592539454806</x:v>
      </x:c>
      <x:c r="U17" s="33" t="n">
        <x:v>0.9827833572453371592539454806</x:v>
      </x:c>
      <x:c r="V17" s="33" t="n">
        <x:v>0.9870875179340028694404591105</x:v>
      </x:c>
      <x:c r="W17" s="33" t="n">
        <x:v>0.9928263988522238163558106169</x:v>
      </x:c>
      <x:c r="X17" s="33" t="n">
        <x:v>0.9928263988522238163558106169</x:v>
      </x:c>
      <x:c r="Y17" s="33" t="n">
        <x:v>0.9885222381635581061692969871</x:v>
      </x:c>
      <x:c r="Z17" s="23" t="n">
        <x:v>0.9942611190817790530846484935</x:v>
      </x:c>
      <x:c r="BC17" s="34" t="s"/>
      <x:c r="BD17" s="11" t="s">
        <x:v>115</x:v>
      </x:c>
      <x:c r="BE17" s="12" t="n">
        <x:f>=BO17</x:f>
      </x:c>
      <x:c r="BF17" s="12" t="n">
        <x:v>0.9885222381635581061692969871</x:v>
      </x:c>
      <x:c r="BG17" s="12" t="n">
        <x:v>0.0172166427546628407460545194</x:v>
      </x:c>
      <x:c r="BH17" s="12" t="n">
        <x:v>-0.0057388809182209469153515065</x:v>
      </x:c>
      <x:c r="BI17" s="12" t="n">
        <x:f>=BN17</x:f>
      </x:c>
      <x:c r="BJ17" s="13" t="n">
        <x:v>0</x:v>
      </x:c>
      <x:c r="BK17" s="31" t="n">
        <x:v>5179.94</x:v>
      </x:c>
      <x:c r="BL17" s="31" t="n">
        <x:v>-2874.59347746475534000000</x:v>
      </x:c>
      <x:c r="BM17" s="31" t="n">
        <x:f>=BK17+BL17</x:f>
      </x:c>
      <x:c r="BN17" s="68" t="n">
        <x:f>=BM17/BK17</x:f>
      </x:c>
      <x:c r="BO17" s="68" t="n">
        <x:v>1.0057388809182209469153515065</x:v>
      </x:c>
      <x:c r="BP17" s="31" t="n">
        <x:v>2898.109770582222000000</x:v>
      </x:c>
      <x:c r="BQ17" s="42" t="n">
        <x:v>-4</x:v>
      </x:c>
      <x:c r="BR17" s="31" t="n">
        <x:v>-16.631906861304000000</x:v>
      </x:c>
      <x:c r="BT17" s="31" t="n">
        <x:v>6747.3189851068125000000000000</x:v>
      </x:c>
      <x:c r="BU17" s="31" t="n">
        <x:v>-2874.59347746475534000000</x:v>
      </x:c>
      <x:c r="BV17" s="31" t="n">
        <x:f>=BT17+BU17</x:f>
      </x:c>
      <x:c r="BW17" s="68" t="n">
        <x:f>=BV17/BT17</x:f>
      </x:c>
      <x:c r="BY17" s="68" t="n">
        <x:f>=BO17</x:f>
      </x:c>
      <x:c r="BZ17" s="68" t="n">
        <x:f>=BF17</x:f>
      </x:c>
      <x:c r="CA17" s="68" t="n">
        <x:f>=BG17</x:f>
      </x:c>
      <x:c r="CB17" s="68" t="n">
        <x:f>=1 - BY17</x:f>
      </x:c>
      <x:c r="CD17" s="68" t="n">
        <x:f>=CA17/(1-BZ17)</x:f>
      </x:c>
    </x:row>
    <x:row r="18">
      <x:c r="A18" s="32" t="s">
        <x:v>116</x:v>
      </x:c>
      <x:c r="B18" t="s"/>
      <x:c r="C18" t="s">
        <x:v>117</x:v>
      </x:c>
      <x:c r="D18" t="s">
        <x:v>108</x:v>
      </x:c>
      <x:c r="E18" t="s">
        <x:v>109</x:v>
      </x:c>
      <x:c r="F18" t="n">
        <x:v>350</x:v>
      </x:c>
      <x:c r="G18" s="24" t="n">
        <x:v>0.7171428571428571428571428571</x:v>
      </x:c>
      <x:c r="H18" s="33" t="n">
        <x:v>0.7171428571428571428571428571</x:v>
      </x:c>
      <x:c r="I18" s="33" t="n">
        <x:v>0.7171428571428571428571428571</x:v>
      </x:c>
      <x:c r="J18" s="33" t="n">
        <x:v>0.7171428571428571428571428571</x:v>
      </x:c>
      <x:c r="K18" s="33" t="n">
        <x:v>0.7171428571428571428571428571</x:v>
      </x:c>
      <x:c r="L18" s="33" t="n">
        <x:v>0.7171428571428571428571428571</x:v>
      </x:c>
      <x:c r="M18" s="33" t="n">
        <x:v>0.7828571428571428571428571429</x:v>
      </x:c>
      <x:c r="N18" s="33" t="n">
        <x:v>0.7828571428571428571428571429</x:v>
      </x:c>
      <x:c r="O18" s="33" t="n">
        <x:v>0.7828571428571428571428571429</x:v>
      </x:c>
      <x:c r="P18" s="33" t="n">
        <x:v>0.8028571428571428571428571429</x:v>
      </x:c>
      <x:c r="Q18" s="33" t="n">
        <x:v>0.8771428571428571428571428571</x:v>
      </x:c>
      <x:c r="R18" s="33" t="n">
        <x:v>0.8771428571428571428571428571</x:v>
      </x:c>
      <x:c r="S18" s="33" t="n">
        <x:v>0.8771428571428571428571428571</x:v>
      </x:c>
      <x:c r="T18" s="23" t="n">
        <x:v>0.8971428571428571428571428571</x:v>
      </x:c>
      <x:c r="BC18" s="34" t="s"/>
      <x:c r="BD18" s="11" t="s">
        <x:v>118</x:v>
      </x:c>
      <x:c r="BE18" s="12" t="n">
        <x:f>=BO18</x:f>
      </x:c>
      <x:c r="BF18" s="12" t="n">
        <x:v>0.8428571428571428571428571429</x:v>
      </x:c>
      <x:c r="BG18" s="12" t="n">
        <x:v>0.1228571428571428571428571429</x:v>
      </x:c>
      <x:c r="BH18" s="12" t="n">
        <x:v>0.0342857142857142857142857143</x:v>
      </x:c>
      <x:c r="BI18" s="12" t="n">
        <x:f>=BN18</x:f>
      </x:c>
      <x:c r="BJ18" s="13" t="n">
        <x:v>0</x:v>
      </x:c>
      <x:c r="BK18" s="31" t="n">
        <x:v>4900.96</x:v>
      </x:c>
      <x:c r="BL18" s="31" t="n">
        <x:v>-3375.02430370037100000000</x:v>
      </x:c>
      <x:c r="BM18" s="31" t="n">
        <x:f>=BK18+BL18</x:f>
      </x:c>
      <x:c r="BN18" s="68" t="n">
        <x:f>=BM18/BK18</x:f>
      </x:c>
      <x:c r="BO18" s="68" t="n">
        <x:v>0.9657142857142857142857142857</x:v>
      </x:c>
      <x:c r="BP18" s="31" t="n">
        <x:v>3441.880725464300000000</x:v>
      </x:c>
      <x:c r="BQ18" s="42" t="n">
        <x:v>12</x:v>
      </x:c>
      <x:c r="BR18" s="31" t="n">
        <x:v>118.007339158776000000</x:v>
      </x:c>
      <x:c r="BT18" s="31" t="n">
        <x:v>6475.0852361187500000000000000</x:v>
      </x:c>
      <x:c r="BU18" s="31" t="n">
        <x:v>-3375.02430370037100000000</x:v>
      </x:c>
      <x:c r="BV18" s="31" t="n">
        <x:f>=BT18+BU18</x:f>
      </x:c>
      <x:c r="BW18" s="68" t="n">
        <x:f>=BV18/BT18</x:f>
      </x:c>
      <x:c r="BY18" s="68" t="n">
        <x:f>=BO18</x:f>
      </x:c>
      <x:c r="BZ18" s="68" t="n">
        <x:f>=BF18</x:f>
      </x:c>
      <x:c r="CA18" s="68" t="n">
        <x:f>=BG18</x:f>
      </x:c>
      <x:c r="CB18" s="68" t="n">
        <x:f>=1 - BY18</x:f>
      </x:c>
      <x:c r="CD18" s="68" t="n">
        <x:f>=CA18/(1-BZ18)</x:f>
      </x:c>
    </x:row>
    <x:row r="19">
      <x:c r="A19" s="32" t="s"/>
      <x:c r="BC19" s="34" t="s"/>
      <x:c r="BD19" s="11" t="s"/>
      <x:c r="BJ19" s="13" t="s"/>
    </x:row>
    <x:row r="20">
      <x:c r="A20" s="17" t="s">
        <x:v>92</x:v>
      </x:c>
      <x:c r="BC20" s="34" t="s"/>
      <x:c r="BD20" s="11" t="s"/>
      <x:c r="BJ20" s="13" t="s"/>
    </x:row>
    <x:row r="21">
      <x:c r="A21" s="32" t="s">
        <x:v>119</x:v>
      </x:c>
      <x:c r="B21" t="s"/>
      <x:c r="C21" t="s">
        <x:v>120</x:v>
      </x:c>
      <x:c r="D21" t="s">
        <x:v>108</x:v>
      </x:c>
      <x:c r="E21" t="s">
        <x:v>109</x:v>
      </x:c>
      <x:c r="F21" t="n">
        <x:v>829</x:v>
      </x:c>
      <x:c r="G21" s="33" t="n">
        <x:v>0.11338962605548854041013269</x:v>
      </x:c>
      <x:c r="H21" s="33" t="n">
        <x:v>0.11338962605548854041013269</x:v>
      </x:c>
      <x:c r="I21" s="33" t="n">
        <x:v>0.11338962605548854041013269</x:v>
      </x:c>
      <x:c r="J21" s="33" t="n">
        <x:v>0.11338962605548854041013269</x:v>
      </x:c>
      <x:c r="K21" s="33" t="n">
        <x:v>0.11338962605548854041013269</x:v>
      </x:c>
      <x:c r="L21" s="33" t="n">
        <x:v>0.11338962605548854041013269</x:v>
      </x:c>
      <x:c r="M21" s="33" t="n">
        <x:v>0.1712907117008443908323281062</x:v>
      </x:c>
      <x:c r="N21" s="33" t="n">
        <x:v>0.1712907117008443908323281062</x:v>
      </x:c>
      <x:c r="O21" s="33" t="n">
        <x:v>0.1712907117008443908323281062</x:v>
      </x:c>
      <x:c r="P21" s="33" t="n">
        <x:v>0.1966224366706875753920386007</x:v>
      </x:c>
      <x:c r="Q21" s="33" t="n">
        <x:v>0.2207478890229191797346200241</x:v>
      </x:c>
      <x:c r="R21" s="33" t="n">
        <x:v>0.2207478890229191797346200241</x:v>
      </x:c>
      <x:c r="S21" s="33" t="n">
        <x:v>0.2364294330518697225572979493</x:v>
      </x:c>
      <x:c r="T21" s="23" t="n">
        <x:v>0.3582629674306393244873341375</x:v>
      </x:c>
      <x:c r="BC21" s="34" t="s"/>
      <x:c r="BD21" s="11" t="s">
        <x:v>118</x:v>
      </x:c>
      <x:c r="BE21" s="12" t="n">
        <x:f>=BO21</x:f>
      </x:c>
      <x:c r="BF21" s="12" t="n">
        <x:v>0.22677925211097708082026538</x:v>
      </x:c>
      <x:c r="BG21" s="12" t="n">
        <x:v>0.7551266586248492159227985525</x:v>
      </x:c>
      <x:c r="BH21" s="12" t="n">
        <x:v>0.0180940892641737032569360676</x:v>
      </x:c>
      <x:c r="BI21" s="12" t="n">
        <x:f>=BN21</x:f>
      </x:c>
      <x:c r="BJ21" s="13" t="n">
        <x:v>0</x:v>
      </x:c>
      <x:c r="BK21" s="31" t="n">
        <x:v>8139.53</x:v>
      </x:c>
      <x:c r="BL21" s="31" t="n">
        <x:v>-10275.69756549012888000000</x:v>
      </x:c>
      <x:c r="BM21" s="31" t="n">
        <x:f>=BK21+BL21</x:f>
      </x:c>
      <x:c r="BN21" s="68" t="n">
        <x:f>=BM21/BK21</x:f>
      </x:c>
      <x:c r="BO21" s="68" t="n">
        <x:v>0.9819059107358262967430639324</x:v>
      </x:c>
      <x:c r="BP21" s="31" t="n">
        <x:v>10286.174397412504000000</x:v>
      </x:c>
      <x:c r="BQ21" s="42" t="n">
        <x:v>15</x:v>
      </x:c>
      <x:c r="BR21" s="31" t="n">
        <x:v>186.118957733640000000</x:v>
      </x:c>
      <x:c r="BT21" s="31" t="n">
        <x:v>12800.065074080156250000000000</x:v>
      </x:c>
      <x:c r="BU21" s="31" t="n">
        <x:v>-10275.69756549012888000000</x:v>
      </x:c>
      <x:c r="BV21" s="31" t="n">
        <x:f>=BT21+BU21</x:f>
      </x:c>
      <x:c r="BW21" s="68" t="n">
        <x:f>=BV21/BT21</x:f>
      </x:c>
      <x:c r="BY21" s="68" t="n">
        <x:f>=BO21</x:f>
      </x:c>
      <x:c r="BZ21" s="68" t="n">
        <x:f>=BF21</x:f>
      </x:c>
      <x:c r="CA21" s="68" t="n">
        <x:f>=BG21</x:f>
      </x:c>
      <x:c r="CB21" s="68" t="n">
        <x:f>=1 - BY21</x:f>
      </x:c>
      <x:c r="CD21" s="68" t="n">
        <x:f>=CA21/(1-BZ21)</x:f>
      </x:c>
    </x:row>
    <x:row r="22">
      <x:c r="A22" s="32" t="s">
        <x:v>121</x:v>
      </x:c>
      <x:c r="B22" t="s"/>
      <x:c r="C22" t="s">
        <x:v>122</x:v>
      </x:c>
      <x:c r="D22" t="s">
        <x:v>108</x:v>
      </x:c>
      <x:c r="E22" t="s">
        <x:v>109</x:v>
      </x:c>
      <x:c r="F22" t="n">
        <x:v>574</x:v>
      </x:c>
      <x:c r="G22" s="33" t="n">
        <x:v>0.1533101045296167247386759582</x:v>
      </x:c>
      <x:c r="H22" s="33" t="n">
        <x:v>0.1533101045296167247386759582</x:v>
      </x:c>
      <x:c r="I22" s="33" t="n">
        <x:v>0.1533101045296167247386759582</x:v>
      </x:c>
      <x:c r="J22" s="33" t="n">
        <x:v>0.1533101045296167247386759582</x:v>
      </x:c>
      <x:c r="K22" s="33" t="n">
        <x:v>0.1533101045296167247386759582</x:v>
      </x:c>
      <x:c r="L22" s="33" t="n">
        <x:v>0.1533101045296167247386759582</x:v>
      </x:c>
      <x:c r="M22" s="33" t="n">
        <x:v>0.1515679442508710801393728223</x:v>
      </x:c>
      <x:c r="N22" s="33" t="n">
        <x:v>0.1515679442508710801393728223</x:v>
      </x:c>
      <x:c r="O22" s="33" t="n">
        <x:v>0.1515679442508710801393728223</x:v>
      </x:c>
      <x:c r="P22" s="33" t="n">
        <x:v>0.2020905923344947735191637631</x:v>
      </x:c>
      <x:c r="Q22" s="33" t="n">
        <x:v>0.2735191637630662020905923345</x:v>
      </x:c>
      <x:c r="R22" s="33" t="n">
        <x:v>0.2735191637630662020905923345</x:v>
      </x:c>
      <x:c r="S22" s="33" t="n">
        <x:v>0.3310104529616724738675958188</x:v>
      </x:c>
      <x:c r="T22" s="23" t="n">
        <x:v>0.5505226480836236933797909408</x:v>
      </x:c>
      <x:c r="BC22" s="34" t="s"/>
      <x:c r="BD22" s="11" t="s">
        <x:v>118</x:v>
      </x:c>
      <x:c r="BE22" s="12" t="n">
        <x:f>=BO22</x:f>
      </x:c>
      <x:c r="BF22" s="12" t="n">
        <x:v>0.2770034843205574912891986063</x:v>
      </x:c>
      <x:c r="BG22" s="12" t="n">
        <x:v>0.6585365853658536585365853659</x:v>
      </x:c>
      <x:c r="BH22" s="12" t="n">
        <x:v>0.0644599303135888501742160279</x:v>
      </x:c>
      <x:c r="BI22" s="12" t="n">
        <x:f>=BN22</x:f>
      </x:c>
      <x:c r="BJ22" s="13" t="n">
        <x:v>0</x:v>
      </x:c>
      <x:c r="BK22" s="31" t="n">
        <x:v>4167.49</x:v>
      </x:c>
      <x:c r="BL22" s="31" t="n">
        <x:v>-5535.03985806860844000000</x:v>
      </x:c>
      <x:c r="BM22" s="31" t="n">
        <x:f>=BK22+BL22</x:f>
      </x:c>
      <x:c r="BN22" s="68" t="n">
        <x:f>=BM22/BK22</x:f>
      </x:c>
      <x:c r="BO22" s="68" t="n">
        <x:v>0.9355400696864111498257839721</x:v>
      </x:c>
      <x:c r="BP22" s="31" t="n">
        <x:v>5644.684389761452000000</x:v>
      </x:c>
      <x:c r="BQ22" s="42" t="n">
        <x:v>37</x:v>
      </x:c>
      <x:c r="BR22" s="31" t="n">
        <x:v>363.855962406226000000</x:v>
      </x:c>
      <x:c r="BT22" s="31" t="n">
        <x:v>6749.0553872347500000000000000</x:v>
      </x:c>
      <x:c r="BU22" s="31" t="n">
        <x:v>-5535.03985806860844000000</x:v>
      </x:c>
      <x:c r="BV22" s="31" t="n">
        <x:f>=BT22+BU22</x:f>
      </x:c>
      <x:c r="BW22" s="68" t="n">
        <x:f>=BV22/BT22</x:f>
      </x:c>
      <x:c r="BY22" s="68" t="n">
        <x:f>=BO22</x:f>
      </x:c>
      <x:c r="BZ22" s="68" t="n">
        <x:f>=BF22</x:f>
      </x:c>
      <x:c r="CA22" s="68" t="n">
        <x:f>=BG22</x:f>
      </x:c>
      <x:c r="CB22" s="68" t="n">
        <x:f>=1 - BY22</x:f>
      </x:c>
      <x:c r="CD22" s="68" t="n">
        <x:f>=CA22/(1-BZ22)</x:f>
      </x:c>
    </x:row>
    <x:row r="23">
      <x:c r="A23" s="32" t="s">
        <x:v>123</x:v>
      </x:c>
      <x:c r="B23" t="s"/>
      <x:c r="C23" t="s">
        <x:v>124</x:v>
      </x:c>
      <x:c r="D23" t="s">
        <x:v>125</x:v>
      </x:c>
      <x:c r="E23" t="s">
        <x:v>109</x:v>
      </x:c>
      <x:c r="F23" t="n">
        <x:v>502</x:v>
      </x:c>
      <x:c r="G23" s="33" t="n">
        <x:v>0.1414342629482071713147410359</x:v>
      </x:c>
      <x:c r="H23" s="33" t="n">
        <x:v>0.1414342629482071713147410359</x:v>
      </x:c>
      <x:c r="I23" s="33" t="n">
        <x:v>0.1952191235059760956175298805</x:v>
      </x:c>
      <x:c r="J23" s="33" t="n">
        <x:v>0.1792828685258964143426294821</x:v>
      </x:c>
      <x:c r="K23" s="33" t="n">
        <x:v>0.1772908366533864541832669323</x:v>
      </x:c>
      <x:c r="L23" s="33" t="n">
        <x:v>0.1792828685258964143426294821</x:v>
      </x:c>
      <x:c r="M23" s="33" t="n">
        <x:v>0.1932270916334661354581673307</x:v>
      </x:c>
      <x:c r="N23" s="33" t="n">
        <x:v>0.1932270916334661354581673307</x:v>
      </x:c>
      <x:c r="O23" s="33" t="n">
        <x:v>0.2051792828685258964143426295</x:v>
      </x:c>
      <x:c r="P23" s="33" t="n">
        <x:v>0.2071713147410358565737051793</x:v>
      </x:c>
      <x:c r="Q23" s="23" t="n">
        <x:v>0.5239043824701195219123505976</x:v>
      </x:c>
      <x:c r="BC23" s="34" t="s"/>
      <x:c r="BD23" s="11" t="s">
        <x:v>126</x:v>
      </x:c>
      <x:c r="BE23" s="12" t="n">
        <x:f>=BO23</x:f>
      </x:c>
      <x:c r="BF23" s="12" t="n">
        <x:v>0.1972111553784860557768924303</x:v>
      </x:c>
      <x:c r="BG23" s="12" t="n">
        <x:v>0.7768924302788844621513944223</x:v>
      </x:c>
      <x:c r="BH23" s="12" t="n">
        <x:v>0.0258964143426294820717131474</x:v>
      </x:c>
      <x:c r="BI23" s="12" t="n">
        <x:f>=BN23</x:f>
      </x:c>
      <x:c r="BJ23" s="13" t="n">
        <x:v>0</x:v>
      </x:c>
      <x:c r="BK23" s="31" t="n">
        <x:v>2361.41</x:v>
      </x:c>
      <x:c r="BL23" s="31" t="n">
        <x:v>-3052.2604</x:v>
      </x:c>
      <x:c r="BM23" s="31" t="n">
        <x:f>=BK23+BL23</x:f>
      </x:c>
      <x:c r="BN23" s="68" t="n">
        <x:f>=BM23/BK23</x:f>
      </x:c>
      <x:c r="BO23" s="68" t="n">
        <x:v>0.9741035856573705179282868526</x:v>
      </x:c>
      <x:c r="BP23" s="31" t="n">
        <x:v>2841.32</x:v>
      </x:c>
      <x:c r="BQ23" s="42" t="n">
        <x:v>13</x:v>
      </x:c>
      <x:c r="BR23" s="31" t="n">
        <x:v>73.58</x:v>
      </x:c>
      <x:c r="BT23" s="31" t="n">
        <x:v>3812.8177177111250000000</x:v>
      </x:c>
      <x:c r="BU23" s="31" t="n">
        <x:v>-3052.2604</x:v>
      </x:c>
      <x:c r="BV23" s="31" t="n">
        <x:f>=BT23+BU23</x:f>
      </x:c>
      <x:c r="BW23" s="68" t="n">
        <x:f>=BV23/BT23</x:f>
      </x:c>
      <x:c r="BY23" s="68" t="n">
        <x:f>=BO23</x:f>
      </x:c>
      <x:c r="BZ23" s="68" t="n">
        <x:f>=BF23</x:f>
      </x:c>
      <x:c r="CA23" s="68" t="n">
        <x:f>=BG23</x:f>
      </x:c>
      <x:c r="CB23" s="68" t="n">
        <x:f>=1 - BY23</x:f>
      </x:c>
      <x:c r="CD23" s="68" t="n">
        <x:f>=CA23/(1-BZ23)</x:f>
      </x:c>
    </x:row>
    <x:row r="24">
      <x:c r="A24" s="35" t="s"/>
      <x:c r="B24" s="6" t="s"/>
      <x:c r="C24" s="6" t="s"/>
      <x:c r="D24" s="6" t="s"/>
      <x:c r="E24" s="6" t="s"/>
      <x:c r="F24" s="6" t="s"/>
      <x:c r="G24" s="6" t="s"/>
      <x:c r="H24" s="6" t="s"/>
      <x:c r="I24" s="6" t="s"/>
      <x:c r="J24" s="6" t="s"/>
      <x:c r="K24" s="6" t="s"/>
      <x:c r="L24" s="6" t="s"/>
      <x:c r="M24" s="6" t="s"/>
      <x:c r="N24" s="6" t="s"/>
      <x:c r="O24" s="6" t="s"/>
      <x:c r="P24" s="6" t="s"/>
      <x:c r="Q24" s="6" t="s"/>
      <x:c r="R24" s="6" t="s"/>
      <x:c r="S24" s="6" t="s"/>
      <x:c r="T24" s="6" t="s"/>
      <x:c r="U24" s="6" t="s"/>
      <x:c r="V24" s="6" t="s"/>
      <x:c r="W24" s="6" t="s"/>
      <x:c r="X24" s="6" t="s"/>
      <x:c r="Y24" s="6" t="s"/>
      <x:c r="Z24" s="6" t="s"/>
      <x:c r="AA24" s="6" t="s"/>
      <x:c r="AB24" s="6" t="s"/>
      <x:c r="AC24" s="6" t="s"/>
      <x:c r="AD24" s="6" t="s"/>
      <x:c r="AE24" s="6" t="s"/>
      <x:c r="AF24" s="6" t="s"/>
      <x:c r="AG24" s="6" t="s"/>
      <x:c r="AH24" s="6" t="s"/>
      <x:c r="AI24" s="6" t="s"/>
      <x:c r="AJ24" s="6" t="s"/>
      <x:c r="AK24" s="6" t="s"/>
      <x:c r="AL24" s="6" t="s"/>
      <x:c r="AM24" s="6" t="s"/>
      <x:c r="AN24" s="6" t="s"/>
      <x:c r="AO24" s="6" t="s"/>
      <x:c r="AP24" s="6" t="s"/>
      <x:c r="AQ24" s="6" t="s"/>
      <x:c r="AR24" s="6" t="s"/>
      <x:c r="AS24" s="6" t="s"/>
      <x:c r="AT24" s="6" t="s"/>
      <x:c r="AU24" s="6" t="s"/>
      <x:c r="AV24" s="6" t="s"/>
      <x:c r="AW24" s="6" t="s"/>
      <x:c r="AX24" s="6" t="s"/>
      <x:c r="AY24" s="6" t="s"/>
      <x:c r="AZ24" s="6" t="s"/>
      <x:c r="BA24" s="6" t="s"/>
      <x:c r="BB24" s="6" t="s"/>
      <x:c r="BC24" s="8" t="s"/>
      <x:c r="BD24" s="14" t="s">
        <x:v>127</x:v>
      </x:c>
      <x:c r="BE24" s="15" t="s"/>
      <x:c r="BF24" s="15" t="s"/>
      <x:c r="BG24" s="15" t="s"/>
      <x:c r="BH24" s="15" t="s"/>
      <x:c r="BI24" s="38">
        <x:f>=BM25/BK25</x:f>
      </x:c>
      <x:c r="BJ24" s="16">
        <x:f>=BR25/BP25</x:f>
      </x:c>
      <x:c r="BK24" s="21" t="n">
        <x:v>34098.10</x:v>
      </x:c>
      <x:c r="BL24" s="21" t="n">
        <x:v>-31366.79718394189976268032</x:v>
      </x:c>
      <x:c r="BM24" s="21" t="n">
        <x:f>=BK24+BL24</x:f>
      </x:c>
      <x:c r="BN24" s="22" t="n">
        <x:v>0.0801013198992935159824060578</x:v>
      </x:c>
      <x:c r="BP24" s="21" t="n">
        <x:v>-31437.552354579278105856</x:v>
      </x:c>
      <x:c r="BQ24" s="21" t="n">
        <x:v>86</x:v>
      </x:c>
      <x:c r="BR24" s="21" t="n">
        <x:v>699.69707621475618972660869563</x:v>
      </x:c>
      <x:c r="BT24" s="21" t="n">
        <x:v>48862.912839721593750000000000</x:v>
      </x:c>
      <x:c r="BU24" s="21" t="n">
        <x:v>-31366.79718394189976268032</x:v>
      </x:c>
      <x:c r="BV24" s="21" t="n">
        <x:f>=BT24+BU24</x:f>
      </x:c>
      <x:c r="BW24" s="22" t="n">
        <x:v>0.3580653432014959183668546002</x:v>
      </x:c>
    </x:row>
    <x:row r="25">
      <x:c r="BK25" s="19" t="n">
        <x:v>45868.73</x:v>
      </x:c>
      <x:c r="BL25" s="19" t="n">
        <x:v>-44512.28058394189976268032</x:v>
      </x:c>
      <x:c r="BM25" s="19" t="n">
        <x:f>=BK25+BL25</x:f>
      </x:c>
      <x:c r="BN25" s="20" t="n">
        <x:v>0.0295724214744576585686954926</x:v>
      </x:c>
      <x:c r="BP25" s="19" t="n">
        <x:v>-43298.112354579278105856</x:v>
      </x:c>
      <x:c r="BQ25" s="19" t="n">
        <x:v>136</x:v>
      </x:c>
      <x:c r="BR25" s="19" t="n">
        <x:v>1523.9501242812582356098385093</x:v>
      </x:c>
      <x:c r="BT25" s="19" t="n">
        <x:v>67637.597015329562500000000000</x:v>
      </x:c>
      <x:c r="BU25" s="19" t="n">
        <x:v>-44512.28058394189976268032</x:v>
      </x:c>
      <x:c r="BV25" s="19" t="n">
        <x:f>=BT25+BU25</x:f>
      </x:c>
      <x:c r="BW25" s="20" t="n">
        <x:v>0.3419003254380323465623272108</x:v>
      </x:c>
    </x:row>
    <x:row r="26">
      <x:c r="A26" s="10" t="s">
        <x:v>128</x:v>
      </x:c>
      <x:c r="B26" s="5" t="s"/>
      <x:c r="C26" s="5" t="s"/>
      <x:c r="D26" s="5" t="s"/>
      <x:c r="E26" s="5" t="s"/>
      <x:c r="F26" s="5" t="s"/>
      <x:c r="G26" s="5" t="s"/>
      <x:c r="H26" s="5" t="s"/>
      <x:c r="I26" s="5" t="s"/>
      <x:c r="J26" s="5" t="s"/>
      <x:c r="K26" s="5" t="s"/>
      <x:c r="L26" s="5" t="s"/>
      <x:c r="M26" s="5" t="s"/>
      <x:c r="N26" s="5" t="s"/>
      <x:c r="O26" s="5" t="s"/>
      <x:c r="P26" s="5" t="s"/>
      <x:c r="Q26" s="5" t="s"/>
      <x:c r="R26" s="5" t="s"/>
      <x:c r="S26" s="5" t="s"/>
      <x:c r="T26" s="5" t="s"/>
      <x:c r="U26" s="5" t="s"/>
      <x:c r="V26" s="5" t="s"/>
      <x:c r="W26" s="5" t="s"/>
      <x:c r="X26" s="5" t="s"/>
      <x:c r="Y26" s="5" t="s"/>
      <x:c r="Z26" s="5" t="s"/>
      <x:c r="AA26" s="5" t="s"/>
      <x:c r="AB26" s="5" t="s"/>
      <x:c r="AC26" s="5" t="s"/>
      <x:c r="AD26" s="5" t="s"/>
      <x:c r="AE26" s="5" t="s"/>
      <x:c r="AF26" s="5" t="s"/>
      <x:c r="AG26" s="5" t="s"/>
      <x:c r="AH26" s="5" t="s"/>
      <x:c r="AI26" s="5" t="s"/>
      <x:c r="AJ26" s="5" t="s"/>
      <x:c r="AK26" s="5" t="s"/>
      <x:c r="AL26" s="5" t="s"/>
      <x:c r="AM26" s="5" t="s"/>
      <x:c r="AN26" s="5" t="s"/>
      <x:c r="AO26" s="5" t="s"/>
      <x:c r="AP26" s="5" t="s"/>
      <x:c r="AQ26" s="5" t="s"/>
      <x:c r="AR26" s="5" t="s"/>
      <x:c r="AS26" s="5" t="s"/>
      <x:c r="AT26" s="5" t="s"/>
      <x:c r="AU26" s="5" t="s"/>
      <x:c r="AV26" s="5" t="s"/>
      <x:c r="AW26" s="5" t="s"/>
      <x:c r="AX26" s="5" t="s"/>
      <x:c r="AY26" s="5" t="s"/>
      <x:c r="AZ26" s="5" t="s"/>
      <x:c r="BA26" s="5" t="s"/>
      <x:c r="BB26" s="5" t="s"/>
      <x:c r="BC26" s="7" t="s"/>
      <x:c r="BD26" s="10" t="s"/>
      <x:c r="BE26" s="5" t="s"/>
      <x:c r="BF26" s="5" t="s"/>
      <x:c r="BG26" s="5" t="s"/>
      <x:c r="BH26" s="5" t="s"/>
      <x:c r="BI26" s="5" t="s"/>
      <x:c r="BJ26" s="7" t="s"/>
      <x:c r="BK26" s="49" t="s">
        <x:v>11</x:v>
      </x:c>
      <x:c r="BL26" s="50"/>
      <x:c r="BM26" s="51"/>
      <x:c r="BN26" s="52"/>
      <x:c r="BO26" s="52"/>
      <x:c r="BP26" s="53"/>
      <x:c r="BQ26" s="54"/>
      <x:c r="BR26" s="53"/>
      <x:c r="BT26" s="59" t="s">
        <x:v>27</x:v>
      </x:c>
      <x:c r="BU26" s="60"/>
      <x:c r="BV26" s="60"/>
      <x:c r="BW26" s="60"/>
      <x:c r="BX26" s="60"/>
      <x:c r="BY26" s="61"/>
      <x:c r="BZ26" s="61"/>
      <x:c r="CA26" s="61"/>
      <x:c r="CB26" s="61"/>
      <x:c r="CC26" s="60"/>
      <x:c r="CD26" s="62"/>
    </x:row>
    <x:row r="27" ht="45.75" customHeight="1">
      <x:c r="A27" s="41" t="s">
        <x:v>30</x:v>
      </x:c>
      <x:c r="B27" s="41" t="s">
        <x:v>31</x:v>
      </x:c>
      <x:c r="C27" s="41" t="s">
        <x:v>32</x:v>
      </x:c>
      <x:c r="D27" s="41" t="s">
        <x:v>33</x:v>
      </x:c>
      <x:c r="E27" s="41" t="s">
        <x:v>34</x:v>
      </x:c>
      <x:c r="F27" s="41" t="s">
        <x:v>83</x:v>
      </x:c>
      <x:c r="G27" s="41" t="s">
        <x:v>35</x:v>
      </x:c>
      <x:c r="H27" s="41" t="s">
        <x:v>36</x:v>
      </x:c>
      <x:c r="I27" s="41" t="s">
        <x:v>37</x:v>
      </x:c>
      <x:c r="J27" s="41" t="s">
        <x:v>38</x:v>
      </x:c>
      <x:c r="K27" s="41" t="s">
        <x:v>39</x:v>
      </x:c>
      <x:c r="L27" s="41" t="s">
        <x:v>40</x:v>
      </x:c>
      <x:c r="M27" s="41" t="s">
        <x:v>41</x:v>
      </x:c>
      <x:c r="N27" s="41" t="s">
        <x:v>42</x:v>
      </x:c>
      <x:c r="O27" s="41" t="s">
        <x:v>43</x:v>
      </x:c>
      <x:c r="P27" s="41" t="s">
        <x:v>44</x:v>
      </x:c>
      <x:c r="Q27" s="41" t="s">
        <x:v>45</x:v>
      </x:c>
      <x:c r="R27" s="41" t="s">
        <x:v>46</x:v>
      </x:c>
      <x:c r="S27" s="41" t="s">
        <x:v>47</x:v>
      </x:c>
      <x:c r="T27" s="41" t="s">
        <x:v>48</x:v>
      </x:c>
      <x:c r="U27" s="41" t="s">
        <x:v>49</x:v>
      </x:c>
      <x:c r="V27" s="41" t="s">
        <x:v>50</x:v>
      </x:c>
      <x:c r="W27" s="41" t="s">
        <x:v>51</x:v>
      </x:c>
      <x:c r="X27" s="41" t="s">
        <x:v>52</x:v>
      </x:c>
      <x:c r="Y27" s="41" t="s">
        <x:v>53</x:v>
      </x:c>
      <x:c r="Z27" s="41" t="s">
        <x:v>54</x:v>
      </x:c>
      <x:c r="AA27" s="41" t="s">
        <x:v>55</x:v>
      </x:c>
      <x:c r="AB27" s="41" t="s">
        <x:v>56</x:v>
      </x:c>
      <x:c r="AC27" s="41" t="s">
        <x:v>57</x:v>
      </x:c>
      <x:c r="AD27" s="41" t="s">
        <x:v>58</x:v>
      </x:c>
      <x:c r="AE27" s="41" t="s">
        <x:v>59</x:v>
      </x:c>
      <x:c r="AF27" s="41" t="s">
        <x:v>60</x:v>
      </x:c>
      <x:c r="AG27" s="41" t="s">
        <x:v>61</x:v>
      </x:c>
      <x:c r="AH27" s="41" t="s">
        <x:v>62</x:v>
      </x:c>
      <x:c r="AI27" s="41" t="s">
        <x:v>63</x:v>
      </x:c>
      <x:c r="AJ27" s="41" t="s">
        <x:v>64</x:v>
      </x:c>
      <x:c r="AK27" s="41" t="s">
        <x:v>65</x:v>
      </x:c>
      <x:c r="AL27" s="41" t="s">
        <x:v>66</x:v>
      </x:c>
      <x:c r="AM27" s="41" t="s">
        <x:v>67</x:v>
      </x:c>
      <x:c r="AN27" s="41" t="s">
        <x:v>68</x:v>
      </x:c>
      <x:c r="AO27" s="41" t="s">
        <x:v>69</x:v>
      </x:c>
      <x:c r="AP27" s="41" t="s">
        <x:v>70</x:v>
      </x:c>
      <x:c r="AQ27" s="41" t="s">
        <x:v>71</x:v>
      </x:c>
      <x:c r="AR27" s="41" t="s">
        <x:v>72</x:v>
      </x:c>
      <x:c r="AS27" s="41" t="s">
        <x:v>73</x:v>
      </x:c>
      <x:c r="AT27" s="41" t="s">
        <x:v>74</x:v>
      </x:c>
      <x:c r="AU27" s="41" t="s">
        <x:v>75</x:v>
      </x:c>
      <x:c r="AV27" s="41" t="s">
        <x:v>76</x:v>
      </x:c>
      <x:c r="AW27" s="41" t="s">
        <x:v>77</x:v>
      </x:c>
      <x:c r="AX27" s="41" t="s">
        <x:v>78</x:v>
      </x:c>
      <x:c r="AY27" s="41" t="s">
        <x:v>79</x:v>
      </x:c>
      <x:c r="AZ27" s="41" t="s">
        <x:v>80</x:v>
      </x:c>
      <x:c r="BA27" s="41" t="s">
        <x:v>81</x:v>
      </x:c>
      <x:c r="BB27" s="41" t="s">
        <x:v>82</x:v>
      </x:c>
      <x:c r="BD27" s="32" t="s">
        <x:v>84</x:v>
      </x:c>
      <x:c r="BE27" s="33" t="s">
        <x:v>85</x:v>
      </x:c>
      <x:c r="BF27" s="33" t="s">
        <x:v>86</x:v>
      </x:c>
      <x:c r="BG27" s="33" t="s">
        <x:v>87</x:v>
      </x:c>
      <x:c r="BH27" s="33" t="s">
        <x:v>88</x:v>
      </x:c>
      <x:c r="BI27" s="33" t="s">
        <x:v>89</x:v>
      </x:c>
      <x:c r="BJ27" s="34" t="s">
        <x:v>90</x:v>
      </x:c>
      <x:c r="BK27" s="55" t="s">
        <x:v>12</x:v>
      </x:c>
      <x:c r="BL27" s="56" t="s">
        <x:v>13</x:v>
      </x:c>
      <x:c r="BM27" s="56" t="s">
        <x:v>14</x:v>
      </x:c>
      <x:c r="BN27" s="57" t="s">
        <x:v>15</x:v>
      </x:c>
      <x:c r="BO27" s="57" t="s">
        <x:v>28</x:v>
      </x:c>
      <x:c r="BP27" s="58" t="s">
        <x:v>16</x:v>
      </x:c>
      <x:c r="BQ27" s="55" t="s">
        <x:v>17</x:v>
      </x:c>
      <x:c r="BR27" s="58" t="s">
        <x:v>18</x:v>
      </x:c>
      <x:c r="BT27" s="63" t="s">
        <x:v>19</x:v>
      </x:c>
      <x:c r="BU27" s="64" t="s">
        <x:v>20</x:v>
      </x:c>
      <x:c r="BV27" s="64" t="s">
        <x:v>21</x:v>
      </x:c>
      <x:c r="BW27" s="64" t="s">
        <x:v>15</x:v>
      </x:c>
      <x:c r="BX27" s="64"/>
      <x:c r="BY27" s="65" t="s">
        <x:v>22</x:v>
      </x:c>
      <x:c r="BZ27" s="65" t="s">
        <x:v>23</x:v>
      </x:c>
      <x:c r="CA27" s="65" t="s">
        <x:v>26</x:v>
      </x:c>
      <x:c r="CB27" s="65" t="s">
        <x:v>24</x:v>
      </x:c>
      <x:c r="CC27" s="64"/>
      <x:c r="CD27" s="66" t="s">
        <x:v>25</x:v>
      </x:c>
    </x:row>
    <x:row r="28">
      <x:c r="BD28" s="32" t="s"/>
      <x:c r="BJ28" s="34" t="s"/>
    </x:row>
    <x:row r="29">
      <x:c r="A29" s="36" t="s">
        <x:v>129</x:v>
      </x:c>
      <x:c r="BC29" s="34" t="s"/>
      <x:c r="BD29" s="11" t="s"/>
      <x:c r="BJ29" s="13" t="s"/>
    </x:row>
    <x:row r="30">
      <x:c r="A30" s="17" t="s">
        <x:v>105</x:v>
      </x:c>
      <x:c r="BC30" s="34" t="s"/>
      <x:c r="BD30" s="11" t="s"/>
      <x:c r="BJ30" s="13" t="s"/>
    </x:row>
    <x:row r="31">
      <x:c r="A31" s="32" t="s">
        <x:v>130</x:v>
      </x:c>
      <x:c r="B31" t="s"/>
      <x:c r="C31" t="s">
        <x:v>131</x:v>
      </x:c>
      <x:c r="D31" t="s">
        <x:v>125</x:v>
      </x:c>
      <x:c r="E31" t="s">
        <x:v>132</x:v>
      </x:c>
      <x:c r="F31" t="n">
        <x:v>906</x:v>
      </x:c>
      <x:c r="G31" s="33" t="n">
        <x:v>0.1412803532008830022075055188</x:v>
      </x:c>
      <x:c r="H31" s="33" t="n">
        <x:v>0.2207505518763796909492273731</x:v>
      </x:c>
      <x:c r="I31" s="33" t="n">
        <x:v>0.2759381898454746136865342163</x:v>
      </x:c>
      <x:c r="J31" s="33" t="n">
        <x:v>0.3245033112582781456953642384</x:v>
      </x:c>
      <x:c r="K31" s="33" t="n">
        <x:v>0.368653421633554083885209713</x:v>
      </x:c>
      <x:c r="L31" s="33" t="n">
        <x:v>0.3874172185430463576158940397</x:v>
      </x:c>
      <x:c r="M31" s="33" t="n">
        <x:v>0.4083885209713024282560706402</x:v>
      </x:c>
      <x:c r="N31" s="33" t="n">
        <x:v>0.4558498896247240618101545254</x:v>
      </x:c>
      <x:c r="O31" s="33" t="n">
        <x:v>0.5110375275938189845474613687</x:v>
      </x:c>
      <x:c r="P31" s="33" t="n">
        <x:v>0.5871964679911699779249448124</x:v>
      </x:c>
      <x:c r="Q31" s="33" t="n">
        <x:v>0.655629139072847682119205298</x:v>
      </x:c>
      <x:c r="R31" s="24" t="n">
        <x:v>0.7395143487858719646799116998</x:v>
      </x:c>
      <x:c r="S31" s="33" t="n">
        <x:v>0.8653421633554083885209713024</x:v>
      </x:c>
      <x:c r="T31" s="33" t="n">
        <x:v>0.9227373068432671081677704194</x:v>
      </x:c>
      <x:c r="U31" s="33" t="n">
        <x:v>0.9359823399558498896247240618</x:v>
      </x:c>
      <x:c r="V31" s="33" t="n">
        <x:v>0.9492273730684326710816777042</x:v>
      </x:c>
      <x:c r="W31" s="33" t="n">
        <x:v>0.9635761589403973509933774834</x:v>
      </x:c>
      <x:c r="X31" s="33" t="n">
        <x:v>0.9701986754966887417218543046</x:v>
      </x:c>
      <x:c r="Y31" s="23" t="n">
        <x:v>0.975717439293598233995584989</x:v>
      </x:c>
      <x:c r="BC31" s="34" t="s"/>
      <x:c r="BD31" s="11" t="s">
        <x:v>133</x:v>
      </x:c>
      <x:c r="BE31" s="12" t="n">
        <x:f>=BO31</x:f>
      </x:c>
      <x:c r="BF31" s="12" t="n">
        <x:v>0.966887417218543046357615894</x:v>
      </x:c>
      <x:c r="BG31" s="12" t="n">
        <x:v>0.0286975717439293598233995585</x:v>
      </x:c>
      <x:c r="BH31" s="12" t="n">
        <x:v>0.0044150110375275938189845475</x:v>
      </x:c>
      <x:c r="BI31" s="12" t="n">
        <x:f>=BN31</x:f>
      </x:c>
      <x:c r="BJ31" s="13" t="n">
        <x:v>0</x:v>
      </x:c>
      <x:c r="BK31" s="31" t="n">
        <x:v>4358.61</x:v>
      </x:c>
      <x:c r="BL31" s="31" t="n">
        <x:v>-2968.9070</x:v>
      </x:c>
      <x:c r="BM31" s="31" t="n">
        <x:f>=BK31+BL31</x:f>
      </x:c>
      <x:c r="BN31" s="68" t="n">
        <x:f>=BM31/BK31</x:f>
      </x:c>
      <x:c r="BO31" s="68" t="n">
        <x:v>0.9955849889624724061810154525</x:v>
      </x:c>
      <x:c r="BP31" s="31" t="n">
        <x:v>2659.10</x:v>
      </x:c>
      <x:c r="BQ31" s="42" t="n">
        <x:v>4</x:v>
      </x:c>
      <x:c r="BR31" s="31" t="n">
        <x:v>11.739955849889624724061810154</x:v>
      </x:c>
      <x:c r="BT31" s="31" t="n">
        <x:v>5636.91277174538700000000</x:v>
      </x:c>
      <x:c r="BU31" s="31" t="n">
        <x:v>-2968.9070</x:v>
      </x:c>
      <x:c r="BV31" s="31" t="n">
        <x:f>=BT31+BU31</x:f>
      </x:c>
      <x:c r="BW31" s="68" t="n">
        <x:f>=BV31/BT31</x:f>
      </x:c>
      <x:c r="BY31" s="68" t="n">
        <x:f>=BO31</x:f>
      </x:c>
      <x:c r="BZ31" s="68" t="n">
        <x:f>=BF31</x:f>
      </x:c>
      <x:c r="CA31" s="68" t="n">
        <x:f>=BG31</x:f>
      </x:c>
      <x:c r="CB31" s="68" t="n">
        <x:f>=1 - BY31</x:f>
      </x:c>
      <x:c r="CD31" s="68" t="n">
        <x:f>=CA31/(1-BZ31)</x:f>
      </x:c>
    </x:row>
    <x:row r="32">
      <x:c r="A32" s="32" t="s">
        <x:v>134</x:v>
      </x:c>
      <x:c r="B32" t="s"/>
      <x:c r="C32" t="s">
        <x:v>135</x:v>
      </x:c>
      <x:c r="D32" t="s">
        <x:v>125</x:v>
      </x:c>
      <x:c r="E32" t="s">
        <x:v>132</x:v>
      </x:c>
      <x:c r="F32" t="n">
        <x:v>1004</x:v>
      </x:c>
      <x:c r="G32" s="33" t="n">
        <x:v>0.0229083665338645418326693227</x:v>
      </x:c>
      <x:c r="H32" s="33" t="n">
        <x:v>0.0687250996015936254980079681</x:v>
      </x:c>
      <x:c r="I32" s="33" t="n">
        <x:v>0.1145418326693227091633466135</x:v>
      </x:c>
      <x:c r="J32" s="33" t="n">
        <x:v>0.1563745019920318725099601594</x:v>
      </x:c>
      <x:c r="K32" s="33" t="n">
        <x:v>0.1822709163346613545816733068</x:v>
      </x:c>
      <x:c r="L32" s="33" t="n">
        <x:v>0.1932270916334661354581673307</x:v>
      </x:c>
      <x:c r="M32" s="33" t="n">
        <x:v>0.2061752988047808764940239044</x:v>
      </x:c>
      <x:c r="N32" s="33" t="n">
        <x:v>0.230079681274900398406374502</x:v>
      </x:c>
      <x:c r="O32" s="33" t="n">
        <x:v>0.3227091633466135458167330677</x:v>
      </x:c>
      <x:c r="P32" s="33" t="n">
        <x:v>0.4183266932270916334661354582</x:v>
      </x:c>
      <x:c r="Q32" s="33" t="n">
        <x:v>0.5418326693227091633466135458</x:v>
      </x:c>
      <x:c r="R32" s="33" t="n">
        <x:v>0.6683266932270916334661354582</x:v>
      </x:c>
      <x:c r="S32" s="24" t="n">
        <x:v>0.789840637450199203187250996</x:v>
      </x:c>
      <x:c r="T32" s="33" t="n">
        <x:v>0.8834661354581673306772908367</x:v>
      </x:c>
      <x:c r="U32" s="33" t="n">
        <x:v>0.9143426294820717131474103586</x:v>
      </x:c>
      <x:c r="V32" s="33" t="n">
        <x:v>0.9352589641434262948207171315</x:v>
      </x:c>
      <x:c r="W32" s="33" t="n">
        <x:v>0.9422310756972111553784860558</x:v>
      </x:c>
      <x:c r="X32" s="33" t="n">
        <x:v>0.9521912350597609561752988048</x:v>
      </x:c>
      <x:c r="Y32" s="23" t="n">
        <x:v>0.9760956175298804780876494024</x:v>
      </x:c>
      <x:c r="BC32" s="34" t="s"/>
      <x:c r="BD32" s="11" t="s">
        <x:v>133</x:v>
      </x:c>
      <x:c r="BE32" s="12" t="n">
        <x:f>=BO32</x:f>
      </x:c>
      <x:c r="BF32" s="12" t="n">
        <x:v>0.9462151394422310756972111554</x:v>
      </x:c>
      <x:c r="BG32" s="12" t="n">
        <x:v>0.039840637450199203187250996</x:v>
      </x:c>
      <x:c r="BH32" s="12" t="n">
        <x:v>0.0139442231075697211155378486</x:v>
      </x:c>
      <x:c r="BI32" s="12" t="n">
        <x:f>=BN32</x:f>
      </x:c>
      <x:c r="BJ32" s="13" t="n">
        <x:v>0</x:v>
      </x:c>
      <x:c r="BK32" s="31" t="n">
        <x:v>4817.86</x:v>
      </x:c>
      <x:c r="BL32" s="31" t="n">
        <x:v>-3313.1632</x:v>
      </x:c>
      <x:c r="BM32" s="31" t="n">
        <x:f>=BK32+BL32</x:f>
      </x:c>
      <x:c r="BN32" s="68" t="n">
        <x:f>=BM32/BK32</x:f>
      </x:c>
      <x:c r="BO32" s="68" t="n">
        <x:v>0.9860557768924302788844621514</x:v>
      </x:c>
      <x:c r="BP32" s="31" t="n">
        <x:v>2970.56</x:v>
      </x:c>
      <x:c r="BQ32" s="42" t="n">
        <x:v>14</x:v>
      </x:c>
      <x:c r="BR32" s="31" t="n">
        <x:v>41.422151394422310756972111553</x:v>
      </x:c>
      <x:c r="BT32" s="31" t="n">
        <x:v>6234.43393248605800000000</x:v>
      </x:c>
      <x:c r="BU32" s="31" t="n">
        <x:v>-3313.1632</x:v>
      </x:c>
      <x:c r="BV32" s="31" t="n">
        <x:f>=BT32+BU32</x:f>
      </x:c>
      <x:c r="BW32" s="68" t="n">
        <x:f>=BV32/BT32</x:f>
      </x:c>
      <x:c r="BY32" s="68" t="n">
        <x:f>=BO32</x:f>
      </x:c>
      <x:c r="BZ32" s="68" t="n">
        <x:f>=BF32</x:f>
      </x:c>
      <x:c r="CA32" s="68" t="n">
        <x:f>=BG32</x:f>
      </x:c>
      <x:c r="CB32" s="68" t="n">
        <x:f>=1 - BY32</x:f>
      </x:c>
      <x:c r="CD32" s="68" t="n">
        <x:f>=CA32/(1-BZ32)</x:f>
      </x:c>
    </x:row>
    <x:row r="33">
      <x:c r="A33" s="32" t="s">
        <x:v>136</x:v>
      </x:c>
      <x:c r="B33" t="s"/>
      <x:c r="C33" t="s">
        <x:v>137</x:v>
      </x:c>
      <x:c r="D33" t="s">
        <x:v>96</x:v>
      </x:c>
      <x:c r="E33" t="s">
        <x:v>132</x:v>
      </x:c>
      <x:c r="F33" t="n">
        <x:v>1998</x:v>
      </x:c>
      <x:c r="G33" s="33" t="n">
        <x:v>0.0015015015015015015015015015</x:v>
      </x:c>
      <x:c r="H33" s="33" t="n">
        <x:v>0.011011011011011011011011011</x:v>
      </x:c>
      <x:c r="I33" s="33" t="n">
        <x:v>0.0295295295295295295295295295</x:v>
      </x:c>
      <x:c r="J33" s="33" t="n">
        <x:v>0.0475475475475475475475475475</x:v>
      </x:c>
      <x:c r="K33" s="33" t="n">
        <x:v>0.0605605605605605605605605606</x:v>
      </x:c>
      <x:c r="L33" s="33" t="n">
        <x:v>0.0635635635635635635635635636</x:v>
      </x:c>
      <x:c r="M33" s="33" t="n">
        <x:v>0.0665665665665665665665665666</x:v>
      </x:c>
      <x:c r="N33" s="33" t="n">
        <x:v>0.0750750750750750750750750751</x:v>
      </x:c>
      <x:c r="O33" s="33" t="n">
        <x:v>0.1001001001001001001001001001</x:v>
      </x:c>
      <x:c r="P33" s="33" t="n">
        <x:v>0.1226226226226226226226226226</x:v>
      </x:c>
      <x:c r="Q33" s="33" t="n">
        <x:v>0.1401401401401401401401401401</x:v>
      </x:c>
      <x:c r="R33" s="33" t="n">
        <x:v>0.1586586586586586586586586587</x:v>
      </x:c>
      <x:c r="S33" s="33" t="n">
        <x:v>0.1746746746746746746746746747</x:v>
      </x:c>
      <x:c r="T33" s="33" t="n">
        <x:v>0.1911911911911911911911911912</x:v>
      </x:c>
      <x:c r="U33" s="33" t="n">
        <x:v>0.2112112112112112112112112112</x:v>
      </x:c>
      <x:c r="V33" s="33" t="n">
        <x:v>0.2227227227227227227227227227</x:v>
      </x:c>
      <x:c r="W33" s="33" t="n">
        <x:v>0.2362362362362362362362362362</x:v>
      </x:c>
      <x:c r="X33" s="23" t="n">
        <x:v>0.3183183183183183183183183183</x:v>
      </x:c>
      <x:c r="BC33" s="34" t="s"/>
      <x:c r="BD33" s="11" t="s">
        <x:v>138</x:v>
      </x:c>
      <x:c r="BE33" s="12" t="n">
        <x:f>=BO33</x:f>
      </x:c>
      <x:c r="BF33" s="12" t="n">
        <x:v>0.2522522522522522522522522523</x:v>
      </x:c>
      <x:c r="BG33" s="12" t="n">
        <x:v>0.6966966966966966966966966967</x:v>
      </x:c>
      <x:c r="BH33" s="12" t="n">
        <x:v>0.0510510510510510510510510511</x:v>
      </x:c>
      <x:c r="BI33" s="12" t="n">
        <x:f>=BN33</x:f>
      </x:c>
      <x:c r="BJ33" s="13" t="n">
        <x:v>0</x:v>
      </x:c>
      <x:c r="BK33" s="31" t="n">
        <x:v>6167.45</x:v>
      </x:c>
      <x:c r="BL33" s="31" t="n">
        <x:v>-5970.7470</x:v>
      </x:c>
      <x:c r="BM33" s="31" t="n">
        <x:f>=BK33+BL33</x:f>
      </x:c>
      <x:c r="BN33" s="68" t="n">
        <x:f>=BM33/BK33</x:f>
      </x:c>
      <x:c r="BO33" s="68" t="n">
        <x:v>0.9489489489489489489489489489</x:v>
      </x:c>
      <x:c r="BP33" s="31" t="n">
        <x:v>5249.10</x:v>
      </x:c>
      <x:c r="BQ33" s="42" t="n">
        <x:v>102</x:v>
      </x:c>
      <x:c r="BR33" s="31" t="n">
        <x:v>267.97207207207207207207207207</x:v>
      </x:c>
      <x:c r="BT33" s="31" t="n">
        <x:v>8986.48856285572100000000</x:v>
      </x:c>
      <x:c r="BU33" s="31" t="n">
        <x:v>-5970.7470</x:v>
      </x:c>
      <x:c r="BV33" s="31" t="n">
        <x:f>=BT33+BU33</x:f>
      </x:c>
      <x:c r="BW33" s="68" t="n">
        <x:f>=BV33/BT33</x:f>
      </x:c>
      <x:c r="BY33" s="68" t="n">
        <x:f>=BO33</x:f>
      </x:c>
      <x:c r="BZ33" s="68" t="n">
        <x:f>=BF33</x:f>
      </x:c>
      <x:c r="CA33" s="68" t="n">
        <x:f>=BG33</x:f>
      </x:c>
      <x:c r="CB33" s="68" t="n">
        <x:f>=1 - BY33</x:f>
      </x:c>
      <x:c r="CD33" s="68" t="n">
        <x:f>=CA33/(1-BZ33)</x:f>
      </x:c>
    </x:row>
    <x:row r="34">
      <x:c r="A34" s="32" t="s">
        <x:v>139</x:v>
      </x:c>
      <x:c r="B34" t="s"/>
      <x:c r="C34" t="s">
        <x:v>140</x:v>
      </x:c>
      <x:c r="D34" t="s">
        <x:v>96</x:v>
      </x:c>
      <x:c r="E34" t="s">
        <x:v>132</x:v>
      </x:c>
      <x:c r="F34" t="n">
        <x:v>1957</x:v>
      </x:c>
      <x:c r="G34" s="33" t="n">
        <x:v>0.0403679100664282064384261625</x:v>
      </x:c>
      <x:c r="H34" s="33" t="n">
        <x:v>0.1062851303014818599897802759</x:v>
      </x:c>
      <x:c r="I34" s="33" t="n">
        <x:v>0.2003065917220235053653551354</x:v>
      </x:c>
      <x:c r="J34" s="33" t="n">
        <x:v>0.2912621359223300970873786408</x:v>
      </x:c>
      <x:c r="K34" s="33" t="n">
        <x:v>0.4302503832396525293817066939</x:v>
      </x:c>
      <x:c r="L34" s="33" t="n">
        <x:v>0.5692386305569749616760347471</x:v>
      </x:c>
      <x:c r="M34" s="33" t="n">
        <x:v>0.6739908022483392948390393459</x:v>
      </x:c>
      <x:c r="N34" s="24" t="n">
        <x:v>0.7445068983137455288707204905</x:v>
      </x:c>
      <x:c r="O34" s="33" t="n">
        <x:v>0.7925396014307613694430250383</x:v>
      </x:c>
      <x:c r="P34" s="23" t="n">
        <x:v>0.8283086356668369954011241696</x:v>
      </x:c>
      <x:c r="BC34" s="34" t="s"/>
      <x:c r="BD34" s="11" t="s">
        <x:v>141</x:v>
      </x:c>
      <x:c r="BE34" s="12" t="n">
        <x:f>=BO34</x:f>
      </x:c>
      <x:c r="BF34" s="12" t="n">
        <x:v>0.811446090955544200306591722</x:v>
      </x:c>
      <x:c r="BG34" s="12" t="n">
        <x:v>0.1757792539601430761369443025</x:v>
      </x:c>
      <x:c r="BH34" s="12" t="n">
        <x:v>0.0127746550843127235564639755</x:v>
      </x:c>
      <x:c r="BI34" s="12" t="n">
        <x:f>=BN34</x:f>
      </x:c>
      <x:c r="BJ34" s="13" t="n">
        <x:v>0</x:v>
      </x:c>
      <x:c r="BK34" s="31" t="n">
        <x:v>6142.49</x:v>
      </x:c>
      <x:c r="BL34" s="31" t="n">
        <x:v>-3728.5670</x:v>
      </x:c>
      <x:c r="BM34" s="31" t="n">
        <x:f>=BK34+BL34</x:f>
      </x:c>
      <x:c r="BN34" s="68" t="n">
        <x:f>=BM34/BK34</x:f>
      </x:c>
      <x:c r="BO34" s="68" t="n">
        <x:v>0.9872253449156872764435360245</x:v>
      </x:c>
      <x:c r="BP34" s="31" t="n">
        <x:v>3178.10</x:v>
      </x:c>
      <x:c r="BQ34" s="42" t="n">
        <x:v>25</x:v>
      </x:c>
      <x:c r="BR34" s="31" t="n">
        <x:v>40.599131323454266734798160450</x:v>
      </x:c>
      <x:c r="BT34" s="31" t="n">
        <x:v>7968.19514385573050000000</x:v>
      </x:c>
      <x:c r="BU34" s="31" t="n">
        <x:v>-3728.5670</x:v>
      </x:c>
      <x:c r="BV34" s="31" t="n">
        <x:f>=BT34+BU34</x:f>
      </x:c>
      <x:c r="BW34" s="68" t="n">
        <x:f>=BV34/BT34</x:f>
      </x:c>
      <x:c r="BY34" s="68" t="n">
        <x:f>=BO34</x:f>
      </x:c>
      <x:c r="BZ34" s="68" t="n">
        <x:f>=BF34</x:f>
      </x:c>
      <x:c r="CA34" s="68" t="n">
        <x:f>=BG34</x:f>
      </x:c>
      <x:c r="CB34" s="68" t="n">
        <x:f>=1 - BY34</x:f>
      </x:c>
      <x:c r="CD34" s="68" t="n">
        <x:f>=CA34/(1-BZ34)</x:f>
      </x:c>
    </x:row>
    <x:row r="35">
      <x:c r="A35" s="32" t="s">
        <x:v>142</x:v>
      </x:c>
      <x:c r="B35" t="s"/>
      <x:c r="C35" t="s">
        <x:v>143</x:v>
      </x:c>
      <x:c r="D35" t="s">
        <x:v>144</x:v>
      </x:c>
      <x:c r="E35" t="s">
        <x:v>132</x:v>
      </x:c>
      <x:c r="F35" t="n">
        <x:v>862</x:v>
      </x:c>
      <x:c r="G35" s="33" t="n">
        <x:v>0.1009280742459396751740139211</x:v>
      </x:c>
      <x:c r="H35" s="33" t="n">
        <x:v>0.1890951276102088167053364269</x:v>
      </x:c>
      <x:c r="I35" s="33" t="n">
        <x:v>0.3074245939675174013921113689</x:v>
      </x:c>
      <x:c r="J35" s="33" t="n">
        <x:v>0.4419953596287703016241299304</x:v>
      </x:c>
      <x:c r="K35" s="33" t="n">
        <x:v>0.5742459396751740139211136891</x:v>
      </x:c>
      <x:c r="L35" s="33" t="n">
        <x:v>0.6821345707656612529002320186</x:v>
      </x:c>
      <x:c r="M35" s="24" t="n">
        <x:v>0.7354988399071925754060324826</x:v>
      </x:c>
      <x:c r="N35" s="33" t="n">
        <x:v>0.7726218097447795823665893271</x:v>
      </x:c>
      <x:c r="O35" s="33" t="n">
        <x:v>0.8062645011600928074245939675</x:v>
      </x:c>
      <x:c r="P35" s="23" t="n">
        <x:v>0.8747099767981438515081206497</x:v>
      </x:c>
      <x:c r="BC35" s="34" t="s"/>
      <x:c r="BD35" s="11" t="s">
        <x:v>141</x:v>
      </x:c>
      <x:c r="BE35" s="12" t="n">
        <x:f>=BO35</x:f>
      </x:c>
      <x:c r="BF35" s="12" t="n">
        <x:v>0.7946635730858468677494199536</x:v>
      </x:c>
      <x:c r="BG35" s="12" t="n">
        <x:v>0.1438515081206496519721577726</x:v>
      </x:c>
      <x:c r="BH35" s="12" t="n">
        <x:v>0.0614849187935034802784222738</x:v>
      </x:c>
      <x:c r="BI35" s="12" t="n">
        <x:f>=BN35</x:f>
      </x:c>
      <x:c r="BJ35" s="13" t="n">
        <x:v>0</x:v>
      </x:c>
      <x:c r="BK35" s="31" t="n">
        <x:v>4033.05</x:v>
      </x:c>
      <x:c r="BL35" s="31" t="n">
        <x:v>-3063.99100</x:v>
      </x:c>
      <x:c r="BM35" s="31" t="n">
        <x:f>=BK35+BL35</x:f>
      </x:c>
      <x:c r="BN35" s="68" t="n">
        <x:f>=BM35/BK35</x:f>
      </x:c>
      <x:c r="BO35" s="68" t="n">
        <x:v>0.9385150812064965197215777262</x:v>
      </x:c>
      <x:c r="BP35" s="31" t="n">
        <x:v>2725.50</x:v>
      </x:c>
      <x:c r="BQ35" s="42" t="n">
        <x:v>53</x:v>
      </x:c>
      <x:c r="BR35" s="31" t="n">
        <x:v>167.57714617169373549883990719</x:v>
      </x:c>
      <x:c r="BT35" s="31" t="n">
        <x:v>5282.50194741776400000000</x:v>
      </x:c>
      <x:c r="BU35" s="31" t="n">
        <x:v>-3063.99100</x:v>
      </x:c>
      <x:c r="BV35" s="31" t="n">
        <x:f>=BT35+BU35</x:f>
      </x:c>
      <x:c r="BW35" s="68" t="n">
        <x:f>=BV35/BT35</x:f>
      </x:c>
      <x:c r="BY35" s="68" t="n">
        <x:f>=BO35</x:f>
      </x:c>
      <x:c r="BZ35" s="68" t="n">
        <x:f>=BF35</x:f>
      </x:c>
      <x:c r="CA35" s="68" t="n">
        <x:f>=BG35</x:f>
      </x:c>
      <x:c r="CB35" s="68" t="n">
        <x:f>=1 - BY35</x:f>
      </x:c>
      <x:c r="CD35" s="68" t="n">
        <x:f>=CA35/(1-BZ35)</x:f>
      </x:c>
    </x:row>
    <x:row r="36">
      <x:c r="BC36" s="34" t="s"/>
      <x:c r="BD36" s="11" t="s"/>
      <x:c r="BJ36" s="13" t="s"/>
    </x:row>
    <x:row r="37">
      <x:c r="A37" s="36" t="s">
        <x:v>104</x:v>
      </x:c>
      <x:c r="BC37" s="34" t="s"/>
      <x:c r="BD37" s="11" t="s"/>
      <x:c r="BJ37" s="13" t="s"/>
    </x:row>
    <x:row r="38">
      <x:c r="A38" s="17" t="s">
        <x:v>105</x:v>
      </x:c>
      <x:c r="BC38" s="34" t="s"/>
      <x:c r="BD38" s="11" t="s"/>
      <x:c r="BJ38" s="13" t="s"/>
    </x:row>
    <x:row r="39">
      <x:c r="A39" s="32" t="s">
        <x:v>145</x:v>
      </x:c>
      <x:c r="B39" t="s"/>
      <x:c r="C39" t="s">
        <x:v>146</x:v>
      </x:c>
      <x:c r="D39" t="s">
        <x:v>108</x:v>
      </x:c>
      <x:c r="E39" t="s">
        <x:v>109</x:v>
      </x:c>
      <x:c r="F39" t="n">
        <x:v>546</x:v>
      </x:c>
      <x:c r="G39" s="33" t="n">
        <x:v>0.2509157509157509157509157509</x:v>
      </x:c>
      <x:c r="H39" s="33" t="n">
        <x:v>0.2509157509157509157509157509</x:v>
      </x:c>
      <x:c r="I39" s="33" t="n">
        <x:v>0.2509157509157509157509157509</x:v>
      </x:c>
      <x:c r="J39" s="33" t="n">
        <x:v>0.2509157509157509157509157509</x:v>
      </x:c>
      <x:c r="K39" s="33" t="n">
        <x:v>0.2509157509157509157509157509</x:v>
      </x:c>
      <x:c r="L39" s="33" t="n">
        <x:v>0.2509157509157509157509157509</x:v>
      </x:c>
      <x:c r="M39" s="33" t="n">
        <x:v>0.3131868131868131868131868132</x:v>
      </x:c>
      <x:c r="N39" s="33" t="n">
        <x:v>0.3131868131868131868131868132</x:v>
      </x:c>
      <x:c r="O39" s="33" t="n">
        <x:v>0.3131868131868131868131868132</x:v>
      </x:c>
      <x:c r="P39" s="33" t="n">
        <x:v>0.4450549450549450549450549451</x:v>
      </x:c>
      <x:c r="Q39" s="33" t="n">
        <x:v>0.4249084249084249084249084249</x:v>
      </x:c>
      <x:c r="R39" s="33" t="n">
        <x:v>0.4249084249084249084249084249</x:v>
      </x:c>
      <x:c r="S39" s="33" t="n">
        <x:v>0.4450549450549450549450549451</x:v>
      </x:c>
      <x:c r="T39" s="33" t="n">
        <x:v>0.4450549450549450549450549451</x:v>
      </x:c>
      <x:c r="U39" s="33" t="n">
        <x:v>0.4706959706959706959706959707</x:v>
      </x:c>
      <x:c r="V39" s="33" t="n">
        <x:v>0.489010989010989010989010989</x:v>
      </x:c>
      <x:c r="W39" s="33" t="n">
        <x:v>0.532967032967032967032967033</x:v>
      </x:c>
      <x:c r="X39" s="33" t="n">
        <x:v>0.532967032967032967032967033</x:v>
      </x:c>
      <x:c r="Y39" s="33" t="n">
        <x:v>0.5421245421245421245421245421</x:v>
      </x:c>
      <x:c r="Z39" s="33" t="n">
        <x:v>0.5659340659340659340659340659</x:v>
      </x:c>
      <x:c r="AA39" s="33" t="n">
        <x:v>0.6080586080586080586080586081</x:v>
      </x:c>
      <x:c r="AB39" s="33" t="n">
        <x:v>0.6648351648351648351648351648</x:v>
      </x:c>
      <x:c r="AC39" s="33" t="n">
        <x:v>0.6794871794871794871794871795</x:v>
      </x:c>
      <x:c r="AD39" s="24" t="n">
        <x:v>0.7142857142857142857142857143</x:v>
      </x:c>
      <x:c r="AE39" s="33" t="n">
        <x:v>0.7252747252747252747252747253</x:v>
      </x:c>
      <x:c r="AF39" s="23" t="n">
        <x:v>0.8021978021978021978021978022</x:v>
      </x:c>
      <x:c r="BC39" s="34" t="s"/>
      <x:c r="BD39" s="11" t="s">
        <x:v>147</x:v>
      </x:c>
      <x:c r="BE39" s="12" t="n">
        <x:f>=BO39</x:f>
      </x:c>
      <x:c r="BF39" s="12" t="n">
        <x:v>0.7032967032967032967032967033</x:v>
      </x:c>
      <x:c r="BG39" s="12" t="n">
        <x:v>0.2582417582417582417582417582</x:v>
      </x:c>
      <x:c r="BH39" s="12" t="n">
        <x:v>0.0384615384615384615384615385</x:v>
      </x:c>
      <x:c r="BI39" s="12" t="n">
        <x:f>=BN39</x:f>
      </x:c>
      <x:c r="BJ39" s="13" t="n">
        <x:v>0</x:v>
      </x:c>
      <x:c r="BK39" s="31" t="n">
        <x:v>5073.89</x:v>
      </x:c>
      <x:c r="BL39" s="31" t="n">
        <x:v>-4070.95487174447171842560</x:v>
      </x:c>
      <x:c r="BM39" s="31" t="n">
        <x:f>=BK39+BL39</x:f>
      </x:c>
      <x:c r="BN39" s="68" t="n">
        <x:f>=BM39/BK39</x:f>
      </x:c>
      <x:c r="BO39" s="68" t="n">
        <x:v>0.9615384615384615384615384615</x:v>
      </x:c>
      <x:c r="BP39" s="31" t="n">
        <x:v>4138.095331695331668480</x:v>
      </x:c>
      <x:c r="BQ39" s="42" t="n">
        <x:v>21</x:v>
      </x:c>
      <x:c r="BR39" s="31" t="n">
        <x:v>159.157512757512756480</x:v>
      </x:c>
      <x:c r="BT39" s="31" t="n">
        <x:v>7003.3177894141250000000</x:v>
      </x:c>
      <x:c r="BU39" s="31" t="n">
        <x:v>-4070.95487174447171842560</x:v>
      </x:c>
      <x:c r="BV39" s="31" t="n">
        <x:f>=BT39+BU39</x:f>
      </x:c>
      <x:c r="BW39" s="68" t="n">
        <x:f>=BV39/BT39</x:f>
      </x:c>
      <x:c r="BY39" s="68" t="n">
        <x:f>=BO39</x:f>
      </x:c>
      <x:c r="BZ39" s="68" t="n">
        <x:f>=BF39</x:f>
      </x:c>
      <x:c r="CA39" s="68" t="n">
        <x:f>=BG39</x:f>
      </x:c>
      <x:c r="CB39" s="68" t="n">
        <x:f>=1 - BY39</x:f>
      </x:c>
      <x:c r="CD39" s="68" t="n">
        <x:f>=CA39/(1-BZ39)</x:f>
      </x:c>
    </x:row>
    <x:row r="40">
      <x:c r="A40" s="32" t="s">
        <x:v>148</x:v>
      </x:c>
      <x:c r="B40" t="s"/>
      <x:c r="C40" t="s">
        <x:v>149</x:v>
      </x:c>
      <x:c r="D40" t="s">
        <x:v>108</x:v>
      </x:c>
      <x:c r="E40" t="s">
        <x:v>109</x:v>
      </x:c>
      <x:c r="F40" t="n">
        <x:v>418</x:v>
      </x:c>
      <x:c r="G40" s="33" t="n">
        <x:v>0.2344497607655502392344497608</x:v>
      </x:c>
      <x:c r="H40" s="33" t="n">
        <x:v>0.2344497607655502392344497608</x:v>
      </x:c>
      <x:c r="I40" s="33" t="n">
        <x:v>0.2344497607655502392344497608</x:v>
      </x:c>
      <x:c r="J40" s="33" t="n">
        <x:v>0.2344497607655502392344497608</x:v>
      </x:c>
      <x:c r="K40" s="33" t="n">
        <x:v>0.2344497607655502392344497608</x:v>
      </x:c>
      <x:c r="L40" s="33" t="n">
        <x:v>0.2344497607655502392344497608</x:v>
      </x:c>
      <x:c r="M40" s="33" t="n">
        <x:v>0.2727272727272727272727272727</x:v>
      </x:c>
      <x:c r="N40" s="33" t="n">
        <x:v>0.2727272727272727272727272727</x:v>
      </x:c>
      <x:c r="O40" s="33" t="n">
        <x:v>0.2727272727272727272727272727</x:v>
      </x:c>
      <x:c r="P40" s="33" t="n">
        <x:v>0.2990430622009569377990430622</x:v>
      </x:c>
      <x:c r="Q40" s="33" t="n">
        <x:v>0.3229665071770334928229665072</x:v>
      </x:c>
      <x:c r="R40" s="33" t="n">
        <x:v>0.3229665071770334928229665072</x:v>
      </x:c>
      <x:c r="S40" s="33" t="n">
        <x:v>0.3540669856459330143540669856</x:v>
      </x:c>
      <x:c r="T40" s="33" t="n">
        <x:v>0.3492822966507177033492822967</x:v>
      </x:c>
      <x:c r="U40" s="33" t="n">
        <x:v>0.3468899521531100478468899522</x:v>
      </x:c>
      <x:c r="V40" s="33" t="n">
        <x:v>0.3684210526315789473684210526</x:v>
      </x:c>
      <x:c r="W40" s="33" t="n">
        <x:v>0.3779904306220095693779904306</x:v>
      </x:c>
      <x:c r="X40" s="33" t="n">
        <x:v>0.3875598086124401913875598086</x:v>
      </x:c>
      <x:c r="Y40" s="33" t="n">
        <x:v>0.4043062200956937799043062201</x:v>
      </x:c>
      <x:c r="Z40" s="33" t="n">
        <x:v>0.3971291866028708133971291866</x:v>
      </x:c>
      <x:c r="AA40" s="33" t="n">
        <x:v>0.4330143540669856459330143541</x:v>
      </x:c>
      <x:c r="AB40" s="33" t="n">
        <x:v>0.461722488038277511961722488</x:v>
      </x:c>
      <x:c r="AC40" s="33" t="n">
        <x:v>0.4736842105263157894736842105</x:v>
      </x:c>
      <x:c r="AD40" s="33" t="n">
        <x:v>0.480861244019138755980861244</x:v>
      </x:c>
      <x:c r="AE40" s="33" t="n">
        <x:v>0.485645933014354066985645933</x:v>
      </x:c>
      <x:c r="AF40" s="23" t="n">
        <x:v>0.5550239234449760765550239234</x:v>
      </x:c>
      <x:c r="BC40" s="34" t="s"/>
      <x:c r="BD40" s="11" t="s">
        <x:v>147</x:v>
      </x:c>
      <x:c r="BE40" s="12" t="n">
        <x:f>=BO40</x:f>
      </x:c>
      <x:c r="BF40" s="12" t="n">
        <x:v>0.466507177033492822966507177</x:v>
      </x:c>
      <x:c r="BG40" s="12" t="n">
        <x:v>0.4449760765550239234449760766</x:v>
      </x:c>
      <x:c r="BH40" s="12" t="n">
        <x:v>0.0885167464114832535885167464</x:v>
      </x:c>
      <x:c r="BI40" s="12" t="n">
        <x:f>=BN40</x:f>
      </x:c>
      <x:c r="BJ40" s="13" t="n">
        <x:v>0</x:v>
      </x:c>
      <x:c r="BK40" s="31" t="n">
        <x:v>5508.30</x:v>
      </x:c>
      <x:c r="BL40" s="31" t="n">
        <x:v>-4924.84275830143330160240</x:v>
      </x:c>
      <x:c r="BM40" s="31" t="n">
        <x:f>=BK40+BL40</x:f>
      </x:c>
      <x:c r="BN40" s="68" t="n">
        <x:f>=BM40/BK40</x:f>
      </x:c>
      <x:c r="BO40" s="68" t="n">
        <x:v>0.9114832535885167464114832536</x:v>
      </x:c>
      <x:c r="BP40" s="31" t="n">
        <x:v>4815.756658042714743920</x:v>
      </x:c>
      <x:c r="BQ40" s="42" t="n">
        <x:v>37</x:v>
      </x:c>
      <x:c r="BR40" s="31" t="n">
        <x:v>426.275110879379056280</x:v>
      </x:c>
      <x:c r="BT40" s="31" t="n">
        <x:v>7858.2441024915625000000000000</x:v>
      </x:c>
      <x:c r="BU40" s="31" t="n">
        <x:v>-4924.84275830143330160240</x:v>
      </x:c>
      <x:c r="BV40" s="31" t="n">
        <x:f>=BT40+BU40</x:f>
      </x:c>
      <x:c r="BW40" s="68" t="n">
        <x:f>=BV40/BT40</x:f>
      </x:c>
      <x:c r="BY40" s="68" t="n">
        <x:f>=BO40</x:f>
      </x:c>
      <x:c r="BZ40" s="68" t="n">
        <x:f>=BF40</x:f>
      </x:c>
      <x:c r="CA40" s="68" t="n">
        <x:f>=BG40</x:f>
      </x:c>
      <x:c r="CB40" s="68" t="n">
        <x:f>=1 - BY40</x:f>
      </x:c>
      <x:c r="CD40" s="68" t="n">
        <x:f>=CA40/(1-BZ40)</x:f>
      </x:c>
    </x:row>
    <x:row r="41">
      <x:c r="A41" s="32" t="s">
        <x:v>150</x:v>
      </x:c>
      <x:c r="B41" t="s"/>
      <x:c r="C41" t="s">
        <x:v>151</x:v>
      </x:c>
      <x:c r="D41" t="s">
        <x:v>108</x:v>
      </x:c>
      <x:c r="E41" t="s">
        <x:v>109</x:v>
      </x:c>
      <x:c r="F41" t="n">
        <x:v>508</x:v>
      </x:c>
      <x:c r="G41" s="33" t="n">
        <x:v>0.1988188976377952755905511811</x:v>
      </x:c>
      <x:c r="H41" s="33" t="n">
        <x:v>0.1988188976377952755905511811</x:v>
      </x:c>
      <x:c r="I41" s="33" t="n">
        <x:v>0.1988188976377952755905511811</x:v>
      </x:c>
      <x:c r="J41" s="33" t="n">
        <x:v>0.1988188976377952755905511811</x:v>
      </x:c>
      <x:c r="K41" s="33" t="n">
        <x:v>0.1988188976377952755905511811</x:v>
      </x:c>
      <x:c r="L41" s="33" t="n">
        <x:v>0.1988188976377952755905511811</x:v>
      </x:c>
      <x:c r="M41" s="33" t="n">
        <x:v>0.2401574803149606299212598425</x:v>
      </x:c>
      <x:c r="N41" s="33" t="n">
        <x:v>0.2401574803149606299212598425</x:v>
      </x:c>
      <x:c r="O41" s="33" t="n">
        <x:v>0.2401574803149606299212598425</x:v>
      </x:c>
      <x:c r="P41" s="33" t="n">
        <x:v>0.3385826771653543307086614173</x:v>
      </x:c>
      <x:c r="Q41" s="33" t="n">
        <x:v>0.3759842519685039370078740157</x:v>
      </x:c>
      <x:c r="R41" s="33" t="n">
        <x:v>0.3759842519685039370078740157</x:v>
      </x:c>
      <x:c r="S41" s="33" t="n">
        <x:v>0.4035433070866141732283464567</x:v>
      </x:c>
      <x:c r="T41" s="33" t="n">
        <x:v>0.3759842519685039370078740157</x:v>
      </x:c>
      <x:c r="U41" s="33" t="n">
        <x:v>0.3858267716535433070866141732</x:v>
      </x:c>
      <x:c r="V41" s="33" t="n">
        <x:v>0.4015748031496062992125984252</x:v>
      </x:c>
      <x:c r="W41" s="33" t="n">
        <x:v>0.4448818897637795275590551181</x:v>
      </x:c>
      <x:c r="X41" s="33" t="n">
        <x:v>0.4468503937007874015748031496</x:v>
      </x:c>
      <x:c r="Y41" s="33" t="n">
        <x:v>0.4704724409448818897637795276</x:v>
      </x:c>
      <x:c r="Z41" s="33" t="n">
        <x:v>0.4862204724409448818897637795</x:v>
      </x:c>
      <x:c r="AA41" s="33" t="n">
        <x:v>0.4901574803149606299212598425</x:v>
      </x:c>
      <x:c r="AB41" s="33" t="n">
        <x:v>0.5177165354330708661417322835</x:v>
      </x:c>
      <x:c r="AC41" s="33" t="n">
        <x:v>0.523622047244094488188976378</x:v>
      </x:c>
      <x:c r="AD41" s="33" t="n">
        <x:v>0.5433070866141732283464566929</x:v>
      </x:c>
      <x:c r="AE41" s="33" t="n">
        <x:v>0.6299212598425196850393700787</x:v>
      </x:c>
      <x:c r="AF41" s="23" t="n">
        <x:v>0.6909448818897637795275590551</x:v>
      </x:c>
      <x:c r="BC41" s="34" t="s"/>
      <x:c r="BD41" s="11" t="s">
        <x:v>147</x:v>
      </x:c>
      <x:c r="BE41" s="12" t="n">
        <x:f>=BO41</x:f>
      </x:c>
      <x:c r="BF41" s="12" t="n">
        <x:v>0.5748031496062992125984251969</x:v>
      </x:c>
      <x:c r="BG41" s="12" t="n">
        <x:v>0.3818897637795275590551181102</x:v>
      </x:c>
      <x:c r="BH41" s="12" t="n">
        <x:v>0.0433070866141732283464566929</x:v>
      </x:c>
      <x:c r="BI41" s="12" t="n">
        <x:f>=BN41</x:f>
      </x:c>
      <x:c r="BJ41" s="13" t="n">
        <x:v>0</x:v>
      </x:c>
      <x:c r="BK41" s="31" t="n">
        <x:v>4256.79</x:v>
      </x:c>
      <x:c r="BL41" s="31" t="n">
        <x:v>-3782.14194220914218490880</x:v>
      </x:c>
      <x:c r="BM41" s="31" t="n">
        <x:f>=BK41+BL41</x:f>
      </x:c>
      <x:c r="BN41" s="68" t="n">
        <x:f>=BM41/BK41</x:f>
      </x:c>
      <x:c r="BO41" s="68" t="n">
        <x:v>0.9566929133858267716535433071</x:v>
      </x:c>
      <x:c r="BP41" s="31" t="n">
        <x:v>3850.096022896022871040</x:v>
      </x:c>
      <x:c r="BQ41" s="42" t="n">
        <x:v>22</x:v>
      </x:c>
      <x:c r="BR41" s="31" t="n">
        <x:v>166.736441936441935360</x:v>
      </x:c>
      <x:c r="BT41" s="31" t="n">
        <x:v>6051.9352692717500000000000000</x:v>
      </x:c>
      <x:c r="BU41" s="31" t="n">
        <x:v>-3782.14194220914218490880</x:v>
      </x:c>
      <x:c r="BV41" s="31" t="n">
        <x:f>=BT41+BU41</x:f>
      </x:c>
      <x:c r="BW41" s="68" t="n">
        <x:f>=BV41/BT41</x:f>
      </x:c>
      <x:c r="BY41" s="68" t="n">
        <x:f>=BO41</x:f>
      </x:c>
      <x:c r="BZ41" s="68" t="n">
        <x:f>=BF41</x:f>
      </x:c>
      <x:c r="CA41" s="68" t="n">
        <x:f>=BG41</x:f>
      </x:c>
      <x:c r="CB41" s="68" t="n">
        <x:f>=1 - BY41</x:f>
      </x:c>
      <x:c r="CD41" s="68" t="n">
        <x:f>=CA41/(1-BZ41)</x:f>
      </x:c>
    </x:row>
    <x:row r="42">
      <x:c r="A42" s="32" t="s">
        <x:v>152</x:v>
      </x:c>
      <x:c r="B42" t="s"/>
      <x:c r="C42" t="s">
        <x:v>153</x:v>
      </x:c>
      <x:c r="D42" t="s">
        <x:v>108</x:v>
      </x:c>
      <x:c r="E42" t="s">
        <x:v>109</x:v>
      </x:c>
      <x:c r="F42" t="n">
        <x:v>955</x:v>
      </x:c>
      <x:c r="G42" s="33" t="n">
        <x:v>0.1026178010471204188481675393</x:v>
      </x:c>
      <x:c r="H42" s="33" t="n">
        <x:v>0.1026178010471204188481675393</x:v>
      </x:c>
      <x:c r="I42" s="33" t="n">
        <x:v>0.1026178010471204188481675393</x:v>
      </x:c>
      <x:c r="J42" s="33" t="n">
        <x:v>0.1026178010471204188481675393</x:v>
      </x:c>
      <x:c r="K42" s="33" t="n">
        <x:v>0.1026178010471204188481675393</x:v>
      </x:c>
      <x:c r="L42" s="33" t="n">
        <x:v>0.1026178010471204188481675393</x:v>
      </x:c>
      <x:c r="M42" s="33" t="n">
        <x:v>0.1057591623036649214659685864</x:v>
      </x:c>
      <x:c r="N42" s="33" t="n">
        <x:v>0.1057591623036649214659685864</x:v>
      </x:c>
      <x:c r="O42" s="33" t="n">
        <x:v>0.1057591623036649214659685864</x:v>
      </x:c>
      <x:c r="P42" s="33" t="n">
        <x:v>0.1057591623036649214659685864</x:v>
      </x:c>
      <x:c r="Q42" s="33" t="n">
        <x:v>0.1476439790575916230366492147</x:v>
      </x:c>
      <x:c r="R42" s="33" t="n">
        <x:v>0.1476439790575916230366492147</x:v>
      </x:c>
      <x:c r="S42" s="33" t="n">
        <x:v>0.2293193717277486910994764398</x:v>
      </x:c>
      <x:c r="T42" s="33" t="n">
        <x:v>0.2282722513089005235602094241</x:v>
      </x:c>
      <x:c r="U42" s="33" t="n">
        <x:v>0.2387434554973821989528795812</x:v>
      </x:c>
      <x:c r="V42" s="33" t="n">
        <x:v>0.2502617801047120418848167539</x:v>
      </x:c>
      <x:c r="W42" s="33" t="n">
        <x:v>0.2670157068062827225130890052</x:v>
      </x:c>
      <x:c r="X42" s="33" t="n">
        <x:v>0.285863874345549738219895288</x:v>
      </x:c>
      <x:c r="Y42" s="33" t="n">
        <x:v>0.2900523560209424083769633508</x:v>
      </x:c>
      <x:c r="Z42" s="33" t="n">
        <x:v>0.3151832460732984293193717277</x:v>
      </x:c>
      <x:c r="AA42" s="33" t="n">
        <x:v>0.3246073298429319371727748691</x:v>
      </x:c>
      <x:c r="AB42" s="33" t="n">
        <x:v>0.3361256544502617801047120419</x:v>
      </x:c>
      <x:c r="AC42" s="33" t="n">
        <x:v>0.3528795811518324607329842932</x:v>
      </x:c>
      <x:c r="AD42" s="33" t="n">
        <x:v>0.3612565445026178010471204188</x:v>
      </x:c>
      <x:c r="AE42" s="33" t="n">
        <x:v>0.382198952879581151832460733</x:v>
      </x:c>
      <x:c r="AF42" s="23" t="n">
        <x:v>0.5099476439790575916230366492</x:v>
      </x:c>
      <x:c r="BC42" s="34" t="s"/>
      <x:c r="BD42" s="11" t="s">
        <x:v>147</x:v>
      </x:c>
      <x:c r="BE42" s="12" t="n">
        <x:f>=BO42</x:f>
      </x:c>
      <x:c r="BF42" s="12" t="n">
        <x:v>0.3863874345549738219895287958</x:v>
      </x:c>
      <x:c r="BG42" s="12" t="n">
        <x:v>0.5675392670157068062827225131</x:v>
      </x:c>
      <x:c r="BH42" s="12" t="n">
        <x:v>0.0460732984293193717277486911</x:v>
      </x:c>
      <x:c r="BI42" s="12" t="n">
        <x:f>=BN42</x:f>
      </x:c>
      <x:c r="BJ42" s="13" t="n">
        <x:v>0</x:v>
      </x:c>
      <x:c r="BK42" s="31" t="n">
        <x:v>5652.92</x:v>
      </x:c>
      <x:c r="BL42" s="31" t="n">
        <x:v>-4485.74404884827440000000</x:v>
      </x:c>
      <x:c r="BM42" s="31" t="n">
        <x:f>=BK42+BL42</x:f>
      </x:c>
      <x:c r="BN42" s="68" t="n">
        <x:f>=BM42/BK42</x:f>
      </x:c>
      <x:c r="BO42" s="68" t="n">
        <x:v>0.9539267015706806282722513089</x:v>
      </x:c>
      <x:c r="BP42" s="31" t="n">
        <x:v>4538.134586441520000000</x:v>
      </x:c>
      <x:c r="BQ42" s="42" t="n">
        <x:v>44</x:v>
      </x:c>
      <x:c r="BR42" s="31" t="n">
        <x:v>209.086829113536000000</x:v>
      </x:c>
      <x:c r="BT42" s="31" t="n">
        <x:v>8107.270368152500000000000000</x:v>
      </x:c>
      <x:c r="BU42" s="31" t="n">
        <x:v>-4485.74404884827440000000</x:v>
      </x:c>
      <x:c r="BV42" s="31" t="n">
        <x:f>=BT42+BU42</x:f>
      </x:c>
      <x:c r="BW42" s="68" t="n">
        <x:f>=BV42/BT42</x:f>
      </x:c>
      <x:c r="BY42" s="68" t="n">
        <x:f>=BO42</x:f>
      </x:c>
      <x:c r="BZ42" s="68" t="n">
        <x:f>=BF42</x:f>
      </x:c>
      <x:c r="CA42" s="68" t="n">
        <x:f>=BG42</x:f>
      </x:c>
      <x:c r="CB42" s="68" t="n">
        <x:f>=1 - BY42</x:f>
      </x:c>
      <x:c r="CD42" s="68" t="n">
        <x:f>=CA42/(1-BZ42)</x:f>
      </x:c>
    </x:row>
    <x:row r="43">
      <x:c r="A43" s="32" t="s">
        <x:v>154</x:v>
      </x:c>
      <x:c r="B43" t="s"/>
      <x:c r="C43" t="s">
        <x:v>155</x:v>
      </x:c>
      <x:c r="D43" t="s">
        <x:v>108</x:v>
      </x:c>
      <x:c r="E43" t="s">
        <x:v>109</x:v>
      </x:c>
      <x:c r="F43" t="n">
        <x:v>364</x:v>
      </x:c>
      <x:c r="G43" s="33" t="n">
        <x:v>0.2857142857142857142857142857</x:v>
      </x:c>
      <x:c r="H43" s="33" t="n">
        <x:v>0.2857142857142857142857142857</x:v>
      </x:c>
      <x:c r="I43" s="33" t="n">
        <x:v>0.2857142857142857142857142857</x:v>
      </x:c>
      <x:c r="J43" s="33" t="n">
        <x:v>0.2857142857142857142857142857</x:v>
      </x:c>
      <x:c r="K43" s="33" t="n">
        <x:v>0.2857142857142857142857142857</x:v>
      </x:c>
      <x:c r="L43" s="33" t="n">
        <x:v>0.2857142857142857142857142857</x:v>
      </x:c>
      <x:c r="M43" s="33" t="n">
        <x:v>0.2857142857142857142857142857</x:v>
      </x:c>
      <x:c r="N43" s="33" t="n">
        <x:v>0.2857142857142857142857142857</x:v>
      </x:c>
      <x:c r="O43" s="33" t="n">
        <x:v>0.2857142857142857142857142857</x:v>
      </x:c>
      <x:c r="P43" s="33" t="n">
        <x:v>0.3296703296703296703296703297</x:v>
      </x:c>
      <x:c r="Q43" s="33" t="n">
        <x:v>0.3846153846153846153846153846</x:v>
      </x:c>
      <x:c r="R43" s="33" t="n">
        <x:v>0.3846153846153846153846153846</x:v>
      </x:c>
      <x:c r="S43" s="33" t="n">
        <x:v>0.4065934065934065934065934066</x:v>
      </x:c>
      <x:c r="T43" s="33" t="n">
        <x:v>0.4203296703296703296703296703</x:v>
      </x:c>
      <x:c r="U43" s="33" t="n">
        <x:v>0.4285714285714285714285714286</x:v>
      </x:c>
      <x:c r="V43" s="33" t="n">
        <x:v>0.4615384615384615384615384615</x:v>
      </x:c>
      <x:c r="W43" s="33" t="n">
        <x:v>0.467032967032967032967032967</x:v>
      </x:c>
      <x:c r="X43" s="33" t="n">
        <x:v>0.4697802197802197802197802198</x:v>
      </x:c>
      <x:c r="Y43" s="33" t="n">
        <x:v>0.4807692307692307692307692308</x:v>
      </x:c>
      <x:c r="Z43" s="33" t="n">
        <x:v>0.4917582417582417582417582418</x:v>
      </x:c>
      <x:c r="AA43" s="33" t="n">
        <x:v>0.5027472527472527472527472527</x:v>
      </x:c>
      <x:c r="AB43" s="33" t="n">
        <x:v>0.5247252747252747252747252747</x:v>
      </x:c>
      <x:c r="AC43" s="33" t="n">
        <x:v>0.5302197802197802197802197802</x:v>
      </x:c>
      <x:c r="AD43" s="33" t="n">
        <x:v>0.5274725274725274725274725275</x:v>
      </x:c>
      <x:c r="AE43" s="33" t="n">
        <x:v>0.5494505494505494505494505495</x:v>
      </x:c>
      <x:c r="AF43" s="23" t="n">
        <x:v>0.6483516483516483516483516484</x:v>
      </x:c>
      <x:c r="BC43" s="34" t="s"/>
      <x:c r="BD43" s="11" t="s">
        <x:v>147</x:v>
      </x:c>
      <x:c r="BE43" s="12" t="n">
        <x:f>=BO43</x:f>
      </x:c>
      <x:c r="BF43" s="12" t="n">
        <x:v>0.5384615384615384615384615385</x:v>
      </x:c>
      <x:c r="BG43" s="12" t="n">
        <x:v>0.4285714285714285714285714286</x:v>
      </x:c>
      <x:c r="BH43" s="12" t="n">
        <x:v>0.032967032967032967032967033</x:v>
      </x:c>
      <x:c r="BI43" s="12" t="n">
        <x:f>=BN43</x:f>
      </x:c>
      <x:c r="BJ43" s="13" t="n">
        <x:v>0</x:v>
      </x:c>
      <x:c r="BK43" s="31" t="n">
        <x:v>3557.99</x:v>
      </x:c>
      <x:c r="BL43" s="31" t="n">
        <x:v>-2800.20232186732184955080</x:v>
      </x:c>
      <x:c r="BM43" s="31" t="n">
        <x:f>=BK43+BL43</x:f>
      </x:c>
      <x:c r="BN43" s="68" t="n">
        <x:f>=BM43/BK43</x:f>
      </x:c>
      <x:c r="BO43" s="68" t="n">
        <x:v>0.967032967032967032967032967</x:v>
      </x:c>
      <x:c r="BP43" s="31" t="n">
        <x:v>2823.387960687960669640</x:v>
      </x:c>
      <x:c r="BQ43" s="42" t="n">
        <x:v>12</x:v>
      </x:c>
      <x:c r="BR43" s="31" t="n">
        <x:v>93.078723978723978120</x:v>
      </x:c>
      <x:c r="BT43" s="31" t="n">
        <x:v>4961.2102104830000000000</x:v>
      </x:c>
      <x:c r="BU43" s="31" t="n">
        <x:v>-2800.20232186732184955080</x:v>
      </x:c>
      <x:c r="BV43" s="31" t="n">
        <x:f>=BT43+BU43</x:f>
      </x:c>
      <x:c r="BW43" s="68" t="n">
        <x:f>=BV43/BT43</x:f>
      </x:c>
      <x:c r="BY43" s="68" t="n">
        <x:f>=BO43</x:f>
      </x:c>
      <x:c r="BZ43" s="68" t="n">
        <x:f>=BF43</x:f>
      </x:c>
      <x:c r="CA43" s="68" t="n">
        <x:f>=BG43</x:f>
      </x:c>
      <x:c r="CB43" s="68" t="n">
        <x:f>=1 - BY43</x:f>
      </x:c>
      <x:c r="CD43" s="68" t="n">
        <x:f>=CA43/(1-BZ43)</x:f>
      </x:c>
    </x:row>
    <x:row r="44">
      <x:c r="A44" s="32" t="s">
        <x:v>156</x:v>
      </x:c>
      <x:c r="B44" t="s"/>
      <x:c r="C44" t="s">
        <x:v>157</x:v>
      </x:c>
      <x:c r="D44" t="s">
        <x:v>108</x:v>
      </x:c>
      <x:c r="E44" t="s">
        <x:v>109</x:v>
      </x:c>
      <x:c r="F44" t="n">
        <x:v>970</x:v>
      </x:c>
      <x:c r="G44" s="33" t="n">
        <x:v>0.3103092783505154639175257732</x:v>
      </x:c>
      <x:c r="H44" s="33" t="n">
        <x:v>0.3103092783505154639175257732</x:v>
      </x:c>
      <x:c r="I44" s="33" t="n">
        <x:v>0.3103092783505154639175257732</x:v>
      </x:c>
      <x:c r="J44" s="33" t="n">
        <x:v>0.3103092783505154639175257732</x:v>
      </x:c>
      <x:c r="K44" s="33" t="n">
        <x:v>0.3103092783505154639175257732</x:v>
      </x:c>
      <x:c r="L44" s="33" t="n">
        <x:v>0.3103092783505154639175257732</x:v>
      </x:c>
      <x:c r="M44" s="33" t="n">
        <x:v>0.4597938144329896907216494845</x:v>
      </x:c>
      <x:c r="N44" s="33" t="n">
        <x:v>0.4597938144329896907216494845</x:v>
      </x:c>
      <x:c r="O44" s="33" t="n">
        <x:v>0.4597938144329896907216494845</x:v>
      </x:c>
      <x:c r="P44" s="33" t="n">
        <x:v>0.5288659793814432989690721649</x:v>
      </x:c>
      <x:c r="Q44" s="33" t="n">
        <x:v>0.5597938144329896907216494845</x:v>
      </x:c>
      <x:c r="R44" s="33" t="n">
        <x:v>0.5597938144329896907216494845</x:v>
      </x:c>
      <x:c r="S44" s="33" t="n">
        <x:v>0.5958762886597938144329896907</x:v>
      </x:c>
      <x:c r="T44" s="33" t="n">
        <x:v>0.5989690721649484536082474227</x:v>
      </x:c>
      <x:c r="U44" s="33" t="n">
        <x:v>0.6103092783505154639175257732</x:v>
      </x:c>
      <x:c r="V44" s="33" t="n">
        <x:v>0.6268041237113402061855670103</x:v>
      </x:c>
      <x:c r="W44" s="33" t="n">
        <x:v>0.6391752577319587628865979381</x:v>
      </x:c>
      <x:c r="X44" s="33" t="n">
        <x:v>0.6762886597938144329896907216</x:v>
      </x:c>
      <x:c r="Y44" s="24" t="n">
        <x:v>0.7010309278350515463917525773</x:v>
      </x:c>
      <x:c r="Z44" s="33" t="n">
        <x:v>0.6958762886597938144329896907</x:v>
      </x:c>
      <x:c r="AA44" s="33" t="n">
        <x:v>0.6989690721649484536082474227</x:v>
      </x:c>
      <x:c r="AB44" s="33" t="n">
        <x:v>0.6886597938144329896907216495</x:v>
      </x:c>
      <x:c r="AC44" s="33" t="n">
        <x:v>0.6855670103092783505154639175</x:v>
      </x:c>
      <x:c r="AD44" s="33" t="n">
        <x:v>0.6835051546391752577319587629</x:v>
      </x:c>
      <x:c r="AE44" s="33" t="n">
        <x:v>0.6824742268041237113402061856</x:v>
      </x:c>
      <x:c r="AF44" s="23" t="n">
        <x:v>0.7237113402061855670103092784</x:v>
      </x:c>
      <x:c r="BC44" s="34" t="s"/>
      <x:c r="BD44" s="11" t="s">
        <x:v>147</x:v>
      </x:c>
      <x:c r="BE44" s="12" t="n">
        <x:f>=BO44</x:f>
      </x:c>
      <x:c r="BF44" s="12" t="n">
        <x:v>0.6804123711340206185567010309</x:v>
      </x:c>
      <x:c r="BG44" s="12" t="n">
        <x:v>0.3020618556701030927835051546</x:v>
      </x:c>
      <x:c r="BH44" s="12" t="n">
        <x:v>0.0175257731958762886597938144</x:v>
      </x:c>
      <x:c r="BI44" s="12" t="n">
        <x:f>=BN44</x:f>
      </x:c>
      <x:c r="BJ44" s="13" t="n">
        <x:v>0</x:v>
      </x:c>
      <x:c r="BK44" s="31" t="n">
        <x:v>14917.16</x:v>
      </x:c>
      <x:c r="BL44" s="31" t="n">
        <x:v>-12027.70182210545840000000</x:v>
      </x:c>
      <x:c r="BM44" s="31" t="n">
        <x:f>=BK44+BL44</x:f>
      </x:c>
      <x:c r="BN44" s="68" t="n">
        <x:f>=BM44/BK44</x:f>
      </x:c>
      <x:c r="BO44" s="68" t="n">
        <x:v>0.9824742268041237113402061856</x:v>
      </x:c>
      <x:c r="BP44" s="31" t="n">
        <x:v>12035.692600108720000000</x:v>
      </x:c>
      <x:c r="BQ44" s="42" t="n">
        <x:v>17</x:v>
      </x:c>
      <x:c r="BR44" s="31" t="n">
        <x:v>210.934818764792000000</x:v>
      </x:c>
      <x:c r="BT44" s="31" t="n">
        <x:v>20370.379567982812500000000000</x:v>
      </x:c>
      <x:c r="BU44" s="31" t="n">
        <x:v>-12027.70182210545840000000</x:v>
      </x:c>
      <x:c r="BV44" s="31" t="n">
        <x:f>=BT44+BU44</x:f>
      </x:c>
      <x:c r="BW44" s="68" t="n">
        <x:f>=BV44/BT44</x:f>
      </x:c>
      <x:c r="BY44" s="68" t="n">
        <x:f>=BO44</x:f>
      </x:c>
      <x:c r="BZ44" s="68" t="n">
        <x:f>=BF44</x:f>
      </x:c>
      <x:c r="CA44" s="68" t="n">
        <x:f>=BG44</x:f>
      </x:c>
      <x:c r="CB44" s="68" t="n">
        <x:f>=1 - BY44</x:f>
      </x:c>
      <x:c r="CD44" s="68" t="n">
        <x:f>=CA44/(1-BZ44)</x:f>
      </x:c>
    </x:row>
    <x:row r="45">
      <x:c r="A45" s="32" t="s">
        <x:v>158</x:v>
      </x:c>
      <x:c r="B45" t="s"/>
      <x:c r="C45" t="s">
        <x:v>159</x:v>
      </x:c>
      <x:c r="D45" t="s">
        <x:v>96</x:v>
      </x:c>
      <x:c r="E45" t="s">
        <x:v>109</x:v>
      </x:c>
      <x:c r="F45" t="n">
        <x:v>1049</x:v>
      </x:c>
      <x:c r="G45" s="33" t="n">
        <x:v>0.1611058150619637750238322212</x:v>
      </x:c>
      <x:c r="H45" s="33" t="n">
        <x:v>0.3326978074356530028598665396</x:v>
      </x:c>
      <x:c r="I45" s="33" t="n">
        <x:v>0.3937082936129647283126787417</x:v>
      </x:c>
      <x:c r="J45" s="33" t="n">
        <x:v>0.4165872259294566253574833174</x:v>
      </x:c>
      <x:c r="K45" s="33" t="n">
        <x:v>0.5243088655862726406101048618</x:v>
      </x:c>
      <x:c r="L45" s="24" t="n">
        <x:v>0.8131553860819828408007626311</x:v>
      </x:c>
      <x:c r="M45" s="33" t="n">
        <x:v>0.8007626310772163965681601525</x:v>
      </x:c>
      <x:c r="N45" s="33" t="n">
        <x:v>0.8408007626310772163965681602</x:v>
      </x:c>
      <x:c r="O45" s="33" t="n">
        <x:v>0.8817921830314585319351763584</x:v>
      </x:c>
      <x:c r="P45" s="33" t="n">
        <x:v>0.8856053384175405147759771211</x:v>
      </x:c>
      <x:c r="Q45" s="33" t="n">
        <x:v>0.9094375595805529075309818875</x:v>
      </x:c>
      <x:c r="R45" s="33" t="n">
        <x:v>0.9351763584366062917063870353</x:v>
      </x:c>
      <x:c r="S45" s="33" t="n">
        <x:v>0.9437559580552907530981887512</x:v>
      </x:c>
      <x:c r="T45" s="33" t="n">
        <x:v>0.9532888465204957102001906578</x:v>
      </x:c>
      <x:c r="U45" s="33" t="n">
        <x:v>0.9532888465204957102001906578</x:v>
      </x:c>
      <x:c r="V45" s="23" t="n">
        <x:v>0.9475691134413727359389895138</x:v>
      </x:c>
      <x:c r="BC45" s="34" t="s"/>
      <x:c r="BD45" s="11" t="s">
        <x:v>160</x:v>
      </x:c>
      <x:c r="BE45" s="12" t="n">
        <x:f>=BO45</x:f>
      </x:c>
      <x:c r="BF45" s="12" t="n">
        <x:v>0.924690181124880838894184938</x:v>
      </x:c>
      <x:c r="BG45" s="12" t="n">
        <x:v>0.0514775977121067683508102955</x:v>
      </x:c>
      <x:c r="BH45" s="12" t="n">
        <x:v>0.0238322211630123927550047664</x:v>
      </x:c>
      <x:c r="BI45" s="12" t="n">
        <x:f>=BN45</x:f>
      </x:c>
      <x:c r="BJ45" s="13" t="n">
        <x:v>0</x:v>
      </x:c>
      <x:c r="BK45" s="31" t="n">
        <x:v>12977.31</x:v>
      </x:c>
      <x:c r="BL45" s="31" t="n">
        <x:v>-7611.0195</x:v>
      </x:c>
      <x:c r="BM45" s="31" t="n">
        <x:f>=BK45+BL45</x:f>
      </x:c>
      <x:c r="BN45" s="68" t="n">
        <x:f>=BM45/BK45</x:f>
      </x:c>
      <x:c r="BO45" s="68" t="n">
        <x:v>0.9761677788369876072449952336</x:v>
      </x:c>
      <x:c r="BP45" s="31" t="n">
        <x:v>7238.10</x:v>
      </x:c>
      <x:c r="BQ45" s="42" t="n">
        <x:v>25</x:v>
      </x:c>
      <x:c r="BR45" s="31" t="n">
        <x:v>172.50</x:v>
      </x:c>
      <x:c r="BT45" s="31" t="n">
        <x:v>17021.2056065842500000000</x:v>
      </x:c>
      <x:c r="BU45" s="31" t="n">
        <x:v>-7611.0195</x:v>
      </x:c>
      <x:c r="BV45" s="31" t="n">
        <x:f>=BT45+BU45</x:f>
      </x:c>
      <x:c r="BW45" s="68" t="n">
        <x:f>=BV45/BT45</x:f>
      </x:c>
      <x:c r="BY45" s="68" t="n">
        <x:f>=BO45</x:f>
      </x:c>
      <x:c r="BZ45" s="68" t="n">
        <x:f>=BF45</x:f>
      </x:c>
      <x:c r="CA45" s="68" t="n">
        <x:f>=BG45</x:f>
      </x:c>
      <x:c r="CB45" s="68" t="n">
        <x:f>=1 - BY45</x:f>
      </x:c>
      <x:c r="CD45" s="68" t="n">
        <x:f>=CA45/(1-BZ45)</x:f>
      </x:c>
    </x:row>
    <x:row r="46">
      <x:c r="A46" s="32" t="s">
        <x:v>161</x:v>
      </x:c>
      <x:c r="B46" t="s"/>
      <x:c r="C46" t="s">
        <x:v>162</x:v>
      </x:c>
      <x:c r="D46" t="s">
        <x:v>96</x:v>
      </x:c>
      <x:c r="E46" t="s">
        <x:v>109</x:v>
      </x:c>
      <x:c r="F46" t="n">
        <x:v>1050</x:v>
      </x:c>
      <x:c r="G46" s="33" t="n">
        <x:v>0.26</x:v>
      </x:c>
      <x:c r="H46" s="33" t="n">
        <x:v>0.3657142857142857142857142857</x:v>
      </x:c>
      <x:c r="I46" s="33" t="n">
        <x:v>0.3685714285714285714285714286</x:v>
      </x:c>
      <x:c r="J46" s="33" t="n">
        <x:v>0.3904761904761904761904761905</x:v>
      </x:c>
      <x:c r="K46" s="33" t="n">
        <x:v>0.4161904761904761904761904762</x:v>
      </x:c>
      <x:c r="L46" s="33" t="n">
        <x:v>0.4495238095238095238095238095</x:v>
      </x:c>
      <x:c r="M46" s="33" t="n">
        <x:v>0.4933333333333333333333333333</x:v>
      </x:c>
      <x:c r="N46" s="33" t="n">
        <x:v>0.5171428571428571428571428571</x:v>
      </x:c>
      <x:c r="O46" s="33" t="n">
        <x:v>0.5552380952380952380952380952</x:v>
      </x:c>
      <x:c r="P46" s="33" t="n">
        <x:v>0.5819047619047619047619047619</x:v>
      </x:c>
      <x:c r="Q46" s="33" t="n">
        <x:v>0.5838095238095238095238095238</x:v>
      </x:c>
      <x:c r="R46" s="33" t="n">
        <x:v>0.58</x:v>
      </x:c>
      <x:c r="S46" s="33" t="n">
        <x:v>0.58</x:v>
      </x:c>
      <x:c r="T46" s="33" t="n">
        <x:v>0.5847619047619047619047619048</x:v>
      </x:c>
      <x:c r="U46" s="23" t="n">
        <x:v>0.639047619047619047619047619</x:v>
      </x:c>
      <x:c r="BC46" s="34" t="s"/>
      <x:c r="BD46" s="11" t="s">
        <x:v>101</x:v>
      </x:c>
      <x:c r="BE46" s="12" t="n">
        <x:f>=BO46</x:f>
      </x:c>
      <x:c r="BF46" s="12" t="n">
        <x:v>0.579047619047619047619047619</x:v>
      </x:c>
      <x:c r="BG46" s="12" t="n">
        <x:v>0.3933333333333333333333333333</x:v>
      </x:c>
      <x:c r="BH46" s="12" t="n">
        <x:v>0.0276190476190476190476190476</x:v>
      </x:c>
      <x:c r="BI46" s="12" t="n">
        <x:f>=BN46</x:f>
      </x:c>
      <x:c r="BJ46" s="13" t="n">
        <x:v>0</x:v>
      </x:c>
      <x:c r="BK46" s="31" t="n">
        <x:v>16280.73</x:v>
      </x:c>
      <x:c r="BL46" s="31" t="n">
        <x:v>-14848.9950</x:v>
      </x:c>
      <x:c r="BM46" s="31" t="n">
        <x:f>=BK46+BL46</x:f>
      </x:c>
      <x:c r="BN46" s="68" t="n">
        <x:f>=BM46/BK46</x:f>
      </x:c>
      <x:c r="BO46" s="68" t="n">
        <x:v>0.9723809523809523809523809524</x:v>
      </x:c>
      <x:c r="BP46" s="31" t="n">
        <x:v>13314.00</x:v>
      </x:c>
      <x:c r="BQ46" s="42" t="n">
        <x:v>29</x:v>
      </x:c>
      <x:c r="BR46" s="31" t="n">
        <x:v>367.72</x:v>
      </x:c>
      <x:c r="BT46" s="31" t="n">
        <x:v>22183.6996354453125000000</x:v>
      </x:c>
      <x:c r="BU46" s="31" t="n">
        <x:v>-14848.9950</x:v>
      </x:c>
      <x:c r="BV46" s="31" t="n">
        <x:f>=BT46+BU46</x:f>
      </x:c>
      <x:c r="BW46" s="68" t="n">
        <x:f>=BV46/BT46</x:f>
      </x:c>
      <x:c r="BY46" s="68" t="n">
        <x:f>=BO46</x:f>
      </x:c>
      <x:c r="BZ46" s="68" t="n">
        <x:f>=BF46</x:f>
      </x:c>
      <x:c r="CA46" s="68" t="n">
        <x:f>=BG46</x:f>
      </x:c>
      <x:c r="CB46" s="68" t="n">
        <x:f>=1 - BY46</x:f>
      </x:c>
      <x:c r="CD46" s="68" t="n">
        <x:f>=CA46/(1-BZ46)</x:f>
      </x:c>
    </x:row>
    <x:row r="47">
      <x:c r="A47" s="32" t="s">
        <x:v>163</x:v>
      </x:c>
      <x:c r="B47" t="s"/>
      <x:c r="C47" t="s">
        <x:v>164</x:v>
      </x:c>
      <x:c r="D47" t="s">
        <x:v>96</x:v>
      </x:c>
      <x:c r="E47" t="s">
        <x:v>109</x:v>
      </x:c>
      <x:c r="F47" t="n">
        <x:v>1050</x:v>
      </x:c>
      <x:c r="G47" s="33" t="n">
        <x:v>0.5580952380952380952380952381</x:v>
      </x:c>
      <x:c r="H47" s="33" t="n">
        <x:v>0.6180952380952380952380952381</x:v>
      </x:c>
      <x:c r="I47" s="33" t="n">
        <x:v>0.6380952380952380952380952381</x:v>
      </x:c>
      <x:c r="J47" s="33" t="n">
        <x:v>0.6438095238095238095238095238</x:v>
      </x:c>
      <x:c r="K47" s="33" t="n">
        <x:v>0.6714285714285714285714285714</x:v>
      </x:c>
      <x:c r="L47" s="24" t="n">
        <x:v>0.7133333333333333333333333333</x:v>
      </x:c>
      <x:c r="M47" s="33" t="n">
        <x:v>0.7742857142857142857142857143</x:v>
      </x:c>
      <x:c r="N47" s="33" t="n">
        <x:v>0.7838095238095238095238095238</x:v>
      </x:c>
      <x:c r="O47" s="33" t="n">
        <x:v>0.8219047619047619047619047619</x:v>
      </x:c>
      <x:c r="P47" s="33" t="n">
        <x:v>0.8228571428571428571428571429</x:v>
      </x:c>
      <x:c r="Q47" s="33" t="n">
        <x:v>0.8333333333333333333333333333</x:v>
      </x:c>
      <x:c r="R47" s="33" t="n">
        <x:v>0.8295238095238095238095238095</x:v>
      </x:c>
      <x:c r="S47" s="33" t="n">
        <x:v>0.8276190476190476190476190476</x:v>
      </x:c>
      <x:c r="T47" s="33" t="n">
        <x:v>0.8342857142857142857142857143</x:v>
      </x:c>
      <x:c r="U47" s="23" t="n">
        <x:v>0.86</x:v>
      </x:c>
      <x:c r="BC47" s="34" t="s"/>
      <x:c r="BD47" s="11" t="s">
        <x:v>101</x:v>
      </x:c>
      <x:c r="BE47" s="12" t="n">
        <x:f>=BO47</x:f>
      </x:c>
      <x:c r="BF47" s="12" t="n">
        <x:v>0.8285714285714285714285714286</x:v>
      </x:c>
      <x:c r="BG47" s="12" t="n">
        <x:v>0.1657142857142857142857142857</x:v>
      </x:c>
      <x:c r="BH47" s="12" t="n">
        <x:v>0.0057142857142857142857142857</x:v>
      </x:c>
      <x:c r="BI47" s="12" t="n">
        <x:f>=BN47</x:f>
      </x:c>
      <x:c r="BJ47" s="13" t="n">
        <x:v>0</x:v>
      </x:c>
      <x:c r="BK47" s="31" t="n">
        <x:v>18389.95</x:v>
      </x:c>
      <x:c r="BL47" s="31" t="n">
        <x:v>-14848.9950</x:v>
      </x:c>
      <x:c r="BM47" s="31" t="n">
        <x:f>=BK47+BL47</x:f>
      </x:c>
      <x:c r="BN47" s="68" t="n">
        <x:f>=BM47/BK47</x:f>
      </x:c>
      <x:c r="BO47" s="68" t="n">
        <x:v>0.9942857142857142857142857143</x:v>
      </x:c>
      <x:c r="BP47" s="31" t="n">
        <x:v>13314.00</x:v>
      </x:c>
      <x:c r="BQ47" s="42" t="n">
        <x:v>6</x:v>
      </x:c>
      <x:c r="BR47" s="31" t="n">
        <x:v>76.08</x:v>
      </x:c>
      <x:c r="BT47" s="31" t="n">
        <x:v>24292.9196354453125000000</x:v>
      </x:c>
      <x:c r="BU47" s="31" t="n">
        <x:v>-14848.9950</x:v>
      </x:c>
      <x:c r="BV47" s="31" t="n">
        <x:f>=BT47+BU47</x:f>
      </x:c>
      <x:c r="BW47" s="68" t="n">
        <x:f>=BV47/BT47</x:f>
      </x:c>
      <x:c r="BY47" s="68" t="n">
        <x:f>=BO47</x:f>
      </x:c>
      <x:c r="BZ47" s="68" t="n">
        <x:f>=BF47</x:f>
      </x:c>
      <x:c r="CA47" s="68" t="n">
        <x:f>=BG47</x:f>
      </x:c>
      <x:c r="CB47" s="68" t="n">
        <x:f>=1 - BY47</x:f>
      </x:c>
      <x:c r="CD47" s="68" t="n">
        <x:f>=CA47/(1-BZ47)</x:f>
      </x:c>
    </x:row>
    <x:row r="48">
      <x:c r="A48" s="32" t="s"/>
      <x:c r="BC48" s="34" t="s"/>
      <x:c r="BD48" s="11" t="s"/>
      <x:c r="BJ48" s="13" t="s"/>
    </x:row>
    <x:row r="49">
      <x:c r="A49" s="17" t="s">
        <x:v>92</x:v>
      </x:c>
      <x:c r="BC49" s="34" t="s"/>
      <x:c r="BD49" s="11" t="s"/>
      <x:c r="BJ49" s="13" t="s"/>
    </x:row>
    <x:row r="50">
      <x:c r="A50" s="32" t="s">
        <x:v>165</x:v>
      </x:c>
      <x:c r="B50" t="s"/>
      <x:c r="C50" t="s">
        <x:v>166</x:v>
      </x:c>
      <x:c r="D50" t="s">
        <x:v>108</x:v>
      </x:c>
      <x:c r="E50" t="s">
        <x:v>109</x:v>
      </x:c>
      <x:c r="F50" t="n">
        <x:v>454</x:v>
      </x:c>
      <x:c r="G50" s="33" t="n">
        <x:v>0.1674008810572687224669603524</x:v>
      </x:c>
      <x:c r="H50" s="33" t="n">
        <x:v>0.1674008810572687224669603524</x:v>
      </x:c>
      <x:c r="I50" s="33" t="n">
        <x:v>0.1674008810572687224669603524</x:v>
      </x:c>
      <x:c r="J50" s="33" t="n">
        <x:v>0.1674008810572687224669603524</x:v>
      </x:c>
      <x:c r="K50" s="33" t="n">
        <x:v>0.1674008810572687224669603524</x:v>
      </x:c>
      <x:c r="L50" s="33" t="n">
        <x:v>0.1674008810572687224669603524</x:v>
      </x:c>
      <x:c r="M50" s="33" t="n">
        <x:v>0.1850220264317180616740088106</x:v>
      </x:c>
      <x:c r="N50" s="33" t="n">
        <x:v>0.1850220264317180616740088106</x:v>
      </x:c>
      <x:c r="O50" s="33" t="n">
        <x:v>0.1850220264317180616740088106</x:v>
      </x:c>
      <x:c r="P50" s="33" t="n">
        <x:v>0.2004405286343612334801762115</x:v>
      </x:c>
      <x:c r="Q50" s="33" t="n">
        <x:v>0.2092511013215859030837004405</x:v>
      </x:c>
      <x:c r="R50" s="33" t="n">
        <x:v>0.2092511013215859030837004405</x:v>
      </x:c>
      <x:c r="S50" s="33" t="n">
        <x:v>0.1916299559471365638766519824</x:v>
      </x:c>
      <x:c r="T50" s="33" t="n">
        <x:v>0.204845814977973568281938326</x:v>
      </x:c>
      <x:c r="U50" s="33" t="n">
        <x:v>0.2488986784140969162995594714</x:v>
      </x:c>
      <x:c r="V50" s="33" t="n">
        <x:v>0.262114537444933920704845815</x:v>
      </x:c>
      <x:c r="W50" s="33" t="n">
        <x:v>0.295154185022026431718061674</x:v>
      </x:c>
      <x:c r="X50" s="33" t="n">
        <x:v>0.2797356828193832599118942731</x:v>
      </x:c>
      <x:c r="Y50" s="33" t="n">
        <x:v>0.2665198237885462555066079295</x:v>
      </x:c>
      <x:c r="Z50" s="33" t="n">
        <x:v>0.2665198237885462555066079295</x:v>
      </x:c>
      <x:c r="AA50" s="33" t="n">
        <x:v>0.2797356828193832599118942731</x:v>
      </x:c>
      <x:c r="AB50" s="33" t="n">
        <x:v>0.3105726872246696035242290749</x:v>
      </x:c>
      <x:c r="AC50" s="33" t="n">
        <x:v>0.3171806167400881057268722467</x:v>
      </x:c>
      <x:c r="AD50" s="33" t="n">
        <x:v>0.3237885462555066079295154185</x:v>
      </x:c>
      <x:c r="AE50" s="33" t="n">
        <x:v>0.328193832599118942731277533</x:v>
      </x:c>
      <x:c r="AF50" s="23" t="n">
        <x:v>0.4471365638766519823788546256</x:v>
      </x:c>
      <x:c r="BC50" s="34" t="s"/>
      <x:c r="BD50" s="11" t="s">
        <x:v>147</x:v>
      </x:c>
      <x:c r="BE50" s="12" t="n">
        <x:f>=BO50</x:f>
      </x:c>
      <x:c r="BF50" s="12" t="n">
        <x:v>0.3061674008810572687224669604</x:v>
      </x:c>
      <x:c r="BG50" s="12" t="n">
        <x:v>0.4493392070484581497797356828</x:v>
      </x:c>
      <x:c r="BH50" s="12" t="n">
        <x:v>0.2444933920704845814977973568</x:v>
      </x:c>
      <x:c r="BI50" s="12" t="n">
        <x:f>=BN50</x:f>
      </x:c>
      <x:c r="BJ50" s="13" t="n">
        <x:v>0</x:v>
      </x:c>
      <x:c r="BK50" s="31" t="n">
        <x:v>5849.78</x:v>
      </x:c>
      <x:c r="BL50" s="31" t="n">
        <x:v>-7317.53109217772349244160</x:v>
      </x:c>
      <x:c r="BM50" s="31" t="n">
        <x:f>=BK50+BL50</x:f>
      </x:c>
      <x:c r="BN50" s="68" t="n">
        <x:f>=BM50/BK50</x:f>
      </x:c>
      <x:c r="BO50" s="68" t="n">
        <x:v>0.7555066079295154185022026432</x:v>
      </x:c>
      <x:c r="BP50" s="31" t="n">
        <x:v>7149.240919770848961280</x:v>
      </x:c>
      <x:c r="BQ50" s="42" t="n">
        <x:v>111</x:v>
      </x:c>
      <x:c r="BR50" s="31" t="n">
        <x:v>1747.942163203885979520</x:v>
      </x:c>
      <x:c r="BT50" s="31" t="n">
        <x:v>9131.3492422353125000000</x:v>
      </x:c>
      <x:c r="BU50" s="31" t="n">
        <x:v>-7317.53109217772349244160</x:v>
      </x:c>
      <x:c r="BV50" s="31" t="n">
        <x:f>=BT50+BU50</x:f>
      </x:c>
      <x:c r="BW50" s="68" t="n">
        <x:f>=BV50/BT50</x:f>
      </x:c>
      <x:c r="BY50" s="68" t="n">
        <x:f>=BO50</x:f>
      </x:c>
      <x:c r="BZ50" s="68" t="n">
        <x:f>=BF50</x:f>
      </x:c>
      <x:c r="CA50" s="68" t="n">
        <x:f>=BG50</x:f>
      </x:c>
      <x:c r="CB50" s="68" t="n">
        <x:f>=1 - BY50</x:f>
      </x:c>
      <x:c r="CD50" s="68" t="n">
        <x:f>=CA50/(1-BZ50)</x:f>
      </x:c>
    </x:row>
    <x:row r="51">
      <x:c r="A51" s="32" t="s">
        <x:v>167</x:v>
      </x:c>
      <x:c r="B51" t="s"/>
      <x:c r="C51" t="s">
        <x:v>168</x:v>
      </x:c>
      <x:c r="D51" t="s">
        <x:v>108</x:v>
      </x:c>
      <x:c r="E51" t="s">
        <x:v>109</x:v>
      </x:c>
      <x:c r="F51" t="n">
        <x:v>526</x:v>
      </x:c>
      <x:c r="G51" s="33" t="n">
        <x:v>0.1026615969581749049429657795</x:v>
      </x:c>
      <x:c r="H51" s="33" t="n">
        <x:v>0.1026615969581749049429657795</x:v>
      </x:c>
      <x:c r="I51" s="33" t="n">
        <x:v>0.1026615969581749049429657795</x:v>
      </x:c>
      <x:c r="J51" s="33" t="n">
        <x:v>0.1026615969581749049429657795</x:v>
      </x:c>
      <x:c r="K51" s="33" t="n">
        <x:v>0.1026615969581749049429657795</x:v>
      </x:c>
      <x:c r="L51" s="33" t="n">
        <x:v>0.1026615969581749049429657795</x:v>
      </x:c>
      <x:c r="M51" s="33" t="n">
        <x:v>0.1026615969581749049429657795</x:v>
      </x:c>
      <x:c r="N51" s="33" t="n">
        <x:v>0.1026615969581749049429657795</x:v>
      </x:c>
      <x:c r="O51" s="33" t="n">
        <x:v>0.1026615969581749049429657795</x:v>
      </x:c>
      <x:c r="P51" s="33" t="n">
        <x:v>0.1216730038022813688212927757</x:v>
      </x:c>
      <x:c r="Q51" s="33" t="n">
        <x:v>0.0969581749049429657794676806</x:v>
      </x:c>
      <x:c r="R51" s="33" t="n">
        <x:v>0.0969581749049429657794676806</x:v>
      </x:c>
      <x:c r="S51" s="33" t="n">
        <x:v>0.0874524714828897338403041825</x:v>
      </x:c>
      <x:c r="T51" s="33" t="n">
        <x:v>0.0817490494296577946768060837</x:v>
      </x:c>
      <x:c r="U51" s="33" t="n">
        <x:v>0.0817490494296577946768060837</x:v>
      </x:c>
      <x:c r="V51" s="33" t="n">
        <x:v>0.0874524714828897338403041825</x:v>
      </x:c>
      <x:c r="W51" s="33" t="n">
        <x:v>0.0988593155893536121673003802</x:v>
      </x:c>
      <x:c r="X51" s="33" t="n">
        <x:v>0.1026615969581749049429657795</x:v>
      </x:c>
      <x:c r="Y51" s="33" t="n">
        <x:v>0.1083650190114068441064638783</x:v>
      </x:c>
      <x:c r="Z51" s="33" t="n">
        <x:v>0.1102661596958174904942965779</x:v>
      </x:c>
      <x:c r="AA51" s="33" t="n">
        <x:v>0.119771863117870722433460076</x:v>
      </x:c>
      <x:c r="AB51" s="33" t="n">
        <x:v>0.1121673003802281368821292776</x:v>
      </x:c>
      <x:c r="AC51" s="33" t="n">
        <x:v>0.1216730038022813688212927757</x:v>
      </x:c>
      <x:c r="AD51" s="33" t="n">
        <x:v>0.1254752851711026615969581749</x:v>
      </x:c>
      <x:c r="AE51" s="33" t="n">
        <x:v>0.1273764258555133079847908745</x:v>
      </x:c>
      <x:c r="AF51" s="23" t="n">
        <x:v>0.1596958174904942965779467681</x:v>
      </x:c>
      <x:c r="BC51" s="34" t="s"/>
      <x:c r="BD51" s="11" t="s">
        <x:v>147</x:v>
      </x:c>
      <x:c r="BE51" s="12" t="n">
        <x:f>=BO51</x:f>
      </x:c>
      <x:c r="BF51" s="12" t="n">
        <x:v>0.1273764258555133079847908745</x:v>
      </x:c>
      <x:c r="BG51" s="12" t="n">
        <x:v>0.6863117870722433460076045627</x:v>
      </x:c>
      <x:c r="BH51" s="12" t="n">
        <x:v>0.1863117870722433460076045627</x:v>
      </x:c>
      <x:c r="BI51" s="12" t="n">
        <x:f>=BN51</x:f>
      </x:c>
      <x:c r="BJ51" s="13" t="n">
        <x:v>0</x:v>
      </x:c>
      <x:c r="BK51" s="31" t="n">
        <x:v>4058.58</x:v>
      </x:c>
      <x:c r="BL51" s="31" t="n">
        <x:v>-7352.24845401937717488160</x:v>
      </x:c>
      <x:c r="BM51" s="31" t="n">
        <x:f>=BK51+BL51</x:f>
      </x:c>
      <x:c r="BN51" s="68" t="n">
        <x:f>=BM51/BK51</x:f>
      </x:c>
      <x:c r="BO51" s="68" t="n">
        <x:v>0.8136882129277566539923954373</x:v>
      </x:c>
      <x:c r="BP51" s="31" t="n">
        <x:v>7247.661086617914613280</x:v>
      </x:c>
      <x:c r="BQ51" s="42" t="n">
        <x:v>98</x:v>
      </x:c>
      <x:c r="BR51" s="31" t="n">
        <x:v>1350.324689141740745440</x:v>
      </x:c>
      <x:c r="BT51" s="31" t="n">
        <x:v>7269.1529815858750000000000000</x:v>
      </x:c>
      <x:c r="BU51" s="31" t="n">
        <x:v>-7352.24845401937717488160</x:v>
      </x:c>
      <x:c r="BV51" s="31" t="n">
        <x:f>=BT51+BU51</x:f>
      </x:c>
      <x:c r="BW51" s="68" t="n">
        <x:f>=BV51/BT51</x:f>
      </x:c>
      <x:c r="BY51" s="68" t="n">
        <x:f>=BO51</x:f>
      </x:c>
      <x:c r="BZ51" s="68" t="n">
        <x:f>=BF51</x:f>
      </x:c>
      <x:c r="CA51" s="68" t="n">
        <x:f>=BG51</x:f>
      </x:c>
      <x:c r="CB51" s="68" t="n">
        <x:f>=1 - BY51</x:f>
      </x:c>
      <x:c r="CD51" s="68" t="n">
        <x:f>=CA51/(1-BZ51)</x:f>
      </x:c>
    </x:row>
    <x:row r="52">
      <x:c r="A52" s="32" t="s">
        <x:v>169</x:v>
      </x:c>
      <x:c r="B52" t="s"/>
      <x:c r="C52" t="s">
        <x:v>170</x:v>
      </x:c>
      <x:c r="D52" t="s">
        <x:v>108</x:v>
      </x:c>
      <x:c r="E52" t="s">
        <x:v>109</x:v>
      </x:c>
      <x:c r="F52" t="n">
        <x:v>527</x:v>
      </x:c>
      <x:c r="G52" s="33" t="n">
        <x:v>0.2220113851992409867172675522</x:v>
      </x:c>
      <x:c r="H52" s="33" t="n">
        <x:v>0.2220113851992409867172675522</x:v>
      </x:c>
      <x:c r="I52" s="33" t="n">
        <x:v>0.2220113851992409867172675522</x:v>
      </x:c>
      <x:c r="J52" s="33" t="n">
        <x:v>0.2220113851992409867172675522</x:v>
      </x:c>
      <x:c r="K52" s="33" t="n">
        <x:v>0.2220113851992409867172675522</x:v>
      </x:c>
      <x:c r="L52" s="33" t="n">
        <x:v>0.2220113851992409867172675522</x:v>
      </x:c>
      <x:c r="M52" s="33" t="n">
        <x:v>0.2770398481973434535104364326</x:v>
      </x:c>
      <x:c r="N52" s="33" t="n">
        <x:v>0.2770398481973434535104364326</x:v>
      </x:c>
      <x:c r="O52" s="33" t="n">
        <x:v>0.2770398481973434535104364326</x:v>
      </x:c>
      <x:c r="P52" s="33" t="n">
        <x:v>0.4117647058823529411764705882</x:v>
      </x:c>
      <x:c r="Q52" s="33" t="n">
        <x:v>0.3776091081593927893738140417</x:v>
      </x:c>
      <x:c r="R52" s="33" t="n">
        <x:v>0.3776091081593927893738140417</x:v>
      </x:c>
      <x:c r="S52" s="33" t="n">
        <x:v>0.3700189753320683111954459203</x:v>
      </x:c>
      <x:c r="T52" s="33" t="n">
        <x:v>0.3092979127134724857685009488</x:v>
      </x:c>
      <x:c r="U52" s="33" t="n">
        <x:v>0.2713472485768500948766603416</x:v>
      </x:c>
      <x:c r="V52" s="33" t="n">
        <x:v>0.2751423149905123339658444023</x:v>
      </x:c>
      <x:c r="W52" s="33" t="n">
        <x:v>0.2922201138519924098671726755</x:v>
      </x:c>
      <x:c r="X52" s="33" t="n">
        <x:v>0.326375711574952561669829222</x:v>
      </x:c>
      <x:c r="Y52" s="33" t="n">
        <x:v>0.3282732447817836812144212524</x:v>
      </x:c>
      <x:c r="Z52" s="33" t="n">
        <x:v>0.3092979127134724857685009488</x:v>
      </x:c>
      <x:c r="AA52" s="33" t="n">
        <x:v>0.3396584440227703984819734345</x:v>
      </x:c>
      <x:c r="AB52" s="33" t="n">
        <x:v>0.3529411764705882352941176471</x:v>
      </x:c>
      <x:c r="AC52" s="33" t="n">
        <x:v>0.415559772296015180265654649</x:v>
      </x:c>
      <x:c r="AD52" s="33" t="n">
        <x:v>0.4136622390891840607210626186</x:v>
      </x:c>
      <x:c r="AE52" s="33" t="n">
        <x:v>0.415559772296015180265654649</x:v>
      </x:c>
      <x:c r="AF52" s="23" t="n">
        <x:v>0.4819734345351043643263757116</x:v>
      </x:c>
      <x:c r="BC52" s="34" t="s"/>
      <x:c r="BD52" s="11" t="s">
        <x:v>147</x:v>
      </x:c>
      <x:c r="BE52" s="12" t="n">
        <x:f>=BO52</x:f>
      </x:c>
      <x:c r="BF52" s="12" t="n">
        <x:v>0.3377609108159392789373814042</x:v>
      </x:c>
      <x:c r="BG52" s="12" t="n">
        <x:v>0.1499051233396584440227703985</x:v>
      </x:c>
      <x:c r="BH52" s="12" t="n">
        <x:v>0.5123339658444022770398481973</x:v>
      </x:c>
      <x:c r="BI52" s="12" t="n">
        <x:f>=BN52</x:f>
      </x:c>
      <x:c r="BJ52" s="13" t="n">
        <x:v>0</x:v>
      </x:c>
      <x:c r="BK52" s="31" t="n">
        <x:v>3917.91</x:v>
      </x:c>
      <x:c r="BL52" s="31" t="n">
        <x:v>-5867.34069785619781888100</x:v>
      </x:c>
      <x:c r="BM52" s="31" t="n">
        <x:f>=BK52+BL52</x:f>
      </x:c>
      <x:c r="BN52" s="68" t="n">
        <x:f>=BM52/BK52</x:f>
      </x:c>
      <x:c r="BO52" s="68" t="n">
        <x:v>0.4876660341555977229601518027</x:v>
      </x:c>
      <x:c r="BP52" s="31" t="n">
        <x:v>5928.735770985770947300</x:v>
      </x:c>
      <x:c r="BQ52" s="42" t="n">
        <x:v>270</x:v>
      </x:c>
      <x:c r="BR52" s="31" t="n">
        <x:v>3037.492709992709973000</x:v>
      </x:c>
      <x:c r="BT52" s="31" t="n">
        <x:v>6795.9891817118125000000000000</x:v>
      </x:c>
      <x:c r="BU52" s="31" t="n">
        <x:v>-5867.34069785619781888100</x:v>
      </x:c>
      <x:c r="BV52" s="31" t="n">
        <x:f>=BT52+BU52</x:f>
      </x:c>
      <x:c r="BW52" s="68" t="n">
        <x:f>=BV52/BT52</x:f>
      </x:c>
      <x:c r="BY52" s="68" t="n">
        <x:f>=BO52</x:f>
      </x:c>
      <x:c r="BZ52" s="68" t="n">
        <x:f>=BF52</x:f>
      </x:c>
      <x:c r="CA52" s="68" t="n">
        <x:f>=BG52</x:f>
      </x:c>
      <x:c r="CB52" s="68" t="n">
        <x:f>=1 - BY52</x:f>
      </x:c>
      <x:c r="CD52" s="68" t="n">
        <x:f>=CA52/(1-BZ52)</x:f>
      </x:c>
    </x:row>
    <x:row r="53">
      <x:c r="A53" s="32" t="s">
        <x:v>171</x:v>
      </x:c>
      <x:c r="B53" t="s"/>
      <x:c r="C53" t="s">
        <x:v>172</x:v>
      </x:c>
      <x:c r="D53" t="s">
        <x:v>173</x:v>
      </x:c>
      <x:c r="E53" t="s">
        <x:v>109</x:v>
      </x:c>
      <x:c r="F53" t="n">
        <x:v>523</x:v>
      </x:c>
      <x:c r="G53" s="33" t="n">
        <x:v>0.3518164435946462715105162524</x:v>
      </x:c>
      <x:c r="H53" s="33" t="n">
        <x:v>0.3537284894837476099426386233</x:v>
      </x:c>
      <x:c r="I53" s="33" t="n">
        <x:v>0.304015296367112810707456979</x:v>
      </x:c>
      <x:c r="J53" s="33" t="n">
        <x:v>0.273422562141491395793499044</x:v>
      </x:c>
      <x:c r="K53" s="33" t="n">
        <x:v>0.2504780114722753346080305927</x:v>
      </x:c>
      <x:c r="L53" s="33" t="n">
        <x:v>0.2466539196940726577437858509</x:v>
      </x:c>
      <x:c r="M53" s="33" t="n">
        <x:v>0.242829827915869980879541109</x:v>
      </x:c>
      <x:c r="N53" s="33" t="n">
        <x:v>0.2256214149139579349904397706</x:v>
      </x:c>
      <x:c r="O53" s="33" t="n">
        <x:v>0.2198852772466539196940726577</x:v>
      </x:c>
      <x:c r="P53" s="33" t="n">
        <x:v>0.2237093690248565965583173996</x:v>
      </x:c>
      <x:c r="Q53" s="33" t="n">
        <x:v>0.2217973231357552581261950287</x:v>
      </x:c>
      <x:c r="R53" s="33" t="n">
        <x:v>0.2217973231357552581261950287</x:v>
      </x:c>
      <x:c r="S53" s="33" t="n">
        <x:v>0.2275334608030592734225621415</x:v>
      </x:c>
      <x:c r="T53" s="33" t="n">
        <x:v>0.2294455066921606118546845124</x:v>
      </x:c>
      <x:c r="U53" s="23" t="n">
        <x:v>0.2868068833652007648183556405</x:v>
      </x:c>
      <x:c r="BC53" s="34" t="s"/>
      <x:c r="BD53" s="11" t="s">
        <x:v>101</x:v>
      </x:c>
      <x:c r="BE53" s="12" t="n">
        <x:f>=BO53</x:f>
      </x:c>
      <x:c r="BF53" s="12" t="n">
        <x:v>0.2256214149139579349904397706</x:v>
      </x:c>
      <x:c r="BG53" s="12" t="n">
        <x:v>0.6864244741873804971319311663</x:v>
      </x:c>
      <x:c r="BH53" s="12" t="n">
        <x:v>0.0879541108986615678776290631</x:v>
      </x:c>
      <x:c r="BI53" s="12" t="n">
        <x:f>=BN53</x:f>
      </x:c>
      <x:c r="BJ53" s="13" t="n">
        <x:v>0</x:v>
      </x:c>
      <x:c r="BK53" s="31" t="n">
        <x:v>7089.00</x:v>
      </x:c>
      <x:c r="BL53" s="31" t="n">
        <x:v>-9962.3655</x:v>
      </x:c>
      <x:c r="BM53" s="31" t="n">
        <x:f>=BK53+BL53</x:f>
      </x:c>
      <x:c r="BN53" s="68" t="n">
        <x:f>=BM53/BK53</x:f>
      </x:c>
      <x:c r="BO53" s="68" t="n">
        <x:v>0.9120458891013384321223709369</x:v>
      </x:c>
      <x:c r="BP53" s="31" t="n">
        <x:v>8734.10</x:v>
      </x:c>
      <x:c r="BQ53" s="42" t="n">
        <x:v>46</x:v>
      </x:c>
      <x:c r="BR53" s="31" t="n">
        <x:v>768.20</x:v>
      </x:c>
      <x:c r="BT53" s="31" t="n">
        <x:v>11289.344380051562500000000000</x:v>
      </x:c>
      <x:c r="BU53" s="31" t="n">
        <x:v>-9962.3655</x:v>
      </x:c>
      <x:c r="BV53" s="31" t="n">
        <x:f>=BT53+BU53</x:f>
      </x:c>
      <x:c r="BW53" s="68" t="n">
        <x:f>=BV53/BT53</x:f>
      </x:c>
      <x:c r="BY53" s="68" t="n">
        <x:f>=BO53</x:f>
      </x:c>
      <x:c r="BZ53" s="68" t="n">
        <x:f>=BF53</x:f>
      </x:c>
      <x:c r="CA53" s="68" t="n">
        <x:f>=BG53</x:f>
      </x:c>
      <x:c r="CB53" s="68" t="n">
        <x:f>=1 - BY53</x:f>
      </x:c>
      <x:c r="CD53" s="68" t="n">
        <x:f>=CA53/(1-BZ53)</x:f>
      </x:c>
    </x:row>
    <x:row r="54">
      <x:c r="A54" s="35" t="s"/>
      <x:c r="B54" s="6" t="s"/>
      <x:c r="C54" s="6" t="s"/>
      <x:c r="D54" s="6" t="s"/>
      <x:c r="E54" s="6" t="s"/>
      <x:c r="F54" s="6" t="s"/>
      <x:c r="G54" s="6" t="s"/>
      <x:c r="H54" s="6" t="s"/>
      <x:c r="I54" s="6" t="s"/>
      <x:c r="J54" s="6" t="s"/>
      <x:c r="K54" s="6" t="s"/>
      <x:c r="L54" s="6" t="s"/>
      <x:c r="M54" s="6" t="s"/>
      <x:c r="N54" s="6" t="s"/>
      <x:c r="O54" s="6" t="s"/>
      <x:c r="P54" s="6" t="s"/>
      <x:c r="Q54" s="6" t="s"/>
      <x:c r="R54" s="6" t="s"/>
      <x:c r="S54" s="6" t="s"/>
      <x:c r="T54" s="6" t="s"/>
      <x:c r="U54" s="6" t="s"/>
      <x:c r="V54" s="6" t="s"/>
      <x:c r="W54" s="6" t="s"/>
      <x:c r="X54" s="6" t="s"/>
      <x:c r="Y54" s="6" t="s"/>
      <x:c r="Z54" s="6" t="s"/>
      <x:c r="AA54" s="6" t="s"/>
      <x:c r="AB54" s="6" t="s"/>
      <x:c r="AC54" s="6" t="s"/>
      <x:c r="AD54" s="6" t="s"/>
      <x:c r="AE54" s="6" t="s"/>
      <x:c r="AF54" s="6" t="s"/>
      <x:c r="AG54" s="6" t="s"/>
      <x:c r="AH54" s="6" t="s"/>
      <x:c r="AI54" s="6" t="s"/>
      <x:c r="AJ54" s="6" t="s"/>
      <x:c r="AK54" s="6" t="s"/>
      <x:c r="AL54" s="6" t="s"/>
      <x:c r="AM54" s="6" t="s"/>
      <x:c r="AN54" s="6" t="s"/>
      <x:c r="AO54" s="6" t="s"/>
      <x:c r="AP54" s="6" t="s"/>
      <x:c r="AQ54" s="6" t="s"/>
      <x:c r="AR54" s="6" t="s"/>
      <x:c r="AS54" s="6" t="s"/>
      <x:c r="AT54" s="6" t="s"/>
      <x:c r="AU54" s="6" t="s"/>
      <x:c r="AV54" s="6" t="s"/>
      <x:c r="AW54" s="6" t="s"/>
      <x:c r="AX54" s="6" t="s"/>
      <x:c r="AY54" s="6" t="s"/>
      <x:c r="AZ54" s="6" t="s"/>
      <x:c r="BA54" s="6" t="s"/>
      <x:c r="BB54" s="6" t="s"/>
      <x:c r="BC54" s="8" t="s"/>
      <x:c r="BD54" s="14" t="s">
        <x:v>127</x:v>
      </x:c>
      <x:c r="BE54" s="15" t="s"/>
      <x:c r="BF54" s="15" t="s"/>
      <x:c r="BG54" s="15" t="s"/>
      <x:c r="BH54" s="15" t="s"/>
      <x:c r="BI54" s="38">
        <x:f>=BM55/BK55</x:f>
      </x:c>
      <x:c r="BJ54" s="16">
        <x:f>=BR55/BP55</x:f>
      </x:c>
      <x:c r="BK54" s="21" t="n">
        <x:v>133049.77</x:v>
      </x:c>
      <x:c r="BL54" s="21" t="n">
        <x:v>-118945.45820912940034069180</x:v>
      </x:c>
      <x:c r="BM54" s="21" t="n">
        <x:f>=BK54+BL54</x:f>
      </x:c>
      <x:c r="BN54" s="22" t="n">
        <x:v>0.1060077878441323097312246387</x:v>
      </x:c>
      <x:c r="BP54" s="21" t="n">
        <x:v>-111909.360937246804474940</x:v>
      </x:c>
      <x:c r="BQ54" s="21" t="n">
        <x:v>936</x:v>
      </x:c>
      <x:c r="BR54" s="21" t="n">
        <x:v>6685.8468013827158351020514457</x:v>
      </x:c>
      <x:c r="BT54" s="21" t="n">
        <x:v>186444.55032921584800000000000</x:v>
      </x:c>
      <x:c r="BU54" s="21" t="n">
        <x:v>-118945.45820912940034069180</x:v>
      </x:c>
      <x:c r="BV54" s="21" t="n">
        <x:f>=BT54+BU54</x:f>
      </x:c>
      <x:c r="BW54" s="22" t="n">
        <x:v>0.3620330655999299789872518302</x:v>
      </x:c>
    </x:row>
    <x:row r="55">
      <x:c r="BK55" s="19" t="n">
        <x:v>133049.77</x:v>
      </x:c>
      <x:c r="BL55" s="19" t="n">
        <x:v>-118945.45820912940034069180</x:v>
      </x:c>
      <x:c r="BM55" s="19" t="n">
        <x:f>=BK55+BL55</x:f>
      </x:c>
      <x:c r="BN55" s="20" t="n">
        <x:v>0.1060077878441323097312246387</x:v>
      </x:c>
      <x:c r="BP55" s="19" t="n">
        <x:v>-111909.360937246804474940</x:v>
      </x:c>
      <x:c r="BQ55" s="19" t="n">
        <x:v>936</x:v>
      </x:c>
      <x:c r="BR55" s="19" t="n">
        <x:v>6685.8468013827158351020514457</x:v>
      </x:c>
      <x:c r="BT55" s="19" t="n">
        <x:v>186444.55032921584800000000000</x:v>
      </x:c>
      <x:c r="BU55" s="19" t="n">
        <x:v>-118945.45820912940034069180</x:v>
      </x:c>
      <x:c r="BV55" s="19" t="n">
        <x:f>=BT55+BU55</x:f>
      </x:c>
      <x:c r="BW55" s="20" t="n">
        <x:v>0.3620330655999299789872518302</x:v>
      </x:c>
    </x:row>
    <x:row r="56">
      <x:c r="A56" s="10" t="s">
        <x:v>174</x:v>
      </x:c>
      <x:c r="B56" s="5" t="s"/>
      <x:c r="C56" s="5" t="s"/>
      <x:c r="D56" s="5" t="s"/>
      <x:c r="E56" s="5" t="s"/>
      <x:c r="F56" s="5" t="s"/>
      <x:c r="G56" s="5" t="s"/>
      <x:c r="H56" s="5" t="s"/>
      <x:c r="I56" s="5" t="s"/>
      <x:c r="J56" s="5" t="s"/>
      <x:c r="K56" s="5" t="s"/>
      <x:c r="L56" s="5" t="s"/>
      <x:c r="M56" s="5" t="s"/>
      <x:c r="N56" s="5" t="s"/>
      <x:c r="O56" s="5" t="s"/>
      <x:c r="P56" s="5" t="s"/>
      <x:c r="Q56" s="5" t="s"/>
      <x:c r="R56" s="5" t="s"/>
      <x:c r="S56" s="5" t="s"/>
      <x:c r="T56" s="5" t="s"/>
      <x:c r="U56" s="5" t="s"/>
      <x:c r="V56" s="5" t="s"/>
      <x:c r="W56" s="5" t="s"/>
      <x:c r="X56" s="5" t="s"/>
      <x:c r="Y56" s="5" t="s"/>
      <x:c r="Z56" s="5" t="s"/>
      <x:c r="AA56" s="5" t="s"/>
      <x:c r="AB56" s="5" t="s"/>
      <x:c r="AC56" s="5" t="s"/>
      <x:c r="AD56" s="5" t="s"/>
      <x:c r="AE56" s="5" t="s"/>
      <x:c r="AF56" s="5" t="s"/>
      <x:c r="AG56" s="5" t="s"/>
      <x:c r="AH56" s="5" t="s"/>
      <x:c r="AI56" s="5" t="s"/>
      <x:c r="AJ56" s="5" t="s"/>
      <x:c r="AK56" s="5" t="s"/>
      <x:c r="AL56" s="5" t="s"/>
      <x:c r="AM56" s="5" t="s"/>
      <x:c r="AN56" s="5" t="s"/>
      <x:c r="AO56" s="5" t="s"/>
      <x:c r="AP56" s="5" t="s"/>
      <x:c r="AQ56" s="5" t="s"/>
      <x:c r="AR56" s="5" t="s"/>
      <x:c r="AS56" s="5" t="s"/>
      <x:c r="AT56" s="5" t="s"/>
      <x:c r="AU56" s="5" t="s"/>
      <x:c r="AV56" s="5" t="s"/>
      <x:c r="AW56" s="5" t="s"/>
      <x:c r="AX56" s="5" t="s"/>
      <x:c r="AY56" s="5" t="s"/>
      <x:c r="AZ56" s="5" t="s"/>
      <x:c r="BA56" s="5" t="s"/>
      <x:c r="BB56" s="5" t="s"/>
      <x:c r="BC56" s="7" t="s"/>
      <x:c r="BD56" s="10" t="s"/>
      <x:c r="BE56" s="5" t="s"/>
      <x:c r="BF56" s="5" t="s"/>
      <x:c r="BG56" s="5" t="s"/>
      <x:c r="BH56" s="5" t="s"/>
      <x:c r="BI56" s="5" t="s"/>
      <x:c r="BJ56" s="7" t="s"/>
      <x:c r="BK56" s="49" t="s">
        <x:v>11</x:v>
      </x:c>
      <x:c r="BL56" s="50"/>
      <x:c r="BM56" s="51"/>
      <x:c r="BN56" s="52"/>
      <x:c r="BO56" s="52"/>
      <x:c r="BP56" s="53"/>
      <x:c r="BQ56" s="54"/>
      <x:c r="BR56" s="53"/>
      <x:c r="BT56" s="59" t="s">
        <x:v>27</x:v>
      </x:c>
      <x:c r="BU56" s="60"/>
      <x:c r="BV56" s="60"/>
      <x:c r="BW56" s="60"/>
      <x:c r="BX56" s="60"/>
      <x:c r="BY56" s="61"/>
      <x:c r="BZ56" s="61"/>
      <x:c r="CA56" s="61"/>
      <x:c r="CB56" s="61"/>
      <x:c r="CC56" s="60"/>
      <x:c r="CD56" s="62"/>
    </x:row>
    <x:row r="57" ht="45.75" customHeight="1">
      <x:c r="A57" s="41" t="s">
        <x:v>30</x:v>
      </x:c>
      <x:c r="B57" s="41" t="s">
        <x:v>31</x:v>
      </x:c>
      <x:c r="C57" s="41" t="s">
        <x:v>32</x:v>
      </x:c>
      <x:c r="D57" s="41" t="s">
        <x:v>33</x:v>
      </x:c>
      <x:c r="E57" s="41" t="s">
        <x:v>34</x:v>
      </x:c>
      <x:c r="F57" s="41" t="s">
        <x:v>83</x:v>
      </x:c>
      <x:c r="G57" s="41" t="s">
        <x:v>35</x:v>
      </x:c>
      <x:c r="H57" s="41" t="s">
        <x:v>36</x:v>
      </x:c>
      <x:c r="I57" s="41" t="s">
        <x:v>37</x:v>
      </x:c>
      <x:c r="J57" s="41" t="s">
        <x:v>38</x:v>
      </x:c>
      <x:c r="K57" s="41" t="s">
        <x:v>39</x:v>
      </x:c>
      <x:c r="L57" s="41" t="s">
        <x:v>40</x:v>
      </x:c>
      <x:c r="M57" s="41" t="s">
        <x:v>41</x:v>
      </x:c>
      <x:c r="N57" s="41" t="s">
        <x:v>42</x:v>
      </x:c>
      <x:c r="O57" s="41" t="s">
        <x:v>43</x:v>
      </x:c>
      <x:c r="P57" s="41" t="s">
        <x:v>44</x:v>
      </x:c>
      <x:c r="Q57" s="41" t="s">
        <x:v>45</x:v>
      </x:c>
      <x:c r="R57" s="41" t="s">
        <x:v>46</x:v>
      </x:c>
      <x:c r="S57" s="41" t="s">
        <x:v>47</x:v>
      </x:c>
      <x:c r="T57" s="41" t="s">
        <x:v>48</x:v>
      </x:c>
      <x:c r="U57" s="41" t="s">
        <x:v>49</x:v>
      </x:c>
      <x:c r="V57" s="41" t="s">
        <x:v>50</x:v>
      </x:c>
      <x:c r="W57" s="41" t="s">
        <x:v>51</x:v>
      </x:c>
      <x:c r="X57" s="41" t="s">
        <x:v>52</x:v>
      </x:c>
      <x:c r="Y57" s="41" t="s">
        <x:v>53</x:v>
      </x:c>
      <x:c r="Z57" s="41" t="s">
        <x:v>54</x:v>
      </x:c>
      <x:c r="AA57" s="41" t="s">
        <x:v>55</x:v>
      </x:c>
      <x:c r="AB57" s="41" t="s">
        <x:v>56</x:v>
      </x:c>
      <x:c r="AC57" s="41" t="s">
        <x:v>57</x:v>
      </x:c>
      <x:c r="AD57" s="41" t="s">
        <x:v>58</x:v>
      </x:c>
      <x:c r="AE57" s="41" t="s">
        <x:v>59</x:v>
      </x:c>
      <x:c r="AF57" s="41" t="s">
        <x:v>60</x:v>
      </x:c>
      <x:c r="AG57" s="41" t="s">
        <x:v>61</x:v>
      </x:c>
      <x:c r="AH57" s="41" t="s">
        <x:v>62</x:v>
      </x:c>
      <x:c r="AI57" s="41" t="s">
        <x:v>63</x:v>
      </x:c>
      <x:c r="AJ57" s="41" t="s">
        <x:v>64</x:v>
      </x:c>
      <x:c r="AK57" s="41" t="s">
        <x:v>65</x:v>
      </x:c>
      <x:c r="AL57" s="41" t="s">
        <x:v>66</x:v>
      </x:c>
      <x:c r="AM57" s="41" t="s">
        <x:v>67</x:v>
      </x:c>
      <x:c r="AN57" s="41" t="s">
        <x:v>68</x:v>
      </x:c>
      <x:c r="AO57" s="41" t="s">
        <x:v>69</x:v>
      </x:c>
      <x:c r="AP57" s="41" t="s">
        <x:v>70</x:v>
      </x:c>
      <x:c r="AQ57" s="41" t="s">
        <x:v>71</x:v>
      </x:c>
      <x:c r="AR57" s="41" t="s">
        <x:v>72</x:v>
      </x:c>
      <x:c r="AS57" s="41" t="s">
        <x:v>73</x:v>
      </x:c>
      <x:c r="AT57" s="41" t="s">
        <x:v>74</x:v>
      </x:c>
      <x:c r="AU57" s="41" t="s">
        <x:v>75</x:v>
      </x:c>
      <x:c r="AV57" s="41" t="s">
        <x:v>76</x:v>
      </x:c>
      <x:c r="AW57" s="41" t="s">
        <x:v>77</x:v>
      </x:c>
      <x:c r="AX57" s="41" t="s">
        <x:v>78</x:v>
      </x:c>
      <x:c r="AY57" s="41" t="s">
        <x:v>79</x:v>
      </x:c>
      <x:c r="AZ57" s="41" t="s">
        <x:v>80</x:v>
      </x:c>
      <x:c r="BA57" s="41" t="s">
        <x:v>81</x:v>
      </x:c>
      <x:c r="BB57" s="41" t="s">
        <x:v>82</x:v>
      </x:c>
      <x:c r="BD57" s="32" t="s">
        <x:v>84</x:v>
      </x:c>
      <x:c r="BE57" s="33" t="s">
        <x:v>85</x:v>
      </x:c>
      <x:c r="BF57" s="33" t="s">
        <x:v>86</x:v>
      </x:c>
      <x:c r="BG57" s="33" t="s">
        <x:v>87</x:v>
      </x:c>
      <x:c r="BH57" s="33" t="s">
        <x:v>88</x:v>
      </x:c>
      <x:c r="BI57" s="33" t="s">
        <x:v>89</x:v>
      </x:c>
      <x:c r="BJ57" s="34" t="s">
        <x:v>90</x:v>
      </x:c>
      <x:c r="BK57" s="55" t="s">
        <x:v>12</x:v>
      </x:c>
      <x:c r="BL57" s="56" t="s">
        <x:v>13</x:v>
      </x:c>
      <x:c r="BM57" s="56" t="s">
        <x:v>14</x:v>
      </x:c>
      <x:c r="BN57" s="57" t="s">
        <x:v>15</x:v>
      </x:c>
      <x:c r="BO57" s="57" t="s">
        <x:v>28</x:v>
      </x:c>
      <x:c r="BP57" s="58" t="s">
        <x:v>16</x:v>
      </x:c>
      <x:c r="BQ57" s="55" t="s">
        <x:v>17</x:v>
      </x:c>
      <x:c r="BR57" s="58" t="s">
        <x:v>18</x:v>
      </x:c>
      <x:c r="BT57" s="63" t="s">
        <x:v>19</x:v>
      </x:c>
      <x:c r="BU57" s="64" t="s">
        <x:v>20</x:v>
      </x:c>
      <x:c r="BV57" s="64" t="s">
        <x:v>21</x:v>
      </x:c>
      <x:c r="BW57" s="64" t="s">
        <x:v>15</x:v>
      </x:c>
      <x:c r="BX57" s="64"/>
      <x:c r="BY57" s="65" t="s">
        <x:v>22</x:v>
      </x:c>
      <x:c r="BZ57" s="65" t="s">
        <x:v>23</x:v>
      </x:c>
      <x:c r="CA57" s="65" t="s">
        <x:v>26</x:v>
      </x:c>
      <x:c r="CB57" s="65" t="s">
        <x:v>24</x:v>
      </x:c>
      <x:c r="CC57" s="64"/>
      <x:c r="CD57" s="66" t="s">
        <x:v>25</x:v>
      </x:c>
    </x:row>
    <x:row r="58">
      <x:c r="BD58" s="32" t="s"/>
      <x:c r="BJ58" s="34" t="s"/>
    </x:row>
    <x:row r="59">
      <x:c r="A59" s="36" t="s">
        <x:v>129</x:v>
      </x:c>
      <x:c r="BC59" s="34" t="s"/>
      <x:c r="BD59" s="11" t="s"/>
      <x:c r="BJ59" s="13" t="s"/>
    </x:row>
    <x:row r="60">
      <x:c r="A60" s="17" t="s">
        <x:v>105</x:v>
      </x:c>
      <x:c r="BC60" s="34" t="s"/>
      <x:c r="BD60" s="11" t="s"/>
      <x:c r="BJ60" s="13" t="s"/>
    </x:row>
    <x:row r="61">
      <x:c r="A61" s="32" t="s">
        <x:v>175</x:v>
      </x:c>
      <x:c r="B61" t="s"/>
      <x:c r="C61" t="s">
        <x:v>176</x:v>
      </x:c>
      <x:c r="D61" t="s">
        <x:v>96</x:v>
      </x:c>
      <x:c r="E61" t="s">
        <x:v>132</x:v>
      </x:c>
      <x:c r="F61" t="n">
        <x:v>1998</x:v>
      </x:c>
      <x:c r="G61" s="33" t="n">
        <x:v>0.001001001001001001001001001</x:v>
      </x:c>
      <x:c r="H61" s="33" t="n">
        <x:v>0.016016016016016016016016016</x:v>
      </x:c>
      <x:c r="I61" s="33" t="n">
        <x:v>0.035035035035035035035035035</x:v>
      </x:c>
      <x:c r="J61" s="33" t="n">
        <x:v>0.0530530530530530530530530531</x:v>
      </x:c>
      <x:c r="K61" s="33" t="n">
        <x:v>0.0640640640640640640640640641</x:v>
      </x:c>
      <x:c r="L61" s="33" t="n">
        <x:v>0.0740740740740740740740740741</x:v>
      </x:c>
      <x:c r="M61" s="33" t="n">
        <x:v>0.0830830830830830830830830831</x:v>
      </x:c>
      <x:c r="N61" s="33" t="n">
        <x:v>0.0950950950950950950950950951</x:v>
      </x:c>
      <x:c r="O61" s="33" t="n">
        <x:v>0.1291291291291291291291291291</x:v>
      </x:c>
      <x:c r="P61" s="33" t="n">
        <x:v>0.1631631631631631631631631632</x:v>
      </x:c>
      <x:c r="Q61" s="33" t="n">
        <x:v>0.1966966966966966966966966967</x:v>
      </x:c>
      <x:c r="R61" s="33" t="n">
        <x:v>0.2262262262262262262262262262</x:v>
      </x:c>
      <x:c r="S61" s="33" t="n">
        <x:v>0.2622622622622622622622622623</x:v>
      </x:c>
      <x:c r="T61" s="33" t="n">
        <x:v>0.2937937937937937937937937938</x:v>
      </x:c>
      <x:c r="U61" s="33" t="n">
        <x:v>0.3278278278278278278278278278</x:v>
      </x:c>
      <x:c r="V61" s="33" t="n">
        <x:v>0.3498498498498498498498498498</x:v>
      </x:c>
      <x:c r="W61" s="33" t="n">
        <x:v>0.3798798798798798798798798799</x:v>
      </x:c>
      <x:c r="X61" s="33" t="n">
        <x:v>0.4009009009009009009009009009</x:v>
      </x:c>
      <x:c r="Y61" s="33" t="n">
        <x:v>0.4259259259259259259259259259</x:v>
      </x:c>
      <x:c r="Z61" s="33" t="n">
        <x:v>0.4514514514514514514514514515</x:v>
      </x:c>
      <x:c r="AA61" s="33" t="n">
        <x:v>0.4734734734734734734734734735</x:v>
      </x:c>
      <x:c r="AB61" s="33" t="n">
        <x:v>0.501001001001001001001001001</x:v>
      </x:c>
      <x:c r="AC61" s="33" t="n">
        <x:v>0.52002002002002002002002002</x:v>
      </x:c>
      <x:c r="AD61" s="33" t="n">
        <x:v>0.546046046046046046046046046</x:v>
      </x:c>
      <x:c r="AE61" s="33" t="n">
        <x:v>0.5545545545545545545545545546</x:v>
      </x:c>
      <x:c r="AF61" s="33" t="n">
        <x:v>0.5765765765765765765765765766</x:v>
      </x:c>
      <x:c r="AG61" s="33" t="n">
        <x:v>0.5940940940940940940940940941</x:v>
      </x:c>
      <x:c r="AH61" s="33" t="n">
        <x:v>0.6066066066066066066066066066</x:v>
      </x:c>
      <x:c r="AI61" s="33" t="n">
        <x:v>0.6226226226226226226226226226</x:v>
      </x:c>
      <x:c r="AJ61" s="33" t="n">
        <x:v>0.6336336336336336336336336336</x:v>
      </x:c>
      <x:c r="AK61" s="33" t="n">
        <x:v>0.6476476476476476476476476476</x:v>
      </x:c>
      <x:c r="AL61" s="33" t="n">
        <x:v>0.6596596596596596596596596597</x:v>
      </x:c>
      <x:c r="AM61" s="24" t="n">
        <x:v>0.7437437437437437437437437437</x:v>
      </x:c>
      <x:c r="BC61" s="34" t="s"/>
      <x:c r="BD61" s="11" t="s">
        <x:v>177</x:v>
      </x:c>
      <x:c r="BE61" s="12" t="n">
        <x:f>=BO61</x:f>
      </x:c>
      <x:c r="BF61" s="12" t="n">
        <x:v>0.6641641641641641641641641642</x:v>
      </x:c>
      <x:c r="BG61" s="12" t="n">
        <x:v>0.3148148148148148148148148148</x:v>
      </x:c>
      <x:c r="BH61" s="12" t="n">
        <x:v>0.021021021021021021021021021</x:v>
      </x:c>
      <x:c r="BI61" s="12" t="n">
        <x:f>=BN61</x:f>
      </x:c>
      <x:c r="BJ61" s="13" t="n">
        <x:v>0</x:v>
      </x:c>
      <x:c r="BK61" s="31" t="n">
        <x:v>8510.43</x:v>
      </x:c>
      <x:c r="BL61" s="31" t="n">
        <x:v>-5532.6465</x:v>
      </x:c>
      <x:c r="BM61" s="31" t="n">
        <x:f>=BK61+BL61</x:f>
      </x:c>
      <x:c r="BN61" s="68" t="n">
        <x:f>=BM61/BK61</x:f>
      </x:c>
      <x:c r="BO61" s="68" t="n">
        <x:v>0.978978978978978978978978979</x:v>
      </x:c>
      <x:c r="BP61" s="31" t="n">
        <x:v>4797.45</x:v>
      </x:c>
      <x:c r="BQ61" s="42" t="n">
        <x:v>42</x:v>
      </x:c>
      <x:c r="BR61" s="31" t="n">
        <x:v>100.84729729729729729729729730</x:v>
      </x:c>
      <x:c r="BT61" s="31" t="n">
        <x:v>11290.95710707900350000000</x:v>
      </x:c>
      <x:c r="BU61" s="31" t="n">
        <x:v>-5532.6465</x:v>
      </x:c>
      <x:c r="BV61" s="31" t="n">
        <x:f>=BT61+BU61</x:f>
      </x:c>
      <x:c r="BW61" s="68" t="n">
        <x:f>=BV61/BT61</x:f>
      </x:c>
      <x:c r="BY61" s="68" t="n">
        <x:f>=BO61</x:f>
      </x:c>
      <x:c r="BZ61" s="68" t="n">
        <x:f>=BF61</x:f>
      </x:c>
      <x:c r="CA61" s="68" t="n">
        <x:f>=BG61</x:f>
      </x:c>
      <x:c r="CB61" s="68" t="n">
        <x:f>=1 - BY61</x:f>
      </x:c>
      <x:c r="CD61" s="68" t="n">
        <x:f>=CA61/(1-BZ61)</x:f>
      </x:c>
    </x:row>
    <x:row r="62">
      <x:c r="A62" s="32" t="s">
        <x:v>178</x:v>
      </x:c>
      <x:c r="B62" t="s"/>
      <x:c r="C62" t="s">
        <x:v>179</x:v>
      </x:c>
      <x:c r="D62" t="s">
        <x:v>96</x:v>
      </x:c>
      <x:c r="E62" t="s">
        <x:v>132</x:v>
      </x:c>
      <x:c r="F62" t="n">
        <x:v>1048</x:v>
      </x:c>
      <x:c r="G62" s="33" t="n">
        <x:v>0.0343511450381679389312977099</x:v>
      </x:c>
      <x:c r="H62" s="33" t="n">
        <x:v>0.0429389312977099236641221374</x:v>
      </x:c>
      <x:c r="I62" s="33" t="n">
        <x:v>0.0467557251908396946564885496</x:v>
      </x:c>
      <x:c r="J62" s="33" t="n">
        <x:v>0.0591603053435114503816793893</x:v>
      </x:c>
      <x:c r="K62" s="33" t="n">
        <x:v>0.0677480916030534351145038168</x:v>
      </x:c>
      <x:c r="L62" s="33" t="n">
        <x:v>0.0658396946564885496183206107</x:v>
      </x:c>
      <x:c r="M62" s="33" t="n">
        <x:v>0.0677480916030534351145038168</x:v>
      </x:c>
      <x:c r="N62" s="33" t="n">
        <x:v>0.071564885496183206106870229</x:v>
      </x:c>
      <x:c r="O62" s="33" t="n">
        <x:v>0.0772900763358778625954198473</x:v>
      </x:c>
      <x:c r="P62" s="33" t="n">
        <x:v>0.0830152671755725190839694656</x:v>
      </x:c>
      <x:c r="Q62" s="33" t="n">
        <x:v>0.0877862595419847328244274809</x:v>
      </x:c>
      <x:c r="R62" s="33" t="n">
        <x:v>0.1011450381679389312977099237</x:v>
      </x:c>
      <x:c r="S62" s="33" t="n">
        <x:v>0.1192748091603053435114503817</x:v>
      </x:c>
      <x:c r="T62" s="33" t="n">
        <x:v>0.1297709923664122137404580153</x:v>
      </x:c>
      <x:c r="U62" s="33" t="n">
        <x:v>0.1345419847328244274809160305</x:v>
      </x:c>
      <x:c r="V62" s="33" t="n">
        <x:v>0.1479007633587786259541984733</x:v>
      </x:c>
      <x:c r="W62" s="33" t="n">
        <x:v>0.160305343511450381679389313</x:v>
      </x:c>
      <x:c r="X62" s="33" t="n">
        <x:v>0.179389312977099236641221374</x:v>
      </x:c>
      <x:c r="Y62" s="33" t="n">
        <x:v>0.2013358778625954198473282443</x:v>
      </x:c>
      <x:c r="Z62" s="33" t="n">
        <x:v>0.2395038167938931297709923664</x:v>
      </x:c>
      <x:c r="AA62" s="33" t="n">
        <x:v>0.2776717557251908396946564885</x:v>
      </x:c>
      <x:c r="AB62" s="33" t="n">
        <x:v>0.304389312977099236641221374</x:v>
      </x:c>
      <x:c r="AC62" s="33" t="n">
        <x:v>0.3196564885496183206106870229</x:v>
      </x:c>
      <x:c r="AD62" s="33" t="n">
        <x:v>0.3520992366412213740458015267</x:v>
      </x:c>
      <x:c r="AE62" s="33" t="n">
        <x:v>0.3883587786259541984732824427</x:v>
      </x:c>
      <x:c r="AF62" s="33" t="n">
        <x:v>0.4351145038167938931297709924</x:v>
      </x:c>
      <x:c r="AG62" s="33" t="n">
        <x:v>0.4685114503816793893129770992</x:v>
      </x:c>
      <x:c r="AH62" s="33" t="n">
        <x:v>0.5</x:v>
      </x:c>
      <x:c r="AI62" s="33" t="n">
        <x:v>0.5095419847328244274809160305</x:v>
      </x:c>
      <x:c r="AJ62" s="33" t="n">
        <x:v>0.517175572519083969465648855</x:v>
      </x:c>
      <x:c r="AK62" s="33" t="n">
        <x:v>0.536259541984732824427480916</x:v>
      </x:c>
      <x:c r="AL62" s="33" t="n">
        <x:v>0.5477099236641221374045801527</x:v>
      </x:c>
      <x:c r="AM62" s="23" t="n">
        <x:v>0.6564885496183206106870229008</x:v>
      </x:c>
      <x:c r="BC62" s="34" t="s"/>
      <x:c r="BD62" s="11" t="s">
        <x:v>177</x:v>
      </x:c>
      <x:c r="BE62" s="12" t="n">
        <x:f>=BO62</x:f>
      </x:c>
      <x:c r="BF62" s="12" t="n">
        <x:v>0.5438931297709923664122137405</x:v>
      </x:c>
      <x:c r="BG62" s="12" t="n">
        <x:v>0.428435114503816793893129771</x:v>
      </x:c>
      <x:c r="BH62" s="12" t="n">
        <x:v>0.0276717557251908396946564885</x:v>
      </x:c>
      <x:c r="BI62" s="12" t="n">
        <x:f>=BN62</x:f>
      </x:c>
      <x:c r="BJ62" s="13" t="n">
        <x:v>0</x:v>
      </x:c>
      <x:c r="BK62" s="31" t="n">
        <x:v>8013.70</x:v>
      </x:c>
      <x:c r="BL62" s="31" t="n">
        <x:v>-6327.6965</x:v>
      </x:c>
      <x:c r="BM62" s="31" t="n">
        <x:f>=BK62+BL62</x:f>
      </x:c>
      <x:c r="BN62" s="68" t="n">
        <x:f>=BM62/BK62</x:f>
      </x:c>
      <x:c r="BO62" s="68" t="n">
        <x:v>0.9723282442748091603053435115</x:v>
      </x:c>
      <x:c r="BP62" s="31" t="n">
        <x:v>6113.49</x:v>
      </x:c>
      <x:c r="BQ62" s="42" t="n">
        <x:v>29</x:v>
      </x:c>
      <x:c r="BR62" s="31" t="n">
        <x:v>169.17100190839694656488549618</x:v>
      </x:c>
      <x:c r="BT62" s="31" t="n">
        <x:v>10958.88960177837400000000</x:v>
      </x:c>
      <x:c r="BU62" s="31" t="n">
        <x:v>-6327.6965</x:v>
      </x:c>
      <x:c r="BV62" s="31" t="n">
        <x:f>=BT62+BU62</x:f>
      </x:c>
      <x:c r="BW62" s="68" t="n">
        <x:f>=BV62/BT62</x:f>
      </x:c>
      <x:c r="BY62" s="68" t="n">
        <x:f>=BO62</x:f>
      </x:c>
      <x:c r="BZ62" s="68" t="n">
        <x:f>=BF62</x:f>
      </x:c>
      <x:c r="CA62" s="68" t="n">
        <x:f>=BG62</x:f>
      </x:c>
      <x:c r="CB62" s="68" t="n">
        <x:f>=1 - BY62</x:f>
      </x:c>
      <x:c r="CD62" s="68" t="n">
        <x:f>=CA62/(1-BZ62)</x:f>
      </x:c>
    </x:row>
    <x:row r="63">
      <x:c r="A63" s="32" t="s">
        <x:v>180</x:v>
      </x:c>
      <x:c r="B63" t="s"/>
      <x:c r="C63" t="s">
        <x:v>181</x:v>
      </x:c>
      <x:c r="D63" t="s">
        <x:v>96</x:v>
      </x:c>
      <x:c r="E63" t="s">
        <x:v>132</x:v>
      </x:c>
      <x:c r="F63" t="n">
        <x:v>3992</x:v>
      </x:c>
      <x:c r="G63" s="33" t="n">
        <x:v>0.0015030060120240480961923848</x:v>
      </x:c>
      <x:c r="H63" s="33" t="n">
        <x:v>0.0167835671342685370741482966</x:v>
      </x:c>
      <x:c r="I63" s="33" t="n">
        <x:v>0.0423346693386773547094188377</x:v>
      </x:c>
      <x:c r="J63" s="33" t="n">
        <x:v>0.0646292585170340681362725451</x:v>
      </x:c>
      <x:c r="K63" s="33" t="n">
        <x:v>0.0691382765531062124248496994</x:v>
      </x:c>
      <x:c r="L63" s="33" t="n">
        <x:v>0.0791583166332665330661322645</x:v>
      </x:c>
      <x:c r="M63" s="33" t="n">
        <x:v>0.0921843687374749498997995992</x:v>
      </x:c>
      <x:c r="N63" s="33" t="n">
        <x:v>0.1337675350701402805611222445</x:v>
      </x:c>
      <x:c r="O63" s="33" t="n">
        <x:v>0.189378757515030060120240481</x:v>
      </x:c>
      <x:c r="P63" s="33" t="n">
        <x:v>0.2585170340681362725450901804</x:v>
      </x:c>
      <x:c r="Q63" s="33" t="n">
        <x:v>0.3389278557114228456913827655</x:v>
      </x:c>
      <x:c r="R63" s="33" t="n">
        <x:v>0.4240981963927855711422845691</x:v>
      </x:c>
      <x:c r="S63" s="33" t="n">
        <x:v>0.4501503006012024048096192385</x:v>
      </x:c>
      <x:c r="T63" s="33" t="n">
        <x:v>0.4554108216432865731462925852</x:v>
      </x:c>
      <x:c r="U63" s="33" t="n">
        <x:v>0.4634268537074148296593186373</x:v>
      </x:c>
      <x:c r="V63" s="33" t="n">
        <x:v>0.4664328657314629258517034068</x:v>
      </x:c>
      <x:c r="W63" s="33" t="n">
        <x:v>0.4696893787575150300601202405</x:v>
      </x:c>
      <x:c r="X63" s="33" t="n">
        <x:v>0.4694388777555110220440881764</x:v>
      </x:c>
      <x:c r="Y63" s="33" t="n">
        <x:v>0.470691382765531062124248497</x:v>
      </x:c>
      <x:c r="Z63" s="33" t="n">
        <x:v>0.4714428857715430861723446894</x:v>
      </x:c>
      <x:c r="AA63" s="33" t="n">
        <x:v>0.4721943887775551102204408818</x:v>
      </x:c>
      <x:c r="AB63" s="33" t="n">
        <x:v>0.4734468937875751503006012024</x:v>
      </x:c>
      <x:c r="AC63" s="33" t="n">
        <x:v>0.4834669338677354709418837675</x:v>
      </x:c>
      <x:c r="AD63" s="33" t="n">
        <x:v>0.5746492985971943887775551102</x:v>
      </x:c>
      <x:c r="AE63" s="33" t="n">
        <x:v>0.6603206412825651302605210421</x:v>
      </x:c>
      <x:c r="AF63" s="24" t="n">
        <x:v>0.7384769539078156312625250501</x:v>
      </x:c>
      <x:c r="AG63" s="33" t="n">
        <x:v>0.7950901803607214428857715431</x:v>
      </x:c>
      <x:c r="AH63" s="33" t="n">
        <x:v>0.8361723446893787575150300601</x:v>
      </x:c>
      <x:c r="AI63" s="33" t="n">
        <x:v>0.8607214428857715430861723447</x:v>
      </x:c>
      <x:c r="AJ63" s="33" t="n">
        <x:v>0.8717434869739478957915831663</x:v>
      </x:c>
      <x:c r="AK63" s="33" t="n">
        <x:v>0.8865230460921843687374749499</x:v>
      </x:c>
      <x:c r="AL63" s="23" t="n">
        <x:v>0.9070641282565130260521042084</x:v>
      </x:c>
      <x:c r="BC63" s="34" t="s"/>
      <x:c r="BD63" s="11" t="s">
        <x:v>182</x:v>
      </x:c>
      <x:c r="BE63" s="12" t="n">
        <x:f>=BO63</x:f>
      </x:c>
      <x:c r="BF63" s="12" t="n">
        <x:v>0.8900300601202404809619238477</x:v>
      </x:c>
      <x:c r="BG63" s="12" t="n">
        <x:v>0.074148296593186372745490982</x:v>
      </x:c>
      <x:c r="BH63" s="12" t="n">
        <x:v>0.0358216432865731462925851703</x:v>
      </x:c>
      <x:c r="BI63" s="12" t="n">
        <x:f>=BN63</x:f>
      </x:c>
      <x:c r="BJ63" s="13" t="n">
        <x:v>0</x:v>
      </x:c>
      <x:c r="BK63" s="31" t="n">
        <x:v>12144.58</x:v>
      </x:c>
      <x:c r="BL63" s="31" t="n">
        <x:v>-7280.6973</x:v>
      </x:c>
      <x:c r="BM63" s="31" t="n">
        <x:f>=BK63+BL63</x:f>
      </x:c>
      <x:c r="BN63" s="68" t="n">
        <x:f>=BM63/BK63</x:f>
      </x:c>
      <x:c r="BO63" s="68" t="n">
        <x:v>0.9641783567134268537074148297</x:v>
      </x:c>
      <x:c r="BP63" s="31" t="n">
        <x:v>6485.65</x:v>
      </x:c>
      <x:c r="BQ63" s="42" t="n">
        <x:v>143</x:v>
      </x:c>
      <x:c r="BR63" s="31" t="n">
        <x:v>232.32664078156312625250501002</x:v>
      </x:c>
      <x:c r="BT63" s="31" t="n">
        <x:v>15876.451859780695000000000</x:v>
      </x:c>
      <x:c r="BU63" s="31" t="n">
        <x:v>-7280.6973</x:v>
      </x:c>
      <x:c r="BV63" s="31" t="n">
        <x:f>=BT63+BU63</x:f>
      </x:c>
      <x:c r="BW63" s="68" t="n">
        <x:f>=BV63/BT63</x:f>
      </x:c>
      <x:c r="BY63" s="68" t="n">
        <x:f>=BO63</x:f>
      </x:c>
      <x:c r="BZ63" s="68" t="n">
        <x:f>=BF63</x:f>
      </x:c>
      <x:c r="CA63" s="68" t="n">
        <x:f>=BG63</x:f>
      </x:c>
      <x:c r="CB63" s="68" t="n">
        <x:f>=1 - BY63</x:f>
      </x:c>
      <x:c r="CD63" s="68" t="n">
        <x:f>=CA63/(1-BZ63)</x:f>
      </x:c>
    </x:row>
    <x:row r="64">
      <x:c r="A64" s="32" t="s">
        <x:v>183</x:v>
      </x:c>
      <x:c r="B64" t="s"/>
      <x:c r="C64" t="s">
        <x:v>184</x:v>
      </x:c>
      <x:c r="D64" t="s">
        <x:v>96</x:v>
      </x:c>
      <x:c r="E64" t="s">
        <x:v>132</x:v>
      </x:c>
      <x:c r="F64" t="n">
        <x:v>1009</x:v>
      </x:c>
      <x:c r="G64" s="33" t="n">
        <x:v>0.0376610505450941526263627354</x:v>
      </x:c>
      <x:c r="H64" s="33" t="n">
        <x:v>0.1446977205153617443012884044</x:v>
      </x:c>
      <x:c r="I64" s="33" t="n">
        <x:v>0.1555996035678889990089197225</x:v>
      </x:c>
      <x:c r="J64" s="33" t="n">
        <x:v>0.1536174430128840436075322101</x:v>
      </x:c>
      <x:c r="K64" s="33" t="n">
        <x:v>0.1536174430128840436075322101</x:v>
      </x:c>
      <x:c r="L64" s="33" t="n">
        <x:v>0.1575817641228939544103072349</x:v>
      </x:c>
      <x:c r="M64" s="33" t="n">
        <x:v>0.1615460852329038652130822597</x:v>
      </x:c>
      <x:c r="N64" s="33" t="n">
        <x:v>0.1674925668979187314172447968</x:v>
      </x:c>
      <x:c r="O64" s="33" t="n">
        <x:v>0.178394449950445986124876115</x:v>
      </x:c>
      <x:c r="P64" s="33" t="n">
        <x:v>0.1863230921704658077304261645</x:v>
      </x:c>
      <x:c r="Q64" s="33" t="n">
        <x:v>0.1932606541129831516352824579</x:v>
      </x:c>
      <x:c r="R64" s="33" t="n">
        <x:v>0.2051536174430128840436075322</x:v>
      </x:c>
      <x:c r="S64" s="33" t="n">
        <x:v>0.2120911793855302279484638256</x:v>
      </x:c>
      <x:c r="T64" s="33" t="n">
        <x:v>0.2269573835480673934588701685</x:v>
      </x:c>
      <x:c r="U64" s="33" t="n">
        <x:v>0.2388503468780971258671952428</x:v>
      </x:c>
      <x:c r="V64" s="33" t="n">
        <x:v>0.2507433102081268582755203171</x:v>
      </x:c>
      <x:c r="W64" s="33" t="n">
        <x:v>0.2626362735381565906838453915</x:v>
      </x:c>
      <x:c r="X64" s="33" t="n">
        <x:v>0.2775024777006937561942517344</x:v>
      </x:c>
      <x:c r="Y64" s="33" t="n">
        <x:v>0.2983151635282457879088206145</x:v>
      </x:c>
      <x:c r="Z64" s="33" t="n">
        <x:v>0.3082259663032705649157581764</x:v>
      </x:c>
      <x:c r="AA64" s="33" t="n">
        <x:v>0.3230921704658077304261645193</x:v>
      </x:c>
      <x:c r="AB64" s="33" t="n">
        <x:v>0.346878097125867195242814668</x:v>
      </x:c>
      <x:c r="AC64" s="33" t="n">
        <x:v>0.3706640237859266600594648167</x:v>
      </x:c>
      <x:c r="AD64" s="33" t="n">
        <x:v>0.3795837462834489593657086224</x:v>
      </x:c>
      <x:c r="AE64" s="33" t="n">
        <x:v>0.3924677898909811694747274529</x:v>
      </x:c>
      <x:c r="AF64" s="33" t="n">
        <x:v>0.4063429137760158572844400396</x:v>
      </x:c>
      <x:c r="AG64" s="33" t="n">
        <x:v>0.4073339940535183349851337958</x:v>
      </x:c>
      <x:c r="AH64" s="33" t="n">
        <x:v>0.4172447968285431119920713578</x:v>
      </x:c>
      <x:c r="AI64" s="33" t="n">
        <x:v>0.4202180376610505450941526264</x:v>
      </x:c>
      <x:c r="AJ64" s="23" t="n">
        <x:v>0.5282457879088206144697720515</x:v>
      </x:c>
      <x:c r="BC64" s="34" t="s"/>
      <x:c r="BD64" s="11" t="s">
        <x:v>185</x:v>
      </x:c>
      <x:c r="BE64" s="12" t="n">
        <x:f>=BO64</x:f>
      </x:c>
      <x:c r="BF64" s="12" t="n">
        <x:v>0.4261645193260654112983151635</x:v>
      </x:c>
      <x:c r="BG64" s="12" t="n">
        <x:v>0.5579781962338949454905847374</x:v>
      </x:c>
      <x:c r="BH64" s="12" t="n">
        <x:v>0.0158572844400396432111000991</x:v>
      </x:c>
      <x:c r="BI64" s="12" t="n">
        <x:f>=BN64</x:f>
      </x:c>
      <x:c r="BJ64" s="13" t="n">
        <x:v>0</x:v>
      </x:c>
      <x:c r="BK64" s="31" t="n">
        <x:v>7401.11</x:v>
      </x:c>
      <x:c r="BL64" s="31" t="n">
        <x:v>-6091.9048</x:v>
      </x:c>
      <x:c r="BM64" s="31" t="n">
        <x:f>=BK64+BL64</x:f>
      </x:c>
      <x:c r="BN64" s="68" t="n">
        <x:f>=BM64/BK64</x:f>
      </x:c>
      <x:c r="BO64" s="68" t="n">
        <x:v>0.9841427155599603567888999009</x:v>
      </x:c>
      <x:c r="BP64" s="31" t="n">
        <x:v>5885.66</x:v>
      </x:c>
      <x:c r="BQ64" s="42" t="n">
        <x:v>16</x:v>
      </x:c>
      <x:c r="BR64" s="31" t="n">
        <x:v>93.33058473736372646184340932</x:v>
      </x:c>
      <x:c r="BT64" s="31" t="n">
        <x:v>10234.753232546421125000000</x:v>
      </x:c>
      <x:c r="BU64" s="31" t="n">
        <x:v>-6091.9048</x:v>
      </x:c>
      <x:c r="BV64" s="31" t="n">
        <x:f>=BT64+BU64</x:f>
      </x:c>
      <x:c r="BW64" s="68" t="n">
        <x:f>=BV64/BT64</x:f>
      </x:c>
      <x:c r="BY64" s="68" t="n">
        <x:f>=BO64</x:f>
      </x:c>
      <x:c r="BZ64" s="68" t="n">
        <x:f>=BF64</x:f>
      </x:c>
      <x:c r="CA64" s="68" t="n">
        <x:f>=BG64</x:f>
      </x:c>
      <x:c r="CB64" s="68" t="n">
        <x:f>=1 - BY64</x:f>
      </x:c>
      <x:c r="CD64" s="68" t="n">
        <x:f>=CA64/(1-BZ64)</x:f>
      </x:c>
    </x:row>
    <x:row r="65">
      <x:c r="A65" s="32" t="s">
        <x:v>186</x:v>
      </x:c>
      <x:c r="B65" t="s"/>
      <x:c r="C65" t="s">
        <x:v>187</x:v>
      </x:c>
      <x:c r="D65" t="s">
        <x:v>96</x:v>
      </x:c>
      <x:c r="E65" t="s">
        <x:v>132</x:v>
      </x:c>
      <x:c r="F65" t="n">
        <x:v>5241</x:v>
      </x:c>
      <x:c r="G65" s="33" t="n">
        <x:v>0.0364434268269414233924823507</x:v>
      </x:c>
      <x:c r="H65" s="33" t="n">
        <x:v>0.1156267887807670291929021179</x:v>
      </x:c>
      <x:c r="I65" s="33" t="n">
        <x:v>0.226483495516122877313489792</x:v>
      </x:c>
      <x:c r="J65" s="33" t="n">
        <x:v>0.3171150543789353176874642244</x:v>
      </x:c>
      <x:c r="K65" s="33" t="n">
        <x:v>0.3455447433695859568784583095</x:v>
      </x:c>
      <x:c r="L65" s="33" t="n">
        <x:v>0.3718755962602556763976340393</x:v>
      </x:c>
      <x:c r="M65" s="33" t="n">
        <x:v>0.3770272848692997519557336386</x:v>
      </x:c>
      <x:c r="N65" s="33" t="n">
        <x:v>0.3795077275329135661133371494</x:v>
      </x:c>
      <x:c r="O65" s="33" t="n">
        <x:v>0.3802709406601793550849074604</x:v>
      </x:c>
      <x:c r="P65" s="33" t="n">
        <x:v>0.3829421866056096164854035489</x:v>
      </x:c>
      <x:c r="Q65" s="33" t="n">
        <x:v>0.3850410227055905361572219042</x:v>
      </x:c>
      <x:c r="R65" s="33" t="n">
        <x:v>0.3892386949055523755008586148</x:v>
      </x:c>
      <x:c r="S65" s="33" t="n">
        <x:v>0.3911467277237168479297843923</x:v>
      </x:c>
      <x:c r="T65" s="33" t="n">
        <x:v>0.39133753100553329517267697</x:v>
      </x:c>
      <x:c r="U65" s="33" t="n">
        <x:v>0.3911467277237168479297843923</x:v>
      </x:c>
      <x:c r="V65" s="33" t="n">
        <x:v>0.4087006296508299942759015455</x:v>
      </x:c>
      <x:c r="W65" s="33" t="n">
        <x:v>0.4731921389047891623735928258</x:v>
      </x:c>
      <x:c r="X65" s="33" t="n">
        <x:v>0.594733829421866056096164854</x:v>
      </x:c>
      <x:c r="Y65" s="24" t="n">
        <x:v>0.7324937988933409654646059912</x:v>
      </x:c>
      <x:c r="Z65" s="33" t="n">
        <x:v>0.8496470139286395726006487312</x:v>
      </x:c>
      <x:c r="AA65" s="33" t="n">
        <x:v>0.9002098836099980919671818355</x:v>
      </x:c>
      <x:c r="AB65" s="33" t="n">
        <x:v>0.9253959168097691280290020988</x:v>
      </x:c>
      <x:c r="AC65" s="33" t="n">
        <x:v>0.9400877695096355657317305858</x:v>
      </x:c>
      <x:c r="AD65" s="33" t="n">
        <x:v>0.9555428353367677924060293837</x:v>
      </x:c>
      <x:c r="AE65" s="23" t="n">
        <x:v>0.95840488456401450104941805</x:v>
      </x:c>
      <x:c r="BC65" s="34" t="s"/>
      <x:c r="BD65" s="11" t="s">
        <x:v>188</x:v>
      </x:c>
      <x:c r="BE65" s="12" t="n">
        <x:f>=BO65</x:f>
      </x:c>
      <x:c r="BF65" s="12" t="n">
        <x:v>0.9528715893913375310055332952</x:v>
      </x:c>
      <x:c r="BG65" s="12" t="n">
        <x:v>0.0190803281816447242892577752</x:v>
      </x:c>
      <x:c r="BH65" s="12" t="n">
        <x:v>0.0280480824270177447052089296</x:v>
      </x:c>
      <x:c r="BI65" s="12" t="n">
        <x:f>=BN65</x:f>
      </x:c>
      <x:c r="BJ65" s="13" t="n">
        <x:v>0</x:v>
      </x:c>
      <x:c r="BK65" s="31" t="n">
        <x:v>20631.03</x:v>
      </x:c>
      <x:c r="BL65" s="31" t="n">
        <x:v>-11217.2391</x:v>
      </x:c>
      <x:c r="BM65" s="31" t="n">
        <x:f>=BK65+BL65</x:f>
      </x:c>
      <x:c r="BN65" s="68" t="n">
        <x:f>=BM65/BK65</x:f>
      </x:c>
      <x:c r="BO65" s="68" t="n">
        <x:v>0.9719519175729822552947910704</x:v>
      </x:c>
      <x:c r="BP65" s="31" t="n">
        <x:v>10299.30</x:v>
      </x:c>
      <x:c r="BQ65" s="42" t="n">
        <x:v>147</x:v>
      </x:c>
      <x:c r="BR65" s="31" t="n">
        <x:v>288.87561534058385804235832856</x:v>
      </x:c>
      <x:c r="BT65" s="31" t="n">
        <x:v>26601.329148044737875000000</x:v>
      </x:c>
      <x:c r="BU65" s="31" t="n">
        <x:v>-11217.2391</x:v>
      </x:c>
      <x:c r="BV65" s="31" t="n">
        <x:f>=BT65+BU65</x:f>
      </x:c>
      <x:c r="BW65" s="68" t="n">
        <x:f>=BV65/BT65</x:f>
      </x:c>
      <x:c r="BY65" s="68" t="n">
        <x:f>=BO65</x:f>
      </x:c>
      <x:c r="BZ65" s="68" t="n">
        <x:f>=BF65</x:f>
      </x:c>
      <x:c r="CA65" s="68" t="n">
        <x:f>=BG65</x:f>
      </x:c>
      <x:c r="CB65" s="68" t="n">
        <x:f>=1 - BY65</x:f>
      </x:c>
      <x:c r="CD65" s="68" t="n">
        <x:f>=CA65/(1-BZ65)</x:f>
      </x:c>
    </x:row>
    <x:row r="66">
      <x:c r="A66" s="32" t="s">
        <x:v>189</x:v>
      </x:c>
      <x:c r="B66" t="s"/>
      <x:c r="C66" t="s">
        <x:v>190</x:v>
      </x:c>
      <x:c r="D66" t="s">
        <x:v>96</x:v>
      </x:c>
      <x:c r="E66" t="s">
        <x:v>132</x:v>
      </x:c>
      <x:c r="F66" t="n">
        <x:v>3059</x:v>
      </x:c>
      <x:c r="G66" s="33" t="n">
        <x:v>0.0042497548218372016999019287</x:v>
      </x:c>
      <x:c r="H66" s="33" t="n">
        <x:v>0.0297482837528604118993135011</x:v>
      </x:c>
      <x:c r="I66" s="33" t="n">
        <x:v>0.0611310885910428244524354364</x:v>
      </x:c>
      <x:c r="J66" s="33" t="n">
        <x:v>0.099378881987577639751552795</x:v>
      </x:c>
      <x:c r="K66" s="33" t="n">
        <x:v>0.1284733573063092513893429225</x:v>
      </x:c>
      <x:c r="L66" s="33" t="n">
        <x:v>0.1641059169663288656423667865</x:v>
      </x:c>
      <x:c r="M66" s="33" t="n">
        <x:v>0.2075841778358940830336711344</x:v>
      </x:c>
      <x:c r="N66" s="33" t="n">
        <x:v>0.3553448839490029421379535796</x:v>
      </x:c>
      <x:c r="O66" s="33" t="n">
        <x:v>0.3687479568486433474991827395</x:v>
      </x:c>
      <x:c r="P66" s="33" t="n">
        <x:v>0.3886891140895717554756456358</x:v>
      </x:c>
      <x:c r="Q66" s="33" t="n">
        <x:v>0.41091860084995096436744034</x:v>
      </x:c>
      <x:c r="R66" s="33" t="n">
        <x:v>0.4341288002615233736515201046</x:v>
      </x:c>
      <x:c r="S66" s="33" t="n">
        <x:v>0.4606080418437397842432167375</x:v>
      </x:c>
      <x:c r="T66" s="33" t="n">
        <x:v>0.4753187316116377901274926447</x:v>
      </x:c>
      <x:c r="U66" s="33" t="n">
        <x:v>0.4965675057208237986270022883</x:v>
      </x:c>
      <x:c r="V66" s="33" t="n">
        <x:v>0.5129127165740438051650866296</x:v>
      </x:c>
      <x:c r="W66" s="33" t="n">
        <x:v>0.5217391304347826086956521739</x:v>
      </x:c>
      <x:c r="X66" s="33" t="n">
        <x:v>0.5351422033344230140568813338</x:v>
      </x:c>
      <x:c r="Y66" s="33" t="n">
        <x:v>0.54789146779993461915658712</x:v>
      </x:c>
      <x:c r="Z66" s="33" t="n">
        <x:v>0.5550833605753514220333442301</x:v>
      </x:c>
      <x:c r="AA66" s="33" t="n">
        <x:v>0.560967636482510624387054593</x:v>
      </x:c>
      <x:c r="AB66" s="33" t="n">
        <x:v>0.5675057208237986270022883295</x:v>
      </x:c>
      <x:c r="AC66" s="33" t="n">
        <x:v>0.5717554756456358287021902583</x:v>
      </x:c>
      <x:c r="AD66" s="23" t="n">
        <x:v>0.6165413533834586466165413534</x:v>
      </x:c>
      <x:c r="BC66" s="34" t="s"/>
      <x:c r="BD66" s="11" t="s">
        <x:v>191</x:v>
      </x:c>
      <x:c r="BE66" s="12" t="n">
        <x:f>=BO66</x:f>
      </x:c>
      <x:c r="BF66" s="12" t="n">
        <x:v>0.5782935599869238313174239948</x:v>
      </x:c>
      <x:c r="BG66" s="12" t="n">
        <x:v>0.4079764628963713631905851585</x:v>
      </x:c>
      <x:c r="BH66" s="12" t="n">
        <x:v>0.0137299771167048054919908467</x:v>
      </x:c>
      <x:c r="BI66" s="12" t="n">
        <x:f>=BN66</x:f>
      </x:c>
      <x:c r="BJ66" s="13" t="n">
        <x:v>0</x:v>
      </x:c>
      <x:c r="BK66" s="31" t="n">
        <x:v>15535.65</x:v>
      </x:c>
      <x:c r="BL66" s="31" t="n">
        <x:v>-12292.9807</x:v>
      </x:c>
      <x:c r="BM66" s="31" t="n">
        <x:f>=BK66+BL66</x:f>
      </x:c>
      <x:c r="BN66" s="68" t="n">
        <x:f>=BM66/BK66</x:f>
      </x:c>
      <x:c r="BO66" s="68" t="n">
        <x:v>0.9862700228832951945080091533</x:v>
      </x:c>
      <x:c r="BP66" s="31" t="n">
        <x:v>11885.72</x:v>
      </x:c>
      <x:c r="BQ66" s="42" t="n">
        <x:v>42</x:v>
      </x:c>
      <x:c r="BR66" s="31" t="n">
        <x:v>163.19066361556064073226544623</x:v>
      </x:c>
      <x:c r="BT66" s="31" t="n">
        <x:v>20924.79817337210475000000</x:v>
      </x:c>
      <x:c r="BU66" s="31" t="n">
        <x:v>-12292.9807</x:v>
      </x:c>
      <x:c r="BV66" s="31" t="n">
        <x:f>=BT66+BU66</x:f>
      </x:c>
      <x:c r="BW66" s="68" t="n">
        <x:f>=BV66/BT66</x:f>
      </x:c>
      <x:c r="BY66" s="68" t="n">
        <x:f>=BO66</x:f>
      </x:c>
      <x:c r="BZ66" s="68" t="n">
        <x:f>=BF66</x:f>
      </x:c>
      <x:c r="CA66" s="68" t="n">
        <x:f>=BG66</x:f>
      </x:c>
      <x:c r="CB66" s="68" t="n">
        <x:f>=1 - BY66</x:f>
      </x:c>
      <x:c r="CD66" s="68" t="n">
        <x:f>=CA66/(1-BZ66)</x:f>
      </x:c>
    </x:row>
    <x:row r="67">
      <x:c r="A67" s="32" t="s">
        <x:v>192</x:v>
      </x:c>
      <x:c r="B67" t="s"/>
      <x:c r="C67" t="s">
        <x:v>193</x:v>
      </x:c>
      <x:c r="D67" t="s">
        <x:v>96</x:v>
      </x:c>
      <x:c r="E67" t="s">
        <x:v>132</x:v>
      </x:c>
      <x:c r="F67" t="n">
        <x:v>3115</x:v>
      </x:c>
      <x:c r="G67" s="33" t="n">
        <x:v>0.0035313001605136436597110754</x:v>
      </x:c>
      <x:c r="H67" s="33" t="n">
        <x:v>0.0645264847512038523274478331</x:v>
      </x:c>
      <x:c r="I67" s="33" t="n">
        <x:v>0.1434991974317817014446227929</x:v>
      </x:c>
      <x:c r="J67" s="33" t="n">
        <x:v>0.2513643659711075441412520064</x:v>
      </x:c>
      <x:c r="K67" s="33" t="n">
        <x:v>0.3547351524879614767255216693</x:v>
      </x:c>
      <x:c r="L67" s="33" t="n">
        <x:v>0.4439807383627608346709470305</x:v>
      </x:c>
      <x:c r="M67" s="33" t="n">
        <x:v>0.5213483146067415730337078652</x:v>
      </x:c>
      <x:c r="N67" s="33" t="n">
        <x:v>0.6093097913322632423756019262</x:v>
      </x:c>
      <x:c r="O67" s="33" t="n">
        <x:v>0.6568218298555377207062600321</x:v>
      </x:c>
      <x:c r="P67" s="24" t="n">
        <x:v>0.7011235955056179775280898876</x:v>
      </x:c>
      <x:c r="Q67" s="33" t="n">
        <x:v>0.7242375601926163723916532905</x:v>
      </x:c>
      <x:c r="R67" s="33" t="n">
        <x:v>0.743820224719101123595505618</x:v>
      </x:c>
      <x:c r="S67" s="33" t="n">
        <x:v>0.7550561797752808988764044944</x:v>
      </x:c>
      <x:c r="T67" s="33" t="n">
        <x:v>0.7595505617977528089887640449</x:v>
      </x:c>
      <x:c r="U67" s="33" t="n">
        <x:v>0.7662921348314606741573033708</x:v>
      </x:c>
      <x:c r="V67" s="33" t="n">
        <x:v>0.7714285714285714285714285714</x:v>
      </x:c>
      <x:c r="W67" s="33" t="n">
        <x:v>0.7804173354735152487961476726</x:v>
      </x:c>
      <x:c r="X67" s="33" t="n">
        <x:v>0.7874799357945425361155698234</x:v>
      </x:c>
      <x:c r="Y67" s="33" t="n">
        <x:v>0.7926163723916532905296950241</x:v>
      </x:c>
      <x:c r="Z67" s="33" t="n">
        <x:v>0.7967897271268057784911717496</x:v>
      </x:c>
      <x:c r="AA67" s="33" t="n">
        <x:v>0.7987158908507223113964686998</x:v>
      </x:c>
      <x:c r="AB67" s="33" t="n">
        <x:v>0.8019261637239165329052969502</x:v>
      </x:c>
      <x:c r="AC67" s="33" t="n">
        <x:v>0.8051364365971107544141252006</x:v>
      </x:c>
      <x:c r="AD67" s="23" t="n">
        <x:v>0.8141252006420545746388443018</x:v>
      </x:c>
      <x:c r="BC67" s="34" t="s"/>
      <x:c r="BD67" s="11" t="s">
        <x:v>191</x:v>
      </x:c>
      <x:c r="BE67" s="12" t="n">
        <x:f>=BO67</x:f>
      </x:c>
      <x:c r="BF67" s="12" t="n">
        <x:v>0.8073836276083467094703049759</x:v>
      </x:c>
      <x:c r="BG67" s="12" t="n">
        <x:v>0.1861958266452648475120385233</x:v>
      </x:c>
      <x:c r="BH67" s="12" t="n">
        <x:v>0.0064205457463884430176565008</x:v>
      </x:c>
      <x:c r="BI67" s="12" t="n">
        <x:f>=BN67</x:f>
      </x:c>
      <x:c r="BJ67" s="13" t="n">
        <x:v>0</x:v>
      </x:c>
      <x:c r="BK67" s="31" t="n">
        <x:v>17363.77</x:v>
      </x:c>
      <x:c r="BL67" s="31" t="n">
        <x:v>-12539.2531</x:v>
      </x:c>
      <x:c r="BM67" s="31" t="n">
        <x:f>=BK67+BL67</x:f>
      </x:c>
      <x:c r="BN67" s="68" t="n">
        <x:f>=BM67/BK67</x:f>
      </x:c>
      <x:c r="BO67" s="68" t="n">
        <x:v>0.9935794542536115569823434992</x:v>
      </x:c>
      <x:c r="BP67" s="31" t="n">
        <x:v>12124.23</x:v>
      </x:c>
      <x:c r="BQ67" s="42" t="n">
        <x:v>20</x:v>
      </x:c>
      <x:c r="BR67" s="31" t="n">
        <x:v>77.844173354735152487961476726</x:v>
      </x:c>
      <x:c r="BT67" s="31" t="n">
        <x:v>22863.58367497192750000000</x:v>
      </x:c>
      <x:c r="BU67" s="31" t="n">
        <x:v>-12539.2531</x:v>
      </x:c>
      <x:c r="BV67" s="31" t="n">
        <x:f>=BT67+BU67</x:f>
      </x:c>
      <x:c r="BW67" s="68" t="n">
        <x:f>=BV67/BT67</x:f>
      </x:c>
      <x:c r="BY67" s="68" t="n">
        <x:f>=BO67</x:f>
      </x:c>
      <x:c r="BZ67" s="68" t="n">
        <x:f>=BF67</x:f>
      </x:c>
      <x:c r="CA67" s="68" t="n">
        <x:f>=BG67</x:f>
      </x:c>
      <x:c r="CB67" s="68" t="n">
        <x:f>=1 - BY67</x:f>
      </x:c>
      <x:c r="CD67" s="68" t="n">
        <x:f>=CA67/(1-BZ67)</x:f>
      </x:c>
    </x:row>
    <x:row r="68">
      <x:c r="A68" s="32" t="s">
        <x:v>194</x:v>
      </x:c>
      <x:c r="B68" t="s"/>
      <x:c r="C68" t="s">
        <x:v>195</x:v>
      </x:c>
      <x:c r="D68" t="s">
        <x:v>96</x:v>
      </x:c>
      <x:c r="E68" t="s">
        <x:v>132</x:v>
      </x:c>
      <x:c r="F68" t="n">
        <x:v>2062</x:v>
      </x:c>
      <x:c r="G68" s="33" t="n">
        <x:v>0.0009699321047526673132880698</x:v>
      </x:c>
      <x:c r="H68" s="33" t="n">
        <x:v>0.0126091173617846750727449079</x:v>
      </x:c>
      <x:c r="I68" s="33" t="n">
        <x:v>0.0135790494665373423860329777</x:v>
      </x:c>
      <x:c r="J68" s="33" t="n">
        <x:v>0.0436469447138700290979631426</x:v>
      </x:c>
      <x:c r="K68" s="33" t="n">
        <x:v>0.1018428709990300678952473327</x:v>
      </x:c>
      <x:c r="L68" s="33" t="n">
        <x:v>0.1813773035887487875848690592</x:v>
      </x:c>
      <x:c r="M68" s="33" t="n">
        <x:v>0.270611057225994180407371484</x:v>
      </x:c>
      <x:c r="N68" s="33" t="n">
        <x:v>0.3952473326867119301648884578</x:v>
      </x:c>
      <x:c r="O68" s="33" t="n">
        <x:v>0.5130940834141610087293889428</x:v>
      </x:c>
      <x:c r="P68" s="33" t="n">
        <x:v>0.6959262851600387972841901067</x:v>
      </x:c>
      <x:c r="Q68" s="24" t="n">
        <x:v>0.8089233753637245392822502425</x:v>
      </x:c>
      <x:c r="R68" s="33" t="n">
        <x:v>0.8962172647914645974781765276</x:v>
      </x:c>
      <x:c r="S68" s="33" t="n">
        <x:v>0.9180407371483996120271580989</x:v>
      </x:c>
      <x:c r="T68" s="33" t="n">
        <x:v>0.9282250242483026188166828322</x:v>
      </x:c>
      <x:c r="U68" s="33" t="n">
        <x:v>0.9485935984481086323957322987</x:v>
      </x:c>
      <x:c r="V68" s="33" t="n">
        <x:v>0.9607177497575169738118331717</x:v>
      </x:c>
      <x:c r="W68" s="33" t="n">
        <x:v>0.9621726479146459747817652764</x:v>
      </x:c>
      <x:c r="X68" s="33" t="n">
        <x:v>0.9641125121241513094083414161</x:v>
      </x:c>
      <x:c r="Y68" s="33" t="n">
        <x:v>0.9655674102812803103782735209</x:v>
      </x:c>
      <x:c r="Z68" s="33" t="n">
        <x:v>0.97041707080504364694471387</x:v>
      </x:c>
      <x:c r="AA68" s="33" t="n">
        <x:v>0.9742967992240543161978661494</x:v>
      </x:c>
      <x:c r="AB68" s="33" t="n">
        <x:v>0.9786614936954413191076624636</x:v>
      </x:c>
      <x:c r="AC68" s="23" t="n">
        <x:v>0.982541222114451988360814743</x:v>
      </x:c>
      <x:c r="BC68" s="34" t="s"/>
      <x:c r="BD68" s="11" t="s">
        <x:v>196</x:v>
      </x:c>
      <x:c r="BE68" s="12" t="n">
        <x:f>=BO68</x:f>
      </x:c>
      <x:c r="BF68" s="12" t="n">
        <x:v>0.9786614936954413191076624636</x:v>
      </x:c>
      <x:c r="BG68" s="12" t="n">
        <x:v>0.0130940834141610087293889428</x:v>
      </x:c>
      <x:c r="BH68" s="12" t="n">
        <x:v>0.0082444228903976721629485936</x:v>
      </x:c>
      <x:c r="BI68" s="12" t="n">
        <x:f>=BN68</x:f>
      </x:c>
      <x:c r="BJ68" s="13" t="n">
        <x:v>0</x:v>
      </x:c>
      <x:c r="BK68" s="31" t="n">
        <x:v>7793.99</x:v>
      </x:c>
      <x:c r="BL68" s="31" t="n">
        <x:v>-4183.0060</x:v>
      </x:c>
      <x:c r="BM68" s="31" t="n">
        <x:f>=BK68+BL68</x:f>
      </x:c>
      <x:c r="BN68" s="68" t="n">
        <x:f>=BM68/BK68</x:f>
      </x:c>
      <x:c r="BO68" s="68" t="n">
        <x:v>0.9917555771096023278370514064</x:v>
      </x:c>
      <x:c r="BP68" s="31" t="n">
        <x:v>4099.80</x:v>
      </x:c>
      <x:c r="BQ68" s="42" t="n">
        <x:v>17</x:v>
      </x:c>
      <x:c r="BR68" s="31" t="n">
        <x:v>33.800484966052376333656644035</x:v>
      </x:c>
      <x:c r="BT68" s="31" t="n">
        <x:v>10158.820829724571250000000</x:v>
      </x:c>
      <x:c r="BU68" s="31" t="n">
        <x:v>-4183.0060</x:v>
      </x:c>
      <x:c r="BV68" s="31" t="n">
        <x:f>=BT68+BU68</x:f>
      </x:c>
      <x:c r="BW68" s="68" t="n">
        <x:f>=BV68/BT68</x:f>
      </x:c>
      <x:c r="BY68" s="68" t="n">
        <x:f>=BO68</x:f>
      </x:c>
      <x:c r="BZ68" s="68" t="n">
        <x:f>=BF68</x:f>
      </x:c>
      <x:c r="CA68" s="68" t="n">
        <x:f>=BG68</x:f>
      </x:c>
      <x:c r="CB68" s="68" t="n">
        <x:f>=1 - BY68</x:f>
      </x:c>
      <x:c r="CD68" s="68" t="n">
        <x:f>=CA68/(1-BZ68)</x:f>
      </x:c>
    </x:row>
    <x:row r="69">
      <x:c r="A69" s="32" t="s">
        <x:v>197</x:v>
      </x:c>
      <x:c r="B69" t="s">
        <x:v>94</x:v>
      </x:c>
      <x:c r="C69" s="9" t="s">
        <x:v>198</x:v>
      </x:c>
      <x:c r="D69" t="s">
        <x:v>96</x:v>
      </x:c>
      <x:c r="E69" t="s">
        <x:v>132</x:v>
      </x:c>
      <x:c r="F69" t="n">
        <x:v>2938</x:v>
      </x:c>
      <x:c r="G69" s="33" t="n">
        <x:v>0.0350578624914908100748808713</x:v>
      </x:c>
      <x:c r="H69" s="33" t="n">
        <x:v>0.109938733832539142273655548</x:v>
      </x:c>
      <x:c r="I69" s="33" t="n">
        <x:v>0.2028590878148400272294077604</x:v>
      </x:c>
      <x:c r="J69" s="33" t="n">
        <x:v>0.27535738597685500340367597</x:v>
      </x:c>
      <x:c r="K69" s="33" t="n">
        <x:v>0.3352620830496936691626957114</x:v>
      </x:c>
      <x:c r="L69" s="33" t="n">
        <x:v>0.3832539142273655547991831178</x:v>
      </x:c>
      <x:c r="M69" s="33" t="n">
        <x:v>0.427842069434989788972089857</x:v>
      </x:c>
      <x:c r="N69" s="33" t="n">
        <x:v>0.4639210347174948944860449285</x:v>
      </x:c>
      <x:c r="O69" s="33" t="n">
        <x:v>0.5098706603131381892443839346</x:v>
      </x:c>
      <x:c r="P69" s="33" t="n">
        <x:v>0.5353982300884955752212389381</x:v>
      </x:c>
      <x:c r="Q69" s="33" t="n">
        <x:v>0.5568413886997957794417971409</x:v>
      </x:c>
      <x:c r="R69" s="33" t="n">
        <x:v>0.5619469026548672566371681416</x:v>
      </x:c>
      <x:c r="S69" s="33" t="n">
        <x:v>0.5704560925799863852961198094</x:v>
      </x:c>
      <x:c r="T69" s="33" t="n">
        <x:v>0.5854322668481960517358747447</x:v>
      </x:c>
      <x:c r="U69" s="33" t="n">
        <x:v>0.5915588835942818243703199455</x:v>
      </x:c>
      <x:c r="V69" s="33" t="n">
        <x:v>0.5976855003403675970047651464</x:v>
      </x:c>
      <x:c r="W69" s="33" t="n">
        <x:v>0.6068754254594962559564329476</x:v>
      </x:c>
      <x:c r="X69" s="33" t="n">
        <x:v>0.6126616746085772634445200817</x:v>
      </x:c>
      <x:c r="Y69" s="33" t="n">
        <x:v>0.6157249829816201497617426821</x:v>
      </x:c>
      <x:c r="Z69" s="33" t="n">
        <x:v>0.6242341729067392784206943499</x:v>
      </x:c>
      <x:c r="AA69" s="33" t="n">
        <x:v>0.6255956432947583390061266167</x:v>
      </x:c>
      <x:c r="AB69" s="24" t="n">
        <x:v>0.8158611300204220558202859088</x:v>
      </x:c>
      <x:c r="BC69" s="34" t="s"/>
      <x:c r="BD69" s="11" t="s">
        <x:v>199</x:v>
      </x:c>
      <x:c r="BE69" s="12" t="n">
        <x:f>=BO69</x:f>
      </x:c>
      <x:c r="BF69" s="12" t="n">
        <x:v>0.6303607896528250510551395507</x:v>
      </x:c>
      <x:c r="BG69" s="12" t="n">
        <x:v>0.3672566371681415929203539823</x:v>
      </x:c>
      <x:c r="BH69" s="12" t="n">
        <x:v>0.002382573179033356024506467</x:v>
      </x:c>
      <x:c r="BI69" s="12" t="n">
        <x:f>=BN69</x:f>
      </x:c>
      <x:c r="BJ69" s="13" t="n">
        <x:v>0</x:v>
      </x:c>
      <x:c r="BK69" s="31" t="n">
        <x:v>19824.55</x:v>
      </x:c>
      <x:c r="BL69" s="31" t="n">
        <x:v>-16149.7940</x:v>
      </x:c>
      <x:c r="BM69" s="31" t="n">
        <x:f>=BK69+BL69</x:f>
      </x:c>
      <x:c r="BN69" s="68" t="n">
        <x:f>=BM69/BK69</x:f>
      </x:c>
      <x:c r="BO69" s="68" t="n">
        <x:v>0.997617426820966643975493533</x:v>
      </x:c>
      <x:c r="BP69" s="31" t="n">
        <x:v>13556.80</x:v>
      </x:c>
      <x:c r="BQ69" s="42" t="n">
        <x:v>7</x:v>
      </x:c>
      <x:c r="BR69" s="31" t="n">
        <x:v>32.300068073519400953029271613</x:v>
      </x:c>
      <x:c r="BT69" s="31" t="n">
        <x:v>26648.459998586346250000000</x:v>
      </x:c>
      <x:c r="BU69" s="31" t="n">
        <x:v>-16149.7940</x:v>
      </x:c>
      <x:c r="BV69" s="31" t="n">
        <x:f>=BT69+BU69</x:f>
      </x:c>
      <x:c r="BW69" s="68" t="n">
        <x:f>=BV69/BT69</x:f>
      </x:c>
      <x:c r="BY69" s="68" t="n">
        <x:f>=BO69</x:f>
      </x:c>
      <x:c r="BZ69" s="68" t="n">
        <x:f>=BF69</x:f>
      </x:c>
      <x:c r="CA69" s="68" t="n">
        <x:f>=BG69</x:f>
      </x:c>
      <x:c r="CB69" s="68" t="n">
        <x:f>=1 - BY69</x:f>
      </x:c>
      <x:c r="CD69" s="68" t="n">
        <x:f>=CA69/(1-BZ69)</x:f>
      </x:c>
    </x:row>
    <x:row r="70">
      <x:c r="A70" s="32" t="s">
        <x:v>200</x:v>
      </x:c>
      <x:c r="B70" t="s"/>
      <x:c r="C70" t="s">
        <x:v>201</x:v>
      </x:c>
      <x:c r="D70" t="s">
        <x:v>125</x:v>
      </x:c>
      <x:c r="E70" t="s">
        <x:v>132</x:v>
      </x:c>
      <x:c r="F70" t="n">
        <x:v>1700</x:v>
      </x:c>
      <x:c r="G70" s="33" t="n">
        <x:v>0.0011764705882352941176470588</x:v>
      </x:c>
      <x:c r="H70" s="33" t="n">
        <x:v>0.0429411764705882352941176471</x:v>
      </x:c>
      <x:c r="I70" s="33" t="n">
        <x:v>0.1117647058823529411764705882</x:v>
      </x:c>
      <x:c r="J70" s="33" t="n">
        <x:v>0.1788235294117647058823529412</x:v>
      </x:c>
      <x:c r="K70" s="33" t="n">
        <x:v>0.2623529411764705882352941176</x:v>
      </x:c>
      <x:c r="L70" s="33" t="n">
        <x:v>0.3411764705882352941176470588</x:v>
      </x:c>
      <x:c r="M70" s="33" t="n">
        <x:v>0.3952941176470588235294117647</x:v>
      </x:c>
      <x:c r="N70" s="33" t="n">
        <x:v>0.46</x:v>
      </x:c>
      <x:c r="O70" s="33" t="n">
        <x:v>0.5117647058823529411764705882</x:v>
      </x:c>
      <x:c r="P70" s="33" t="n">
        <x:v>0.5594117647058823529411764706</x:v>
      </x:c>
      <x:c r="Q70" s="33" t="n">
        <x:v>0.5923529411764705882352941176</x:v>
      </x:c>
      <x:c r="R70" s="33" t="n">
        <x:v>0.6117647058823529411764705882</x:v>
      </x:c>
      <x:c r="S70" s="33" t="n">
        <x:v>0.6311764705882352941176470588</x:v>
      </x:c>
      <x:c r="T70" s="33" t="n">
        <x:v>0.6447058823529411764705882353</x:v>
      </x:c>
      <x:c r="U70" s="33" t="n">
        <x:v>0.6588235294117647058823529412</x:v>
      </x:c>
      <x:c r="V70" s="33" t="n">
        <x:v>0.6835294117647058823529411765</x:v>
      </x:c>
      <x:c r="W70" s="24" t="n">
        <x:v>0.7088235294117647058823529412</x:v>
      </x:c>
      <x:c r="X70" s="33" t="n">
        <x:v>0.72</x:v>
      </x:c>
      <x:c r="Y70" s="33" t="n">
        <x:v>0.7388235294117647058823529412</x:v>
      </x:c>
      <x:c r="Z70" s="33" t="n">
        <x:v>0.7617647058823529411764705882</x:v>
      </x:c>
      <x:c r="AA70" s="33" t="n">
        <x:v>0.7770588235294117647058823529</x:v>
      </x:c>
      <x:c r="AB70" s="23" t="n">
        <x:v>0.8276470588235294117647058824</x:v>
      </x:c>
      <x:c r="BC70" s="34" t="s"/>
      <x:c r="BD70" s="11" t="s">
        <x:v>199</x:v>
      </x:c>
      <x:c r="BE70" s="12" t="n">
        <x:f>=BO70</x:f>
      </x:c>
      <x:c r="BF70" s="12" t="n">
        <x:v>0.7852941176470588235294117647</x:v>
      </x:c>
      <x:c r="BG70" s="12" t="n">
        <x:v>0.1988235294117647058823529412</x:v>
      </x:c>
      <x:c r="BH70" s="12" t="n">
        <x:v>0.0158823529411764705882352941</x:v>
      </x:c>
      <x:c r="BI70" s="12" t="n">
        <x:f>=BN70</x:f>
      </x:c>
      <x:c r="BJ70" s="13" t="n">
        <x:v>0</x:v>
      </x:c>
      <x:c r="BK70" s="31" t="n">
        <x:v>14678.97</x:v>
      </x:c>
      <x:c r="BL70" s="31" t="n">
        <x:v>-10767.4548</x:v>
      </x:c>
      <x:c r="BM70" s="31" t="n">
        <x:f>=BK70+BL70</x:f>
      </x:c>
      <x:c r="BN70" s="68" t="n">
        <x:f>=BM70/BK70</x:f>
      </x:c>
      <x:c r="BO70" s="68" t="n">
        <x:v>0.9841176470588235294117647059</x:v>
      </x:c>
      <x:c r="BP70" s="31" t="n">
        <x:v>10740.84</x:v>
      </x:c>
      <x:c r="BQ70" s="42" t="n">
        <x:v>27</x:v>
      </x:c>
      <x:c r="BR70" s="31" t="n">
        <x:v>170.58981176470588235294117647</x:v>
      </x:c>
      <x:c r="BT70" s="31" t="n">
        <x:v>19223.822931727837500000000</x:v>
      </x:c>
      <x:c r="BU70" s="31" t="n">
        <x:v>-10767.4548</x:v>
      </x:c>
      <x:c r="BV70" s="31" t="n">
        <x:f>=BT70+BU70</x:f>
      </x:c>
      <x:c r="BW70" s="68" t="n">
        <x:f>=BV70/BT70</x:f>
      </x:c>
      <x:c r="BY70" s="68" t="n">
        <x:f>=BO70</x:f>
      </x:c>
      <x:c r="BZ70" s="68" t="n">
        <x:f>=BF70</x:f>
      </x:c>
      <x:c r="CA70" s="68" t="n">
        <x:f>=BG70</x:f>
      </x:c>
      <x:c r="CB70" s="68" t="n">
        <x:f>=1 - BY70</x:f>
      </x:c>
      <x:c r="CD70" s="68" t="n">
        <x:f>=CA70/(1-BZ70)</x:f>
      </x:c>
    </x:row>
    <x:row r="71">
      <x:c r="A71" s="32" t="s">
        <x:v>202</x:v>
      </x:c>
      <x:c r="B71" t="s"/>
      <x:c r="C71" t="s">
        <x:v>203</x:v>
      </x:c>
      <x:c r="D71" t="s">
        <x:v>125</x:v>
      </x:c>
      <x:c r="E71" t="s">
        <x:v>132</x:v>
      </x:c>
      <x:c r="F71" t="n">
        <x:v>1541</x:v>
      </x:c>
      <x:c r="G71" s="33" t="n">
        <x:v>0.0343932511356262167423750811</x:v>
      </x:c>
      <x:c r="H71" s="33" t="n">
        <x:v>0.0863075924724205061648280337</x:v>
      </x:c>
      <x:c r="I71" s="33" t="n">
        <x:v>0.1609344581440622972096041531</x:v>
      </x:c>
      <x:c r="J71" s="33" t="n">
        <x:v>0.2524334847501622323166774822</x:v>
      </x:c>
      <x:c r="K71" s="33" t="n">
        <x:v>0.3491239454899415963659961064</x:v>
      </x:c>
      <x:c r="L71" s="33" t="n">
        <x:v>0.4458144062297209604153147307</x:v>
      </x:c>
      <x:c r="M71" s="33" t="n">
        <x:v>0.528228423101881894873458793</x:v>
      </x:c>
      <x:c r="N71" s="33" t="n">
        <x:v>0.6086956521739130434782608696</x:v>
      </x:c>
      <x:c r="O71" s="33" t="n">
        <x:v>0.6852693056456846203763789747</x:v>
      </x:c>
      <x:c r="P71" s="24" t="n">
        <x:v>0.7229072031148604802076573653</x:v>
      </x:c>
      <x:c r="Q71" s="33" t="n">
        <x:v>0.7358857884490590525632706035</x:v>
      </x:c>
      <x:c r="R71" s="33" t="n">
        <x:v>0.7566515249837767683322517846</x:v>
      </x:c>
      <x:c r="S71" s="33" t="n">
        <x:v>0.774821544451654769630110318</x:v>
      </x:c>
      <x:c r="T71" s="33" t="n">
        <x:v>0.788449059052563270603504218</x:v>
      </x:c>
      <x:c r="U71" s="33" t="n">
        <x:v>0.7923426346528228423101881895</x:v>
      </x:c>
      <x:c r="V71" s="33" t="n">
        <x:v>0.8020765736534717715768981181</x:v>
      </x:c>
      <x:c r="W71" s="33" t="n">
        <x:v>0.8144062297209604153147306944</x:v>
      </x:c>
      <x:c r="X71" s="33" t="n">
        <x:v>0.8215444516547696301103179753</x:v>
      </x:c>
      <x:c r="Y71" s="33" t="n">
        <x:v>0.824140168721609344581440623</x:v>
      </x:c>
      <x:c r="Z71" s="33" t="n">
        <x:v>0.831278390655418559377027904</x:v>
      </x:c>
      <x:c r="AA71" s="23" t="n">
        <x:v>0.8455548345230369889682024659</x:v>
      </x:c>
      <x:c r="BC71" s="34" t="s"/>
      <x:c r="BD71" s="11" t="s">
        <x:v>110</x:v>
      </x:c>
      <x:c r="BE71" s="12" t="n">
        <x:f>=BO71</x:f>
      </x:c>
      <x:c r="BF71" s="12" t="n">
        <x:v>0.8345230369889682024659312135</x:v>
      </x:c>
      <x:c r="BG71" s="12" t="n">
        <x:v>0.0869565217391304347826086957</x:v>
      </x:c>
      <x:c r="BH71" s="12" t="n">
        <x:v>0.0785204412719013627514600909</x:v>
      </x:c>
      <x:c r="BI71" s="12" t="n">
        <x:f>=BN71</x:f>
      </x:c>
      <x:c r="BJ71" s="13" t="n">
        <x:v>0</x:v>
      </x:c>
      <x:c r="BK71" s="31" t="n">
        <x:v>11651.11</x:v>
      </x:c>
      <x:c r="BL71" s="31" t="n">
        <x:v>-9392.1251</x:v>
      </x:c>
      <x:c r="BM71" s="31" t="n">
        <x:f>=BK71+BL71</x:f>
      </x:c>
      <x:c r="BN71" s="68" t="n">
        <x:f>=BM71/BK71</x:f>
      </x:c>
      <x:c r="BO71" s="68" t="n">
        <x:v>0.9214795587280986372485399091</x:v>
      </x:c>
      <x:c r="BP71" s="31" t="n">
        <x:v>9450.50</x:v>
      </x:c>
      <x:c r="BQ71" s="42" t="n">
        <x:v>121</x:v>
      </x:c>
      <x:c r="BR71" s="31" t="n">
        <x:v>742.05743024010382868267358858</x:v>
      </x:c>
      <x:c r="BT71" s="31" t="n">
        <x:v>15652.074392644568875000000</x:v>
      </x:c>
      <x:c r="BU71" s="31" t="n">
        <x:v>-9392.1251</x:v>
      </x:c>
      <x:c r="BV71" s="31" t="n">
        <x:f>=BT71+BU71</x:f>
      </x:c>
      <x:c r="BW71" s="68" t="n">
        <x:f>=BV71/BT71</x:f>
      </x:c>
      <x:c r="BY71" s="68" t="n">
        <x:f>=BO71</x:f>
      </x:c>
      <x:c r="BZ71" s="68" t="n">
        <x:f>=BF71</x:f>
      </x:c>
      <x:c r="CA71" s="68" t="n">
        <x:f>=BG71</x:f>
      </x:c>
      <x:c r="CB71" s="68" t="n">
        <x:f>=1 - BY71</x:f>
      </x:c>
      <x:c r="CD71" s="68" t="n">
        <x:f>=CA71/(1-BZ71)</x:f>
      </x:c>
    </x:row>
    <x:row r="72">
      <x:c r="A72" s="32" t="s">
        <x:v>204</x:v>
      </x:c>
      <x:c r="B72" t="s"/>
      <x:c r="C72" t="s">
        <x:v>205</x:v>
      </x:c>
      <x:c r="D72" t="s">
        <x:v>125</x:v>
      </x:c>
      <x:c r="E72" t="s">
        <x:v>132</x:v>
      </x:c>
      <x:c r="F72" t="n">
        <x:v>1542</x:v>
      </x:c>
      <x:c r="G72" s="33" t="n">
        <x:v>0.0246433203631647211413748379</x:v>
      </x:c>
      <x:c r="H72" s="33" t="n">
        <x:v>0.0914396887159533073929961089</x:v>
      </x:c>
      <x:c r="I72" s="33" t="n">
        <x:v>0.1523994811932555123216601816</x:v>
      </x:c>
      <x:c r="J72" s="33" t="n">
        <x:v>0.2172503242542153047989623865</x:v>
      </x:c>
      <x:c r="K72" s="33" t="n">
        <x:v>0.2989623865110246433203631647</x:v>
      </x:c>
      <x:c r="L72" s="33" t="n">
        <x:v>0.3644617380025940337224383917</x:v>
      </x:c>
      <x:c r="M72" s="33" t="n">
        <x:v>0.4267185473411154345006485084</x:v>
      </x:c>
      <x:c r="N72" s="33" t="n">
        <x:v>0.4961089494163424124513618677</x:v>
      </x:c>
      <x:c r="O72" s="33" t="n">
        <x:v>0.5577172503242542153047989624</x:v>
      </x:c>
      <x:c r="P72" s="33" t="n">
        <x:v>0.6095979247730220492866407263</x:v>
      </x:c>
      <x:c r="Q72" s="33" t="n">
        <x:v>0.6400778210116731517509727626</x:v>
      </x:c>
      <x:c r="R72" s="33" t="n">
        <x:v>0.684176394293125810635538262</x:v>
      </x:c>
      <x:c r="S72" s="24" t="n">
        <x:v>0.723735408560311284046692607</x:v>
      </x:c>
      <x:c r="T72" s="33" t="n">
        <x:v>0.7594033722438391699092088197</x:v>
      </x:c>
      <x:c r="U72" s="33" t="n">
        <x:v>0.7801556420233463035019455253</x:v>
      </x:c>
      <x:c r="V72" s="33" t="n">
        <x:v>0.7937743190661478599221789883</x:v>
      </x:c>
      <x:c r="W72" s="33" t="n">
        <x:v>0.802853437094682230869001297</x:v>
      </x:c>
      <x:c r="X72" s="33" t="n">
        <x:v>0.8177691309987029831387808042</x:v>
      </x:c>
      <x:c r="Y72" s="33" t="n">
        <x:v>0.8268482490272373540856031128</x:v>
      </x:c>
      <x:c r="Z72" s="33" t="n">
        <x:v>0.8443579766536964980544747082</x:v>
      </x:c>
      <x:c r="AA72" s="23" t="n">
        <x:v>0.869001297016861219195849546</x:v>
      </x:c>
      <x:c r="BC72" s="34" t="s"/>
      <x:c r="BD72" s="11" t="s">
        <x:v>110</x:v>
      </x:c>
      <x:c r="BE72" s="12" t="n">
        <x:f>=BO72</x:f>
      </x:c>
      <x:c r="BF72" s="12" t="n">
        <x:v>0.8476005188067444876783398184</x:v>
      </x:c>
      <x:c r="BG72" s="12" t="n">
        <x:v>0.0985732814526588845654993515</x:v>
      </x:c>
      <x:c r="BH72" s="12" t="n">
        <x:v>0.0538261997405966277561608301</x:v>
      </x:c>
      <x:c r="BI72" s="12" t="n">
        <x:f>=BN72</x:f>
      </x:c>
      <x:c r="BJ72" s="13" t="n">
        <x:v>0</x:v>
      </x:c>
      <x:c r="BK72" s="31" t="n">
        <x:v>12426.56</x:v>
      </x:c>
      <x:c r="BL72" s="31" t="n">
        <x:v>-9390.4474</x:v>
      </x:c>
      <x:c r="BM72" s="31" t="n">
        <x:f>=BK72+BL72</x:f>
      </x:c>
      <x:c r="BN72" s="68" t="n">
        <x:f>=BM72/BK72</x:f>
      </x:c>
      <x:c r="BO72" s="68" t="n">
        <x:v>0.9461738002594033722438391699</x:v>
      </x:c>
      <x:c r="BP72" s="31" t="n">
        <x:v>9442.42</x:v>
      </x:c>
      <x:c r="BQ72" s="42" t="n">
        <x:v>83</x:v>
      </x:c>
      <x:c r="BR72" s="31" t="n">
        <x:v>508.24958495460440985732814526</x:v>
      </x:c>
      <x:c r="BT72" s="31" t="n">
        <x:v>15223.405324526735750000000</x:v>
      </x:c>
      <x:c r="BU72" s="31" t="n">
        <x:v>-9390.4474</x:v>
      </x:c>
      <x:c r="BV72" s="31" t="n">
        <x:f>=BT72+BU72</x:f>
      </x:c>
      <x:c r="BW72" s="68" t="n">
        <x:f>=BV72/BT72</x:f>
      </x:c>
      <x:c r="BY72" s="68" t="n">
        <x:f>=BO72</x:f>
      </x:c>
      <x:c r="BZ72" s="68" t="n">
        <x:f>=BF72</x:f>
      </x:c>
      <x:c r="CA72" s="68" t="n">
        <x:f>=BG72</x:f>
      </x:c>
      <x:c r="CB72" s="68" t="n">
        <x:f>=1 - BY72</x:f>
      </x:c>
      <x:c r="CD72" s="68" t="n">
        <x:f>=CA72/(1-BZ72)</x:f>
      </x:c>
    </x:row>
    <x:row r="73">
      <x:c r="A73" s="32" t="s">
        <x:v>206</x:v>
      </x:c>
      <x:c r="B73" t="s"/>
      <x:c r="C73" t="s">
        <x:v>207</x:v>
      </x:c>
      <x:c r="D73" t="s">
        <x:v>125</x:v>
      </x:c>
      <x:c r="E73" t="s">
        <x:v>132</x:v>
      </x:c>
      <x:c r="F73" t="n">
        <x:v>1544</x:v>
      </x:c>
      <x:c r="G73" s="33" t="n">
        <x:v>0.0233160621761658031088082902</x:v>
      </x:c>
      <x:c r="H73" s="33" t="n">
        <x:v>0.0608808290155440414507772021</x:v>
      </x:c>
      <x:c r="I73" s="33" t="n">
        <x:v>0.098445595854922279792746114</x:v>
      </x:c>
      <x:c r="J73" s="33" t="n">
        <x:v>0.1612694300518134715025906736</x:v>
      </x:c>
      <x:c r="K73" s="33" t="n">
        <x:v>0.2143782383419689119170984456</x:v>
      </x:c>
      <x:c r="L73" s="33" t="n">
        <x:v>0.2746113989637305699481865285</x:v>
      </x:c>
      <x:c r="M73" s="33" t="n">
        <x:v>0.3290155440414507772020725389</x:v>
      </x:c>
      <x:c r="N73" s="33" t="n">
        <x:v>0.3801813471502590673575129534</x:v>
      </x:c>
      <x:c r="O73" s="33" t="n">
        <x:v>0.4255181347150259067357512953</x:v>
      </x:c>
      <x:c r="P73" s="33" t="n">
        <x:v>0.4676165803108808290155440415</x:v>
      </x:c>
      <x:c r="Q73" s="33" t="n">
        <x:v>0.4948186528497409326424870466</x:v>
      </x:c>
      <x:c r="R73" s="33" t="n">
        <x:v>0.5369170984455958549222797927</x:v>
      </x:c>
      <x:c r="S73" s="33" t="n">
        <x:v>0.5731865284974093264248704663</x:v>
      </x:c>
      <x:c r="T73" s="33" t="n">
        <x:v>0.6107512953367875647668393782</x:v>
      </x:c>
      <x:c r="U73" s="33" t="n">
        <x:v>0.6444300518134715025906735751</x:v>
      </x:c>
      <x:c r="V73" s="33" t="n">
        <x:v>0.6722797927461139896373056995</x:v>
      </x:c>
      <x:c r="W73" s="33" t="n">
        <x:v>0.6988341968911917098445595855</x:v>
      </x:c>
      <x:c r="X73" s="24" t="n">
        <x:v>0.7299222797927461139896373057</x:v>
      </x:c>
      <x:c r="Y73" s="33" t="n">
        <x:v>0.7629533678756476683937823834</x:v>
      </x:c>
      <x:c r="Z73" s="33" t="n">
        <x:v>0.7908031088082901554404145078</x:v>
      </x:c>
      <x:c r="AA73" s="23" t="n">
        <x:v>0.8380829015544041450777202073</x:v>
      </x:c>
      <x:c r="BC73" s="34" t="s"/>
      <x:c r="BD73" s="11" t="s">
        <x:v>110</x:v>
      </x:c>
      <x:c r="BE73" s="12" t="n">
        <x:f>=BO73</x:f>
      </x:c>
      <x:c r="BF73" s="12" t="n">
        <x:v>0.7972797927461139896373056995</x:v>
      </x:c>
      <x:c r="BG73" s="12" t="n">
        <x:v>0.1683937823834196891191709845</x:v>
      </x:c>
      <x:c r="BH73" s="12" t="n">
        <x:v>0.0343264248704663212435233161</x:v>
      </x:c>
      <x:c r="BI73" s="12" t="n">
        <x:f>=BN73</x:f>
      </x:c>
      <x:c r="BJ73" s="13" t="n">
        <x:v>0</x:v>
      </x:c>
      <x:c r="BK73" s="31" t="n">
        <x:v>12484.51</x:v>
      </x:c>
      <x:c r="BL73" s="31" t="n">
        <x:v>-9473.5200</x:v>
      </x:c>
      <x:c r="BM73" s="31" t="n">
        <x:f>=BK73+BL73</x:f>
      </x:c>
      <x:c r="BN73" s="68" t="n">
        <x:f>=BM73/BK73</x:f>
      </x:c>
      <x:c r="BO73" s="68" t="n">
        <x:v>0.9656735751295336787564766839</x:v>
      </x:c>
      <x:c r="BP73" s="31" t="n">
        <x:v>9526.32</x:v>
      </x:c>
      <x:c r="BQ73" s="42" t="n">
        <x:v>53</x:v>
      </x:c>
      <x:c r="BR73" s="31" t="n">
        <x:v>327.00450777202072538860103627</x:v>
      </x:c>
      <x:c r="BT73" s="31" t="n">
        <x:v>15234.38985248191600000000</x:v>
      </x:c>
      <x:c r="BU73" s="31" t="n">
        <x:v>-9473.5200</x:v>
      </x:c>
      <x:c r="BV73" s="31" t="n">
        <x:f>=BT73+BU73</x:f>
      </x:c>
      <x:c r="BW73" s="68" t="n">
        <x:f>=BV73/BT73</x:f>
      </x:c>
      <x:c r="BY73" s="68" t="n">
        <x:f>=BO73</x:f>
      </x:c>
      <x:c r="BZ73" s="68" t="n">
        <x:f>=BF73</x:f>
      </x:c>
      <x:c r="CA73" s="68" t="n">
        <x:f>=BG73</x:f>
      </x:c>
      <x:c r="CB73" s="68" t="n">
        <x:f>=1 - BY73</x:f>
      </x:c>
      <x:c r="CD73" s="68" t="n">
        <x:f>=CA73/(1-BZ73)</x:f>
      </x:c>
    </x:row>
    <x:row r="74">
      <x:c r="BC74" s="34" t="s"/>
      <x:c r="BD74" s="11" t="s"/>
      <x:c r="BJ74" s="13" t="s"/>
    </x:row>
    <x:row r="75">
      <x:c r="A75" s="36" t="s">
        <x:v>91</x:v>
      </x:c>
      <x:c r="BC75" s="34" t="s"/>
      <x:c r="BD75" s="11" t="s"/>
      <x:c r="BJ75" s="13" t="s"/>
    </x:row>
    <x:row r="76">
      <x:c r="A76" s="17" t="s">
        <x:v>105</x:v>
      </x:c>
      <x:c r="BC76" s="34" t="s"/>
      <x:c r="BD76" s="11" t="s"/>
      <x:c r="BJ76" s="13" t="s"/>
    </x:row>
    <x:row r="77">
      <x:c r="A77" s="32" t="s">
        <x:v>208</x:v>
      </x:c>
      <x:c r="B77" t="s"/>
      <x:c r="C77" t="s">
        <x:v>209</x:v>
      </x:c>
      <x:c r="D77" t="s">
        <x:v>108</x:v>
      </x:c>
      <x:c r="E77" t="s">
        <x:v>97</x:v>
      </x:c>
      <x:c r="F77" t="n">
        <x:v>300</x:v>
      </x:c>
      <x:c r="G77" s="33" t="n">
        <x:v>0.01</x:v>
      </x:c>
      <x:c r="H77" s="33" t="n">
        <x:v>0.2633333333333333333333333333</x:v>
      </x:c>
      <x:c r="I77" s="24" t="n">
        <x:v>0.97</x:v>
      </x:c>
      <x:c r="J77" s="33" t="n">
        <x:v>0.9733333333333333333333333333</x:v>
      </x:c>
      <x:c r="K77" s="33" t="n">
        <x:v>0.97</x:v>
      </x:c>
      <x:c r="L77" s="33" t="n">
        <x:v>0.9666666666666666666666666667</x:v>
      </x:c>
      <x:c r="M77" s="33" t="n">
        <x:v>0.9633333333333333333333333333</x:v>
      </x:c>
      <x:c r="N77" s="23" t="n">
        <x:v>0.97</x:v>
      </x:c>
      <x:c r="BC77" s="34" t="s"/>
      <x:c r="BD77" s="11" t="s">
        <x:v>210</x:v>
      </x:c>
      <x:c r="BE77" s="12" t="n">
        <x:f>=BO77</x:f>
      </x:c>
      <x:c r="BF77" s="12" t="n">
        <x:v>0.9633333333333333333333333333</x:v>
      </x:c>
      <x:c r="BG77" s="12" t="n">
        <x:v>0.01</x:v>
      </x:c>
      <x:c r="BH77" s="12" t="n">
        <x:v>0.0266666666666666666666666667</x:v>
      </x:c>
      <x:c r="BI77" s="12" t="n">
        <x:f>=BN77</x:f>
      </x:c>
      <x:c r="BJ77" s="13" t="n">
        <x:v>0</x:v>
      </x:c>
      <x:c r="BK77" s="31" t="n">
        <x:v>570.99</x:v>
      </x:c>
      <x:c r="BL77" s="31" t="n">
        <x:v>-322.05181035150000000000</x:v>
      </x:c>
      <x:c r="BM77" s="31" t="n">
        <x:f>=BK77+BL77</x:f>
      </x:c>
      <x:c r="BN77" s="68" t="n">
        <x:f>=BM77/BK77</x:f>
      </x:c>
      <x:c r="BO77" s="68" t="n">
        <x:v>0.9733333333333333333333333333</x:v>
      </x:c>
      <x:c r="BP77" s="31" t="n">
        <x:v>319.950319950000000000</x:v>
      </x:c>
      <x:c r="BQ77" s="42" t="n">
        <x:v>8</x:v>
      </x:c>
      <x:c r="BR77" s="31" t="n">
        <x:v>8.532008532000000000</x:v>
      </x:c>
      <x:c r="BT77" s="31" t="n">
        <x:v>739.6462752984375000000</x:v>
      </x:c>
      <x:c r="BU77" s="31" t="n">
        <x:v>-322.05181035150000000000</x:v>
      </x:c>
      <x:c r="BV77" s="31" t="n">
        <x:f>=BT77+BU77</x:f>
      </x:c>
      <x:c r="BW77" s="68" t="n">
        <x:f>=BV77/BT77</x:f>
      </x:c>
      <x:c r="BY77" s="68" t="n">
        <x:f>=BO77</x:f>
      </x:c>
      <x:c r="BZ77" s="68" t="n">
        <x:f>=BF77</x:f>
      </x:c>
      <x:c r="CA77" s="68" t="n">
        <x:f>=BG77</x:f>
      </x:c>
      <x:c r="CB77" s="68" t="n">
        <x:f>=1 - BY77</x:f>
      </x:c>
      <x:c r="CD77" s="68" t="n">
        <x:f>=CA77/(1-BZ77)</x:f>
      </x:c>
    </x:row>
    <x:row r="78">
      <x:c r="A78" s="32" t="s">
        <x:v>211</x:v>
      </x:c>
      <x:c r="B78" t="s"/>
      <x:c r="C78" t="s">
        <x:v>212</x:v>
      </x:c>
      <x:c r="D78" t="s">
        <x:v>108</x:v>
      </x:c>
      <x:c r="E78" t="s">
        <x:v>97</x:v>
      </x:c>
      <x:c r="F78" t="n">
        <x:v>316</x:v>
      </x:c>
      <x:c r="G78" s="33" t="n">
        <x:v>0.0094936708860759493670886076</x:v>
      </x:c>
      <x:c r="H78" s="33" t="n">
        <x:v>0.1835443037974683544303797468</x:v>
      </x:c>
      <x:c r="I78" s="24" t="n">
        <x:v>0.8322784810126582278481012658</x:v>
      </x:c>
      <x:c r="J78" s="33" t="n">
        <x:v>0.8354430379746835443037974684</x:v>
      </x:c>
      <x:c r="K78" s="33" t="n">
        <x:v>0.8069620253164556962025316456</x:v>
      </x:c>
      <x:c r="L78" s="23" t="n">
        <x:v>0.8354430379746835443037974684</x:v>
      </x:c>
      <x:c r="BC78" s="34" t="s"/>
      <x:c r="BD78" s="11" t="s">
        <x:v>213</x:v>
      </x:c>
      <x:c r="BE78" s="12" t="n">
        <x:f>=BO78</x:f>
      </x:c>
      <x:c r="BF78" s="12" t="n">
        <x:v>0.7879746835443037974683544304</x:v>
      </x:c>
      <x:c r="BG78" s="12" t="n">
        <x:v>0.1835443037974683544303797468</x:v>
      </x:c>
      <x:c r="BH78" s="12" t="n">
        <x:v>0.0284810126582278481012658228</x:v>
      </x:c>
      <x:c r="BI78" s="12" t="n">
        <x:f>=BN78</x:f>
      </x:c>
      <x:c r="BJ78" s="13" t="n">
        <x:v>0</x:v>
      </x:c>
      <x:c r="BK78" s="31" t="n">
        <x:v>2546.12</x:v>
      </x:c>
      <x:c r="BL78" s="31" t="n">
        <x:v>-1547.35081037730000000000</x:v>
      </x:c>
      <x:c r="BM78" s="31" t="n">
        <x:f>=BK78+BL78</x:f>
      </x:c>
      <x:c r="BN78" s="68" t="n">
        <x:f>=BM78/BK78</x:f>
      </x:c>
      <x:c r="BO78" s="68" t="n">
        <x:v>0.9715189873417721518987341772</x:v>
      </x:c>
      <x:c r="BP78" s="31" t="n">
        <x:v>1557.091557090000000000</x:v>
      </x:c>
      <x:c r="BQ78" s="42" t="n">
        <x:v>9</x:v>
      </x:c>
      <x:c r="BR78" s="31" t="n">
        <x:v>44.347544347500000000</x:v>
      </x:c>
      <x:c r="BT78" s="31" t="n">
        <x:v>3358.2401218180000000000000000</x:v>
      </x:c>
      <x:c r="BU78" s="31" t="n">
        <x:v>-1547.35081037730000000000</x:v>
      </x:c>
      <x:c r="BV78" s="31" t="n">
        <x:f>=BT78+BU78</x:f>
      </x:c>
      <x:c r="BW78" s="68" t="n">
        <x:f>=BV78/BT78</x:f>
      </x:c>
      <x:c r="BY78" s="68" t="n">
        <x:f>=BO78</x:f>
      </x:c>
      <x:c r="BZ78" s="68" t="n">
        <x:f>=BF78</x:f>
      </x:c>
      <x:c r="CA78" s="68" t="n">
        <x:f>=BG78</x:f>
      </x:c>
      <x:c r="CB78" s="68" t="n">
        <x:f>=1 - BY78</x:f>
      </x:c>
      <x:c r="CD78" s="68" t="n">
        <x:f>=CA78/(1-BZ78)</x:f>
      </x:c>
    </x:row>
    <x:row r="79">
      <x:c r="A79" s="32" t="s">
        <x:v>214</x:v>
      </x:c>
      <x:c r="B79" t="s"/>
      <x:c r="C79" t="s">
        <x:v>215</x:v>
      </x:c>
      <x:c r="D79" t="s">
        <x:v>108</x:v>
      </x:c>
      <x:c r="E79" t="s">
        <x:v>97</x:v>
      </x:c>
      <x:c r="F79" t="n">
        <x:v>323</x:v>
      </x:c>
      <x:c r="G79" s="33" t="n">
        <x:v>0.0092879256965944272445820433</x:v>
      </x:c>
      <x:c r="H79" s="33" t="n">
        <x:v>0.216718266253869969040247678</x:v>
      </x:c>
      <x:c r="I79" s="24" t="n">
        <x:v>0.8668730650154798761609907121</x:v>
      </x:c>
      <x:c r="J79" s="33" t="n">
        <x:v>0.8668730650154798761609907121</x:v>
      </x:c>
      <x:c r="K79" s="33" t="n">
        <x:v>0.8575851393188854489164086687</x:v>
      </x:c>
      <x:c r="L79" s="23" t="n">
        <x:v>0.8668730650154798761609907121</x:v>
      </x:c>
      <x:c r="BC79" s="34" t="s"/>
      <x:c r="BD79" s="11" t="s">
        <x:v>213</x:v>
      </x:c>
      <x:c r="BE79" s="12" t="n">
        <x:f>=BO79</x:f>
      </x:c>
      <x:c r="BF79" s="12" t="n">
        <x:v>0.8513931888544891640866873065</x:v>
      </x:c>
      <x:c r="BG79" s="12" t="n">
        <x:v>0.108359133126934984520123839</x:v>
      </x:c>
      <x:c r="BH79" s="12" t="n">
        <x:v>0.0402476780185758513931888545</x:v>
      </x:c>
      <x:c r="BI79" s="12" t="n">
        <x:f>=BN79</x:f>
      </x:c>
      <x:c r="BJ79" s="13" t="n">
        <x:v>0</x:v>
      </x:c>
      <x:c r="BK79" s="31" t="n">
        <x:v>2659.55</x:v>
      </x:c>
      <x:c r="BL79" s="31" t="n">
        <x:v>-1581.62756883502500000000</x:v>
      </x:c>
      <x:c r="BM79" s="31" t="n">
        <x:f>=BK79+BL79</x:f>
      </x:c>
      <x:c r="BN79" s="68" t="n">
        <x:f>=BM79/BK79</x:f>
      </x:c>
      <x:c r="BO79" s="68" t="n">
        <x:v>0.9597523219814241486068111455</x:v>
      </x:c>
      <x:c r="BP79" s="31" t="n">
        <x:v>1591.584091582500000000</x:v>
      </x:c>
      <x:c r="BQ79" s="42" t="n">
        <x:v>13</x:v>
      </x:c>
      <x:c r="BR79" s="31" t="n">
        <x:v>64.057564057500000000</x:v>
      </x:c>
      <x:c r="BT79" s="31" t="n">
        <x:v>3489.6601245165000000000000000</x:v>
      </x:c>
      <x:c r="BU79" s="31" t="n">
        <x:v>-1581.62756883502500000000</x:v>
      </x:c>
      <x:c r="BV79" s="31" t="n">
        <x:f>=BT79+BU79</x:f>
      </x:c>
      <x:c r="BW79" s="68" t="n">
        <x:f>=BV79/BT79</x:f>
      </x:c>
      <x:c r="BY79" s="68" t="n">
        <x:f>=BO79</x:f>
      </x:c>
      <x:c r="BZ79" s="68" t="n">
        <x:f>=BF79</x:f>
      </x:c>
      <x:c r="CA79" s="68" t="n">
        <x:f>=BG79</x:f>
      </x:c>
      <x:c r="CB79" s="68" t="n">
        <x:f>=1 - BY79</x:f>
      </x:c>
      <x:c r="CD79" s="68" t="n">
        <x:f>=CA79/(1-BZ79)</x:f>
      </x:c>
    </x:row>
    <x:row r="80">
      <x:c r="A80" s="32" t="s"/>
      <x:c r="BC80" s="34" t="s"/>
      <x:c r="BD80" s="11" t="s"/>
      <x:c r="BJ80" s="13" t="s"/>
    </x:row>
    <x:row r="81">
      <x:c r="A81" s="17" t="s">
        <x:v>92</x:v>
      </x:c>
      <x:c r="BC81" s="34" t="s"/>
      <x:c r="BD81" s="11" t="s"/>
      <x:c r="BJ81" s="13" t="s"/>
    </x:row>
    <x:row r="82">
      <x:c r="A82" s="32" t="s">
        <x:v>216</x:v>
      </x:c>
      <x:c r="B82" t="s">
        <x:v>94</x:v>
      </x:c>
      <x:c r="C82" s="9" t="s">
        <x:v>217</x:v>
      </x:c>
      <x:c r="D82" t="s">
        <x:v>96</x:v>
      </x:c>
      <x:c r="E82" t="s">
        <x:v>97</x:v>
      </x:c>
      <x:c r="F82" t="n">
        <x:v>589</x:v>
      </x:c>
      <x:c r="G82" s="33" t="n">
        <x:v>0.0016977928692699490662139219</x:v>
      </x:c>
      <x:c r="H82" s="33" t="n">
        <x:v>0.0084889643463497453310696095</x:v>
      </x:c>
      <x:c r="I82" s="33" t="n">
        <x:v>0.0186757215619694397283531409</x:v>
      </x:c>
      <x:c r="J82" s="33" t="n">
        <x:v>0.0254668930390492359932088285</x:v>
      </x:c>
      <x:c r="K82" s="33" t="n">
        <x:v>0.0220713073005093378607809847</x:v>
      </x:c>
      <x:c r="L82" s="33" t="n">
        <x:v>0.0220713073005093378607809847</x:v>
      </x:c>
      <x:c r="M82" s="33" t="n">
        <x:v>0.0220713073005093378607809847</x:v>
      </x:c>
      <x:c r="N82" s="33" t="n">
        <x:v>0.0186757215619694397283531409</x:v>
      </x:c>
      <x:c r="O82" s="33" t="n">
        <x:v>0.0203735144312393887945670628</x:v>
      </x:c>
      <x:c r="P82" s="33" t="n">
        <x:v>0.0220713073005093378607809847</x:v>
      </x:c>
      <x:c r="Q82" s="33" t="n">
        <x:v>0.0237691001697792869269949066</x:v>
      </x:c>
      <x:c r="R82" s="33" t="n">
        <x:v>0.0271646859083191850594227504</x:v>
      </x:c>
      <x:c r="S82" s="33" t="n">
        <x:v>0.0271646859083191850594227504</x:v>
      </x:c>
      <x:c r="T82" s="33" t="n">
        <x:v>0.0254668930390492359932088285</x:v>
      </x:c>
      <x:c r="U82" s="33" t="n">
        <x:v>0.0288624787775891341256366723</x:v>
      </x:c>
      <x:c r="V82" s="33" t="n">
        <x:v>0.0305602716468590831918505942</x:v>
      </x:c>
      <x:c r="W82" s="33" t="n">
        <x:v>0.033955857385398981324278438</x:v>
      </x:c>
      <x:c r="X82" s="33" t="n">
        <x:v>0.0373514431239388794567062818</x:v>
      </x:c>
      <x:c r="Y82" s="33" t="n">
        <x:v>0.0373514431239388794567062818</x:v>
      </x:c>
      <x:c r="Z82" s="33" t="n">
        <x:v>0.0390492359932088285229202037</x:v>
      </x:c>
      <x:c r="AA82" s="33" t="n">
        <x:v>0.033955857385398981324278438</x:v>
      </x:c>
      <x:c r="AB82" s="33" t="n">
        <x:v>0.0356536502546689303904923599</x:v>
      </x:c>
      <x:c r="AC82" s="33" t="n">
        <x:v>0.033955857385398981324278438</x:v>
      </x:c>
      <x:c r="AD82" s="23" t="n">
        <x:v>0.0764006791171477079796264856</x:v>
      </x:c>
      <x:c r="BC82" s="34" t="s"/>
      <x:c r="BD82" s="11" t="s">
        <x:v>191</x:v>
      </x:c>
      <x:c r="BE82" s="12" t="n">
        <x:f>=BO82</x:f>
      </x:c>
      <x:c r="BF82" s="12" t="n">
        <x:v>0.0390492359932088285229202037</x:v>
      </x:c>
      <x:c r="BG82" s="12" t="n">
        <x:v>0.896434634974533106960950764</x:v>
      </x:c>
      <x:c r="BH82" s="12" t="n">
        <x:v>0.0645161290322580645161290323</x:v>
      </x:c>
      <x:c r="BI82" s="12" t="n">
        <x:f>=BN82</x:f>
      </x:c>
      <x:c r="BJ82" s="13" t="n">
        <x:v>0</x:v>
      </x:c>
      <x:c r="BK82" s="31" t="n">
        <x:v>5082.63</x:v>
      </x:c>
      <x:c r="BL82" s="31" t="n">
        <x:v>-8551.8088</x:v>
      </x:c>
      <x:c r="BM82" s="31" t="n">
        <x:f>=BK82+BL82</x:f>
      </x:c>
      <x:c r="BN82" s="68" t="n">
        <x:f>=BM82/BK82</x:f>
      </x:c>
      <x:c r="BO82" s="68" t="n">
        <x:v>0.9354838709677419354838709677</x:v>
      </x:c>
      <x:c r="BP82" s="31" t="n">
        <x:v>8098.75</x:v>
      </x:c>
      <x:c r="BQ82" s="42" t="n">
        <x:v>38</x:v>
      </x:c>
      <x:c r="BR82" s="31" t="n">
        <x:v>522.50</x:v>
      </x:c>
      <x:c r="BT82" s="31" t="n">
        <x:v>8677.739289266312500000000000</x:v>
      </x:c>
      <x:c r="BU82" s="31" t="n">
        <x:v>-8551.8088</x:v>
      </x:c>
      <x:c r="BV82" s="31" t="n">
        <x:f>=BT82+BU82</x:f>
      </x:c>
      <x:c r="BW82" s="68" t="n">
        <x:f>=BV82/BT82</x:f>
      </x:c>
      <x:c r="BY82" s="68" t="n">
        <x:f>=BO82</x:f>
      </x:c>
      <x:c r="BZ82" s="68" t="n">
        <x:f>=BF82</x:f>
      </x:c>
      <x:c r="CA82" s="68" t="n">
        <x:f>=BG82</x:f>
      </x:c>
      <x:c r="CB82" s="68" t="n">
        <x:f>=1 - BY82</x:f>
      </x:c>
      <x:c r="CD82" s="68" t="n">
        <x:f>=CA82/(1-BZ82)</x:f>
      </x:c>
    </x:row>
    <x:row r="83">
      <x:c r="A83" s="32" t="s">
        <x:v>218</x:v>
      </x:c>
      <x:c r="B83" t="s">
        <x:v>94</x:v>
      </x:c>
      <x:c r="C83" s="9" t="s">
        <x:v>219</x:v>
      </x:c>
      <x:c r="D83" t="s">
        <x:v>96</x:v>
      </x:c>
      <x:c r="E83" t="s">
        <x:v>97</x:v>
      </x:c>
      <x:c r="F83" t="n">
        <x:v>914</x:v>
      </x:c>
      <x:c r="G83" s="33" t="n">
        <x:v>0.0032822757111597374179431072</x:v>
      </x:c>
      <x:c r="H83" s="33" t="n">
        <x:v>0.0098468271334792122538293217</x:v>
      </x:c>
      <x:c r="I83" s="33" t="n">
        <x:v>0.0109409190371991247264770241</x:v>
      </x:c>
      <x:c r="J83" s="33" t="n">
        <x:v>0.0109409190371991247264770241</x:v>
      </x:c>
      <x:c r="K83" s="33" t="n">
        <x:v>0.0109409190371991247264770241</x:v>
      </x:c>
      <x:c r="L83" s="33" t="n">
        <x:v>0.0131291028446389496717724289</x:v>
      </x:c>
      <x:c r="M83" s="33" t="n">
        <x:v>0.0185995623632385120350109409</x:v>
      </x:c>
      <x:c r="N83" s="33" t="n">
        <x:v>0.0218818380743982494529540481</x:v>
      </x:c>
      <x:c r="O83" s="33" t="n">
        <x:v>0.0273522975929978118161925602</x:v>
      </x:c>
      <x:c r="P83" s="33" t="n">
        <x:v>0.0273522975929978118161925602</x:v>
      </x:c>
      <x:c r="Q83" s="33" t="n">
        <x:v>0.029540481400437636761487965</x:v>
      </x:c>
      <x:c r="R83" s="33" t="n">
        <x:v>0.0284463894967177242888402626</x:v>
      </x:c>
      <x:c r="S83" s="33" t="n">
        <x:v>0.029540481400437636761487965</x:v>
      </x:c>
      <x:c r="T83" s="33" t="n">
        <x:v>0.0306345733041575492341356674</x:v>
      </x:c>
      <x:c r="U83" s="33" t="n">
        <x:v>0.0317286652078774617067833698</x:v>
      </x:c>
      <x:c r="V83" s="33" t="n">
        <x:v>0.0328227571115973741794310722</x:v>
      </x:c>
      <x:c r="W83" s="33" t="n">
        <x:v>0.0328227571115973741794310722</x:v>
      </x:c>
      <x:c r="X83" s="33" t="n">
        <x:v>0.0328227571115973741794310722</x:v>
      </x:c>
      <x:c r="Y83" s="33" t="n">
        <x:v>0.0317286652078774617067833698</x:v>
      </x:c>
      <x:c r="Z83" s="33" t="n">
        <x:v>0.0328227571115973741794310722</x:v>
      </x:c>
      <x:c r="AA83" s="23" t="n">
        <x:v>0.0612691466083150984682713348</x:v>
      </x:c>
      <x:c r="BC83" s="34" t="s"/>
      <x:c r="BD83" s="11" t="s">
        <x:v>110</x:v>
      </x:c>
      <x:c r="BE83" s="12" t="n">
        <x:f>=BO83</x:f>
      </x:c>
      <x:c r="BF83" s="12" t="n">
        <x:v>0.0306345733041575492341356674</x:v>
      </x:c>
      <x:c r="BG83" s="12" t="n">
        <x:v>0.4037199124726477024070021882</x:v>
      </x:c>
      <x:c r="BH83" s="12" t="n">
        <x:v>0.5656455142231947483588621444</x:v>
      </x:c>
      <x:c r="BI83" s="12" t="n">
        <x:f>=BN83</x:f>
      </x:c>
      <x:c r="BJ83" s="13" t="n">
        <x:v>0</x:v>
      </x:c>
      <x:c r="BK83" s="31" t="n">
        <x:v>4066.45</x:v>
      </x:c>
      <x:c r="BL83" s="31" t="n">
        <x:v>-13047.4414</x:v>
      </x:c>
      <x:c r="BM83" s="31" t="n">
        <x:f>=BK83+BL83</x:f>
      </x:c>
      <x:c r="BN83" s="68" t="n">
        <x:f>=BM83/BK83</x:f>
      </x:c>
      <x:c r="BO83" s="68" t="n">
        <x:v>0.4343544857768052516411378556</x:v>
      </x:c>
      <x:c r="BP83" s="31" t="n">
        <x:v>12978.80</x:v>
      </x:c>
      <x:c r="BQ83" s="42" t="n">
        <x:v>517</x:v>
      </x:c>
      <x:c r="BR83" s="31" t="n">
        <x:v>7341.40</x:v>
      </x:c>
      <x:c r="BT83" s="31" t="n">
        <x:v>10672.9572409759375000000</x:v>
      </x:c>
      <x:c r="BU83" s="31" t="n">
        <x:v>-13047.4414</x:v>
      </x:c>
      <x:c r="BV83" s="31" t="n">
        <x:f>=BT83+BU83</x:f>
      </x:c>
      <x:c r="BW83" s="68" t="n">
        <x:f>=BV83/BT83</x:f>
      </x:c>
      <x:c r="BY83" s="68" t="n">
        <x:f>=BO83</x:f>
      </x:c>
      <x:c r="BZ83" s="68" t="n">
        <x:f>=BF83</x:f>
      </x:c>
      <x:c r="CA83" s="68" t="n">
        <x:f>=BG83</x:f>
      </x:c>
      <x:c r="CB83" s="68" t="n">
        <x:f>=1 - BY83</x:f>
      </x:c>
      <x:c r="CD83" s="68" t="n">
        <x:f>=CA83/(1-BZ83)</x:f>
      </x:c>
    </x:row>
    <x:row r="84">
      <x:c r="A84" s="32" t="s">
        <x:v>220</x:v>
      </x:c>
      <x:c r="B84" t="s">
        <x:v>94</x:v>
      </x:c>
      <x:c r="C84" s="9" t="s">
        <x:v>221</x:v>
      </x:c>
      <x:c r="D84" t="s">
        <x:v>96</x:v>
      </x:c>
      <x:c r="E84" t="s">
        <x:v>97</x:v>
      </x:c>
      <x:c r="F84" t="n">
        <x:v>999</x:v>
      </x:c>
      <x:c r="G84" s="33" t="n">
        <x:v>0.001001001001001001001001001</x:v>
      </x:c>
      <x:c r="H84" s="33" t="n">
        <x:v>0.001001001001001001001001001</x:v>
      </x:c>
      <x:c r="I84" s="33" t="n">
        <x:v>0.01001001001001001001001001</x:v>
      </x:c>
      <x:c r="J84" s="33" t="n">
        <x:v>0.019019019019019019019019019</x:v>
      </x:c>
      <x:c r="K84" s="33" t="n">
        <x:v>0.026026026026026026026026026</x:v>
      </x:c>
      <x:c r="L84" s="33" t="n">
        <x:v>0.025025025025025025025025025</x:v>
      </x:c>
      <x:c r="M84" s="33" t="n">
        <x:v>0.031031031031031031031031031</x:v>
      </x:c>
      <x:c r="N84" s="33" t="n">
        <x:v>0.036036036036036036036036036</x:v>
      </x:c>
      <x:c r="O84" s="33" t="n">
        <x:v>0.037037037037037037037037037</x:v>
      </x:c>
      <x:c r="P84" s="33" t="n">
        <x:v>0.039039039039039039039039039</x:v>
      </x:c>
      <x:c r="Q84" s="33" t="n">
        <x:v>0.041041041041041041041041041</x:v>
      </x:c>
      <x:c r="R84" s="33" t="n">
        <x:v>0.043043043043043043043043043</x:v>
      </x:c>
      <x:c r="S84" s="33" t="n">
        <x:v>0.045045045045045045045045045</x:v>
      </x:c>
      <x:c r="T84" s="33" t="n">
        <x:v>0.045045045045045045045045045</x:v>
      </x:c>
      <x:c r="U84" s="33" t="n">
        <x:v>0.045045045045045045045045045</x:v>
      </x:c>
      <x:c r="V84" s="33" t="n">
        <x:v>0.045045045045045045045045045</x:v>
      </x:c>
      <x:c r="W84" s="33" t="n">
        <x:v>0.046046046046046046046046046</x:v>
      </x:c>
      <x:c r="X84" s="33" t="n">
        <x:v>0.049049049049049049049049049</x:v>
      </x:c>
      <x:c r="Y84" s="33" t="n">
        <x:v>0.0510510510510510510510510511</x:v>
      </x:c>
      <x:c r="Z84" s="33" t="n">
        <x:v>0.0510510510510510510510510511</x:v>
      </x:c>
      <x:c r="AA84" s="23" t="n">
        <x:v>0.0960960960960960960960960961</x:v>
      </x:c>
      <x:c r="BC84" s="34" t="s"/>
      <x:c r="BD84" s="11" t="s">
        <x:v>110</x:v>
      </x:c>
      <x:c r="BE84" s="12" t="n">
        <x:f>=BO84</x:f>
      </x:c>
      <x:c r="BF84" s="12" t="n">
        <x:v>0.0500500500500500500500500501</x:v>
      </x:c>
      <x:c r="BG84" s="12" t="n">
        <x:v>0.6556556556556556556556556557</x:v>
      </x:c>
      <x:c r="BH84" s="12" t="n">
        <x:v>0.2942942942942942942942942943</x:v>
      </x:c>
      <x:c r="BI84" s="12" t="n">
        <x:f>=BN84</x:f>
      </x:c>
      <x:c r="BJ84" s="13" t="n">
        <x:v>0</x:v>
      </x:c>
      <x:c r="BK84" s="31" t="n">
        <x:v>7382.79</x:v>
      </x:c>
      <x:c r="BL84" s="31" t="n">
        <x:v>-13095.8910</x:v>
      </x:c>
      <x:c r="BM84" s="31" t="n">
        <x:f>=BK84+BL84</x:f>
      </x:c>
      <x:c r="BN84" s="68" t="n">
        <x:f>=BM84/BK84</x:f>
      </x:c>
      <x:c r="BO84" s="68" t="n">
        <x:v>0.7057057057057057057057057057</x:v>
      </x:c>
      <x:c r="BP84" s="31" t="n">
        <x:v>12987.00</x:v>
      </x:c>
      <x:c r="BQ84" s="42" t="n">
        <x:v>294</x:v>
      </x:c>
      <x:c r="BR84" s="31" t="n">
        <x:v>3822.00</x:v>
      </x:c>
      <x:c r="BT84" s="31" t="n">
        <x:v>13801.3659627862500000000</x:v>
      </x:c>
      <x:c r="BU84" s="31" t="n">
        <x:v>-13095.8910</x:v>
      </x:c>
      <x:c r="BV84" s="31" t="n">
        <x:f>=BT84+BU84</x:f>
      </x:c>
      <x:c r="BW84" s="68" t="n">
        <x:f>=BV84/BT84</x:f>
      </x:c>
      <x:c r="BY84" s="68" t="n">
        <x:f>=BO84</x:f>
      </x:c>
      <x:c r="BZ84" s="68" t="n">
        <x:f>=BF84</x:f>
      </x:c>
      <x:c r="CA84" s="68" t="n">
        <x:f>=BG84</x:f>
      </x:c>
      <x:c r="CB84" s="68" t="n">
        <x:f>=1 - BY84</x:f>
      </x:c>
      <x:c r="CD84" s="68" t="n">
        <x:f>=CA84/(1-BZ84)</x:f>
      </x:c>
    </x:row>
    <x:row r="85">
      <x:c r="BC85" s="34" t="s"/>
      <x:c r="BD85" s="11" t="s"/>
      <x:c r="BJ85" s="13" t="s"/>
      <x:c r="BK85" s="21" t="n">
        <x:v>190768.49</x:v>
      </x:c>
      <x:c r="BL85" s="21" t="n">
        <x:v>-158784.93668956382500000000</x:v>
      </x:c>
      <x:c r="BM85" s="21" t="n">
        <x:f>=BK85+BL85</x:f>
      </x:c>
      <x:c r="BN85" s="22" t="n">
        <x:v>0.1676563740187709982922232073</x:v>
      </x:c>
      <x:c r="BP85" s="21" t="n">
        <x:v>-151941.355968622500000000</x:v>
      </x:c>
      <x:c r="BQ85" s="21" t="n">
        <x:v>1626</x:v>
      </x:c>
      <x:c r="BR85" s="21" t="n">
        <x:v>7217.5473212088865030674846625</x:v>
      </x:c>
      <x:c r="BT85" s="21" t="n">
        <x:v>261631.34514192667687500000000</x:v>
      </x:c>
      <x:c r="BU85" s="21" t="n">
        <x:v>-158784.93668956382500000000</x:v>
      </x:c>
      <x:c r="BV85" s="21" t="n">
        <x:f>=BT85+BU85</x:f>
      </x:c>
      <x:c r="BW85" s="22" t="n">
        <x:v>0.3930966620095613885458865514</x:v>
      </x:c>
    </x:row>
    <x:row r="86">
      <x:c r="A86" s="36" t="s">
        <x:v>104</x:v>
      </x:c>
      <x:c r="BC86" s="34" t="s"/>
      <x:c r="BD86" s="11" t="s"/>
      <x:c r="BJ86" s="13" t="s"/>
    </x:row>
    <x:row r="87">
      <x:c r="A87" s="17" t="s">
        <x:v>105</x:v>
      </x:c>
      <x:c r="BC87" s="34" t="s"/>
      <x:c r="BD87" s="11" t="s"/>
      <x:c r="BJ87" s="13" t="s"/>
    </x:row>
    <x:row r="88">
      <x:c r="A88" s="32" t="s">
        <x:v>222</x:v>
      </x:c>
      <x:c r="B88" t="s"/>
      <x:c r="C88" t="s">
        <x:v>223</x:v>
      </x:c>
      <x:c r="D88" t="s">
        <x:v>108</x:v>
      </x:c>
      <x:c r="E88" t="s">
        <x:v>109</x:v>
      </x:c>
      <x:c r="F88" t="n">
        <x:v>2021</x:v>
      </x:c>
      <x:c r="G88" s="33" t="n">
        <x:v>0.4082137555665512122711528946</x:v>
      </x:c>
      <x:c r="H88" s="33" t="n">
        <x:v>0.4082137555665512122711528946</x:v>
      </x:c>
      <x:c r="I88" s="33" t="n">
        <x:v>0.4082137555665512122711528946</x:v>
      </x:c>
      <x:c r="J88" s="33" t="n">
        <x:v>0.4082137555665512122711528946</x:v>
      </x:c>
      <x:c r="K88" s="33" t="n">
        <x:v>0.4082137555665512122711528946</x:v>
      </x:c>
      <x:c r="L88" s="33" t="n">
        <x:v>0.4082137555665512122711528946</x:v>
      </x:c>
      <x:c r="M88" s="33" t="n">
        <x:v>0.5037110341415141019297377536</x:v>
      </x:c>
      <x:c r="N88" s="33" t="n">
        <x:v>0.5037110341415141019297377536</x:v>
      </x:c>
      <x:c r="O88" s="33" t="n">
        <x:v>0.5037110341415141019297377536</x:v>
      </x:c>
      <x:c r="P88" s="33" t="n">
        <x:v>0.5512122711528946066303809995</x:v>
      </x:c>
      <x:c r="Q88" s="33" t="n">
        <x:v>0.5828797624938149430974764968</x:v>
      </x:c>
      <x:c r="R88" s="33" t="n">
        <x:v>0.5828797624938149430974764968</x:v>
      </x:c>
      <x:c r="S88" s="33" t="n">
        <x:v>0.6150420583869371598218703612</x:v>
      </x:c>
      <x:c r="T88" s="33" t="n">
        <x:v>0.6209797130133597229094507669</x:v>
      </x:c>
      <x:c r="U88" s="33" t="n">
        <x:v>0.6293913904007916872835230084</x:v>
      </x:c>
      <x:c r="V88" s="33" t="n">
        <x:v>0.6452251360712518555170707571</x:v>
      </x:c>
      <x:c r="W88" s="33" t="n">
        <x:v>0.6684809500247402276100940129</x:v>
      </x:c>
      <x:c r="X88" s="33" t="n">
        <x:v>0.6838198911429985155863433944</x:v>
      </x:c>
      <x:c r="Y88" s="33" t="n">
        <x:v>0.696190004948045522018802573</x:v>
      </x:c>
      <x:c r="Z88" s="24" t="n">
        <x:v>0.7154873824839188520534388916</x:v>
      </x:c>
      <x:c r="AA88" s="33" t="n">
        <x:v>0.7135081642751113310242454231</x:v>
      </x:c>
      <x:c r="AB88" s="33" t="n">
        <x:v>0.7179614052449282533399307274</x:v>
      </x:c>
      <x:c r="AC88" s="33" t="n">
        <x:v>0.7229094507669470559129143988</x:v>
      </x:c>
      <x:c r="AD88" s="33" t="n">
        <x:v>0.7238990598713508164275111331</x:v>
      </x:c>
      <x:c r="AE88" s="33" t="n">
        <x:v>0.7273626917367639782285997031</x:v>
      </x:c>
      <x:c r="AF88" s="33" t="n">
        <x:v>0.7298367144977733795150915388</x:v>
      </x:c>
      <x:c r="AG88" s="33" t="n">
        <x:v>0.7352795645719940623453735774</x:v>
      </x:c>
      <x:c r="AH88" s="33" t="n">
        <x:v>0.7392380009896091044037605146</x:v>
      </x:c>
      <x:c r="AI88" s="33" t="n">
        <x:v>0.7367639782285997031172686789</x:v>
      </x:c>
      <x:c r="AJ88" s="33" t="n">
        <x:v>0.740722414646214745175655616</x:v>
      </x:c>
      <x:c r="AK88" s="33" t="n">
        <x:v>0.7387431964374072241464621475</x:v>
      </x:c>
      <x:c r="AL88" s="33" t="n">
        <x:v>0.7427016328550222662048490846</x:v>
      </x:c>
      <x:c r="AM88" s="33" t="n">
        <x:v>0.7436912419594260267194458189</x:v>
      </x:c>
      <x:c r="AN88" s="33" t="n">
        <x:v>0.744186046511627906976744186</x:v>
      </x:c>
      <x:c r="AO88" s="33" t="n">
        <x:v>0.7456704601682335477486392875</x:v>
      </x:c>
      <x:c r="AP88" s="33" t="n">
        <x:v>0.744186046511627906976744186</x:v>
      </x:c>
      <x:c r="AQ88" s="33" t="n">
        <x:v>0.744186046511627906976744186</x:v>
      </x:c>
      <x:c r="AR88" s="33" t="n">
        <x:v>0.7446808510638297872340425532</x:v>
      </x:c>
      <x:c r="AS88" s="33" t="n">
        <x:v>0.7461652647204354280059376546</x:v>
      </x:c>
      <x:c r="AT88" s="33" t="n">
        <x:v>0.7466600692726373082632360218</x:v>
      </x:c>
      <x:c r="AU88" s="23" t="n">
        <x:v>0.7733795150915388421573478476</x:v>
      </x:c>
      <x:c r="BC88" s="34" t="s"/>
      <x:c r="BD88" s="11" t="s">
        <x:v>224</x:v>
      </x:c>
      <x:c r="BE88" s="12" t="n">
        <x:f>=BO88</x:f>
      </x:c>
      <x:c r="BF88" s="12" t="n">
        <x:v>0.7466600692726373082632360218</x:v>
      </x:c>
      <x:c r="BG88" s="12" t="n">
        <x:v>0.235526966848095002474022761</x:v>
      </x:c>
      <x:c r="BH88" s="12" t="n">
        <x:v>0.0178129638792676892627412172</x:v>
      </x:c>
      <x:c r="BI88" s="12" t="n">
        <x:f>=BN88</x:f>
      </x:c>
      <x:c r="BJ88" s="13" t="n">
        <x:v>0</x:v>
      </x:c>
      <x:c r="BK88" s="31" t="n">
        <x:v>26982.72</x:v>
      </x:c>
      <x:c r="BL88" s="31" t="n">
        <x:v>-17573.33425575252701405720</x:v>
      </x:c>
      <x:c r="BM88" s="31" t="n">
        <x:f>=BK88+BL88</x:f>
      </x:c>
      <x:c r="BN88" s="68" t="n">
        <x:f>=BM88/BK88</x:f>
      </x:c>
      <x:c r="BO88" s="68" t="n">
        <x:v>0.9821870361207323107372587828</x:v>
      </x:c>
      <x:c r="BP88" s="31" t="n">
        <x:v>17667.635727579924756760</x:v>
      </x:c>
      <x:c r="BQ88" s="42" t="n">
        <x:v>36</x:v>
      </x:c>
      <x:c r="BR88" s="31" t="n">
        <x:v>314.712957047440520160</x:v>
      </x:c>
      <x:c r="BT88" s="31" t="n">
        <x:v>36072.168863417125000000000000</x:v>
      </x:c>
      <x:c r="BU88" s="31" t="n">
        <x:v>-17573.33425575252701405720</x:v>
      </x:c>
      <x:c r="BV88" s="31" t="n">
        <x:f>=BT88+BU88</x:f>
      </x:c>
      <x:c r="BW88" s="68" t="n">
        <x:f>=BV88/BT88</x:f>
      </x:c>
      <x:c r="BY88" s="68" t="n">
        <x:f>=BO88</x:f>
      </x:c>
      <x:c r="BZ88" s="68" t="n">
        <x:f>=BF88</x:f>
      </x:c>
      <x:c r="CA88" s="68" t="n">
        <x:f>=BG88</x:f>
      </x:c>
      <x:c r="CB88" s="68" t="n">
        <x:f>=1 - BY88</x:f>
      </x:c>
      <x:c r="CD88" s="68" t="n">
        <x:f>=CA88/(1-BZ88)</x:f>
      </x:c>
    </x:row>
    <x:row r="89">
      <x:c r="A89" s="32" t="s">
        <x:v>225</x:v>
      </x:c>
      <x:c r="B89" t="s"/>
      <x:c r="C89" t="s">
        <x:v>226</x:v>
      </x:c>
      <x:c r="D89" t="s">
        <x:v>108</x:v>
      </x:c>
      <x:c r="E89" t="s">
        <x:v>109</x:v>
      </x:c>
      <x:c r="F89" t="n">
        <x:v>516</x:v>
      </x:c>
      <x:c r="G89" s="33" t="n">
        <x:v>0.0271317829457364341085271318</x:v>
      </x:c>
      <x:c r="H89" s="33" t="n">
        <x:v>0.1375968992248062015503875969</x:v>
      </x:c>
      <x:c r="I89" s="33" t="n">
        <x:v>0.1996124031007751937984496124</x:v>
      </x:c>
      <x:c r="J89" s="33" t="n">
        <x:v>0.2790697674418604651162790698</x:v>
      </x:c>
      <x:c r="K89" s="33" t="n">
        <x:v>0.3042635658914728682170542636</x:v>
      </x:c>
      <x:c r="L89" s="33" t="n">
        <x:v>0.3372093023255813953488372093</x:v>
      </x:c>
      <x:c r="M89" s="33" t="n">
        <x:v>0.3817829457364341085271317829</x:v>
      </x:c>
      <x:c r="N89" s="33" t="n">
        <x:v>0.4728682170542635658914728682</x:v>
      </x:c>
      <x:c r="O89" s="33" t="n">
        <x:v>0.496124031007751937984496124</x:v>
      </x:c>
      <x:c r="P89" s="33" t="n">
        <x:v>0.5290697674418604651162790698</x:v>
      </x:c>
      <x:c r="Q89" s="33" t="n">
        <x:v>0.5426356589147286821705426357</x:v>
      </x:c>
      <x:c r="R89" s="33" t="n">
        <x:v>0.5717054263565891472868217054</x:v>
      </x:c>
      <x:c r="S89" s="33" t="n">
        <x:v>0.5968992248062015503875968992</x:v>
      </x:c>
      <x:c r="T89" s="33" t="n">
        <x:v>0.6104651162790697674418604651</x:v>
      </x:c>
      <x:c r="U89" s="33" t="n">
        <x:v>0.6511627906976744186046511628</x:v>
      </x:c>
      <x:c r="V89" s="24" t="n">
        <x:v>0.7209302325581395348837209302</x:v>
      </x:c>
      <x:c r="W89" s="33" t="n">
        <x:v>0.7771317829457364341085271318</x:v>
      </x:c>
      <x:c r="X89" s="33" t="n">
        <x:v>0.7635658914728682170542635659</x:v>
      </x:c>
      <x:c r="Y89" s="33" t="n">
        <x:v>0.8178294573643410852713178295</x:v>
      </x:c>
      <x:c r="Z89" s="33" t="n">
        <x:v>0.8468992248062015503875968992</x:v>
      </x:c>
      <x:c r="AA89" s="33" t="n">
        <x:v>0.8546511627906976744186046512</x:v>
      </x:c>
      <x:c r="AB89" s="33" t="n">
        <x:v>0.8662790697674418604651162791</x:v>
      </x:c>
      <x:c r="AC89" s="33" t="n">
        <x:v>0.8953488372093023255813953488</x:v>
      </x:c>
      <x:c r="AD89" s="33" t="n">
        <x:v>0.9050387596899224806201550388</x:v>
      </x:c>
      <x:c r="AE89" s="33" t="n">
        <x:v>0.9166666666666666666666666667</x:v>
      </x:c>
      <x:c r="AF89" s="33" t="n">
        <x:v>0.9166666666666666666666666667</x:v>
      </x:c>
      <x:c r="AG89" s="23" t="n">
        <x:v>0.9263565891472868217054263566</x:v>
      </x:c>
      <x:c r="BC89" s="34" t="s"/>
      <x:c r="BD89" s="11" t="s">
        <x:v>227</x:v>
      </x:c>
      <x:c r="BE89" s="12" t="n">
        <x:f>=BO89</x:f>
      </x:c>
      <x:c r="BF89" s="12" t="n">
        <x:v>0.8934108527131782945736434109</x:v>
      </x:c>
      <x:c r="BG89" s="12" t="n">
        <x:v>0.0794573643410852713178294574</x:v>
      </x:c>
      <x:c r="BH89" s="12" t="n">
        <x:v>0.0271317829457364341085271318</x:v>
      </x:c>
      <x:c r="BI89" s="12" t="n">
        <x:f>=BN89</x:f>
      </x:c>
      <x:c r="BJ89" s="13" t="n">
        <x:v>0</x:v>
      </x:c>
      <x:c r="BK89" s="31" t="n">
        <x:v>7768.92</x:v>
      </x:c>
      <x:c r="BL89" s="31" t="n">
        <x:v>-5256.18074487674484289920</x:v>
      </x:c>
      <x:c r="BM89" s="31" t="n">
        <x:f>=BK89+BL89</x:f>
      </x:c>
      <x:c r="BN89" s="68" t="n">
        <x:f>=BM89/BK89</x:f>
      </x:c>
      <x:c r="BO89" s="68" t="n">
        <x:v>0.9728682170542635658914728682</x:v>
      </x:c>
      <x:c r="BP89" s="31" t="n">
        <x:v>5377.250252450252415360</x:v>
      </x:c>
      <x:c r="BQ89" s="42" t="n">
        <x:v>14</x:v>
      </x:c>
      <x:c r="BR89" s="31" t="n">
        <x:v>145.894386694386693440</x:v>
      </x:c>
      <x:c r="BT89" s="31" t="n">
        <x:v>10255.3953729712500000000</x:v>
      </x:c>
      <x:c r="BU89" s="31" t="n">
        <x:v>-5256.18074487674484289920</x:v>
      </x:c>
      <x:c r="BV89" s="31" t="n">
        <x:f>=BT89+BU89</x:f>
      </x:c>
      <x:c r="BW89" s="68" t="n">
        <x:f>=BV89/BT89</x:f>
      </x:c>
      <x:c r="BY89" s="68" t="n">
        <x:f>=BO89</x:f>
      </x:c>
      <x:c r="BZ89" s="68" t="n">
        <x:f>=BF89</x:f>
      </x:c>
      <x:c r="CA89" s="68" t="n">
        <x:f>=BG89</x:f>
      </x:c>
      <x:c r="CB89" s="68" t="n">
        <x:f>=1 - BY89</x:f>
      </x:c>
      <x:c r="CD89" s="68" t="n">
        <x:f>=CA89/(1-BZ89)</x:f>
      </x:c>
    </x:row>
    <x:row r="90">
      <x:c r="A90" s="32" t="s">
        <x:v>228</x:v>
      </x:c>
      <x:c r="B90" t="s"/>
      <x:c r="C90" t="s">
        <x:v>229</x:v>
      </x:c>
      <x:c r="D90" t="s">
        <x:v>108</x:v>
      </x:c>
      <x:c r="E90" t="s">
        <x:v>109</x:v>
      </x:c>
      <x:c r="F90" t="n">
        <x:v>609</x:v>
      </x:c>
      <x:c r="G90" s="33" t="n">
        <x:v>0.0098522167487684729064039409</x:v>
      </x:c>
      <x:c r="H90" s="33" t="n">
        <x:v>0.0837438423645320197044334975</x:v>
      </x:c>
      <x:c r="I90" s="33" t="n">
        <x:v>0.1247947454844006568144499179</x:v>
      </x:c>
      <x:c r="J90" s="33" t="n">
        <x:v>0.1576354679802955665024630542</x:v>
      </x:c>
      <x:c r="K90" s="33" t="n">
        <x:v>0.177339901477832512315270936</x:v>
      </x:c>
      <x:c r="L90" s="33" t="n">
        <x:v>0.2068965517241379310344827586</x:v>
      </x:c>
      <x:c r="M90" s="33" t="n">
        <x:v>0.229885057471264367816091954</x:v>
      </x:c>
      <x:c r="N90" s="33" t="n">
        <x:v>0.2775041050903119868637110016</x:v>
      </x:c>
      <x:c r="O90" s="33" t="n">
        <x:v>0.3481116584564860426929392447</x:v>
      </x:c>
      <x:c r="P90" s="33" t="n">
        <x:v>0.3940886699507389162561576355</x:v>
      </x:c>
      <x:c r="Q90" s="33" t="n">
        <x:v>0.4367816091954022988505747126</x:v>
      </x:c>
      <x:c r="R90" s="33" t="n">
        <x:v>0.4646962233169129720853858785</x:v>
      </x:c>
      <x:c r="S90" s="33" t="n">
        <x:v>0.5155993431855500821018062397</x:v>
      </x:c>
      <x:c r="T90" s="33" t="n">
        <x:v>0.5353037766830870279146141215</x:v>
      </x:c>
      <x:c r="U90" s="33" t="n">
        <x:v>0.5878489326765188834154351396</x:v>
      </x:c>
      <x:c r="V90" s="33" t="n">
        <x:v>0.6124794745484400656814449918</x:v>
      </x:c>
      <x:c r="W90" s="33" t="n">
        <x:v>0.6272577996715927750410509031</x:v>
      </x:c>
      <x:c r="X90" s="33" t="n">
        <x:v>0.6486042692939244663382594417</x:v>
      </x:c>
      <x:c r="Y90" s="33" t="n">
        <x:v>0.663382594417077175697865353</x:v>
      </x:c>
      <x:c r="Z90" s="33" t="n">
        <x:v>0.6830870279146141215106732348</x:v>
      </x:c>
      <x:c r="AA90" s="24" t="n">
        <x:v>0.7027914614121510673234811166</x:v>
      </x:c>
      <x:c r="AB90" s="33" t="n">
        <x:v>0.7027914614121510673234811166</x:v>
      </x:c>
      <x:c r="AC90" s="33" t="n">
        <x:v>0.7241379310344827586206896552</x:v>
      </x:c>
      <x:c r="AD90" s="33" t="n">
        <x:v>0.7175697865353037766830870279</x:v>
      </x:c>
      <x:c r="AE90" s="33" t="n">
        <x:v>0.7274220032840722495894909688</x:v>
      </x:c>
      <x:c r="AF90" s="23" t="n">
        <x:v>0.7438423645320197044334975369</x:v>
      </x:c>
      <x:c r="BC90" s="34" t="s"/>
      <x:c r="BD90" s="11" t="s">
        <x:v>147</x:v>
      </x:c>
      <x:c r="BE90" s="12" t="n">
        <x:f>=BO90</x:f>
      </x:c>
      <x:c r="BF90" s="12" t="n">
        <x:v>0.6945812807881773399014778325</x:v>
      </x:c>
      <x:c r="BG90" s="12" t="n">
        <x:v>0.2183908045977011494252873563</x:v>
      </x:c>
      <x:c r="BH90" s="12" t="n">
        <x:v>0.0870279146141215106732348112</x:v>
      </x:c>
      <x:c r="BI90" s="12" t="n">
        <x:f>=BN90</x:f>
      </x:c>
      <x:c r="BJ90" s="13" t="n">
        <x:v>0</x:v>
      </x:c>
      <x:c r="BK90" s="31" t="n">
        <x:v>8933.05</x:v>
      </x:c>
      <x:c r="BL90" s="31" t="n">
        <x:v>-7567.63230688905684025950</x:v>
      </x:c>
      <x:c r="BM90" s="31" t="n">
        <x:f>=BK90+BL90</x:f>
      </x:c>
      <x:c r="BN90" s="68" t="n">
        <x:f>=BM90/BK90</x:f>
      </x:c>
      <x:c r="BO90" s="68" t="n">
        <x:v>0.9129720853858784893267651888</x:v>
      </x:c>
      <x:c r="BP90" s="31" t="n">
        <x:v>7752.711656586656536350</x:v>
      </x:c>
      <x:c r="BQ90" s="42" t="n">
        <x:v>53</x:v>
      </x:c>
      <x:c r="BR90" s="31" t="n">
        <x:v>674.702328077328072950</x:v>
      </x:c>
      <x:c r="BT90" s="31" t="n">
        <x:v>12063.3104695390000000000</x:v>
      </x:c>
      <x:c r="BU90" s="31" t="n">
        <x:v>-7567.63230688905684025950</x:v>
      </x:c>
      <x:c r="BV90" s="31" t="n">
        <x:f>=BT90+BU90</x:f>
      </x:c>
      <x:c r="BW90" s="68" t="n">
        <x:f>=BV90/BT90</x:f>
      </x:c>
      <x:c r="BY90" s="68" t="n">
        <x:f>=BO90</x:f>
      </x:c>
      <x:c r="BZ90" s="68" t="n">
        <x:f>=BF90</x:f>
      </x:c>
      <x:c r="CA90" s="68" t="n">
        <x:f>=BG90</x:f>
      </x:c>
      <x:c r="CB90" s="68" t="n">
        <x:f>=1 - BY90</x:f>
      </x:c>
      <x:c r="CD90" s="68" t="n">
        <x:f>=CA90/(1-BZ90)</x:f>
      </x:c>
    </x:row>
    <x:row r="91">
      <x:c r="A91" s="32" t="s">
        <x:v>230</x:v>
      </x:c>
      <x:c r="B91" t="s"/>
      <x:c r="C91" t="s">
        <x:v>231</x:v>
      </x:c>
      <x:c r="D91" t="s">
        <x:v>108</x:v>
      </x:c>
      <x:c r="E91" t="s">
        <x:v>109</x:v>
      </x:c>
      <x:c r="F91" t="n">
        <x:v>592</x:v>
      </x:c>
      <x:c r="G91" s="33" t="n">
        <x:v>0.0118243243243243243243243243</x:v>
      </x:c>
      <x:c r="H91" s="33" t="n">
        <x:v>0.1283783783783783783783783784</x:v>
      </x:c>
      <x:c r="I91" s="33" t="n">
        <x:v>0.2162162162162162162162162162</x:v>
      </x:c>
      <x:c r="J91" s="33" t="n">
        <x:v>0.2820945945945945945945945946</x:v>
      </x:c>
      <x:c r="K91" s="33" t="n">
        <x:v>0.3074324324324324324324324324</x:v>
      </x:c>
      <x:c r="L91" s="33" t="n">
        <x:v>0.3175675675675675675675675676</x:v>
      </x:c>
      <x:c r="M91" s="33" t="n">
        <x:v>0.3682432432432432432432432432</x:v>
      </x:c>
      <x:c r="N91" s="33" t="n">
        <x:v>0.4543918918918918918918918919</x:v>
      </x:c>
      <x:c r="O91" s="33" t="n">
        <x:v>0.4881756756756756756756756757</x:v>
      </x:c>
      <x:c r="P91" s="33" t="n">
        <x:v>0.4628378378378378378378378378</x:v>
      </x:c>
      <x:c r="Q91" s="33" t="n">
        <x:v>0.4932432432432432432432432432</x:v>
      </x:c>
      <x:c r="R91" s="33" t="n">
        <x:v>0.5202702702702702702702702703</x:v>
      </x:c>
      <x:c r="S91" s="33" t="n">
        <x:v>0.5439189189189189189189189189</x:v>
      </x:c>
      <x:c r="T91" s="33" t="n">
        <x:v>0.5422297297297297297297297297</x:v>
      </x:c>
      <x:c r="U91" s="33" t="n">
        <x:v>0.5591216216216216216216216216</x:v>
      </x:c>
      <x:c r="V91" s="33" t="n">
        <x:v>0.589527027027027027027027027</x:v>
      </x:c>
      <x:c r="W91" s="33" t="n">
        <x:v>0.6199324324324324324324324324</x:v>
      </x:c>
      <x:c r="X91" s="33" t="n">
        <x:v>0.6233108108108108108108108108</x:v>
      </x:c>
      <x:c r="Y91" s="33" t="n">
        <x:v>0.6334459459459459459459459459</x:v>
      </x:c>
      <x:c r="Z91" s="33" t="n">
        <x:v>0.6351351351351351351351351351</x:v>
      </x:c>
      <x:c r="AA91" s="33" t="n">
        <x:v>0.6503378378378378378378378378</x:v>
      </x:c>
      <x:c r="AB91" s="33" t="n">
        <x:v>0.6689189189189189189189189189</x:v>
      </x:c>
      <x:c r="AC91" s="33" t="n">
        <x:v>0.6689189189189189189189189189</x:v>
      </x:c>
      <x:c r="AD91" s="24" t="n">
        <x:v>0.7195945945945945945945945946</x:v>
      </x:c>
      <x:c r="AE91" s="33" t="n">
        <x:v>0.7736486486486486486486486486</x:v>
      </x:c>
      <x:c r="AF91" s="23" t="n">
        <x:v>0.7871621621621621621621621622</x:v>
      </x:c>
      <x:c r="BC91" s="34" t="s"/>
      <x:c r="BD91" s="11" t="s">
        <x:v>147</x:v>
      </x:c>
      <x:c r="BE91" s="12" t="n">
        <x:f>=BO91</x:f>
      </x:c>
      <x:c r="BF91" s="12" t="n">
        <x:v>0.7094594594594594594594594595</x:v>
      </x:c>
      <x:c r="BG91" s="12" t="n">
        <x:v>0.1266891891891891891891891892</x:v>
      </x:c>
      <x:c r="BH91" s="12" t="n">
        <x:v>0.1638513513513513513513513514</x:v>
      </x:c>
      <x:c r="BI91" s="12" t="n">
        <x:f>=BN91</x:f>
      </x:c>
      <x:c r="BJ91" s="13" t="n">
        <x:v>0</x:v>
      </x:c>
      <x:c r="BK91" s="31" t="n">
        <x:v>9781.54</x:v>
      </x:c>
      <x:c r="BL91" s="31" t="n">
        <x:v>-8138.11110489510484259520</x:v>
      </x:c>
      <x:c r="BM91" s="31" t="n">
        <x:f>=BK91+BL91</x:f>
      </x:c>
      <x:c r="BN91" s="68" t="n">
        <x:f>=BM91/BK91</x:f>
      </x:c>
      <x:c r="BO91" s="68" t="n">
        <x:v>0.8361486486486486486486486486</x:v>
      </x:c>
      <x:c r="BP91" s="31" t="n">
        <x:v>8342.506293706293652160</x:v>
      </x:c>
      <x:c r="BQ91" s="42" t="n">
        <x:v>97</x:v>
      </x:c>
      <x:c r="BR91" s="31" t="n">
        <x:v>1366.930929880929872060</x:v>
      </x:c>
      <x:c r="BT91" s="31" t="n">
        <x:v>13014.600484959000000000000000</x:v>
      </x:c>
      <x:c r="BU91" s="31" t="n">
        <x:v>-8138.11110489510484259520</x:v>
      </x:c>
      <x:c r="BV91" s="31" t="n">
        <x:f>=BT91+BU91</x:f>
      </x:c>
      <x:c r="BW91" s="68" t="n">
        <x:f>=BV91/BT91</x:f>
      </x:c>
      <x:c r="BY91" s="68" t="n">
        <x:f>=BO91</x:f>
      </x:c>
      <x:c r="BZ91" s="68" t="n">
        <x:f>=BF91</x:f>
      </x:c>
      <x:c r="CA91" s="68" t="n">
        <x:f>=BG91</x:f>
      </x:c>
      <x:c r="CB91" s="68" t="n">
        <x:f>=1 - BY91</x:f>
      </x:c>
      <x:c r="CD91" s="68" t="n">
        <x:f>=CA91/(1-BZ91)</x:f>
      </x:c>
    </x:row>
    <x:row r="92">
      <x:c r="A92" s="32" t="s">
        <x:v>232</x:v>
      </x:c>
      <x:c r="B92" t="s"/>
      <x:c r="C92" t="s">
        <x:v>233</x:v>
      </x:c>
      <x:c r="D92" t="s">
        <x:v>96</x:v>
      </x:c>
      <x:c r="E92" t="s">
        <x:v>109</x:v>
      </x:c>
      <x:c r="F92" t="n">
        <x:v>562</x:v>
      </x:c>
      <x:c r="G92" s="33" t="n">
        <x:v>0.001779359430604982206405694</x:v>
      </x:c>
      <x:c r="H92" s="33" t="n">
        <x:v>0.0035587188612099644128113879</x:v>
      </x:c>
      <x:c r="I92" s="33" t="n">
        <x:v>0.0035587188612099644128113879</x:v>
      </x:c>
      <x:c r="J92" s="33" t="n">
        <x:v>0.0035587188612099644128113879</x:v>
      </x:c>
      <x:c r="K92" s="33" t="n">
        <x:v>0.2419928825622775800711743772</x:v>
      </x:c>
      <x:c r="L92" s="33" t="n">
        <x:v>0.3612099644128113879003558719</x:v>
      </x:c>
      <x:c r="M92" s="33" t="n">
        <x:v>0.4572953736654804270462633452</x:v>
      </x:c>
      <x:c r="N92" s="33" t="n">
        <x:v>0.501779359430604982206405694</x:v>
      </x:c>
      <x:c r="O92" s="33" t="n">
        <x:v>0.6014234875444839857651245552</x:v>
      </x:c>
      <x:c r="P92" s="24" t="n">
        <x:v>0.7829181494661921708185053381</x:v>
      </x:c>
      <x:c r="Q92" s="33" t="n">
        <x:v>0.7989323843416370106761565836</x:v>
      </x:c>
      <x:c r="R92" s="33" t="n">
        <x:v>0.8665480427046263345195729537</x:v>
      </x:c>
      <x:c r="S92" s="33" t="n">
        <x:v>0.9021352313167259786476868327</x:v>
      </x:c>
      <x:c r="T92" s="33" t="n">
        <x:v>0.9163701067615658362989323843</x:v>
      </x:c>
      <x:c r="U92" s="33" t="n">
        <x:v>0.9395017793594306049822064057</x:v>
      </x:c>
      <x:c r="V92" s="33" t="n">
        <x:v>0.9430604982206405693950177936</x:v>
      </x:c>
      <x:c r="W92" s="33" t="n">
        <x:v>0.9572953736654804270462633452</x:v>
      </x:c>
      <x:c r="X92" s="33" t="n">
        <x:v>0.962633451957295373665480427</x:v>
      </x:c>
      <x:c r="Y92" s="33" t="n">
        <x:v>0.9804270462633451957295373665</x:v>
      </x:c>
      <x:c r="Z92" s="33" t="n">
        <x:v>0.9822064056939501779359430605</x:v>
      </x:c>
      <x:c r="AA92" s="23" t="n">
        <x:v>0.9822064056939501779359430605</x:v>
      </x:c>
      <x:c r="BC92" s="34" t="s"/>
      <x:c r="BD92" s="11" t="s">
        <x:v>110</x:v>
      </x:c>
      <x:c r="BE92" s="12" t="n">
        <x:f>=BO92</x:f>
      </x:c>
      <x:c r="BF92" s="12" t="n">
        <x:v>0.9715302491103202846975088968</x:v>
      </x:c>
      <x:c r="BG92" s="12" t="n">
        <x:v>0.0231316725978647686832740214</x:v>
      </x:c>
      <x:c r="BH92" s="12" t="n">
        <x:v>0.0053380782918149466192170819</x:v>
      </x:c>
      <x:c r="BI92" s="12" t="n">
        <x:f>=BN92</x:f>
      </x:c>
      <x:c r="BJ92" s="13" t="n">
        <x:v>0</x:v>
      </x:c>
      <x:c r="BK92" s="31" t="n">
        <x:v>4177.59</x:v>
      </x:c>
      <x:c r="BL92" s="31" t="n">
        <x:v>-2677.9862</x:v>
      </x:c>
      <x:c r="BM92" s="31" t="n">
        <x:f>=BK92+BL92</x:f>
      </x:c>
      <x:c r="BN92" s="68" t="n">
        <x:f>=BM92/BK92</x:f>
      </x:c>
      <x:c r="BO92" s="68" t="n">
        <x:v>0.9946619217081850533807829181</x:v>
      </x:c>
      <x:c r="BP92" s="31" t="n">
        <x:v>2663.88</x:v>
      </x:c>
      <x:c r="BQ92" s="42" t="n">
        <x:v>3</x:v>
      </x:c>
      <x:c r="BR92" s="31" t="n">
        <x:v>14.22</x:v>
      </x:c>
      <x:c r="BT92" s="31" t="n">
        <x:v>5441.3876895696250000000000000</x:v>
      </x:c>
      <x:c r="BU92" s="31" t="n">
        <x:v>-2677.9862</x:v>
      </x:c>
      <x:c r="BV92" s="31" t="n">
        <x:f>=BT92+BU92</x:f>
      </x:c>
      <x:c r="BW92" s="68" t="n">
        <x:f>=BV92/BT92</x:f>
      </x:c>
      <x:c r="BY92" s="68" t="n">
        <x:f>=BO92</x:f>
      </x:c>
      <x:c r="BZ92" s="68" t="n">
        <x:f>=BF92</x:f>
      </x:c>
      <x:c r="CA92" s="68" t="n">
        <x:f>=BG92</x:f>
      </x:c>
      <x:c r="CB92" s="68" t="n">
        <x:f>=1 - BY92</x:f>
      </x:c>
      <x:c r="CD92" s="68" t="n">
        <x:f>=CA92/(1-BZ92)</x:f>
      </x:c>
    </x:row>
    <x:row r="93">
      <x:c r="A93" s="32" t="s">
        <x:v>234</x:v>
      </x:c>
      <x:c r="B93" t="s"/>
      <x:c r="C93" t="s">
        <x:v>235</x:v>
      </x:c>
      <x:c r="D93" t="s">
        <x:v>96</x:v>
      </x:c>
      <x:c r="E93" t="s">
        <x:v>109</x:v>
      </x:c>
      <x:c r="F93" t="n">
        <x:v>702</x:v>
      </x:c>
      <x:c r="G93" s="33" t="n">
        <x:v>0.0014245014245014245014245014</x:v>
      </x:c>
      <x:c r="H93" s="33" t="n">
        <x:v>0.0014245014245014245014245014</x:v>
      </x:c>
      <x:c r="I93" s="33" t="n">
        <x:v>0.0028490028490028490028490028</x:v>
      </x:c>
      <x:c r="J93" s="33" t="n">
        <x:v>0.1794871794871794871794871795</x:v>
      </x:c>
      <x:c r="K93" s="33" t="n">
        <x:v>0.2378917378917378917378917379</x:v>
      </x:c>
      <x:c r="L93" s="33" t="n">
        <x:v>0.3219373219373219373219373219</x:v>
      </x:c>
      <x:c r="M93" s="33" t="n">
        <x:v>0.4145299145299145299145299145</x:v>
      </x:c>
      <x:c r="N93" s="33" t="n">
        <x:v>0.4643874643874643874643874644</x:v>
      </x:c>
      <x:c r="O93" s="33" t="n">
        <x:v>0.5413105413105413105413105413</x:v>
      </x:c>
      <x:c r="P93" s="33" t="n">
        <x:v>0.6282051282051282051282051282</x:v>
      </x:c>
      <x:c r="Q93" s="33" t="n">
        <x:v>0.6467236467236467236467236467</x:v>
      </x:c>
      <x:c r="R93" s="33" t="n">
        <x:v>0.6894586894586894586894586895</x:v>
      </x:c>
      <x:c r="S93" s="24" t="n">
        <x:v>0.7307692307692307692307692308</x:v>
      </x:c>
      <x:c r="T93" s="33" t="n">
        <x:v>0.7678062678062678062678062678</x:v>
      </x:c>
      <x:c r="U93" s="33" t="n">
        <x:v>0.8062678062678062678062678063</x:v>
      </x:c>
      <x:c r="V93" s="33" t="n">
        <x:v>0.839031339031339031339031339</x:v>
      </x:c>
      <x:c r="W93" s="33" t="n">
        <x:v>0.8561253561253561253561253561</x:v>
      </x:c>
      <x:c r="X93" s="33" t="n">
        <x:v>0.8746438746438746438746438746</x:v>
      </x:c>
      <x:c r="Y93" s="33" t="n">
        <x:v>0.9031339031339031339031339031</x:v>
      </x:c>
      <x:c r="Z93" s="23" t="n">
        <x:v>0.9188034188034188034188034188</x:v>
      </x:c>
      <x:c r="BC93" s="34" t="s"/>
      <x:c r="BD93" s="11" t="s">
        <x:v>115</x:v>
      </x:c>
      <x:c r="BE93" s="12" t="n">
        <x:f>=BO93</x:f>
      </x:c>
      <x:c r="BF93" s="12" t="n">
        <x:v>0.8974358974358974358974358974</x:v>
      </x:c>
      <x:c r="BG93" s="12" t="n">
        <x:v>0.0754985754985754985754985755</x:v>
      </x:c>
      <x:c r="BH93" s="12" t="n">
        <x:v>0.0270655270655270655270655271</x:v>
      </x:c>
      <x:c r="BI93" s="12" t="n">
        <x:f>=BN93</x:f>
      </x:c>
      <x:c r="BJ93" s="13" t="n">
        <x:v>0</x:v>
      </x:c>
      <x:c r="BK93" s="31" t="n">
        <x:v>4936.56</x:v>
      </x:c>
      <x:c r="BL93" s="31" t="n">
        <x:v>-3338.1504</x:v>
      </x:c>
      <x:c r="BM93" s="31" t="n">
        <x:f>=BK93+BL93</x:f>
      </x:c>
      <x:c r="BN93" s="68" t="n">
        <x:f>=BM93/BK93</x:f>
      </x:c>
      <x:c r="BO93" s="68" t="n">
        <x:v>0.9729344729344729344729344729</x:v>
      </x:c>
      <x:c r="BP93" s="31" t="n">
        <x:v>3327.48</x:v>
      </x:c>
      <x:c r="BQ93" s="42" t="n">
        <x:v>19</x:v>
      </x:c>
      <x:c r="BR93" s="31" t="n">
        <x:v>90.06</x:v>
      </x:c>
      <x:c r="BT93" s="31" t="n">
        <x:v>6515.1827367933750000000</x:v>
      </x:c>
      <x:c r="BU93" s="31" t="n">
        <x:v>-3338.1504</x:v>
      </x:c>
      <x:c r="BV93" s="31" t="n">
        <x:f>=BT93+BU93</x:f>
      </x:c>
      <x:c r="BW93" s="68" t="n">
        <x:f>=BV93/BT93</x:f>
      </x:c>
      <x:c r="BY93" s="68" t="n">
        <x:f>=BO93</x:f>
      </x:c>
      <x:c r="BZ93" s="68" t="n">
        <x:f>=BF93</x:f>
      </x:c>
      <x:c r="CA93" s="68" t="n">
        <x:f>=BG93</x:f>
      </x:c>
      <x:c r="CB93" s="68" t="n">
        <x:f>=1 - BY93</x:f>
      </x:c>
      <x:c r="CD93" s="68" t="n">
        <x:f>=CA93/(1-BZ93)</x:f>
      </x:c>
    </x:row>
    <x:row r="94">
      <x:c r="A94" s="32" t="s">
        <x:v>236</x:v>
      </x:c>
      <x:c r="B94" t="s"/>
      <x:c r="C94" t="s">
        <x:v>237</x:v>
      </x:c>
      <x:c r="D94" t="s">
        <x:v>96</x:v>
      </x:c>
      <x:c r="E94" t="s">
        <x:v>109</x:v>
      </x:c>
      <x:c r="F94" t="n">
        <x:v>746</x:v>
      </x:c>
      <x:c r="G94" s="33" t="n">
        <x:v>0.002680965147453083109919571</x:v>
      </x:c>
      <x:c r="H94" s="33" t="n">
        <x:v>0.002680965147453083109919571</x:v>
      </x:c>
      <x:c r="I94" s="33" t="n">
        <x:v>0.0160857908847184986595174263</x:v>
      </x:c>
      <x:c r="J94" s="33" t="n">
        <x:v>0.2774798927613941018766756032</x:v>
      </x:c>
      <x:c r="K94" s="33" t="n">
        <x:v>0.2989276139410187667560321716</x:v>
      </x:c>
      <x:c r="L94" s="33" t="n">
        <x:v>0.4088471849865951742627345845</x:v>
      </x:c>
      <x:c r="M94" s="33" t="n">
        <x:v>0.4705093833780160857908847185</x:v>
      </x:c>
      <x:c r="N94" s="33" t="n">
        <x:v>0.5201072386058981233243967828</x:v>
      </x:c>
      <x:c r="O94" s="33" t="n">
        <x:v>0.5656836461126005361930294906</x:v>
      </x:c>
      <x:c r="P94" s="33" t="n">
        <x:v>0.6474530831099195710455764075</x:v>
      </x:c>
      <x:c r="Q94" s="33" t="n">
        <x:v>0.674262734584450402144772118</x:v>
      </x:c>
      <x:c r="R94" s="33" t="n">
        <x:v>0.6930294906166219839142091153</x:v>
      </x:c>
      <x:c r="S94" s="24" t="n">
        <x:v>0.7010723860589812332439678284</x:v>
      </x:c>
      <x:c r="T94" s="33" t="n">
        <x:v>0.7412868632707774798927613941</x:v>
      </x:c>
      <x:c r="U94" s="33" t="n">
        <x:v>0.7600536193029490616621983914</x:v>
      </x:c>
      <x:c r="V94" s="33" t="n">
        <x:v>0.7841823056300268096514745308</x:v>
      </x:c>
      <x:c r="W94" s="33" t="n">
        <x:v>0.8056300268096514745308310992</x:v>
      </x:c>
      <x:c r="X94" s="33" t="n">
        <x:v>0.8176943699731903485254691689</x:v>
      </x:c>
      <x:c r="Y94" s="33" t="n">
        <x:v>0.8310991957104557640750670241</x:v>
      </x:c>
      <x:c r="Z94" s="23" t="n">
        <x:v>0.8833780160857908847184986595</x:v>
      </x:c>
      <x:c r="BC94" s="34" t="s"/>
      <x:c r="BD94" s="11" t="s">
        <x:v>115</x:v>
      </x:c>
      <x:c r="BE94" s="12" t="n">
        <x:f>=BO94</x:f>
      </x:c>
      <x:c r="BF94" s="12" t="n">
        <x:v>0.8243967828418230563002680965</x:v>
      </x:c>
      <x:c r="BG94" s="12" t="n">
        <x:v>0.1541554959785522788203753351</x:v>
      </x:c>
      <x:c r="BH94" s="12" t="n">
        <x:v>0.0214477211796246648793565684</x:v>
      </x:c>
      <x:c r="BI94" s="12" t="n">
        <x:f>=BN94</x:f>
      </x:c>
      <x:c r="BJ94" s="13" t="n">
        <x:v>0</x:v>
      </x:c>
      <x:c r="BK94" s="31" t="n">
        <x:v>6049.59</x:v>
      </x:c>
      <x:c r="BL94" s="31" t="n">
        <x:v>-4244.2178</x:v>
      </x:c>
      <x:c r="BM94" s="31" t="n">
        <x:f>=BK94+BL94</x:f>
      </x:c>
      <x:c r="BN94" s="68" t="n">
        <x:f>=BM94/BK94</x:f>
      </x:c>
      <x:c r="BO94" s="68" t="n">
        <x:v>0.9785522788203753351206434316</x:v>
      </x:c>
      <x:c r="BP94" s="31" t="n">
        <x:v>4244.74</x:v>
      </x:c>
      <x:c r="BQ94" s="42" t="n">
        <x:v>16</x:v>
      </x:c>
      <x:c r="BR94" s="31" t="n">
        <x:v>91.04</x:v>
      </x:c>
      <x:c r="BT94" s="31" t="n">
        <x:v>7966.810287583000000000000000</x:v>
      </x:c>
      <x:c r="BU94" s="31" t="n">
        <x:v>-4244.2178</x:v>
      </x:c>
      <x:c r="BV94" s="31" t="n">
        <x:f>=BT94+BU94</x:f>
      </x:c>
      <x:c r="BW94" s="68" t="n">
        <x:f>=BV94/BT94</x:f>
      </x:c>
      <x:c r="BY94" s="68" t="n">
        <x:f>=BO94</x:f>
      </x:c>
      <x:c r="BZ94" s="68" t="n">
        <x:f>=BF94</x:f>
      </x:c>
      <x:c r="CA94" s="68" t="n">
        <x:f>=BG94</x:f>
      </x:c>
      <x:c r="CB94" s="68" t="n">
        <x:f>=1 - BY94</x:f>
      </x:c>
      <x:c r="CD94" s="68" t="n">
        <x:f>=CA94/(1-BZ94)</x:f>
      </x:c>
    </x:row>
    <x:row r="95">
      <x:c r="A95" s="32" t="s"/>
      <x:c r="BC95" s="34" t="s"/>
      <x:c r="BD95" s="11" t="s"/>
      <x:c r="BJ95" s="13" t="s"/>
    </x:row>
    <x:row r="96">
      <x:c r="A96" s="17" t="s">
        <x:v>92</x:v>
      </x:c>
      <x:c r="BC96" s="34" t="s"/>
      <x:c r="BD96" s="11" t="s"/>
      <x:c r="BJ96" s="13" t="s"/>
    </x:row>
    <x:row r="97">
      <x:c r="A97" s="32" t="s">
        <x:v>238</x:v>
      </x:c>
      <x:c r="B97" t="s"/>
      <x:c r="C97" t="s">
        <x:v>239</x:v>
      </x:c>
      <x:c r="D97" t="s">
        <x:v>108</x:v>
      </x:c>
      <x:c r="E97" t="s">
        <x:v>109</x:v>
      </x:c>
      <x:c r="F97" t="n">
        <x:v>527</x:v>
      </x:c>
      <x:c r="G97" s="33" t="n">
        <x:v>0.0455407969639468690702087287</x:v>
      </x:c>
      <x:c r="H97" s="33" t="n">
        <x:v>0.0455407969639468690702087287</x:v>
      </x:c>
      <x:c r="I97" s="33" t="n">
        <x:v>0.0455407969639468690702087287</x:v>
      </x:c>
      <x:c r="J97" s="33" t="n">
        <x:v>0.0455407969639468690702087287</x:v>
      </x:c>
      <x:c r="K97" s="33" t="n">
        <x:v>0.0455407969639468690702087287</x:v>
      </x:c>
      <x:c r="L97" s="33" t="n">
        <x:v>0.0455407969639468690702087287</x:v>
      </x:c>
      <x:c r="M97" s="33" t="n">
        <x:v>0.0664136622390891840607210626</x:v>
      </x:c>
      <x:c r="N97" s="33" t="n">
        <x:v>0.0664136622390891840607210626</x:v>
      </x:c>
      <x:c r="O97" s="33" t="n">
        <x:v>0.0664136622390891840607210626</x:v>
      </x:c>
      <x:c r="P97" s="33" t="n">
        <x:v>0.0872865275142314990512333966</x:v>
      </x:c>
      <x:c r="Q97" s="33" t="n">
        <x:v>0.0815939278937381404174573055</x:v>
      </x:c>
      <x:c r="R97" s="33" t="n">
        <x:v>0.0815939278937381404174573055</x:v>
      </x:c>
      <x:c r="S97" s="33" t="n">
        <x:v>0.0777988614800759013282732448</x:v>
      </x:c>
      <x:c r="T97" s="33" t="n">
        <x:v>0.0815939278937381404174573055</x:v>
      </x:c>
      <x:c r="U97" s="33" t="n">
        <x:v>0.0872865275142314990512333966</x:v>
      </x:c>
      <x:c r="V97" s="33" t="n">
        <x:v>0.0967741935483870967741935484</x:v>
      </x:c>
      <x:c r="W97" s="33" t="n">
        <x:v>0.1043643263757115749525616698</x:v>
      </x:c>
      <x:c r="X97" s="33" t="n">
        <x:v>0.1005692599620493358633776091</x:v>
      </x:c>
      <x:c r="Y97" s="33" t="n">
        <x:v>0.0967741935483870967741935484</x:v>
      </x:c>
      <x:c r="Z97" s="33" t="n">
        <x:v>0.1043643263757115749525616698</x:v>
      </x:c>
      <x:c r="AA97" s="33" t="n">
        <x:v>0.1081593927893738140417457306</x:v>
      </x:c>
      <x:c r="AB97" s="33" t="n">
        <x:v>0.1100569259962049335863377609</x:v>
      </x:c>
      <x:c r="AC97" s="33" t="n">
        <x:v>0.1081593927893738140417457306</x:v>
      </x:c>
      <x:c r="AD97" s="33" t="n">
        <x:v>0.1195445920303605313092979127</x:v>
      </x:c>
      <x:c r="AE97" s="33" t="n">
        <x:v>0.1252371916508538899430740038</x:v>
      </x:c>
      <x:c r="AF97" s="33" t="n">
        <x:v>0.1328273244781783681214421252</x:v>
      </x:c>
      <x:c r="AG97" s="33" t="n">
        <x:v>0.1385199240986717267552182163</x:v>
      </x:c>
      <x:c r="AH97" s="33" t="n">
        <x:v>0.1499051233396584440227703985</x:v>
      </x:c>
      <x:c r="AI97" s="33" t="n">
        <x:v>0.1442125237191650853889943074</x:v>
      </x:c>
      <x:c r="AJ97" s="33" t="n">
        <x:v>0.1574952561669829222011385199</x:v>
      </x:c>
      <x:c r="AK97" s="33" t="n">
        <x:v>0.1555977229601518026565464896</x:v>
      </x:c>
      <x:c r="AL97" s="33" t="n">
        <x:v>0.1574952561669829222011385199</x:v>
      </x:c>
      <x:c r="AM97" s="33" t="n">
        <x:v>0.163187855787476280834914611</x:v>
      </x:c>
      <x:c r="AN97" s="33" t="n">
        <x:v>0.1650853889943074003795066414</x:v>
      </x:c>
      <x:c r="AO97" s="33" t="n">
        <x:v>0.1688804554079696394686907021</x:v>
      </x:c>
      <x:c r="AP97" s="33" t="n">
        <x:v>0.1783681214421252371916508539</x:v>
      </x:c>
      <x:c r="AQ97" s="33" t="n">
        <x:v>0.1764705882352941176470588235</x:v>
      </x:c>
      <x:c r="AR97" s="33" t="n">
        <x:v>0.1745730550284629981024667932</x:v>
      </x:c>
      <x:c r="AS97" s="33" t="n">
        <x:v>0.1783681214421252371916508539</x:v>
      </x:c>
      <x:c r="AT97" s="33" t="n">
        <x:v>0.1802656546489563567362428843</x:v>
      </x:c>
      <x:c r="AU97" s="23" t="n">
        <x:v>0.2618595825426944971537001898</x:v>
      </x:c>
      <x:c r="BC97" s="34" t="s"/>
      <x:c r="BD97" s="11" t="s">
        <x:v>224</x:v>
      </x:c>
      <x:c r="BE97" s="12" t="n">
        <x:f>=BO97</x:f>
      </x:c>
      <x:c r="BF97" s="12" t="n">
        <x:v>0.1783681214421252371916508539</x:v>
      </x:c>
      <x:c r="BG97" s="12" t="n">
        <x:v>0.7609108159392789373814041746</x:v>
      </x:c>
      <x:c r="BH97" s="12" t="n">
        <x:v>0.0607210626185958254269449715</x:v>
      </x:c>
      <x:c r="BI97" s="12" t="n">
        <x:f>=BN97</x:f>
      </x:c>
      <x:c r="BJ97" s="13" t="n">
        <x:v>0</x:v>
      </x:c>
      <x:c r="BK97" s="31" t="n">
        <x:v>2763.06</x:v>
      </x:c>
      <x:c r="BL97" s="31" t="n">
        <x:v>-3055.30311784161782237020</x:v>
      </x:c>
      <x:c r="BM97" s="31" t="n">
        <x:f>=BK97+BL97</x:f>
      </x:c>
      <x:c r="BN97" s="68" t="n">
        <x:f>=BM97/BK97</x:f>
      </x:c>
      <x:c r="BO97" s="68" t="n">
        <x:v>0.9392789373814041745730550285</x:v>
      </x:c>
      <x:c r="BP97" s="31" t="n">
        <x:v>3057.979502929502909660</x:v>
      </x:c>
      <x:c r="BQ97" s="42" t="n">
        <x:v>32</x:v>
      </x:c>
      <x:c r="BR97" s="31" t="n">
        <x:v>185.683764883764882560</x:v>
      </x:c>
      <x:c r="BT97" s="31" t="n">
        <x:v>4286.7489785533125000000</x:v>
      </x:c>
      <x:c r="BU97" s="31" t="n">
        <x:v>-3055.30311784161782237020</x:v>
      </x:c>
      <x:c r="BV97" s="31" t="n">
        <x:f>=BT97+BU97</x:f>
      </x:c>
      <x:c r="BW97" s="68" t="n">
        <x:f>=BV97/BT97</x:f>
      </x:c>
      <x:c r="BY97" s="68" t="n">
        <x:f>=BO97</x:f>
      </x:c>
      <x:c r="BZ97" s="68" t="n">
        <x:f>=BF97</x:f>
      </x:c>
      <x:c r="CA97" s="68" t="n">
        <x:f>=BG97</x:f>
      </x:c>
      <x:c r="CB97" s="68" t="n">
        <x:f>=1 - BY97</x:f>
      </x:c>
      <x:c r="CD97" s="68" t="n">
        <x:f>=CA97/(1-BZ97)</x:f>
      </x:c>
    </x:row>
    <x:row r="98">
      <x:c r="A98" s="32" t="s">
        <x:v>240</x:v>
      </x:c>
      <x:c r="B98" t="s"/>
      <x:c r="C98" t="s">
        <x:v>241</x:v>
      </x:c>
      <x:c r="D98" t="s">
        <x:v>108</x:v>
      </x:c>
      <x:c r="E98" t="s">
        <x:v>109</x:v>
      </x:c>
      <x:c r="F98" t="n">
        <x:v>562</x:v>
      </x:c>
      <x:c r="G98" s="33" t="n">
        <x:v>0.0071174377224199288256227758</x:v>
      </x:c>
      <x:c r="H98" s="33" t="n">
        <x:v>0.0782918149466192170818505338</x:v>
      </x:c>
      <x:c r="I98" s="33" t="n">
        <x:v>0.1138790035587188612099644128</x:v>
      </x:c>
      <x:c r="J98" s="33" t="n">
        <x:v>0.1387900355871886120996441281</x:v>
      </x:c>
      <x:c r="K98" s="33" t="n">
        <x:v>0.14412811387900355871886121</x:v>
      </x:c>
      <x:c r="L98" s="33" t="n">
        <x:v>0.1583629893238434163701067616</x:v>
      </x:c>
      <x:c r="M98" s="33" t="n">
        <x:v>0.1637010676156583629893238434</x:v>
      </x:c>
      <x:c r="N98" s="33" t="n">
        <x:v>0.177935943060498220640569395</x:v>
      </x:c>
      <x:c r="O98" s="33" t="n">
        <x:v>0.1814946619217081850533807829</x:v>
      </x:c>
      <x:c r="P98" s="33" t="n">
        <x:v>0.1832740213523131672597864769</x:v>
      </x:c>
      <x:c r="Q98" s="33" t="n">
        <x:v>0.179715302491103202846975089</x:v>
      </x:c>
      <x:c r="R98" s="33" t="n">
        <x:v>0.177935943060498220640569395</x:v>
      </x:c>
      <x:c r="S98" s="33" t="n">
        <x:v>0.1832740213523131672597864769</x:v>
      </x:c>
      <x:c r="T98" s="33" t="n">
        <x:v>0.1868327402135231316725978648</x:v>
      </x:c>
      <x:c r="U98" s="33" t="n">
        <x:v>0.1903914590747330960854092527</x:v>
      </x:c>
      <x:c r="V98" s="33" t="n">
        <x:v>0.1975088967971530249110320285</x:v>
      </x:c>
      <x:c r="W98" s="33" t="n">
        <x:v>0.2064056939501779359430604982</x:v>
      </x:c>
      <x:c r="X98" s="33" t="n">
        <x:v>0.2099644128113879003558718861</x:v>
      </x:c>
      <x:c r="Y98" s="33" t="n">
        <x:v>0.2277580071174377224199288256</x:v>
      </x:c>
      <x:c r="Z98" s="33" t="n">
        <x:v>0.2330960854092526690391459075</x:v>
      </x:c>
      <x:c r="AA98" s="33" t="n">
        <x:v>0.2313167259786476868327402135</x:v>
      </x:c>
      <x:c r="AB98" s="33" t="n">
        <x:v>0.2348754448398576512455516014</x:v>
      </x:c>
      <x:c r="AC98" s="33" t="n">
        <x:v>0.2402135231316725978647686833</x:v>
      </x:c>
      <x:c r="AD98" s="33" t="n">
        <x:v>0.250889679715302491103202847</x:v>
      </x:c>
      <x:c r="AE98" s="33" t="n">
        <x:v>0.2651245551601423487544483986</x:v>
      </x:c>
      <x:c r="AF98" s="23" t="n">
        <x:v>0.3772241992882562277580071174</x:v>
      </x:c>
      <x:c r="BC98" s="34" t="s"/>
      <x:c r="BD98" s="11" t="s">
        <x:v>147</x:v>
      </x:c>
      <x:c r="BE98" s="12" t="n">
        <x:f>=BO98</x:f>
      </x:c>
      <x:c r="BF98" s="12" t="n">
        <x:v>0.2597864768683274021352313167</x:v>
      </x:c>
      <x:c r="BG98" s="12" t="n">
        <x:v>0.571174377224199288256227758</x:v>
      </x:c>
      <x:c r="BH98" s="12" t="n">
        <x:v>0.1690391459074733096085409253</x:v>
      </x:c>
      <x:c r="BI98" s="12" t="n">
        <x:f>=BN98</x:f>
      </x:c>
      <x:c r="BJ98" s="13" t="n">
        <x:v>0</x:v>
      </x:c>
      <x:c r="BK98" s="31" t="n">
        <x:v>5195.32</x:v>
      </x:c>
      <x:c r="BL98" s="31" t="n">
        <x:v>-5725.09219732699729013440</x:v>
      </x:c>
      <x:c r="BM98" s="31" t="n">
        <x:f>=BK98+BL98</x:f>
      </x:c>
      <x:c r="BN98" s="68" t="n">
        <x:f>=BM98/BK98</x:f>
      </x:c>
      <x:c r="BO98" s="68" t="n">
        <x:v>0.8309608540925266903914590747</x:v>
      </x:c>
      <x:c r="BP98" s="31" t="n">
        <x:v>5856.617523017522979520</x:v>
      </x:c>
      <x:c r="BQ98" s="42" t="n">
        <x:v>95</x:v>
      </x:c>
      <x:c r="BR98" s="31" t="n">
        <x:v>989.997623997623991200</x:v>
      </x:c>
      <x:c r="BT98" s="31" t="n">
        <x:v>7903.4579062206250000000</x:v>
      </x:c>
      <x:c r="BU98" s="31" t="n">
        <x:v>-5725.09219732699729013440</x:v>
      </x:c>
      <x:c r="BV98" s="31" t="n">
        <x:f>=BT98+BU98</x:f>
      </x:c>
      <x:c r="BW98" s="68" t="n">
        <x:f>=BV98/BT98</x:f>
      </x:c>
      <x:c r="BY98" s="68" t="n">
        <x:f>=BO98</x:f>
      </x:c>
      <x:c r="BZ98" s="68" t="n">
        <x:f>=BF98</x:f>
      </x:c>
      <x:c r="CA98" s="68" t="n">
        <x:f>=BG98</x:f>
      </x:c>
      <x:c r="CB98" s="68" t="n">
        <x:f>=1 - BY98</x:f>
      </x:c>
      <x:c r="CD98" s="68" t="n">
        <x:f>=CA98/(1-BZ98)</x:f>
      </x:c>
    </x:row>
    <x:row r="99">
      <x:c r="A99" s="35" t="s"/>
      <x:c r="B99" s="6" t="s"/>
      <x:c r="C99" s="6" t="s"/>
      <x:c r="D99" s="6" t="s"/>
      <x:c r="E99" s="6" t="s"/>
      <x:c r="F99" s="6" t="s"/>
      <x:c r="G99" s="6" t="s"/>
      <x:c r="H99" s="6" t="s"/>
      <x:c r="I99" s="6" t="s"/>
      <x:c r="J99" s="6" t="s"/>
      <x:c r="K99" s="6" t="s"/>
      <x:c r="L99" s="6" t="s"/>
      <x:c r="M99" s="6" t="s"/>
      <x:c r="N99" s="6" t="s"/>
      <x:c r="O99" s="6" t="s"/>
      <x:c r="P99" s="6" t="s"/>
      <x:c r="Q99" s="6" t="s"/>
      <x:c r="R99" s="6" t="s"/>
      <x:c r="S99" s="6" t="s"/>
      <x:c r="T99" s="6" t="s"/>
      <x:c r="U99" s="6" t="s"/>
      <x:c r="V99" s="6" t="s"/>
      <x:c r="W99" s="6" t="s"/>
      <x:c r="X99" s="6" t="s"/>
      <x:c r="Y99" s="6" t="s"/>
      <x:c r="Z99" s="6" t="s"/>
      <x:c r="AA99" s="6" t="s"/>
      <x:c r="AB99" s="6" t="s"/>
      <x:c r="AC99" s="6" t="s"/>
      <x:c r="AD99" s="6" t="s"/>
      <x:c r="AE99" s="6" t="s"/>
      <x:c r="AF99" s="6" t="s"/>
      <x:c r="AG99" s="6" t="s"/>
      <x:c r="AH99" s="6" t="s"/>
      <x:c r="AI99" s="6" t="s"/>
      <x:c r="AJ99" s="6" t="s"/>
      <x:c r="AK99" s="6" t="s"/>
      <x:c r="AL99" s="6" t="s"/>
      <x:c r="AM99" s="6" t="s"/>
      <x:c r="AN99" s="6" t="s"/>
      <x:c r="AO99" s="6" t="s"/>
      <x:c r="AP99" s="6" t="s"/>
      <x:c r="AQ99" s="6" t="s"/>
      <x:c r="AR99" s="6" t="s"/>
      <x:c r="AS99" s="6" t="s"/>
      <x:c r="AT99" s="6" t="s"/>
      <x:c r="AU99" s="6" t="s"/>
      <x:c r="AV99" s="6" t="s"/>
      <x:c r="AW99" s="6" t="s"/>
      <x:c r="AX99" s="6" t="s"/>
      <x:c r="AY99" s="6" t="s"/>
      <x:c r="AZ99" s="6" t="s"/>
      <x:c r="BA99" s="6" t="s"/>
      <x:c r="BB99" s="6" t="s"/>
      <x:c r="BC99" s="8" t="s"/>
      <x:c r="BD99" s="14" t="s">
        <x:v>127</x:v>
      </x:c>
      <x:c r="BE99" s="15" t="s"/>
      <x:c r="BF99" s="15" t="s"/>
      <x:c r="BG99" s="15" t="s"/>
      <x:c r="BH99" s="15" t="s"/>
      <x:c r="BI99" s="38">
        <x:f>=BM100/BK100</x:f>
      </x:c>
      <x:c r="BJ99" s="16">
        <x:f>=BR100/BP100</x:f>
      </x:c>
      <x:c r="BK99" s="21" t="n">
        <x:v>76588.35</x:v>
      </x:c>
      <x:c r="BL99" s="21" t="n">
        <x:v>-57576.00812758204865231570</x:v>
      </x:c>
      <x:c r="BM99" s="21" t="n">
        <x:f>=BK99+BL99</x:f>
      </x:c>
      <x:c r="BN99" s="22" t="n">
        <x:v>0.2482406511227615080842491058</x:v>
      </x:c>
      <x:c r="BP99" s="21" t="n">
        <x:v>-58290.800956270153249810</x:v>
      </x:c>
      <x:c r="BQ99" s="21" t="n">
        <x:v>365</x:v>
      </x:c>
      <x:c r="BR99" s="21" t="n">
        <x:v>3111.9120007369615235016308323</x:v>
      </x:c>
      <x:c r="BT99" s="21" t="n">
        <x:v>103519.06278960631250000000000</x:v>
      </x:c>
      <x:c r="BU99" s="21" t="n">
        <x:v>-57576.00812758204865231570</x:v>
      </x:c>
      <x:c r="BV99" s="21" t="n">
        <x:f>=BT99+BU99</x:f>
      </x:c>
      <x:c r="BW99" s="22" t="n">
        <x:v>0.4438125058705333675247931174</x:v>
      </x:c>
    </x:row>
    <x:row r="100">
      <x:c r="BK100" s="19" t="n">
        <x:v>267356.84</x:v>
      </x:c>
      <x:c r="BL100" s="19" t="n">
        <x:v>-216360.94481714587365231570</x:v>
      </x:c>
      <x:c r="BM100" s="19" t="n">
        <x:f>=BK100+BL100</x:f>
      </x:c>
      <x:c r="BN100" s="20" t="n">
        <x:v>0.190740940769849487851832405</x:v>
      </x:c>
      <x:c r="BP100" s="19" t="n">
        <x:v>-210232.156924892653249810</x:v>
      </x:c>
      <x:c r="BQ100" s="19" t="n">
        <x:v>1991</x:v>
      </x:c>
      <x:c r="BR100" s="19" t="n">
        <x:v>61221.621242864015302087422845</x:v>
      </x:c>
      <x:c r="BT100" s="19" t="n">
        <x:v>365150.40793153298937500000000</x:v>
      </x:c>
      <x:c r="BU100" s="19" t="n">
        <x:v>-216360.94481714587365231570</x:v>
      </x:c>
      <x:c r="BV100" s="19" t="n">
        <x:f>=BT100+BU100</x:f>
      </x:c>
      <x:c r="BW100" s="20" t="n">
        <x:v>0.4074744540400066415833157412</x:v>
      </x:c>
    </x:row>
    <x:row r="101">
      <x:c r="A101" s="10" t="s">
        <x:v>242</x:v>
      </x:c>
      <x:c r="B101" s="5" t="s"/>
      <x:c r="C101" s="5" t="s"/>
      <x:c r="D101" s="5" t="s"/>
      <x:c r="E101" s="5" t="s"/>
      <x:c r="F101" s="5" t="s"/>
      <x:c r="G101" s="5" t="s"/>
      <x:c r="H101" s="5" t="s"/>
      <x:c r="I101" s="5" t="s"/>
      <x:c r="J101" s="5" t="s"/>
      <x:c r="K101" s="5" t="s"/>
      <x:c r="L101" s="5" t="s"/>
      <x:c r="M101" s="5" t="s"/>
      <x:c r="N101" s="5" t="s"/>
      <x:c r="O101" s="5" t="s"/>
      <x:c r="P101" s="5" t="s"/>
      <x:c r="Q101" s="5" t="s"/>
      <x:c r="R101" s="5" t="s"/>
      <x:c r="S101" s="5" t="s"/>
      <x:c r="T101" s="5" t="s"/>
      <x:c r="U101" s="5" t="s"/>
      <x:c r="V101" s="5" t="s"/>
      <x:c r="W101" s="5" t="s"/>
      <x:c r="X101" s="5" t="s"/>
      <x:c r="Y101" s="5" t="s"/>
      <x:c r="Z101" s="5" t="s"/>
      <x:c r="AA101" s="5" t="s"/>
      <x:c r="AB101" s="5" t="s"/>
      <x:c r="AC101" s="5" t="s"/>
      <x:c r="AD101" s="5" t="s"/>
      <x:c r="AE101" s="5" t="s"/>
      <x:c r="AF101" s="5" t="s"/>
      <x:c r="AG101" s="5" t="s"/>
      <x:c r="AH101" s="5" t="s"/>
      <x:c r="AI101" s="5" t="s"/>
      <x:c r="AJ101" s="5" t="s"/>
      <x:c r="AK101" s="5" t="s"/>
      <x:c r="AL101" s="5" t="s"/>
      <x:c r="AM101" s="5" t="s"/>
      <x:c r="AN101" s="5" t="s"/>
      <x:c r="AO101" s="5" t="s"/>
      <x:c r="AP101" s="5" t="s"/>
      <x:c r="AQ101" s="5" t="s"/>
      <x:c r="AR101" s="5" t="s"/>
      <x:c r="AS101" s="5" t="s"/>
      <x:c r="AT101" s="5" t="s"/>
      <x:c r="AU101" s="5" t="s"/>
      <x:c r="AV101" s="5" t="s"/>
      <x:c r="AW101" s="5" t="s"/>
      <x:c r="AX101" s="5" t="s"/>
      <x:c r="AY101" s="5" t="s"/>
      <x:c r="AZ101" s="5" t="s"/>
      <x:c r="BA101" s="5" t="s"/>
      <x:c r="BB101" s="5" t="s"/>
      <x:c r="BC101" s="7" t="s"/>
      <x:c r="BD101" s="10" t="s"/>
      <x:c r="BE101" s="5" t="s"/>
      <x:c r="BF101" s="5" t="s"/>
      <x:c r="BG101" s="5" t="s"/>
      <x:c r="BH101" s="5" t="s"/>
      <x:c r="BI101" s="5" t="s"/>
      <x:c r="BJ101" s="7" t="s"/>
      <x:c r="BK101" s="49" t="s">
        <x:v>11</x:v>
      </x:c>
      <x:c r="BL101" s="50"/>
      <x:c r="BM101" s="51"/>
      <x:c r="BN101" s="52"/>
      <x:c r="BO101" s="52"/>
      <x:c r="BP101" s="53"/>
      <x:c r="BQ101" s="54"/>
      <x:c r="BR101" s="53"/>
      <x:c r="BT101" s="59" t="s">
        <x:v>27</x:v>
      </x:c>
      <x:c r="BU101" s="60"/>
      <x:c r="BV101" s="60"/>
      <x:c r="BW101" s="60"/>
      <x:c r="BX101" s="60"/>
      <x:c r="BY101" s="61"/>
      <x:c r="BZ101" s="61"/>
      <x:c r="CA101" s="61"/>
      <x:c r="CB101" s="61"/>
      <x:c r="CC101" s="60"/>
      <x:c r="CD101" s="62"/>
    </x:row>
    <x:row r="102" ht="45.75" customHeight="1">
      <x:c r="A102" s="41" t="s">
        <x:v>30</x:v>
      </x:c>
      <x:c r="B102" s="41" t="s">
        <x:v>31</x:v>
      </x:c>
      <x:c r="C102" s="41" t="s">
        <x:v>32</x:v>
      </x:c>
      <x:c r="D102" s="41" t="s">
        <x:v>33</x:v>
      </x:c>
      <x:c r="E102" s="41" t="s">
        <x:v>34</x:v>
      </x:c>
      <x:c r="F102" s="41" t="s">
        <x:v>83</x:v>
      </x:c>
      <x:c r="G102" s="41" t="s">
        <x:v>35</x:v>
      </x:c>
      <x:c r="H102" s="41" t="s">
        <x:v>36</x:v>
      </x:c>
      <x:c r="I102" s="41" t="s">
        <x:v>37</x:v>
      </x:c>
      <x:c r="J102" s="41" t="s">
        <x:v>38</x:v>
      </x:c>
      <x:c r="K102" s="41" t="s">
        <x:v>39</x:v>
      </x:c>
      <x:c r="L102" s="41" t="s">
        <x:v>40</x:v>
      </x:c>
      <x:c r="M102" s="41" t="s">
        <x:v>41</x:v>
      </x:c>
      <x:c r="N102" s="41" t="s">
        <x:v>42</x:v>
      </x:c>
      <x:c r="O102" s="41" t="s">
        <x:v>43</x:v>
      </x:c>
      <x:c r="P102" s="41" t="s">
        <x:v>44</x:v>
      </x:c>
      <x:c r="Q102" s="41" t="s">
        <x:v>45</x:v>
      </x:c>
      <x:c r="R102" s="41" t="s">
        <x:v>46</x:v>
      </x:c>
      <x:c r="S102" s="41" t="s">
        <x:v>47</x:v>
      </x:c>
      <x:c r="T102" s="41" t="s">
        <x:v>48</x:v>
      </x:c>
      <x:c r="U102" s="41" t="s">
        <x:v>49</x:v>
      </x:c>
      <x:c r="V102" s="41" t="s">
        <x:v>50</x:v>
      </x:c>
      <x:c r="W102" s="41" t="s">
        <x:v>51</x:v>
      </x:c>
      <x:c r="X102" s="41" t="s">
        <x:v>52</x:v>
      </x:c>
      <x:c r="Y102" s="41" t="s">
        <x:v>53</x:v>
      </x:c>
      <x:c r="Z102" s="41" t="s">
        <x:v>54</x:v>
      </x:c>
      <x:c r="AA102" s="41" t="s">
        <x:v>55</x:v>
      </x:c>
      <x:c r="AB102" s="41" t="s">
        <x:v>56</x:v>
      </x:c>
      <x:c r="AC102" s="41" t="s">
        <x:v>57</x:v>
      </x:c>
      <x:c r="AD102" s="41" t="s">
        <x:v>58</x:v>
      </x:c>
      <x:c r="AE102" s="41" t="s">
        <x:v>59</x:v>
      </x:c>
      <x:c r="AF102" s="41" t="s">
        <x:v>60</x:v>
      </x:c>
      <x:c r="AG102" s="41" t="s">
        <x:v>61</x:v>
      </x:c>
      <x:c r="AH102" s="41" t="s">
        <x:v>62</x:v>
      </x:c>
      <x:c r="AI102" s="41" t="s">
        <x:v>63</x:v>
      </x:c>
      <x:c r="AJ102" s="41" t="s">
        <x:v>64</x:v>
      </x:c>
      <x:c r="AK102" s="41" t="s">
        <x:v>65</x:v>
      </x:c>
      <x:c r="AL102" s="41" t="s">
        <x:v>66</x:v>
      </x:c>
      <x:c r="AM102" s="41" t="s">
        <x:v>67</x:v>
      </x:c>
      <x:c r="AN102" s="41" t="s">
        <x:v>68</x:v>
      </x:c>
      <x:c r="AO102" s="41" t="s">
        <x:v>69</x:v>
      </x:c>
      <x:c r="AP102" s="41" t="s">
        <x:v>70</x:v>
      </x:c>
      <x:c r="AQ102" s="41" t="s">
        <x:v>71</x:v>
      </x:c>
      <x:c r="AR102" s="41" t="s">
        <x:v>72</x:v>
      </x:c>
      <x:c r="AS102" s="41" t="s">
        <x:v>73</x:v>
      </x:c>
      <x:c r="AT102" s="41" t="s">
        <x:v>74</x:v>
      </x:c>
      <x:c r="AU102" s="41" t="s">
        <x:v>75</x:v>
      </x:c>
      <x:c r="AV102" s="41" t="s">
        <x:v>76</x:v>
      </x:c>
      <x:c r="AW102" s="41" t="s">
        <x:v>77</x:v>
      </x:c>
      <x:c r="AX102" s="41" t="s">
        <x:v>78</x:v>
      </x:c>
      <x:c r="AY102" s="41" t="s">
        <x:v>79</x:v>
      </x:c>
      <x:c r="AZ102" s="41" t="s">
        <x:v>80</x:v>
      </x:c>
      <x:c r="BA102" s="41" t="s">
        <x:v>81</x:v>
      </x:c>
      <x:c r="BB102" s="41" t="s">
        <x:v>82</x:v>
      </x:c>
      <x:c r="BD102" s="32" t="s">
        <x:v>84</x:v>
      </x:c>
      <x:c r="BE102" s="33" t="s">
        <x:v>85</x:v>
      </x:c>
      <x:c r="BF102" s="33" t="s">
        <x:v>86</x:v>
      </x:c>
      <x:c r="BG102" s="33" t="s">
        <x:v>87</x:v>
      </x:c>
      <x:c r="BH102" s="33" t="s">
        <x:v>88</x:v>
      </x:c>
      <x:c r="BI102" s="33" t="s">
        <x:v>89</x:v>
      </x:c>
      <x:c r="BJ102" s="34" t="s">
        <x:v>90</x:v>
      </x:c>
      <x:c r="BK102" s="55" t="s">
        <x:v>12</x:v>
      </x:c>
      <x:c r="BL102" s="56" t="s">
        <x:v>13</x:v>
      </x:c>
      <x:c r="BM102" s="56" t="s">
        <x:v>14</x:v>
      </x:c>
      <x:c r="BN102" s="57" t="s">
        <x:v>15</x:v>
      </x:c>
      <x:c r="BO102" s="57" t="s">
        <x:v>28</x:v>
      </x:c>
      <x:c r="BP102" s="58" t="s">
        <x:v>16</x:v>
      </x:c>
      <x:c r="BQ102" s="55" t="s">
        <x:v>17</x:v>
      </x:c>
      <x:c r="BR102" s="58" t="s">
        <x:v>18</x:v>
      </x:c>
      <x:c r="BT102" s="63" t="s">
        <x:v>19</x:v>
      </x:c>
      <x:c r="BU102" s="64" t="s">
        <x:v>20</x:v>
      </x:c>
      <x:c r="BV102" s="64" t="s">
        <x:v>21</x:v>
      </x:c>
      <x:c r="BW102" s="64" t="s">
        <x:v>15</x:v>
      </x:c>
      <x:c r="BX102" s="64"/>
      <x:c r="BY102" s="65" t="s">
        <x:v>22</x:v>
      </x:c>
      <x:c r="BZ102" s="65" t="s">
        <x:v>23</x:v>
      </x:c>
      <x:c r="CA102" s="65" t="s">
        <x:v>26</x:v>
      </x:c>
      <x:c r="CB102" s="65" t="s">
        <x:v>24</x:v>
      </x:c>
      <x:c r="CC102" s="64"/>
      <x:c r="CD102" s="66" t="s">
        <x:v>25</x:v>
      </x:c>
    </x:row>
    <x:row r="103">
      <x:c r="BD103" s="32" t="s"/>
      <x:c r="BJ103" s="34" t="s"/>
    </x:row>
    <x:row r="104">
      <x:c r="A104" s="36" t="s">
        <x:v>129</x:v>
      </x:c>
      <x:c r="BC104" s="34" t="s"/>
      <x:c r="BD104" s="11" t="s"/>
      <x:c r="BJ104" s="13" t="s"/>
    </x:row>
    <x:row r="105">
      <x:c r="A105" s="17" t="s">
        <x:v>105</x:v>
      </x:c>
      <x:c r="BC105" s="34" t="s"/>
      <x:c r="BD105" s="11" t="s"/>
      <x:c r="BJ105" s="13" t="s"/>
    </x:row>
    <x:row r="106">
      <x:c r="A106" s="32" t="s">
        <x:v>243</x:v>
      </x:c>
      <x:c r="B106" t="s"/>
      <x:c r="C106" t="s">
        <x:v>244</x:v>
      </x:c>
      <x:c r="D106" t="s">
        <x:v>125</x:v>
      </x:c>
      <x:c r="E106" t="s">
        <x:v>132</x:v>
      </x:c>
      <x:c r="F106" t="n">
        <x:v>2442</x:v>
      </x:c>
      <x:c r="G106" s="33" t="n">
        <x:v>0.0225225225225225225225225225</x:v>
      </x:c>
      <x:c r="H106" s="33" t="n">
        <x:v>0.0343980343980343980343980344</x:v>
      </x:c>
      <x:c r="I106" s="33" t="n">
        <x:v>0.04995904995904995904995905</x:v>
      </x:c>
      <x:c r="J106" s="33" t="n">
        <x:v>0.0585585585585585585585585586</x:v>
      </x:c>
      <x:c r="K106" s="33" t="n">
        <x:v>0.0606060606060606060606060606</x:v>
      </x:c>
      <x:c r="L106" s="33" t="n">
        <x:v>0.0630630630630630630630630631</x:v>
      </x:c>
      <x:c r="M106" s="33" t="n">
        <x:v>0.0704340704340704340704340704</x:v>
      </x:c>
      <x:c r="N106" s="33" t="n">
        <x:v>0.0868140868140868140868140868</x:v>
      </x:c>
      <x:c r="O106" s="33" t="n">
        <x:v>0.1244881244881244881244881245</x:v>
      </x:c>
      <x:c r="P106" s="33" t="n">
        <x:v>0.1592956592956592956592956593</x:v>
      </x:c>
      <x:c r="Q106" s="33" t="n">
        <x:v>0.2055692055692055692055692056</x:v>
      </x:c>
      <x:c r="R106" s="33" t="n">
        <x:v>0.2461097461097461097461097461</x:v>
      </x:c>
      <x:c r="S106" s="33" t="n">
        <x:v>0.2891072891072891072891072891</x:v>
      </x:c>
      <x:c r="T106" s="33" t="n">
        <x:v>0.3300573300573300573300573301</x:v>
      </x:c>
      <x:c r="U106" s="33" t="n">
        <x:v>0.3546273546273546273546273546</x:v>
      </x:c>
      <x:c r="V106" s="33" t="n">
        <x:v>0.3587223587223587223587223587</x:v>
      </x:c>
      <x:c r="W106" s="33" t="n">
        <x:v>0.3632268632268632268632268632</x:v>
      </x:c>
      <x:c r="X106" s="33" t="n">
        <x:v>0.3665028665028665028665028665</x:v>
      </x:c>
      <x:c r="Y106" s="33" t="n">
        <x:v>0.368959868959868959868959869</x:v>
      </x:c>
      <x:c r="Z106" s="33" t="n">
        <x:v>0.3693693693693693693693693694</x:v>
      </x:c>
      <x:c r="AA106" s="33" t="n">
        <x:v>0.371007371007371007371007371</x:v>
      </x:c>
      <x:c r="AB106" s="33" t="n">
        <x:v>0.3738738738738738738738738739</x:v>
      </x:c>
      <x:c r="AC106" s="33" t="n">
        <x:v>0.3738738738738738738738738739</x:v>
      </x:c>
      <x:c r="AD106" s="33" t="n">
        <x:v>0.3746928746928746928746928747</x:v>
      </x:c>
      <x:c r="AE106" s="33" t="n">
        <x:v>0.3759213759213759213759213759</x:v>
      </x:c>
      <x:c r="AF106" s="33" t="n">
        <x:v>0.3812448812448812448812448812</x:v>
      </x:c>
      <x:c r="AG106" s="33" t="n">
        <x:v>0.4148239148239148239148239148</x:v>
      </x:c>
      <x:c r="AH106" s="33" t="n">
        <x:v>0.4561834561834561834561834562</x:v>
      </x:c>
      <x:c r="AI106" s="33" t="n">
        <x:v>0.5098280098280098280098280098</x:v>
      </x:c>
      <x:c r="AJ106" s="33" t="n">
        <x:v>0.545045045045045045045045045</x:v>
      </x:c>
      <x:c r="AK106" s="33" t="n">
        <x:v>0.5765765765765765765765765766</x:v>
      </x:c>
      <x:c r="AL106" s="33" t="n">
        <x:v>0.6105651105651105651105651106</x:v>
      </x:c>
      <x:c r="AM106" s="33" t="n">
        <x:v>0.6322686322686322686322686323</x:v>
      </x:c>
      <x:c r="AN106" s="33" t="n">
        <x:v>0.6617526617526617526617526618</x:v>
      </x:c>
      <x:c r="AO106" s="33" t="n">
        <x:v>0.683046683046683046683046683</x:v>
      </x:c>
      <x:c r="AP106" s="24" t="n">
        <x:v>0.7186732186732186732186732187</x:v>
      </x:c>
      <x:c r="AQ106" s="33" t="n">
        <x:v>0.7485667485667485667485667486</x:v>
      </x:c>
      <x:c r="AR106" s="33" t="n">
        <x:v>0.7706797706797706797706797707</x:v>
      </x:c>
      <x:c r="AS106" s="33" t="n">
        <x:v>0.7858312858312858312858312858</x:v>
      </x:c>
      <x:c r="AT106" s="33" t="n">
        <x:v>0.7952497952497952497952497952</x:v>
      </x:c>
      <x:c r="AU106" s="33" t="n">
        <x:v>0.8108108108108108108108108108</x:v>
      </x:c>
      <x:c r="AV106" s="33" t="n">
        <x:v>0.8267813267813267813267813268</x:v>
      </x:c>
      <x:c r="AW106" s="33" t="n">
        <x:v>0.8353808353808353808353808354</x:v>
      </x:c>
      <x:c r="AX106" s="23" t="n">
        <x:v>0.8476658476658476658476658477</x:v>
      </x:c>
      <x:c r="BC106" s="34" t="s"/>
      <x:c r="BD106" s="11" t="s">
        <x:v>245</x:v>
      </x:c>
      <x:c r="BE106" s="12" t="n">
        <x:f>=BO106</x:f>
      </x:c>
      <x:c r="BF106" s="12" t="n">
        <x:v>0.8382473382473382473382473382</x:v>
      </x:c>
      <x:c r="BG106" s="12" t="n">
        <x:v>0.1429156429156429156429156429</x:v>
      </x:c>
      <x:c r="BH106" s="12" t="n">
        <x:v>0.0188370188370188370188370188</x:v>
      </x:c>
      <x:c r="BI106" s="12" t="n">
        <x:f>=BN106</x:f>
      </x:c>
      <x:c r="BJ106" s="13" t="n">
        <x:v>0</x:v>
      </x:c>
      <x:c r="BK106" s="31" t="n">
        <x:v>9396.83</x:v>
      </x:c>
      <x:c r="BL106" s="31" t="n">
        <x:v>-6050.6271</x:v>
      </x:c>
      <x:c r="BM106" s="31" t="n">
        <x:f>=BK106+BL106</x:f>
      </x:c>
      <x:c r="BN106" s="68" t="n">
        <x:f>=BM106/BK106</x:f>
      </x:c>
      <x:c r="BO106" s="68" t="n">
        <x:v>0.9811629811629811629811629812</x:v>
      </x:c>
      <x:c r="BP106" s="31" t="n">
        <x:v>5735.01</x:v>
      </x:c>
      <x:c r="BQ106" s="42" t="n">
        <x:v>46</x:v>
      </x:c>
      <x:c r="BR106" s="31" t="n">
        <x:v>108.03049140049140049140049140</x:v>
      </x:c>
      <x:c r="BT106" s="31" t="n">
        <x:v>12206.882556507820250000000</x:v>
      </x:c>
      <x:c r="BU106" s="31" t="n">
        <x:v>-6050.6271</x:v>
      </x:c>
      <x:c r="BV106" s="31" t="n">
        <x:f>=BT106+BU106</x:f>
      </x:c>
      <x:c r="BW106" s="68" t="n">
        <x:f>=BV106/BT106</x:f>
      </x:c>
      <x:c r="BY106" s="68" t="n">
        <x:f>=BO106</x:f>
      </x:c>
      <x:c r="BZ106" s="68" t="n">
        <x:f>=BF106</x:f>
      </x:c>
      <x:c r="CA106" s="68" t="n">
        <x:f>=BG106</x:f>
      </x:c>
      <x:c r="CB106" s="68" t="n">
        <x:f>=1 - BY106</x:f>
      </x:c>
      <x:c r="CD106" s="68" t="n">
        <x:f>=CA106/(1-BZ106)</x:f>
      </x:c>
    </x:row>
    <x:row r="107">
      <x:c r="A107" s="32" t="s">
        <x:v>246</x:v>
      </x:c>
      <x:c r="B107" t="s"/>
      <x:c r="C107" t="s">
        <x:v>247</x:v>
      </x:c>
      <x:c r="D107" t="s">
        <x:v>96</x:v>
      </x:c>
      <x:c r="E107" t="s">
        <x:v>132</x:v>
      </x:c>
      <x:c r="F107" t="n">
        <x:v>2938</x:v>
      </x:c>
      <x:c r="G107" s="33" t="n">
        <x:v>0.0003403675970047651463580667</x:v>
      </x:c>
      <x:c r="H107" s="33" t="n">
        <x:v>0.0003403675970047651463580667</x:v>
      </x:c>
      <x:c r="I107" s="33" t="n">
        <x:v>0.007147719537100068073519401</x:v>
      </x:c>
      <x:c r="J107" s="33" t="n">
        <x:v>0.0313138189244383934649421375</x:v>
      </x:c>
      <x:c r="K107" s="33" t="n">
        <x:v>0.0833900612661674608577263445</x:v>
      </x:c>
      <x:c r="L107" s="33" t="n">
        <x:v>0.1449965963240299523485364193</x:v>
      </x:c>
      <x:c r="M107" s="33" t="n">
        <x:v>0.1977535738597685500340367597</x:v>
      </x:c>
      <x:c r="N107" s="33" t="n">
        <x:v>0.2229407760381211708645336964</x:v>
      </x:c>
      <x:c r="O107" s="33" t="n">
        <x:v>0.2467665078284547311095983662</x:v>
      </x:c>
      <x:c r="P107" s="33" t="n">
        <x:v>0.2903335602450646698434309054</x:v>
      </x:c>
      <x:c r="Q107" s="33" t="n">
        <x:v>0.32505105513955071477195371</x:v>
      </x:c>
      <x:c r="R107" s="33" t="n">
        <x:v>0.3519400953029271613342409803</x:v>
      </x:c>
      <x:c r="S107" s="33" t="n">
        <x:v>0.3808713410483321987746766508</x:v>
      </x:c>
      <x:c r="T107" s="33" t="n">
        <x:v>0.4040163376446562287270251872</x:v>
      </x:c>
      <x:c r="U107" s="33" t="n">
        <x:v>0.4261402314499659632402995235</x:v>
      </x:c>
      <x:c r="V107" s="33" t="n">
        <x:v>0.4353301565690946221919673247</x:v>
      </x:c>
      <x:c r="W107" s="33" t="n">
        <x:v>0.442137508509189925119128659</x:v>
      </x:c>
      <x:c r="X107" s="33" t="n">
        <x:v>0.452688904016337644656228727</x:v>
      </x:c>
      <x:c r="Y107" s="33" t="n">
        <x:v>0.4588155207624234172906739278</x:v>
      </x:c>
      <x:c r="Z107" s="33" t="n">
        <x:v>0.4724302246426140231449965963</x:v>
      </x:c>
      <x:c r="AA107" s="33" t="n">
        <x:v>0.4860449285228046289993192648</x:v>
      </x:c>
      <x:c r="AB107" s="33" t="n">
        <x:v>0.5054458815520762423417290674</x:v>
      </x:c>
      <x:c r="AC107" s="33" t="n">
        <x:v>0.5275697753573859768550034037</x:v>
      </x:c>
      <x:c r="AD107" s="33" t="n">
        <x:v>0.5616065350578624914908100749</x:v>
      </x:c>
      <x:c r="AE107" s="33" t="n">
        <x:v>0.5936010891763104152484683458</x:v>
      </x:c>
      <x:c r="AF107" s="33" t="n">
        <x:v>0.6164057181756296800544588155</x:v>
      </x:c>
      <x:c r="AG107" s="33" t="n">
        <x:v>0.6443158611300204220558202859</x:v>
      </x:c>
      <x:c r="AH107" s="33" t="n">
        <x:v>0.6790333560245064669843430905</x:v>
      </x:c>
      <x:c r="AI107" s="24" t="n">
        <x:v>0.8955071477195371000680735194</x:v>
      </x:c>
      <x:c r="BC107" s="34" t="s"/>
      <x:c r="BD107" s="11" t="s">
        <x:v>248</x:v>
      </x:c>
      <x:c r="BE107" s="12" t="n">
        <x:f>=BO107</x:f>
      </x:c>
      <x:c r="BF107" s="12" t="n">
        <x:v>0.6868618107556160653505786249</x:v>
      </x:c>
      <x:c r="BG107" s="12" t="n">
        <x:v>0.307351940095302927161334241</x:v>
      </x:c>
      <x:c r="BH107" s="12" t="n">
        <x:v>0.0057862491490810074880871341</x:v>
      </x:c>
      <x:c r="BI107" s="12" t="n">
        <x:f>=BN107</x:f>
      </x:c>
      <x:c r="BJ107" s="13" t="n">
        <x:v>0</x:v>
      </x:c>
      <x:c r="BK107" s="31" t="n">
        <x:v>19863.70</x:v>
      </x:c>
      <x:c r="BL107" s="31" t="n">
        <x:v>-14023.0498</x:v>
      </x:c>
      <x:c r="BM107" s="31" t="n">
        <x:f>=BK107+BL107</x:f>
      </x:c>
      <x:c r="BN107" s="68" t="n">
        <x:f>=BM107/BK107</x:f>
      </x:c>
      <x:c r="BO107" s="68" t="n">
        <x:v>0.9942137508509189925119128659</x:v>
      </x:c>
      <x:c r="BP107" s="31" t="n">
        <x:v>13800.70</x:v>
      </x:c>
      <x:c r="BQ107" s="42" t="n">
        <x:v>17</x:v>
      </x:c>
      <x:c r="BR107" s="31" t="n">
        <x:v>79.85428863172226004084411164</x:v>
      </x:c>
      <x:c r="BT107" s="31" t="n">
        <x:v>26885.81485331707000000000</x:v>
      </x:c>
      <x:c r="BU107" s="31" t="n">
        <x:v>-14023.0498</x:v>
      </x:c>
      <x:c r="BV107" s="31" t="n">
        <x:f>=BT107+BU107</x:f>
      </x:c>
      <x:c r="BW107" s="68" t="n">
        <x:f>=BV107/BT107</x:f>
      </x:c>
      <x:c r="BY107" s="68" t="n">
        <x:f>=BO107</x:f>
      </x:c>
      <x:c r="BZ107" s="68" t="n">
        <x:f>=BF107</x:f>
      </x:c>
      <x:c r="CA107" s="68" t="n">
        <x:f>=BG107</x:f>
      </x:c>
      <x:c r="CB107" s="68" t="n">
        <x:f>=1 - BY107</x:f>
      </x:c>
      <x:c r="CD107" s="68" t="n">
        <x:f>=CA107/(1-BZ107)</x:f>
      </x:c>
    </x:row>
    <x:row r="108">
      <x:c r="A108" s="32" t="s">
        <x:v>249</x:v>
      </x:c>
      <x:c r="B108" t="s"/>
      <x:c r="C108" t="s">
        <x:v>250</x:v>
      </x:c>
      <x:c r="D108" t="s">
        <x:v>125</x:v>
      </x:c>
      <x:c r="E108" t="s">
        <x:v>132</x:v>
      </x:c>
      <x:c r="F108" t="n">
        <x:v>2002</x:v>
      </x:c>
      <x:c r="G108" s="33" t="n">
        <x:v>0.0364635364635364635364635365</x:v>
      </x:c>
      <x:c r="H108" s="33" t="n">
        <x:v>0.1098901098901098901098901099</x:v>
      </x:c>
      <x:c r="I108" s="33" t="n">
        <x:v>0.1728271728271728271728271728</x:v>
      </x:c>
      <x:c r="J108" s="33" t="n">
        <x:v>0.2357642357642357642357642358</x:v>
      </x:c>
      <x:c r="K108" s="33" t="n">
        <x:v>0.3011988011988011988011988012</x:v>
      </x:c>
      <x:c r="L108" s="33" t="n">
        <x:v>0.3636363636363636363636363636</x:v>
      </x:c>
      <x:c r="M108" s="33" t="n">
        <x:v>0.4545454545454545454545454545</x:v>
      </x:c>
      <x:c r="N108" s="33" t="n">
        <x:v>0.5</x:v>
      </x:c>
      <x:c r="O108" s="33" t="n">
        <x:v>0.540959040959040959040959041</x:v>
      </x:c>
      <x:c r="P108" s="33" t="n">
        <x:v>0.5924075924075924075924075924</x:v>
      </x:c>
      <x:c r="Q108" s="33" t="n">
        <x:v>0.6208791208791208791208791209</x:v>
      </x:c>
      <x:c r="R108" s="33" t="n">
        <x:v>0.6523476523476523476523476523</x:v>
      </x:c>
      <x:c r="S108" s="33" t="n">
        <x:v>0.6783216783216783216783216783</x:v>
      </x:c>
      <x:c r="T108" s="33" t="n">
        <x:v>0.6828171828171828171828171828</x:v>
      </x:c>
      <x:c r="U108" s="33" t="n">
        <x:v>0.6878121878121878121878121878</x:v>
      </x:c>
      <x:c r="V108" s="33" t="n">
        <x:v>0.6893106893106893106893106893</x:v>
      </x:c>
      <x:c r="W108" s="24" t="n">
        <x:v>0.7012987012987012987012987013</x:v>
      </x:c>
      <x:c r="X108" s="23" t="n">
        <x:v>0.7312687312687312687312687313</x:v>
      </x:c>
      <x:c r="BC108" s="34" t="s"/>
      <x:c r="BD108" s="11" t="s">
        <x:v>138</x:v>
      </x:c>
      <x:c r="BE108" s="12" t="n">
        <x:f>=BO108</x:f>
      </x:c>
      <x:c r="BF108" s="12" t="n">
        <x:v>0.7052947052947052947052947053</x:v>
      </x:c>
      <x:c r="BG108" s="12" t="n">
        <x:v>0.2882117882117882117882117882</x:v>
      </x:c>
      <x:c r="BH108" s="12" t="n">
        <x:v>0.0064935064935064935064935065</x:v>
      </x:c>
      <x:c r="BI108" s="12" t="n">
        <x:f>=BN108</x:f>
      </x:c>
      <x:c r="BJ108" s="13" t="n">
        <x:v>0</x:v>
      </x:c>
      <x:c r="BK108" s="31" t="n">
        <x:v>26294.60</x:v>
      </x:c>
      <x:c r="BL108" s="31" t="n">
        <x:v>-19082.6598</x:v>
      </x:c>
      <x:c r="BM108" s="31" t="n">
        <x:f>=BK108+BL108</x:f>
      </x:c>
      <x:c r="BN108" s="68" t="n">
        <x:f>=BM108/BK108</x:f>
      </x:c>
      <x:c r="BO108" s="68" t="n">
        <x:v>0.9935064935064935064935064935</x:v>
      </x:c>
      <x:c r="BP108" s="31" t="n">
        <x:v>19341.38</x:v>
      </x:c>
      <x:c r="BQ108" s="42" t="n">
        <x:v>13</x:v>
      </x:c>
      <x:c r="BR108" s="31" t="n">
        <x:v>125.59337662337662337662337662</x:v>
      </x:c>
      <x:c r="BT108" s="31" t="n">
        <x:v>35142.955842253177250000000</x:v>
      </x:c>
      <x:c r="BU108" s="31" t="n">
        <x:v>-19082.6598</x:v>
      </x:c>
      <x:c r="BV108" s="31" t="n">
        <x:f>=BT108+BU108</x:f>
      </x:c>
      <x:c r="BW108" s="68" t="n">
        <x:f>=BV108/BT108</x:f>
      </x:c>
      <x:c r="BY108" s="68" t="n">
        <x:f>=BO108</x:f>
      </x:c>
      <x:c r="BZ108" s="68" t="n">
        <x:f>=BF108</x:f>
      </x:c>
      <x:c r="CA108" s="68" t="n">
        <x:f>=BG108</x:f>
      </x:c>
      <x:c r="CB108" s="68" t="n">
        <x:f>=1 - BY108</x:f>
      </x:c>
      <x:c r="CD108" s="68" t="n">
        <x:f>=CA108/(1-BZ108)</x:f>
      </x:c>
    </x:row>
    <x:row r="109">
      <x:c r="A109" s="32" t="s">
        <x:v>251</x:v>
      </x:c>
      <x:c r="B109" t="s"/>
      <x:c r="C109" t="s">
        <x:v>252</x:v>
      </x:c>
      <x:c r="D109" t="s">
        <x:v>125</x:v>
      </x:c>
      <x:c r="E109" t="s">
        <x:v>132</x:v>
      </x:c>
      <x:c r="F109" t="n">
        <x:v>1920</x:v>
      </x:c>
      <x:c r="G109" s="33" t="n">
        <x:v>0.0015625</x:v>
      </x:c>
      <x:c r="H109" s="33" t="n">
        <x:v>0.025</x:v>
      </x:c>
      <x:c r="I109" s="33" t="n">
        <x:v>0.0552083333333333333333333333</x:v>
      </x:c>
      <x:c r="J109" s="33" t="n">
        <x:v>0.0885416666666666666666666667</x:v>
      </x:c>
      <x:c r="K109" s="33" t="n">
        <x:v>0.1104166666666666666666666667</x:v>
      </x:c>
      <x:c r="L109" s="33" t="n">
        <x:v>0.1401041666666666666666666667</x:v>
      </x:c>
      <x:c r="M109" s="33" t="n">
        <x:v>0.1729166666666666666666666667</x:v>
      </x:c>
      <x:c r="N109" s="33" t="n">
        <x:v>0.2005208333333333333333333333</x:v>
      </x:c>
      <x:c r="O109" s="33" t="n">
        <x:v>0.2177083333333333333333333333</x:v>
      </x:c>
      <x:c r="P109" s="33" t="n">
        <x:v>0.2552083333333333333333333333</x:v>
      </x:c>
      <x:c r="Q109" s="33" t="n">
        <x:v>0.2796875</x:v>
      </x:c>
      <x:c r="R109" s="33" t="n">
        <x:v>0.3020833333333333333333333333</x:v>
      </x:c>
      <x:c r="S109" s="33" t="n">
        <x:v>0.3270833333333333333333333333</x:v>
      </x:c>
      <x:c r="T109" s="33" t="n">
        <x:v>0.3338541666666666666666666667</x:v>
      </x:c>
      <x:c r="U109" s="33" t="n">
        <x:v>0.346875</x:v>
      </x:c>
      <x:c r="V109" s="33" t="n">
        <x:v>0.3510416666666666666666666667</x:v>
      </x:c>
      <x:c r="W109" s="33" t="n">
        <x:v>0.359375</x:v>
      </x:c>
      <x:c r="X109" s="23" t="n">
        <x:v>0.5057291666666666666666666667</x:v>
      </x:c>
      <x:c r="BC109" s="34" t="s"/>
      <x:c r="BD109" s="11" t="s">
        <x:v>138</x:v>
      </x:c>
      <x:c r="BE109" s="12" t="n">
        <x:f>=BO109</x:f>
      </x:c>
      <x:c r="BF109" s="12" t="n">
        <x:v>0.3645833333333333333333333333</x:v>
      </x:c>
      <x:c r="BG109" s="12" t="n">
        <x:v>0.6234375</x:v>
      </x:c>
      <x:c r="BH109" s="12" t="n">
        <x:v>0.0119791666666666666666666667</x:v>
      </x:c>
      <x:c r="BI109" s="12" t="n">
        <x:f>=BN109</x:f>
      </x:c>
      <x:c r="BJ109" s="13" t="n">
        <x:v>0</x:v>
      </x:c>
      <x:c r="BK109" s="31" t="n">
        <x:v>13718.91</x:v>
      </x:c>
      <x:c r="BL109" s="31" t="n">
        <x:v>-12835.6304</x:v>
      </x:c>
      <x:c r="BM109" s="31" t="n">
        <x:f>=BK109+BL109</x:f>
      </x:c>
      <x:c r="BN109" s="68" t="n">
        <x:f>=BM109/BK109</x:f>
      </x:c>
      <x:c r="BO109" s="68" t="n">
        <x:v>0.9880208333333333333333333333</x:v>
      </x:c>
      <x:c r="BP109" s="31" t="n">
        <x:v>12876.32</x:v>
      </x:c>
      <x:c r="BQ109" s="42" t="n">
        <x:v>23</x:v>
      </x:c>
      <x:c r="BR109" s="31" t="n">
        <x:v>154.24758333333333333333333333</x:v>
      </x:c>
      <x:c r="BT109" s="31" t="n">
        <x:v>19492.15886598720000000000</x:v>
      </x:c>
      <x:c r="BU109" s="31" t="n">
        <x:v>-12835.6304</x:v>
      </x:c>
      <x:c r="BV109" s="31" t="n">
        <x:f>=BT109+BU109</x:f>
      </x:c>
      <x:c r="BW109" s="68" t="n">
        <x:f>=BV109/BT109</x:f>
      </x:c>
      <x:c r="BY109" s="68" t="n">
        <x:f>=BO109</x:f>
      </x:c>
      <x:c r="BZ109" s="68" t="n">
        <x:f>=BF109</x:f>
      </x:c>
      <x:c r="CA109" s="68" t="n">
        <x:f>=BG109</x:f>
      </x:c>
      <x:c r="CB109" s="68" t="n">
        <x:f>=1 - BY109</x:f>
      </x:c>
      <x:c r="CD109" s="68" t="n">
        <x:f>=CA109/(1-BZ109)</x:f>
      </x:c>
    </x:row>
    <x:row r="110">
      <x:c r="A110" s="32" t="s">
        <x:v>253</x:v>
      </x:c>
      <x:c r="B110" t="s"/>
      <x:c r="C110" t="s">
        <x:v>254</x:v>
      </x:c>
      <x:c r="D110" t="s">
        <x:v>125</x:v>
      </x:c>
      <x:c r="E110" t="s">
        <x:v>132</x:v>
      </x:c>
      <x:c r="F110" t="n">
        <x:v>1755</x:v>
      </x:c>
      <x:c r="G110" s="33" t="n">
        <x:v>0.0233618233618233618233618234</x:v>
      </x:c>
      <x:c r="H110" s="33" t="n">
        <x:v>0.0501424501424501424501424501</x:v>
      </x:c>
      <x:c r="I110" s="33" t="n">
        <x:v>0.0877492877492877492877492877</x:v>
      </x:c>
      <x:c r="J110" s="33" t="n">
        <x:v>0.113960113960113960113960114</x:v>
      </x:c>
      <x:c r="K110" s="33" t="n">
        <x:v>0.1333333333333333333333333333</x:v>
      </x:c>
      <x:c r="L110" s="33" t="n">
        <x:v>0.162962962962962962962962963</x:v>
      </x:c>
      <x:c r="M110" s="33" t="n">
        <x:v>0.2045584045584045584045584046</x:v>
      </x:c>
      <x:c r="N110" s="33" t="n">
        <x:v>0.2444444444444444444444444444</x:v>
      </x:c>
      <x:c r="O110" s="33" t="n">
        <x:v>0.2769230769230769230769230769</x:v>
      </x:c>
      <x:c r="P110" s="33" t="n">
        <x:v>0.305982905982905982905982906</x:v>
      </x:c>
      <x:c r="Q110" s="33" t="n">
        <x:v>0.3327635327635327635327635328</x:v>
      </x:c>
      <x:c r="R110" s="33" t="n">
        <x:v>0.3458689458689458689458689459</x:v>
      </x:c>
      <x:c r="S110" s="33" t="n">
        <x:v>0.3572649572649572649572649573</x:v>
      </x:c>
      <x:c r="T110" s="33" t="n">
        <x:v>0.3618233618233618233618233618</x:v>
      </x:c>
      <x:c r="U110" s="33" t="n">
        <x:v>0.3709401709401709401709401709</x:v>
      </x:c>
      <x:c r="V110" s="33" t="n">
        <x:v>0.3766381766381766381766381766</x:v>
      </x:c>
      <x:c r="W110" s="33" t="n">
        <x:v>0.3800569800569800569800569801</x:v>
      </x:c>
      <x:c r="X110" s="23" t="n">
        <x:v>0.5236467236467236467236467236</x:v>
      </x:c>
      <x:c r="BC110" s="34" t="s"/>
      <x:c r="BD110" s="11" t="s">
        <x:v>138</x:v>
      </x:c>
      <x:c r="BE110" s="12" t="n">
        <x:f>=BO110</x:f>
      </x:c>
      <x:c r="BF110" s="12" t="n">
        <x:v>0.3857549857549857549857549858</x:v>
      </x:c>
      <x:c r="BG110" s="12" t="n">
        <x:v>0.5886039886039886039886039886</x:v>
      </x:c>
      <x:c r="BH110" s="12" t="n">
        <x:v>0.0256410256410256410256410256</x:v>
      </x:c>
      <x:c r="BI110" s="12" t="n">
        <x:f>=BN110</x:f>
      </x:c>
      <x:c r="BJ110" s="13" t="n">
        <x:v>0</x:v>
      </x:c>
      <x:c r="BK110" s="31" t="n">
        <x:v>13438.44</x:v>
      </x:c>
      <x:c r="BL110" s="31" t="n">
        <x:v>-12119.0425</x:v>
      </x:c>
      <x:c r="BM110" s="31" t="n">
        <x:f>=BK110+BL110</x:f>
      </x:c>
      <x:c r="BN110" s="68" t="n">
        <x:f>=BM110/BK110</x:f>
      </x:c>
      <x:c r="BO110" s="68" t="n">
        <x:v>0.9743589743589743589743589744</x:v>
      </x:c>
      <x:c r="BP110" s="31" t="n">
        <x:v>12168.55</x:v>
      </x:c>
      <x:c r="BQ110" s="42" t="n">
        <x:v>45</x:v>
      </x:c>
      <x:c r="BR110" s="31" t="n">
        <x:v>312.01410256410256410256410256</x:v>
      </x:c>
      <x:c r="BT110" s="31" t="n">
        <x:v>19063.974881330105625000000</x:v>
      </x:c>
      <x:c r="BU110" s="31" t="n">
        <x:v>-12119.0425</x:v>
      </x:c>
      <x:c r="BV110" s="31" t="n">
        <x:f>=BT110+BU110</x:f>
      </x:c>
      <x:c r="BW110" s="68" t="n">
        <x:f>=BV110/BT110</x:f>
      </x:c>
      <x:c r="BY110" s="68" t="n">
        <x:f>=BO110</x:f>
      </x:c>
      <x:c r="BZ110" s="68" t="n">
        <x:f>=BF110</x:f>
      </x:c>
      <x:c r="CA110" s="68" t="n">
        <x:f>=BG110</x:f>
      </x:c>
      <x:c r="CB110" s="68" t="n">
        <x:f>=1 - BY110</x:f>
      </x:c>
      <x:c r="CD110" s="68" t="n">
        <x:f>=CA110/(1-BZ110)</x:f>
      </x:c>
    </x:row>
    <x:row r="111">
      <x:c r="A111" s="32" t="s">
        <x:v>255</x:v>
      </x:c>
      <x:c r="B111" t="s"/>
      <x:c r="C111" t="s">
        <x:v>256</x:v>
      </x:c>
      <x:c r="D111" t="s">
        <x:v>125</x:v>
      </x:c>
      <x:c r="E111" t="s">
        <x:v>132</x:v>
      </x:c>
      <x:c r="F111" t="n">
        <x:v>1994</x:v>
      </x:c>
      <x:c r="G111" s="33" t="n">
        <x:v>0.252758274824473420260782347</x:v>
      </x:c>
      <x:c r="H111" s="33" t="n">
        <x:v>0.4317953861584754262788365095</x:v>
      </x:c>
      <x:c r="I111" s="33" t="n">
        <x:v>0.6083249749247743229689067202</x:v>
      </x:c>
      <x:c r="J111" s="33" t="n">
        <x:v>0.6860581745235707121364092277</x:v>
      </x:c>
      <x:c r="K111" s="24" t="n">
        <x:v>0.7362086258776328986960882648</x:v>
      </x:c>
      <x:c r="L111" s="33" t="n">
        <x:v>0.7673019057171514543630892678</x:v>
      </x:c>
      <x:c r="M111" s="33" t="n">
        <x:v>0.7683049147442326980942828485</x:v>
      </x:c>
      <x:c r="N111" s="33" t="n">
        <x:v>0.7713139418254764292878635908</x:v>
      </x:c>
      <x:c r="O111" s="33" t="n">
        <x:v>0.7758274824473420260782347041</x:v>
      </x:c>
      <x:c r="P111" s="33" t="n">
        <x:v>0.7813440320962888665997993982</x:v>
      </x:c>
      <x:c r="Q111" s="33" t="n">
        <x:v>0.7873620862587763289869608826</x:v>
      </x:c>
      <x:c r="R111" s="33" t="n">
        <x:v>0.8009027081243731193580742227</x:v>
      </x:c>
      <x:c r="S111" s="33" t="n">
        <x:v>0.8019057171514543630892678034</x:v>
      </x:c>
      <x:c r="T111" s="33" t="n">
        <x:v>0.8119358074222668004012036108</x:v>
      </x:c>
      <x:c r="U111" s="33" t="n">
        <x:v>0.818956870611835506519558676</x:v>
      </x:c>
      <x:c r="V111" s="33" t="n">
        <x:v>0.8274824473420260782347041123</x:v>
      </x:c>
      <x:c r="W111" s="33" t="n">
        <x:v>0.8314944834503510531594784353</x:v>
      </x:c>
      <x:c r="X111" s="23" t="n">
        <x:v>0.836509528585757271815446339</x:v>
      </x:c>
      <x:c r="BC111" s="34" t="s"/>
      <x:c r="BD111" s="11" t="s">
        <x:v>138</x:v>
      </x:c>
      <x:c r="BE111" s="12" t="n">
        <x:f>=BO111</x:f>
      </x:c>
      <x:c r="BF111" s="12" t="n">
        <x:v>0.8284854563691073219658976931</x:v>
      </x:c>
      <x:c r="BG111" s="12" t="n">
        <x:v>0.021564694082246740220661986</x:v>
      </x:c>
      <x:c r="BH111" s="12" t="n">
        <x:v>0.149949849548645937813440321</x:v>
      </x:c>
      <x:c r="BI111" s="12" t="n">
        <x:f>=BN111</x:f>
      </x:c>
      <x:c r="BJ111" s="13" t="n">
        <x:v>0</x:v>
      </x:c>
      <x:c r="BK111" s="31" t="n">
        <x:v>14130.77</x:v>
      </x:c>
      <x:c r="BL111" s="31" t="n">
        <x:v>-11174.0966</x:v>
      </x:c>
      <x:c r="BM111" s="31" t="n">
        <x:f>=BK111+BL111</x:f>
      </x:c>
      <x:c r="BN111" s="68" t="n">
        <x:f>=BM111/BK111</x:f>
      </x:c>
      <x:c r="BO111" s="68" t="n">
        <x:v>0.850050150451354062186559679</x:v>
      </x:c>
      <x:c r="BP111" s="31" t="n">
        <x:v>11190.78</x:v>
      </x:c>
      <x:c r="BQ111" s="42" t="n">
        <x:v>299</x:v>
      </x:c>
      <x:c r="BR111" s="31" t="n">
        <x:v>1678.0557773319959879638916750</x:v>
      </x:c>
      <x:c r="BT111" s="31" t="n">
        <x:v>19142.60999177588600000000</x:v>
      </x:c>
      <x:c r="BU111" s="31" t="n">
        <x:v>-11174.0966</x:v>
      </x:c>
      <x:c r="BV111" s="31" t="n">
        <x:f>=BT111+BU111</x:f>
      </x:c>
      <x:c r="BW111" s="68" t="n">
        <x:f>=BV111/BT111</x:f>
      </x:c>
      <x:c r="BY111" s="68" t="n">
        <x:f>=BO111</x:f>
      </x:c>
      <x:c r="BZ111" s="68" t="n">
        <x:f>=BF111</x:f>
      </x:c>
      <x:c r="CA111" s="68" t="n">
        <x:f>=BG111</x:f>
      </x:c>
      <x:c r="CB111" s="68" t="n">
        <x:f>=1 - BY111</x:f>
      </x:c>
      <x:c r="CD111" s="68" t="n">
        <x:f>=CA111/(1-BZ111)</x:f>
      </x:c>
    </x:row>
    <x:row r="112">
      <x:c r="A112" s="32" t="s">
        <x:v>257</x:v>
      </x:c>
      <x:c r="B112" t="s"/>
      <x:c r="C112" t="s">
        <x:v>258</x:v>
      </x:c>
      <x:c r="D112" t="s">
        <x:v>259</x:v>
      </x:c>
      <x:c r="E112" t="s">
        <x:v>132</x:v>
      </x:c>
      <x:c r="F112" t="n">
        <x:v>1995</x:v>
      </x:c>
      <x:c r="G112" s="33" t="n">
        <x:v>0.0330827067669172932330827068</x:v>
      </x:c>
      <x:c r="H112" s="33" t="n">
        <x:v>0.0736842105263157894736842105</x:v>
      </x:c>
      <x:c r="I112" s="33" t="n">
        <x:v>0.1127819548872180451127819549</x:v>
      </x:c>
      <x:c r="J112" s="33" t="n">
        <x:v>0.1578947368421052631578947368</x:v>
      </x:c>
      <x:c r="K112" s="33" t="n">
        <x:v>0.2010025062656641604010025063</x:v>
      </x:c>
      <x:c r="L112" s="33" t="n">
        <x:v>0.2486215538847117794486215539</x:v>
      </x:c>
      <x:c r="M112" s="33" t="n">
        <x:v>0.3022556390977443609022556391</x:v>
      </x:c>
      <x:c r="N112" s="33" t="n">
        <x:v>0.3829573934837092731829573935</x:v>
      </x:c>
      <x:c r="O112" s="33" t="n">
        <x:v>0.430075187969924812030075188</x:v>
      </x:c>
      <x:c r="P112" s="33" t="n">
        <x:v>0.4912280701754385964912280702</x:v>
      </x:c>
      <x:c r="Q112" s="33" t="n">
        <x:v>0.5248120300751879699248120301</x:v>
      </x:c>
      <x:c r="R112" s="33" t="n">
        <x:v>0.5598997493734335839598997494</x:v>
      </x:c>
      <x:c r="S112" s="33" t="n">
        <x:v>0.5563909774436090225563909774</x:v>
      </x:c>
      <x:c r="T112" s="33" t="n">
        <x:v>0.5528822055137844611528822055</x:v>
      </x:c>
      <x:c r="U112" s="33" t="n">
        <x:v>0.5684210526315789473684210526</x:v>
      </x:c>
      <x:c r="V112" s="33" t="n">
        <x:v>0.5749373433583959899749373434</x:v>
      </x:c>
      <x:c r="W112" s="33" t="n">
        <x:v>0.5839598997493734335839598997</x:v>
      </x:c>
      <x:c r="X112" s="23" t="n">
        <x:v>0.6887218045112781954887218045</x:v>
      </x:c>
      <x:c r="BC112" s="34" t="s"/>
      <x:c r="BD112" s="11" t="s">
        <x:v>138</x:v>
      </x:c>
      <x:c r="BE112" s="12" t="n">
        <x:f>=BO112</x:f>
      </x:c>
      <x:c r="BF112" s="12" t="n">
        <x:v>0.5839598997493734335839598997</x:v>
      </x:c>
      <x:c r="BG112" s="12" t="n">
        <x:v>0.3939849624060150375939849624</x:v>
      </x:c>
      <x:c r="BH112" s="12" t="n">
        <x:v>0.0220551378446115288220551378</x:v>
      </x:c>
      <x:c r="BI112" s="12" t="n">
        <x:f>=BN112</x:f>
      </x:c>
      <x:c r="BJ112" s="13" t="n">
        <x:v>0</x:v>
      </x:c>
      <x:c r="BK112" s="31" t="n">
        <x:v>28849.60</x:v>
      </x:c>
      <x:c r="BL112" s="31" t="n">
        <x:v>-22708.84250</x:v>
      </x:c>
      <x:c r="BM112" s="31" t="n">
        <x:f>=BK112+BL112</x:f>
      </x:c>
      <x:c r="BN112" s="68" t="n">
        <x:f>=BM112/BK112</x:f>
      </x:c>
      <x:c r="BO112" s="68" t="n">
        <x:v>0.9779448621553884711779448622</x:v>
      </x:c>
      <x:c r="BP112" s="31" t="n">
        <x:v>21059.00</x:v>
      </x:c>
      <x:c r="BQ112" s="42" t="n">
        <x:v>44</x:v>
      </x:c>
      <x:c r="BR112" s="31" t="n">
        <x:v>464.45914786967418546365914786</x:v>
      </x:c>
      <x:c r="BT112" s="31" t="n">
        <x:v>39232.08030737181250000000</x:v>
      </x:c>
      <x:c r="BU112" s="31" t="n">
        <x:v>-22708.84250</x:v>
      </x:c>
      <x:c r="BV112" s="31" t="n">
        <x:f>=BT112+BU112</x:f>
      </x:c>
      <x:c r="BW112" s="68" t="n">
        <x:f>=BV112/BT112</x:f>
      </x:c>
      <x:c r="BY112" s="68" t="n">
        <x:f>=BO112</x:f>
      </x:c>
      <x:c r="BZ112" s="68" t="n">
        <x:f>=BF112</x:f>
      </x:c>
      <x:c r="CA112" s="68" t="n">
        <x:f>=BG112</x:f>
      </x:c>
      <x:c r="CB112" s="68" t="n">
        <x:f>=1 - BY112</x:f>
      </x:c>
      <x:c r="CD112" s="68" t="n">
        <x:f>=CA112/(1-BZ112)</x:f>
      </x:c>
    </x:row>
    <x:row r="113">
      <x:c r="A113" s="32" t="s">
        <x:v>260</x:v>
      </x:c>
      <x:c r="B113" t="s"/>
      <x:c r="C113" t="s">
        <x:v>261</x:v>
      </x:c>
      <x:c r="D113" t="s">
        <x:v>259</x:v>
      </x:c>
      <x:c r="E113" t="s">
        <x:v>132</x:v>
      </x:c>
      <x:c r="F113" t="n">
        <x:v>1932</x:v>
      </x:c>
      <x:c r="G113" s="33" t="n">
        <x:v>0.0134575569358178053830227743</x:v>
      </x:c>
      <x:c r="H113" s="33" t="n">
        <x:v>0.0729813664596273291925465839</x:v>
      </x:c>
      <x:c r="I113" s="33" t="n">
        <x:v>0.1278467908902691511387163561</x:v>
      </x:c>
      <x:c r="J113" s="33" t="n">
        <x:v>0.1821946169772256728778467909</x:v>
      </x:c>
      <x:c r="K113" s="33" t="n">
        <x:v>0.2329192546583850931677018634</x:v>
      </x:c>
      <x:c r="L113" s="33" t="n">
        <x:v>0.2851966873706004140786749482</x:v>
      </x:c>
      <x:c r="M113" s="33" t="n">
        <x:v>0.3483436853002070393374741201</x:v>
      </x:c>
      <x:c r="N113" s="33" t="n">
        <x:v>0.39958592132505175983436853</x:v>
      </x:c>
      <x:c r="O113" s="33" t="n">
        <x:v>0.4503105590062111801242236025</x:v>
      </x:c>
      <x:c r="P113" s="33" t="n">
        <x:v>0.4958592132505175983436853002</x:v>
      </x:c>
      <x:c r="Q113" s="33" t="n">
        <x:v>0.5388198757763975155279503106</x:v>
      </x:c>
      <x:c r="R113" s="33" t="n">
        <x:v>0.5626293995859213250517598344</x:v>
      </x:c>
      <x:c r="S113" s="33" t="n">
        <x:v>0.5885093167701863354037267081</x:v>
      </x:c>
      <x:c r="T113" s="33" t="n">
        <x:v>0.6050724637681159420289855072</x:v>
      </x:c>
      <x:c r="U113" s="33" t="n">
        <x:v>0.6268115942028985507246376812</x:v>
      </x:c>
      <x:c r="V113" s="33" t="n">
        <x:v>0.6413043478260869565217391304</x:v>
      </x:c>
      <x:c r="W113" s="24" t="n">
        <x:v>0.720496894409937888198757764</x:v>
      </x:c>
      <x:c r="BC113" s="34" t="s"/>
      <x:c r="BD113" s="11" t="s">
        <x:v>98</x:v>
      </x:c>
      <x:c r="BE113" s="12" t="n">
        <x:f>=BO113</x:f>
      </x:c>
      <x:c r="BF113" s="12" t="n">
        <x:v>0.6350931677018633540372670807</x:v>
      </x:c>
      <x:c r="BG113" s="12" t="n">
        <x:v>0.3685300207039337474120082816</x:v>
      </x:c>
      <x:c r="BH113" s="12" t="n">
        <x:v>-0.0036231884057971014492753623</x:v>
      </x:c>
      <x:c r="BI113" s="12" t="n">
        <x:f>=BN113</x:f>
      </x:c>
      <x:c r="BJ113" s="13" t="n">
        <x:v>0</x:v>
      </x:c>
      <x:c r="BK113" s="31" t="n">
        <x:v>17261.04</x:v>
      </x:c>
      <x:c r="BL113" s="31" t="n">
        <x:v>-13197.24360</x:v>
      </x:c>
      <x:c r="BM113" s="31" t="n">
        <x:f>=BK113+BL113</x:f>
      </x:c>
      <x:c r="BN113" s="68" t="n">
        <x:f>=BM113/BK113</x:f>
      </x:c>
      <x:c r="BO113" s="68" t="n">
        <x:v>1.0036231884057971014492753623</x:v>
      </x:c>
      <x:c r="BP113" s="31" t="n">
        <x:v>12144.00</x:v>
      </x:c>
      <x:c r="BQ113" s="42" t="n">
        <x:v>-7</x:v>
      </x:c>
      <x:c r="BR113" s="31" t="n">
        <x:v>-44.000000000000000000000000000</x:v>
      </x:c>
      <x:c r="BT113" s="31" t="n">
        <x:v>23304.979296590758500000000</x:v>
      </x:c>
      <x:c r="BU113" s="31" t="n">
        <x:v>-13197.24360</x:v>
      </x:c>
      <x:c r="BV113" s="31" t="n">
        <x:f>=BT113+BU113</x:f>
      </x:c>
      <x:c r="BW113" s="68" t="n">
        <x:f>=BV113/BT113</x:f>
      </x:c>
      <x:c r="BY113" s="68" t="n">
        <x:f>=BO113</x:f>
      </x:c>
      <x:c r="BZ113" s="68" t="n">
        <x:f>=BF113</x:f>
      </x:c>
      <x:c r="CA113" s="68" t="n">
        <x:f>=BG113</x:f>
      </x:c>
      <x:c r="CB113" s="68" t="n">
        <x:f>=1 - BY113</x:f>
      </x:c>
      <x:c r="CD113" s="68" t="n">
        <x:f>=CA113/(1-BZ113)</x:f>
      </x:c>
    </x:row>
    <x:row r="114">
      <x:c r="A114" s="32" t="s">
        <x:v>262</x:v>
      </x:c>
      <x:c r="B114" t="s"/>
      <x:c r="C114" t="s">
        <x:v>263</x:v>
      </x:c>
      <x:c r="D114" t="s">
        <x:v>259</x:v>
      </x:c>
      <x:c r="E114" t="s">
        <x:v>132</x:v>
      </x:c>
      <x:c r="F114" t="n">
        <x:v>1017</x:v>
      </x:c>
      <x:c r="G114" s="33" t="n">
        <x:v>0.0344149459193706981317600787</x:v>
      </x:c>
      <x:c r="H114" s="33" t="n">
        <x:v>0.1297935103244837758112094395</x:v>
      </x:c>
      <x:c r="I114" s="33" t="n">
        <x:v>0.2173058013765978367748279253</x:v>
      </x:c>
      <x:c r="J114" s="33" t="n">
        <x:v>0.3038348082595870206489675516</x:v>
      </x:c>
      <x:c r="K114" s="33" t="n">
        <x:v>0.3893805309734513274336283186</x:v>
      </x:c>
      <x:c r="L114" s="33" t="n">
        <x:v>0.470993117010816125860373648</x:v>
      </x:c>
      <x:c r="M114" s="33" t="n">
        <x:v>0.5624385447394296951819075713</x:v>
      </x:c>
      <x:c r="N114" s="33" t="n">
        <x:v>0.6489675516224188790560471976</x:v>
      </x:c>
      <x:c r="O114" s="24" t="n">
        <x:v>0.7148475909537856440511307768</x:v>
      </x:c>
      <x:c r="P114" s="33" t="n">
        <x:v>0.7836774827925270403146509341</x:v>
      </x:c>
      <x:c r="Q114" s="33" t="n">
        <x:v>0.8397246804326450344149459194</x:v>
      </x:c>
      <x:c r="R114" s="33" t="n">
        <x:v>0.8682399213372664700098328417</x:v>
      </x:c>
      <x:c r="S114" s="33" t="n">
        <x:v>0.8997050147492625368731563422</x:v>
      </x:c>
      <x:c r="T114" s="33" t="n">
        <x:v>0.9223205506391347099311701082</x:v>
      </x:c>
      <x:c r="U114" s="33" t="n">
        <x:v>0.9537856440511307767944936087</x:v>
      </x:c>
      <x:c r="V114" s="33" t="n">
        <x:v>0.9606686332350049164208456244</x:v>
      </x:c>
      <x:c r="W114" s="23" t="n">
        <x:v>0.9714847590953785644051130777</x:v>
      </x:c>
      <x:c r="BC114" s="34" t="s"/>
      <x:c r="BD114" s="11" t="s">
        <x:v>98</x:v>
      </x:c>
      <x:c r="BE114" s="12" t="n">
        <x:f>=BO114</x:f>
      </x:c>
      <x:c r="BF114" s="12" t="n">
        <x:v>0.9508357915437561455260570305</x:v>
      </x:c>
      <x:c r="BG114" s="12" t="n">
        <x:v>0.0786627335299901671583087512</x:v>
      </x:c>
      <x:c r="BH114" s="12" t="n">
        <x:v>-0.0294985250737463126843657817</x:v>
      </x:c>
      <x:c r="BI114" s="12" t="n">
        <x:f>=BN114</x:f>
      </x:c>
      <x:c r="BJ114" s="13" t="n">
        <x:v>0</x:v>
      </x:c>
      <x:c r="BK114" s="31" t="n">
        <x:v>11994.35</x:v>
      </x:c>
      <x:c r="BL114" s="31" t="n">
        <x:v>-7763.91648</x:v>
      </x:c>
      <x:c r="BM114" s="31" t="n">
        <x:f>=BK114+BL114</x:f>
      </x:c>
      <x:c r="BN114" s="68" t="n">
        <x:f>=BM114/BK114</x:f>
      </x:c>
      <x:c r="BO114" s="68" t="n">
        <x:v>1.0294985250737463126843657817</x:v>
      </x:c>
      <x:c r="BP114" s="31" t="n">
        <x:v>7178.28</x:v>
      </x:c>
      <x:c r="BQ114" s="42" t="n">
        <x:v>-30</x:v>
      </x:c>
      <x:c r="BR114" s="31" t="n">
        <x:v>-211.74867256637168141592920354</x:v>
      </x:c>
      <x:c r="BT114" s="31" t="n">
        <x:v>15562.03738515302750000000</x:v>
      </x:c>
      <x:c r="BU114" s="31" t="n">
        <x:v>-7763.91648</x:v>
      </x:c>
      <x:c r="BV114" s="31" t="n">
        <x:f>=BT114+BU114</x:f>
      </x:c>
      <x:c r="BW114" s="68" t="n">
        <x:f>=BV114/BT114</x:f>
      </x:c>
      <x:c r="BY114" s="68" t="n">
        <x:f>=BO114</x:f>
      </x:c>
      <x:c r="BZ114" s="68" t="n">
        <x:f>=BF114</x:f>
      </x:c>
      <x:c r="CA114" s="68" t="n">
        <x:f>=BG114</x:f>
      </x:c>
      <x:c r="CB114" s="68" t="n">
        <x:f>=1 - BY114</x:f>
      </x:c>
      <x:c r="CD114" s="68" t="n">
        <x:f>=CA114/(1-BZ114)</x:f>
      </x:c>
    </x:row>
    <x:row r="115">
      <x:c r="A115" s="32" t="s">
        <x:v>264</x:v>
      </x:c>
      <x:c r="B115" t="s"/>
      <x:c r="C115" t="s">
        <x:v>265</x:v>
      </x:c>
      <x:c r="D115" t="s">
        <x:v>259</x:v>
      </x:c>
      <x:c r="E115" t="s">
        <x:v>132</x:v>
      </x:c>
      <x:c r="F115" t="n">
        <x:v>993</x:v>
      </x:c>
      <x:c r="G115" s="33" t="n">
        <x:v>0.0251762336354481369587109768</x:v>
      </x:c>
      <x:c r="H115" s="33" t="n">
        <x:v>0.0866062437059415911379657603</x:v>
      </x:c>
      <x:c r="I115" s="33" t="n">
        <x:v>0.1430010070493454179254783484</x:v>
      </x:c>
      <x:c r="J115" s="33" t="n">
        <x:v>0.1963746223564954682779456193</x:v>
      </x:c>
      <x:c r="K115" s="33" t="n">
        <x:v>0.2437059415911379657603222558</x:v>
      </x:c>
      <x:c r="L115" s="33" t="n">
        <x:v>0.3192346424974823766364551863</x:v>
      </x:c>
      <x:c r="M115" s="33" t="n">
        <x:v>0.356495468277945619335347432</x:v>
      </x:c>
      <x:c r="N115" s="33" t="n">
        <x:v>0.4028197381671701913393756294</x:v>
      </x:c>
      <x:c r="O115" s="33" t="n">
        <x:v>0.4360523665659617321248741188</x:v>
      </x:c>
      <x:c r="P115" s="33" t="n">
        <x:v>0.466263846928499496475327291</x:v>
      </x:c>
      <x:c r="Q115" s="33" t="n">
        <x:v>0.4974823766364551863041289023</x:v>
      </x:c>
      <x:c r="R115" s="33" t="n">
        <x:v>0.5297079556898288016112789527</x:v>
      </x:c>
      <x:c r="S115" s="33" t="n">
        <x:v>0.5589123867069486404833836858</x:v>
      </x:c>
      <x:c r="T115" s="33" t="n">
        <x:v>0.5941591137965760322255790534</x:v>
      </x:c>
      <x:c r="U115" s="33" t="n">
        <x:v>0.6344410876132930513595166163</x:v>
      </x:c>
      <x:c r="V115" s="24" t="n">
        <x:v>0.7079556898288016112789526687</x:v>
      </x:c>
      <x:c r="BC115" s="34" t="s"/>
      <x:c r="BD115" s="11" t="s">
        <x:v>160</x:v>
      </x:c>
      <x:c r="BE115" s="12" t="n">
        <x:f>=BO115</x:f>
      </x:c>
      <x:c r="BF115" s="12" t="n">
        <x:v>0.6263846928499496475327291037</x:v>
      </x:c>
      <x:c r="BG115" s="12" t="n">
        <x:v>0.3615307150050352467270896274</x:v>
      </x:c>
      <x:c r="BH115" s="12" t="n">
        <x:v>0.0120845921450151057401812689</x:v>
      </x:c>
      <x:c r="BI115" s="12" t="n">
        <x:f>=BN115</x:f>
      </x:c>
      <x:c r="BJ115" s="13" t="n">
        <x:v>0</x:v>
      </x:c>
      <x:c r="BK115" s="31" t="n">
        <x:v>9265.96</x:v>
      </x:c>
      <x:c r="BL115" s="31" t="n">
        <x:v>-7259.54520</x:v>
      </x:c>
      <x:c r="BM115" s="31" t="n">
        <x:f>=BK115+BL115</x:f>
      </x:c>
      <x:c r="BN115" s="68" t="n">
        <x:f>=BM115/BK115</x:f>
      </x:c>
      <x:c r="BO115" s="68" t="n">
        <x:v>0.9879154078549848942598187311</x:v>
      </x:c>
      <x:c r="BP115" s="31" t="n">
        <x:v>6577.20</x:v>
      </x:c>
      <x:c r="BQ115" s="42" t="n">
        <x:v>12</x:v>
      </x:c>
      <x:c r="BR115" s="31" t="n">
        <x:v>79.48277945619335347432024169</x:v>
      </x:c>
      <x:c r="BT115" s="31" t="n">
        <x:v>12556.139386026833875000000</x:v>
      </x:c>
      <x:c r="BU115" s="31" t="n">
        <x:v>-7259.54520</x:v>
      </x:c>
      <x:c r="BV115" s="31" t="n">
        <x:f>=BT115+BU115</x:f>
      </x:c>
      <x:c r="BW115" s="68" t="n">
        <x:f>=BV115/BT115</x:f>
      </x:c>
      <x:c r="BY115" s="68" t="n">
        <x:f>=BO115</x:f>
      </x:c>
      <x:c r="BZ115" s="68" t="n">
        <x:f>=BF115</x:f>
      </x:c>
      <x:c r="CA115" s="68" t="n">
        <x:f>=BG115</x:f>
      </x:c>
      <x:c r="CB115" s="68" t="n">
        <x:f>=1 - BY115</x:f>
      </x:c>
      <x:c r="CD115" s="68" t="n">
        <x:f>=CA115/(1-BZ115)</x:f>
      </x:c>
    </x:row>
    <x:row r="116">
      <x:c r="A116" s="32" t="s">
        <x:v>266</x:v>
      </x:c>
      <x:c r="B116" t="s"/>
      <x:c r="C116" t="s">
        <x:v>267</x:v>
      </x:c>
      <x:c r="D116" t="s">
        <x:v>259</x:v>
      </x:c>
      <x:c r="E116" t="s">
        <x:v>132</x:v>
      </x:c>
      <x:c r="F116" t="n">
        <x:v>5214</x:v>
      </x:c>
      <x:c r="G116" s="33" t="n">
        <x:v>0.000575373993095512082853855</x:v>
      </x:c>
      <x:c r="H116" s="33" t="n">
        <x:v>0.0126582278481012658227848101</x:v>
      </x:c>
      <x:c r="I116" s="33" t="n">
        <x:v>0.0258918296892980437284234753</x:v>
      </x:c>
      <x:c r="J116" s="33" t="n">
        <x:v>0.0535097813578826237054085155</x:v>
      </x:c>
      <x:c r="K116" s="33" t="n">
        <x:v>0.0780590717299578059071729958</x:v>
      </x:c>
      <x:c r="L116" s="33" t="n">
        <x:v>0.1300345224395857307249712313</x:v>
      </x:c>
      <x:c r="M116" s="33" t="n">
        <x:v>0.1858457997698504027617951669</x:v>
      </x:c>
      <x:c r="N116" s="33" t="n">
        <x:v>0.2502876869965477560414269275</x:v>
      </x:c>
      <x:c r="O116" s="33" t="n">
        <x:v>0.3057153816647487533563482931</x:v>
      </x:c>
      <x:c r="P116" s="33" t="n">
        <x:v>0.3588415803605677023398542386</x:v>
      </x:c>
      <x:c r="Q116" s="33" t="n">
        <x:v>0.3843498273878020713463751438</x:v>
      </x:c>
      <x:c r="R116" s="33" t="n">
        <x:v>0.401611047180667433831990794</x:v>
      </x:c>
      <x:c r="S116" s="33" t="n">
        <x:v>0.4150364403528960490985807442</x:v>
      </x:c>
      <x:c r="T116" s="33" t="n">
        <x:v>0.4236670502493287303413885692</x:v>
      </x:c>
      <x:c r="U116" s="33" t="n">
        <x:v>0.4334484081319524357499041043</x:v>
      </x:c>
      <x:c r="V116" s="23" t="n">
        <x:v>0.5237821250479478327579593402</x:v>
      </x:c>
      <x:c r="BC116" s="34" t="s"/>
      <x:c r="BD116" s="11" t="s">
        <x:v>160</x:v>
      </x:c>
      <x:c r="BE116" s="12" t="n">
        <x:f>=BO116</x:f>
      </x:c>
      <x:c r="BF116" s="12" t="n">
        <x:v>0.4518603759110088224012274645</x:v>
      </x:c>
      <x:c r="BG116" s="12" t="n">
        <x:v>0.5425776754890678941311852704</x:v>
      </x:c>
      <x:c r="BH116" s="12" t="n">
        <x:v>0.0055619485999232834675872651</x:v>
      </x:c>
      <x:c r="BI116" s="12" t="n">
        <x:f>=BN116</x:f>
      </x:c>
      <x:c r="BJ116" s="13" t="n">
        <x:v>0</x:v>
      </x:c>
      <x:c r="BK116" s="31" t="n">
        <x:v>31883.30</x:v>
      </x:c>
      <x:c r="BL116" s="31" t="n">
        <x:v>-30257.69988</x:v>
      </x:c>
      <x:c r="BM116" s="31" t="n">
        <x:f>=BK116+BL116</x:f>
      </x:c>
      <x:c r="BN116" s="68" t="n">
        <x:f>=BM116/BK116</x:f>
      </x:c>
      <x:c r="BO116" s="68" t="n">
        <x:v>0.9944380514000767165324127349</x:v>
      </x:c>
      <x:c r="BP116" s="31" t="n">
        <x:v>27321.48</x:v>
      </x:c>
      <x:c r="BQ116" s="42" t="n">
        <x:v>29</x:v>
      </x:c>
      <x:c r="BR116" s="31" t="n">
        <x:v>151.96066743383199079401611047</x:v>
      </x:c>
      <x:c r="BT116" s="31" t="n">
        <x:v>46144.230854139307250000000</x:v>
      </x:c>
      <x:c r="BU116" s="31" t="n">
        <x:v>-30257.69988</x:v>
      </x:c>
      <x:c r="BV116" s="31" t="n">
        <x:f>=BT116+BU116</x:f>
      </x:c>
      <x:c r="BW116" s="68" t="n">
        <x:f>=BV116/BT116</x:f>
      </x:c>
      <x:c r="BY116" s="68" t="n">
        <x:f>=BO116</x:f>
      </x:c>
      <x:c r="BZ116" s="68" t="n">
        <x:f>=BF116</x:f>
      </x:c>
      <x:c r="CA116" s="68" t="n">
        <x:f>=BG116</x:f>
      </x:c>
      <x:c r="CB116" s="68" t="n">
        <x:f>=1 - BY116</x:f>
      </x:c>
      <x:c r="CD116" s="68" t="n">
        <x:f>=CA116/(1-BZ116)</x:f>
      </x:c>
    </x:row>
    <x:row r="117">
      <x:c r="A117" s="32" t="s">
        <x:v>268</x:v>
      </x:c>
      <x:c r="B117" t="s"/>
      <x:c r="C117" t="s">
        <x:v>269</x:v>
      </x:c>
      <x:c r="D117" t="s">
        <x:v>125</x:v>
      </x:c>
      <x:c r="E117" t="s">
        <x:v>132</x:v>
      </x:c>
      <x:c r="F117" t="n">
        <x:v>1068</x:v>
      </x:c>
      <x:c r="G117" s="33" t="n">
        <x:v>0.0486891385767790262172284644</x:v>
      </x:c>
      <x:c r="H117" s="33" t="n">
        <x:v>0.1423220973782771535580524345</x:v>
      </x:c>
      <x:c r="I117" s="33" t="n">
        <x:v>0.2425093632958801498127340824</x:v>
      </x:c>
      <x:c r="J117" s="33" t="n">
        <x:v>0.3380149812734082397003745318</x:v>
      </x:c>
      <x:c r="K117" s="33" t="n">
        <x:v>0.4073033707865168539325842697</x:v>
      </x:c>
      <x:c r="L117" s="33" t="n">
        <x:v>0.4765917602996254681647940075</x:v>
      </x:c>
      <x:c r="M117" s="33" t="n">
        <x:v>0.5271535580524344569288389513</x:v>
      </x:c>
      <x:c r="N117" s="33" t="n">
        <x:v>0.5917602996254681647940074906</x:v>
      </x:c>
      <x:c r="O117" s="33" t="n">
        <x:v>0.6310861423220973782771535581</x:v>
      </x:c>
      <x:c r="P117" s="33" t="n">
        <x:v>0.6732209737827715355805243446</x:v>
      </x:c>
      <x:c r="Q117" s="33" t="n">
        <x:v>0.6975655430711610486891385768</x:v>
      </x:c>
      <x:c r="R117" s="24" t="n">
        <x:v>0.7237827715355805243445692884</x:v>
      </x:c>
      <x:c r="S117" s="33" t="n">
        <x:v>0.7443820224719101123595505618</x:v>
      </x:c>
      <x:c r="T117" s="33" t="n">
        <x:v>0.7640449438202247191011235955</x:v>
      </x:c>
      <x:c r="U117" s="23" t="n">
        <x:v>0.8080524344569288389513108614</x:v>
      </x:c>
      <x:c r="BC117" s="34" t="s"/>
      <x:c r="BD117" s="11" t="s">
        <x:v>101</x:v>
      </x:c>
      <x:c r="BE117" s="12" t="n">
        <x:f>=BO117</x:f>
      </x:c>
      <x:c r="BF117" s="12" t="n">
        <x:v>0.768726591760299625468164794</x:v>
      </x:c>
      <x:c r="BG117" s="12" t="n">
        <x:v>0.2078651685393258426966292135</x:v>
      </x:c>
      <x:c r="BH117" s="12" t="n">
        <x:v>0.0234082397003745318352059925</x:v>
      </x:c>
      <x:c r="BI117" s="12" t="n">
        <x:f>=BN117</x:f>
      </x:c>
      <x:c r="BJ117" s="13" t="n">
        <x:v>0</x:v>
      </x:c>
      <x:c r="BK117" s="31" t="n">
        <x:v>4308.16</x:v>
      </x:c>
      <x:c r="BL117" s="31" t="n">
        <x:v>-3270.0564</x:v>
      </x:c>
      <x:c r="BM117" s="31" t="n">
        <x:f>=BK117+BL117</x:f>
      </x:c>
      <x:c r="BN117" s="68" t="n">
        <x:f>=BM117/BK117</x:f>
      </x:c>
      <x:c r="BO117" s="68" t="n">
        <x:v>0.9765917602996254681647940075</x:v>
      </x:c>
      <x:c r="BP117" s="31" t="n">
        <x:v>3294.12</x:v>
      </x:c>
      <x:c r="BQ117" s="42" t="n">
        <x:v>25</x:v>
      </x:c>
      <x:c r="BR117" s="31" t="n">
        <x:v>77.109550561797752808988764045</x:v>
      </x:c>
      <x:c r="BT117" s="31" t="n">
        <x:v>5722.397802135638500000000</x:v>
      </x:c>
      <x:c r="BU117" s="31" t="n">
        <x:v>-3270.0564</x:v>
      </x:c>
      <x:c r="BV117" s="31" t="n">
        <x:f>=BT117+BU117</x:f>
      </x:c>
      <x:c r="BW117" s="68" t="n">
        <x:f>=BV117/BT117</x:f>
      </x:c>
      <x:c r="BY117" s="68" t="n">
        <x:f>=BO117</x:f>
      </x:c>
      <x:c r="BZ117" s="68" t="n">
        <x:f>=BF117</x:f>
      </x:c>
      <x:c r="CA117" s="68" t="n">
        <x:f>=BG117</x:f>
      </x:c>
      <x:c r="CB117" s="68" t="n">
        <x:f>=1 - BY117</x:f>
      </x:c>
      <x:c r="CD117" s="68" t="n">
        <x:f>=CA117/(1-BZ117)</x:f>
      </x:c>
    </x:row>
    <x:row r="118">
      <x:c r="A118" s="32" t="s">
        <x:v>270</x:v>
      </x:c>
      <x:c r="B118" t="s"/>
      <x:c r="C118" t="s">
        <x:v>271</x:v>
      </x:c>
      <x:c r="D118" t="s">
        <x:v>96</x:v>
      </x:c>
      <x:c r="E118" t="s">
        <x:v>132</x:v>
      </x:c>
      <x:c r="F118" t="n">
        <x:v>2080</x:v>
      </x:c>
      <x:c r="G118" s="33" t="n">
        <x:v>0.1076923076923076923076923077</x:v>
      </x:c>
      <x:c r="H118" s="33" t="n">
        <x:v>0.2370192307692307692307692308</x:v>
      </x:c>
      <x:c r="I118" s="33" t="n">
        <x:v>0.3682692307692307692307692308</x:v>
      </x:c>
      <x:c r="J118" s="33" t="n">
        <x:v>0.4788461538461538461538461538</x:v>
      </x:c>
      <x:c r="K118" s="33" t="n">
        <x:v>0.5841346153846153846153846154</x:v>
      </x:c>
      <x:c r="L118" s="33" t="n">
        <x:v>0.6663461538461538461538461538</x:v>
      </x:c>
      <x:c r="M118" s="24" t="n">
        <x:v>0.75</x:v>
      </x:c>
      <x:c r="N118" s="33" t="n">
        <x:v>0.8081730769230769230769230769</x:v>
      </x:c>
      <x:c r="O118" s="33" t="n">
        <x:v>0.8649038461538461538461538462</x:v>
      </x:c>
      <x:c r="P118" s="33" t="n">
        <x:v>0.9048076923076923076923076923</x:v>
      </x:c>
      <x:c r="Q118" s="33" t="n">
        <x:v>0.9370192307692307692307692308</x:v>
      </x:c>
      <x:c r="R118" s="33" t="n">
        <x:v>0.9548076923076923076923076923</x:v>
      </x:c>
      <x:c r="S118" s="33" t="n">
        <x:v>0.9615384615384615384615384615</x:v>
      </x:c>
      <x:c r="T118" s="23" t="n">
        <x:v>0.9668269230769230769230769231</x:v>
      </x:c>
      <x:c r="BC118" s="34" t="s"/>
      <x:c r="BD118" s="11" t="s">
        <x:v>118</x:v>
      </x:c>
      <x:c r="BE118" s="12" t="n">
        <x:f>=BO118</x:f>
      </x:c>
      <x:c r="BF118" s="12" t="n">
        <x:v>0.9639423076923076923076923077</x:v>
      </x:c>
      <x:c r="BG118" s="12" t="n">
        <x:v>0.0269230769230769230769230769</x:v>
      </x:c>
      <x:c r="BH118" s="12" t="n">
        <x:v>0.0091346153846153846153846154</x:v>
      </x:c>
      <x:c r="BI118" s="12" t="n">
        <x:f>=BN118</x:f>
      </x:c>
      <x:c r="BJ118" s="13" t="n">
        <x:v>0</x:v>
      </x:c>
      <x:c r="BK118" s="31" t="n">
        <x:v>9482.26</x:v>
      </x:c>
      <x:c r="BL118" s="31" t="n">
        <x:v>-4924.0720</x:v>
      </x:c>
      <x:c r="BM118" s="31" t="n">
        <x:f>=BK118+BL118</x:f>
      </x:c>
      <x:c r="BN118" s="68" t="n">
        <x:f>=BM118/BK118</x:f>
      </x:c>
      <x:c r="BO118" s="68" t="n">
        <x:v>0.9908653846153846153846153846</x:v>
      </x:c>
      <x:c r="BP118" s="31" t="n">
        <x:v>4797.60</x:v>
      </x:c>
      <x:c r="BQ118" s="42" t="n">
        <x:v>19</x:v>
      </x:c>
      <x:c r="BR118" s="31" t="n">
        <x:v>43.824230769230769230769230768</x:v>
      </x:c>
      <x:c r="BT118" s="31" t="n">
        <x:v>12248.60841495220000000000</x:v>
      </x:c>
      <x:c r="BU118" s="31" t="n">
        <x:v>-4924.0720</x:v>
      </x:c>
      <x:c r="BV118" s="31" t="n">
        <x:f>=BT118+BU118</x:f>
      </x:c>
      <x:c r="BW118" s="68" t="n">
        <x:f>=BV118/BT118</x:f>
      </x:c>
      <x:c r="BY118" s="68" t="n">
        <x:f>=BO118</x:f>
      </x:c>
      <x:c r="BZ118" s="68" t="n">
        <x:f>=BF118</x:f>
      </x:c>
      <x:c r="CA118" s="68" t="n">
        <x:f>=BG118</x:f>
      </x:c>
      <x:c r="CB118" s="68" t="n">
        <x:f>=1 - BY118</x:f>
      </x:c>
      <x:c r="CD118" s="68" t="n">
        <x:f>=CA118/(1-BZ118)</x:f>
      </x:c>
    </x:row>
    <x:row r="119">
      <x:c r="A119" s="32" t="s">
        <x:v>272</x:v>
      </x:c>
      <x:c r="B119" t="s"/>
      <x:c r="C119" t="s">
        <x:v>273</x:v>
      </x:c>
      <x:c r="D119" t="s">
        <x:v>259</x:v>
      </x:c>
      <x:c r="E119" t="s">
        <x:v>132</x:v>
      </x:c>
      <x:c r="F119" t="n">
        <x:v>972</x:v>
      </x:c>
      <x:c r="G119" s="33" t="n">
        <x:v>0.0195473251028806584362139918</x:v>
      </x:c>
      <x:c r="H119" s="33" t="n">
        <x:v>0.0843621399176954732510288066</x:v>
      </x:c>
      <x:c r="I119" s="33" t="n">
        <x:v>0.1615226337448559670781893004</x:v>
      </x:c>
      <x:c r="J119" s="33" t="n">
        <x:v>0.2613168724279835390946502058</x:v>
      </x:c>
      <x:c r="K119" s="33" t="n">
        <x:v>0.3240740740740740740740740741</x:v>
      </x:c>
      <x:c r="L119" s="33" t="n">
        <x:v>0.3930041152263374485596707819</x:v>
      </x:c>
      <x:c r="M119" s="33" t="n">
        <x:v>0.4516460905349794238683127572</x:v>
      </x:c>
      <x:c r="N119" s="33" t="n">
        <x:v>0.5226337448559670781893004115</x:v>
      </x:c>
      <x:c r="O119" s="33" t="n">
        <x:v>0.5874485596707818930041152263</x:v>
      </x:c>
      <x:c r="P119" s="33" t="n">
        <x:v>0.6440329218106995884773662551</x:v>
      </x:c>
      <x:c r="Q119" s="24" t="n">
        <x:v>0.7098765432098765432098765432</x:v>
      </x:c>
      <x:c r="R119" s="33" t="n">
        <x:v>0.7818930041152263374485596708</x:v>
      </x:c>
      <x:c r="S119" s="33" t="n">
        <x:v>0.8549382716049382716049382716</x:v>
      </x:c>
      <x:c r="T119" s="23" t="n">
        <x:v>0.9115226337448559670781893004</x:v>
      </x:c>
      <x:c r="BC119" s="34" t="s"/>
      <x:c r="BD119" s="11" t="s">
        <x:v>118</x:v>
      </x:c>
      <x:c r="BE119" s="12" t="n">
        <x:f>=BO119</x:f>
      </x:c>
      <x:c r="BF119" s="12" t="n">
        <x:v>0.8425925925925925925925925926</x:v>
      </x:c>
      <x:c r="BG119" s="12" t="n">
        <x:v>0.1697530864197530864197530864</x:v>
      </x:c>
      <x:c r="BH119" s="12" t="n">
        <x:v>-0.012345679012345679012345679</x:v>
      </x:c>
      <x:c r="BI119" s="12" t="n">
        <x:f>=BN119</x:f>
      </x:c>
      <x:c r="BJ119" s="13" t="n">
        <x:v>0</x:v>
      </x:c>
      <x:c r="BK119" s="31" t="n">
        <x:v>10183.39</x:v>
      </x:c>
      <x:c r="BL119" s="31" t="n">
        <x:v>-7107.85800</x:v>
      </x:c>
      <x:c r="BM119" s="31" t="n">
        <x:f>=BK119+BL119</x:f>
      </x:c>
      <x:c r="BN119" s="68" t="n">
        <x:f>=BM119/BK119</x:f>
      </x:c>
      <x:c r="BO119" s="68" t="n">
        <x:v>1.012345679012345679012345679</x:v>
      </x:c>
      <x:c r="BP119" s="31" t="n">
        <x:v>6442.20</x:v>
      </x:c>
      <x:c r="BQ119" s="42" t="n">
        <x:v>-12</x:v>
      </x:c>
      <x:c r="BR119" s="31" t="n">
        <x:v>-79.53333333333333333333333333</x:v>
      </x:c>
      <x:c r="BT119" s="31" t="n">
        <x:v>13407.735613651769500000000</x:v>
      </x:c>
      <x:c r="BU119" s="31" t="n">
        <x:v>-7107.85800</x:v>
      </x:c>
      <x:c r="BV119" s="31" t="n">
        <x:f>=BT119+BU119</x:f>
      </x:c>
      <x:c r="BW119" s="68" t="n">
        <x:f>=BV119/BT119</x:f>
      </x:c>
      <x:c r="BY119" s="68" t="n">
        <x:f>=BO119</x:f>
      </x:c>
      <x:c r="BZ119" s="68" t="n">
        <x:f>=BF119</x:f>
      </x:c>
      <x:c r="CA119" s="68" t="n">
        <x:f>=BG119</x:f>
      </x:c>
      <x:c r="CB119" s="68" t="n">
        <x:f>=1 - BY119</x:f>
      </x:c>
      <x:c r="CD119" s="68" t="n">
        <x:f>=CA119/(1-BZ119)</x:f>
      </x:c>
    </x:row>
    <x:row r="120">
      <x:c r="A120" s="32" t="s">
        <x:v>274</x:v>
      </x:c>
      <x:c r="B120" t="s">
        <x:v>94</x:v>
      </x:c>
      <x:c r="C120" s="9" t="s">
        <x:v>275</x:v>
      </x:c>
      <x:c r="D120" t="s">
        <x:v>259</x:v>
      </x:c>
      <x:c r="E120" t="s">
        <x:v>132</x:v>
      </x:c>
      <x:c r="F120" t="n">
        <x:v>1830</x:v>
      </x:c>
      <x:c r="G120" s="33" t="n">
        <x:v>0.0180327868852459016393442623</x:v>
      </x:c>
      <x:c r="H120" s="33" t="n">
        <x:v>0.093442622950819672131147541</x:v>
      </x:c>
      <x:c r="I120" s="33" t="n">
        <x:v>0.1628415300546448087431693989</x:v>
      </x:c>
      <x:c r="J120" s="33" t="n">
        <x:v>0.2437158469945355191256830601</x:v>
      </x:c>
      <x:c r="K120" s="33" t="n">
        <x:v>0.2857923497267759562841530055</x:v>
      </x:c>
      <x:c r="L120" s="33" t="n">
        <x:v>0.3071038251366120218579234973</x:v>
      </x:c>
      <x:c r="M120" s="33" t="n">
        <x:v>0.3284153005464480874316939891</x:v>
      </x:c>
      <x:c r="N120" s="33" t="n">
        <x:v>0.3409836065573770491803278689</x:v>
      </x:c>
      <x:c r="O120" s="33" t="n">
        <x:v>0.3459016393442622950819672131</x:v>
      </x:c>
      <x:c r="P120" s="23" t="n">
        <x:v>0.4491803278688524590163934426</x:v>
      </x:c>
      <x:c r="BC120" s="34" t="s"/>
      <x:c r="BD120" s="11" t="s">
        <x:v>141</x:v>
      </x:c>
      <x:c r="BE120" s="12" t="n">
        <x:f>=BO120</x:f>
      </x:c>
      <x:c r="BF120" s="12" t="n">
        <x:v>0.3639344262295081967213114754</x:v>
      </x:c>
      <x:c r="BG120" s="12" t="n">
        <x:v>0.6224043715846994535519125683</x:v>
      </x:c>
      <x:c r="BH120" s="12" t="n">
        <x:v>0.0136612021857923497267759563</x:v>
      </x:c>
      <x:c r="BI120" s="12" t="n">
        <x:f>=BN120</x:f>
      </x:c>
      <x:c r="BJ120" s="13" t="n">
        <x:v>0</x:v>
      </x:c>
      <x:c r="BK120" s="31" t="n">
        <x:v>11710.35</x:v>
      </x:c>
      <x:c r="BL120" s="31" t="n">
        <x:v>-9103.05420</x:v>
      </x:c>
      <x:c r="BM120" s="31" t="n">
        <x:f>=BK120+BL120</x:f>
      </x:c>
      <x:c r="BN120" s="68" t="n">
        <x:f>=BM120/BK120</x:f>
      </x:c>
      <x:c r="BO120" s="68" t="n">
        <x:v>0.9863387978142076502732240437</x:v>
      </x:c>
      <x:c r="BP120" s="31" t="n">
        <x:v>8056.20</x:v>
      </x:c>
      <x:c r="BQ120" s="42" t="n">
        <x:v>25</x:v>
      </x:c>
      <x:c r="BR120" s="31" t="n">
        <x:v>110.05737704918032786885245902</x:v>
      </x:c>
      <x:c r="BT120" s="31" t="n">
        <x:v>16472.23946428331250000000</x:v>
      </x:c>
      <x:c r="BU120" s="31" t="n">
        <x:v>-9103.05420</x:v>
      </x:c>
      <x:c r="BV120" s="31" t="n">
        <x:f>=BT120+BU120</x:f>
      </x:c>
      <x:c r="BW120" s="68" t="n">
        <x:f>=BV120/BT120</x:f>
      </x:c>
      <x:c r="BY120" s="68" t="n">
        <x:f>=BO120</x:f>
      </x:c>
      <x:c r="BZ120" s="68" t="n">
        <x:f>=BF120</x:f>
      </x:c>
      <x:c r="CA120" s="68" t="n">
        <x:f>=BG120</x:f>
      </x:c>
      <x:c r="CB120" s="68" t="n">
        <x:f>=1 - BY120</x:f>
      </x:c>
      <x:c r="CD120" s="68" t="n">
        <x:f>=CA120/(1-BZ120)</x:f>
      </x:c>
    </x:row>
    <x:row r="121">
      <x:c r="A121" s="32" t="s">
        <x:v>276</x:v>
      </x:c>
      <x:c r="B121" t="s"/>
      <x:c r="C121" t="s">
        <x:v>277</x:v>
      </x:c>
      <x:c r="D121" t="s">
        <x:v>125</x:v>
      </x:c>
      <x:c r="E121" t="s">
        <x:v>132</x:v>
      </x:c>
      <x:c r="F121" t="n">
        <x:v>4012</x:v>
      </x:c>
      <x:c r="G121" s="33" t="n">
        <x:v>0.0102193419740777666999002991</x:v>
      </x:c>
      <x:c r="H121" s="23" t="n">
        <x:v>0.0560817547357926221335992024</x:v>
      </x:c>
      <x:c r="BC121" s="34" t="s"/>
      <x:c r="BD121" s="11" t="s">
        <x:v>278</x:v>
      </x:c>
      <x:c r="BE121" s="12" t="n">
        <x:f>=BO121</x:f>
      </x:c>
      <x:c r="BF121" s="12" t="n">
        <x:v>0.6784646061814556331006979063</x:v>
      </x:c>
      <x:c r="BG121" s="12" t="n">
        <x:v>0.3140578265204386839481555334</x:v>
      </x:c>
      <x:c r="BH121" s="12" t="n">
        <x:v>0.0074775672981056829511465603</x:v>
      </x:c>
      <x:c r="BI121" s="12" t="n">
        <x:f>=BN121</x:f>
      </x:c>
      <x:c r="BJ121" s="13" t="n">
        <x:v>0</x:v>
      </x:c>
      <x:c r="BK121" s="31" t="n">
        <x:v>22409.18</x:v>
      </x:c>
      <x:c r="BL121" s="31" t="n">
        <x:v>-15430.4782</x:v>
      </x:c>
      <x:c r="BM121" s="31" t="n">
        <x:f>=BK121+BL121</x:f>
      </x:c>
      <x:c r="BN121" s="68" t="n">
        <x:f>=BM121/BK121</x:f>
      </x:c>
      <x:c r="BO121" s="68" t="n">
        <x:v>0.9925224327018943170488534397</x:v>
      </x:c>
      <x:c r="BP121" s="31" t="n">
        <x:v>14549.42</x:v>
      </x:c>
      <x:c r="BQ121" s="42" t="n">
        <x:v>30</x:v>
      </x:c>
      <x:c r="BR121" s="31" t="n">
        <x:v>108.79426719840478564307078764</x:v>
      </x:c>
      <x:c r="BT121" s="31" t="n">
        <x:v>29902.584094010445500000000</x:v>
      </x:c>
      <x:c r="BU121" s="31" t="n">
        <x:v>-15430.4782</x:v>
      </x:c>
      <x:c r="BV121" s="31" t="n">
        <x:f>=BT121+BU121</x:f>
      </x:c>
      <x:c r="BW121" s="68" t="n">
        <x:f>=BV121/BT121</x:f>
      </x:c>
      <x:c r="BY121" s="68" t="n">
        <x:f>=BO121</x:f>
      </x:c>
      <x:c r="BZ121" s="68" t="n">
        <x:f>=BF121</x:f>
      </x:c>
      <x:c r="CA121" s="68" t="n">
        <x:f>=BG121</x:f>
      </x:c>
      <x:c r="CB121" s="68" t="n">
        <x:f>=1 - BY121</x:f>
      </x:c>
      <x:c r="CD121" s="68" t="n">
        <x:f>=CA121/(1-BZ121)</x:f>
      </x:c>
    </x:row>
    <x:row r="122">
      <x:c r="A122" s="32" t="s">
        <x:v>279</x:v>
      </x:c>
      <x:c r="B122" t="s"/>
      <x:c r="C122" t="s">
        <x:v>280</x:v>
      </x:c>
      <x:c r="D122" t="s">
        <x:v>125</x:v>
      </x:c>
      <x:c r="E122" t="s">
        <x:v>132</x:v>
      </x:c>
      <x:c r="F122" t="n">
        <x:v>4165</x:v>
      </x:c>
      <x:c r="G122" s="23" t="n">
        <x:v>0.0043217286914765906362545018</x:v>
      </x:c>
      <x:c r="BC122" s="34" t="s"/>
      <x:c r="BD122" s="11" t="s">
        <x:v>281</x:v>
      </x:c>
      <x:c r="BE122" s="12" t="n">
        <x:f>=BO122</x:f>
      </x:c>
      <x:c r="BF122" s="12" t="n">
        <x:v>0.6321728691476590636254501801</x:v>
      </x:c>
      <x:c r="BG122" s="12" t="n">
        <x:v>0.3589435774309723889555822329</x:v>
      </x:c>
      <x:c r="BH122" s="12" t="n">
        <x:v>0.008883553421368547418967587</x:v>
      </x:c>
      <x:c r="BI122" s="12" t="n">
        <x:f>=BN122</x:f>
      </x:c>
      <x:c r="BJ122" s="13" t="n">
        <x:v>0</x:v>
      </x:c>
      <x:c r="BK122" s="31" t="n">
        <x:v>22436.44</x:v>
      </x:c>
      <x:c r="BL122" s="31" t="n">
        <x:v>-15859.2817</x:v>
      </x:c>
      <x:c r="BM122" s="31" t="n">
        <x:f>=BK122+BL122</x:f>
      </x:c>
      <x:c r="BN122" s="68" t="n">
        <x:f>=BM122/BK122</x:f>
      </x:c>
      <x:c r="BO122" s="68" t="n">
        <x:v>0.991116446578631452581032413</x:v>
      </x:c>
      <x:c r="BP122" s="31" t="n">
        <x:v>14895.46</x:v>
      </x:c>
      <x:c r="BQ122" s="42" t="n">
        <x:v>37</x:v>
      </x:c>
      <x:c r="BR122" s="31" t="n">
        <x:v>132.32461464585834333733493397</x:v>
      </x:c>
      <x:c r="BT122" s="31" t="n">
        <x:v>30199.553426966839375000000</x:v>
      </x:c>
      <x:c r="BU122" s="31" t="n">
        <x:v>-15859.2817</x:v>
      </x:c>
      <x:c r="BV122" s="31" t="n">
        <x:f>=BT122+BU122</x:f>
      </x:c>
      <x:c r="BW122" s="68" t="n">
        <x:f>=BV122/BT122</x:f>
      </x:c>
      <x:c r="BY122" s="68" t="n">
        <x:f>=BO122</x:f>
      </x:c>
      <x:c r="BZ122" s="68" t="n">
        <x:f>=BF122</x:f>
      </x:c>
      <x:c r="CA122" s="68" t="n">
        <x:f>=BG122</x:f>
      </x:c>
      <x:c r="CB122" s="68" t="n">
        <x:f>=1 - BY122</x:f>
      </x:c>
      <x:c r="CD122" s="68" t="n">
        <x:f>=CA122/(1-BZ122)</x:f>
      </x:c>
    </x:row>
    <x:row r="123">
      <x:c r="BC123" s="34" t="s"/>
      <x:c r="BD123" s="11" t="s"/>
      <x:c r="BJ123" s="13" t="s"/>
    </x:row>
    <x:row r="124">
      <x:c r="A124" s="36" t="s">
        <x:v>104</x:v>
      </x:c>
      <x:c r="BC124" s="34" t="s"/>
      <x:c r="BD124" s="11" t="s"/>
      <x:c r="BJ124" s="13" t="s"/>
    </x:row>
    <x:row r="125">
      <x:c r="A125" s="17" t="s">
        <x:v>105</x:v>
      </x:c>
      <x:c r="BC125" s="34" t="s"/>
      <x:c r="BD125" s="11" t="s"/>
      <x:c r="BJ125" s="13" t="s"/>
    </x:row>
    <x:row r="126">
      <x:c r="A126" s="32" t="s">
        <x:v>282</x:v>
      </x:c>
      <x:c r="B126" t="s"/>
      <x:c r="C126" t="s">
        <x:v>283</x:v>
      </x:c>
      <x:c r="D126" t="s">
        <x:v>96</x:v>
      </x:c>
      <x:c r="E126" t="s">
        <x:v>109</x:v>
      </x:c>
      <x:c r="F126" t="n">
        <x:v>774</x:v>
      </x:c>
      <x:c r="G126" s="33" t="n">
        <x:v>0.005167958656330749354005168</x:v>
      </x:c>
      <x:c r="H126" s="33" t="n">
        <x:v>0.0607235142118863049095607235</x:v>
      </x:c>
      <x:c r="I126" s="33" t="n">
        <x:v>0.124031007751937984496124031</x:v>
      </x:c>
      <x:c r="J126" s="33" t="n">
        <x:v>0.1886304909560723514211886305</x:v>
      </x:c>
      <x:c r="K126" s="33" t="n">
        <x:v>0.2260981912144702842377260982</x:v>
      </x:c>
      <x:c r="L126" s="33" t="n">
        <x:v>0.2855297157622739018087855297</x:v>
      </x:c>
      <x:c r="M126" s="33" t="n">
        <x:v>0.3514211886304909560723514212</x:v>
      </x:c>
      <x:c r="N126" s="33" t="n">
        <x:v>0.3875968992248062015503875969</x:v>
      </x:c>
      <x:c r="O126" s="33" t="n">
        <x:v>0.4095607235142118863049095607</x:v>
      </x:c>
      <x:c r="P126" s="33" t="n">
        <x:v>0.4457364341085271317829457364</x:v>
      </x:c>
      <x:c r="Q126" s="33" t="n">
        <x:v>0.496124031007751937984496124</x:v>
      </x:c>
      <x:c r="R126" s="33" t="n">
        <x:v>0.505167958656330749354005168</x:v>
      </x:c>
      <x:c r="S126" s="33" t="n">
        <x:v>0.5258397932816537467700258398</x:v>
      </x:c>
      <x:c r="T126" s="33" t="n">
        <x:v>0.5465116279069767441860465116</x:v>
      </x:c>
      <x:c r="U126" s="33" t="n">
        <x:v>0.5736434108527131782945736434</x:v>
      </x:c>
      <x:c r="V126" s="33" t="n">
        <x:v>0.6007751937984496124031007752</x:v>
      </x:c>
      <x:c r="W126" s="33" t="n">
        <x:v>0.620155038759689922480620155</x:v>
      </x:c>
      <x:c r="X126" s="33" t="n">
        <x:v>0.6459948320413436692506459948</x:v>
      </x:c>
      <x:c r="Y126" s="33" t="n">
        <x:v>0.6524547803617571059431524548</x:v>
      </x:c>
      <x:c r="Z126" s="33" t="n">
        <x:v>0.6757105943152454780361757106</x:v>
      </x:c>
      <x:c r="AA126" s="33" t="n">
        <x:v>0.6782945736434108527131782946</x:v>
      </x:c>
      <x:c r="AB126" s="33" t="n">
        <x:v>0.6834625322997416020671834625</x:v>
      </x:c>
      <x:c r="AC126" s="33" t="n">
        <x:v>0.6912144702842377260981912145</x:v>
      </x:c>
      <x:c r="AD126" s="24" t="n">
        <x:v>0.7002583979328165374677002584</x:v>
      </x:c>
      <x:c r="AE126" s="33" t="n">
        <x:v>0.7002583979328165374677002584</x:v>
      </x:c>
      <x:c r="AF126" s="33" t="n">
        <x:v>0.7028423772609819121447028424</x:v>
      </x:c>
      <x:c r="AG126" s="33" t="n">
        <x:v>0.7093023255813953488372093023</x:v>
      </x:c>
      <x:c r="AH126" s="23" t="n">
        <x:v>0.754521963824289405684754522</x:v>
      </x:c>
      <x:c r="BC126" s="34" t="s"/>
      <x:c r="BD126" s="11" t="s">
        <x:v>284</x:v>
      </x:c>
      <x:c r="BE126" s="12" t="n">
        <x:f>=BO126</x:f>
      </x:c>
      <x:c r="BF126" s="12" t="n">
        <x:v>0.7093023255813953488372093023</x:v>
      </x:c>
      <x:c r="BG126" s="12" t="n">
        <x:v>0.2984496124031007751937984496</x:v>
      </x:c>
      <x:c r="BH126" s="12" t="n">
        <x:v>-0.0077519379844961240310077519</x:v>
      </x:c>
      <x:c r="BI126" s="12" t="n">
        <x:f>=BN126</x:f>
      </x:c>
      <x:c r="BJ126" s="13" t="n">
        <x:v>0</x:v>
      </x:c>
      <x:c r="BK126" s="31" t="n">
        <x:v>5591.16</x:v>
      </x:c>
      <x:c r="BL126" s="31" t="n">
        <x:v>-4328.4402</x:v>
      </x:c>
      <x:c r="BM126" s="31" t="n">
        <x:f>=BK126+BL126</x:f>
      </x:c>
      <x:c r="BN126" s="68" t="n">
        <x:f>=BM126/BK126</x:f>
      </x:c>
      <x:c r="BO126" s="68" t="n">
        <x:v>1.0077519379844961240310077519</x:v>
      </x:c>
      <x:c r="BP126" s="31" t="n">
        <x:v>4326.66</x:v>
      </x:c>
      <x:c r="BQ126" s="42" t="n">
        <x:v>-6</x:v>
      </x:c>
      <x:c r="BR126" s="31" t="n">
        <x:v>-33.54</x:v>
      </x:c>
      <x:c r="BT126" s="31" t="n">
        <x:v>7580.3402983770000000000</x:v>
      </x:c>
      <x:c r="BU126" s="31" t="n">
        <x:v>-4328.4402</x:v>
      </x:c>
      <x:c r="BV126" s="31" t="n">
        <x:f>=BT126+BU126</x:f>
      </x:c>
      <x:c r="BW126" s="68" t="n">
        <x:f>=BV126/BT126</x:f>
      </x:c>
      <x:c r="BY126" s="68" t="n">
        <x:f>=BO126</x:f>
      </x:c>
      <x:c r="BZ126" s="68" t="n">
        <x:f>=BF126</x:f>
      </x:c>
      <x:c r="CA126" s="68" t="n">
        <x:f>=BG126</x:f>
      </x:c>
      <x:c r="CB126" s="68" t="n">
        <x:f>=1 - BY126</x:f>
      </x:c>
      <x:c r="CD126" s="68" t="n">
        <x:f>=CA126/(1-BZ126)</x:f>
      </x:c>
    </x:row>
    <x:row r="127">
      <x:c r="A127" s="32" t="s">
        <x:v>285</x:v>
      </x:c>
      <x:c r="B127" t="s"/>
      <x:c r="C127" t="s">
        <x:v>286</x:v>
      </x:c>
      <x:c r="D127" t="s">
        <x:v>259</x:v>
      </x:c>
      <x:c r="E127" t="s">
        <x:v>109</x:v>
      </x:c>
      <x:c r="F127" t="n">
        <x:v>669</x:v>
      </x:c>
      <x:c r="G127" s="33" t="n">
        <x:v>0</x:v>
      </x:c>
      <x:c r="H127" s="33" t="n">
        <x:v>0</x:v>
      </x:c>
      <x:c r="I127" s="33" t="n">
        <x:v>0.0433482810164424514200298954</x:v>
      </x:c>
      <x:c r="J127" s="33" t="n">
        <x:v>0.0582959641255605381165919283</x:v>
      </x:c>
      <x:c r="K127" s="33" t="n">
        <x:v>0.0717488789237668161434977578</x:v>
      </x:c>
      <x:c r="L127" s="33" t="n">
        <x:v>0.1165919282511210762331838565</x:v>
      </x:c>
      <x:c r="M127" s="33" t="n">
        <x:v>0.1494768310911808669656203288</x:v>
      </x:c>
      <x:c r="N127" s="33" t="n">
        <x:v>0.1973094170403587443946188341</x:v>
      </x:c>
      <x:c r="O127" s="33" t="n">
        <x:v>0.2032884902840059790732436472</x:v>
      </x:c>
      <x:c r="P127" s="33" t="n">
        <x:v>0.2272047832585949177877428999</x:v>
      </x:c>
      <x:c r="Q127" s="33" t="n">
        <x:v>0.33183856502242152466367713</x:v>
      </x:c>
      <x:c r="R127" s="33" t="n">
        <x:v>0.3707025411061285500747384155</x:v>
      </x:c>
      <x:c r="S127" s="33" t="n">
        <x:v>0.4215246636771300448430493274</x:v>
      </x:c>
      <x:c r="T127" s="33" t="n">
        <x:v>0.5082212257100149476831091181</x:v>
      </x:c>
      <x:c r="U127" s="33" t="n">
        <x:v>0.5455904334828101644245142003</x:v>
      </x:c>
      <x:c r="V127" s="33" t="n">
        <x:v>0.565022421524663677130044843</x:v>
      </x:c>
      <x:c r="W127" s="33" t="n">
        <x:v>0.5964125560538116591928251121</x:v>
      </x:c>
      <x:c r="X127" s="33" t="n">
        <x:v>0.6846038863976083707025411061</x:v>
      </x:c>
      <x:c r="Y127" s="33" t="n">
        <x:v>0.6950672645739910313901345291</x:v>
      </x:c>
      <x:c r="Z127" s="33" t="n">
        <x:v>0.6980568011958146487294469357</x:v>
      </x:c>
      <x:c r="AA127" s="24" t="n">
        <x:v>0.7414050822122571001494768311</x:v>
      </x:c>
      <x:c r="AB127" s="33" t="n">
        <x:v>0.7683109118086696562032884903</x:v>
      </x:c>
      <x:c r="AC127" s="33" t="n">
        <x:v>0.7802690582959641255605381166</x:v>
      </x:c>
      <x:c r="AD127" s="23" t="n">
        <x:v>0.8101644245142002989536621824</x:v>
      </x:c>
      <x:c r="BC127" s="34" t="s"/>
      <x:c r="BD127" s="11" t="s">
        <x:v>191</x:v>
      </x:c>
      <x:c r="BE127" s="12" t="n">
        <x:f>=BO127</x:f>
      </x:c>
      <x:c r="BF127" s="12" t="n">
        <x:v>0.7638266068759342301943198804</x:v>
      </x:c>
      <x:c r="BG127" s="12" t="n">
        <x:v>0.1704035874439461883408071749</x:v>
      </x:c>
      <x:c r="BH127" s="12" t="n">
        <x:v>0.0657698056801195814648729447</x:v>
      </x:c>
      <x:c r="BI127" s="12" t="n">
        <x:f>=BN127</x:f>
      </x:c>
      <x:c r="BJ127" s="13" t="n">
        <x:v>0</x:v>
      </x:c>
      <x:c r="BK127" s="31" t="n">
        <x:v>8204.42</x:v>
      </x:c>
      <x:c r="BL127" s="31" t="n">
        <x:v>-5426.92800</x:v>
      </x:c>
      <x:c r="BM127" s="31" t="n">
        <x:f>=BK127+BL127</x:f>
      </x:c>
      <x:c r="BN127" s="68" t="n">
        <x:f>=BM127/BK127</x:f>
      </x:c>
      <x:c r="BO127" s="68" t="n">
        <x:v>0.9342301943198804185351270553</x:v>
      </x:c>
      <x:c r="BP127" s="31" t="n">
        <x:v>4984.05</x:v>
      </x:c>
      <x:c r="BQ127" s="42" t="n">
        <x:v>44</x:v>
      </x:c>
      <x:c r="BR127" s="31" t="n">
        <x:v>327.80</x:v>
      </x:c>
      <x:c r="BT127" s="31" t="n">
        <x:v>10783.4153868492500000000</x:v>
      </x:c>
      <x:c r="BU127" s="31" t="n">
        <x:v>-5426.92800</x:v>
      </x:c>
      <x:c r="BV127" s="31" t="n">
        <x:f>=BT127+BU127</x:f>
      </x:c>
      <x:c r="BW127" s="68" t="n">
        <x:f>=BV127/BT127</x:f>
      </x:c>
      <x:c r="BY127" s="68" t="n">
        <x:f>=BO127</x:f>
      </x:c>
      <x:c r="BZ127" s="68" t="n">
        <x:f>=BF127</x:f>
      </x:c>
      <x:c r="CA127" s="68" t="n">
        <x:f>=BG127</x:f>
      </x:c>
      <x:c r="CB127" s="68" t="n">
        <x:f>=1 - BY127</x:f>
      </x:c>
      <x:c r="CD127" s="68" t="n">
        <x:f>=CA127/(1-BZ127)</x:f>
      </x:c>
    </x:row>
    <x:row r="128">
      <x:c r="A128" s="32" t="s">
        <x:v>287</x:v>
      </x:c>
      <x:c r="B128" t="s"/>
      <x:c r="C128" t="s">
        <x:v>288</x:v>
      </x:c>
      <x:c r="D128" t="s">
        <x:v>259</x:v>
      </x:c>
      <x:c r="E128" t="s">
        <x:v>109</x:v>
      </x:c>
      <x:c r="F128" t="n">
        <x:v>1538</x:v>
      </x:c>
      <x:c r="G128" s="33" t="n">
        <x:v>0.0396618985695708712613784135</x:v>
      </x:c>
      <x:c r="H128" s="33" t="n">
        <x:v>0.0617685305591677503250975293</x:v>
      </x:c>
      <x:c r="I128" s="33" t="n">
        <x:v>0.0676202860858257477243172952</x:v>
      </x:c>
      <x:c r="J128" s="33" t="n">
        <x:v>0.0890767230169050715214564369</x:v>
      </x:c>
      <x:c r="K128" s="33" t="n">
        <x:v>0.1014304291287386215864759428</x:v>
      </x:c>
      <x:c r="L128" s="33" t="n">
        <x:v>0.1287386215864759427828348505</x:v>
      </x:c>
      <x:c r="M128" s="33" t="n">
        <x:v>0.1501950585175552665799739922</x:v>
      </x:c>
      <x:c r="N128" s="33" t="n">
        <x:v>0.1892067620286085825747724317</x:v>
      </x:c>
      <x:c r="O128" s="33" t="n">
        <x:v>0.2035110533159947984395318596</x:v>
      </x:c>
      <x:c r="P128" s="33" t="n">
        <x:v>0.2282184655396618985695708713</x:v>
      </x:c>
      <x:c r="Q128" s="33" t="n">
        <x:v>0.2860858257477243172951885566</x:v>
      </x:c>
      <x:c r="R128" s="33" t="n">
        <x:v>0.2932379713914174252275682705</x:v>
      </x:c>
      <x:c r="S128" s="33" t="n">
        <x:v>0.3107932379713914174252275683</x:v>
      </x:c>
      <x:c r="T128" s="33" t="n">
        <x:v>0.3901170351105331599479843953</x:v>
      </x:c>
      <x:c r="U128" s="33" t="n">
        <x:v>0.4817945383615084525357607282</x:v>
      </x:c>
      <x:c r="V128" s="33" t="n">
        <x:v>0.50325097529258777633289987</x:v>
      </x:c>
      <x:c r="W128" s="33" t="n">
        <x:v>0.5630689206762028608582574772</x:v>
      </x:c>
      <x:c r="X128" s="33" t="n">
        <x:v>0.6267880364109232769830949285</x:v>
      </x:c>
      <x:c r="Y128" s="33" t="n">
        <x:v>0.6814044213263979193758127438</x:v>
      </x:c>
      <x:c r="Z128" s="24" t="n">
        <x:v>0.7223667100130039011703511053</x:v>
      </x:c>
      <x:c r="AA128" s="33" t="n">
        <x:v>0.7373211963589076723016905072</x:v>
      </x:c>
      <x:c r="AB128" s="33" t="n">
        <x:v>0.7652795838751625487646293888</x:v>
      </x:c>
      <x:c r="AC128" s="33" t="n">
        <x:v>0.7977893368010403120936280884</x:v>
      </x:c>
      <x:c r="AD128" s="23" t="n">
        <x:v>0.8276983094928478543563068921</x:v>
      </x:c>
      <x:c r="BC128" s="34" t="s"/>
      <x:c r="BD128" s="11" t="s">
        <x:v>191</x:v>
      </x:c>
      <x:c r="BE128" s="12" t="n">
        <x:f>=BO128</x:f>
      </x:c>
      <x:c r="BF128" s="12" t="n">
        <x:v>0.7997399219765929778933680104</x:v>
      </x:c>
      <x:c r="BG128" s="12" t="n">
        <x:v>0.1742522756827048114434330299</x:v>
      </x:c>
      <x:c r="BH128" s="12" t="n">
        <x:v>0.0260078023407022106631989597</x:v>
      </x:c>
      <x:c r="BI128" s="12" t="n">
        <x:f>=BN128</x:f>
      </x:c>
      <x:c r="BJ128" s="13" t="n">
        <x:v>0</x:v>
      </x:c>
      <x:c r="BK128" s="31" t="n">
        <x:v>18506.49</x:v>
      </x:c>
      <x:c r="BL128" s="31" t="n">
        <x:v>-12476.25600</x:v>
      </x:c>
      <x:c r="BM128" s="31" t="n">
        <x:f>=BK128+BL128</x:f>
      </x:c>
      <x:c r="BN128" s="68" t="n">
        <x:f>=BM128/BK128</x:f>
      </x:c>
      <x:c r="BO128" s="68" t="n">
        <x:v>0.9739921976592977893368010403</x:v>
      </x:c>
      <x:c r="BP128" s="31" t="n">
        <x:v>11458.10</x:v>
      </x:c>
      <x:c r="BQ128" s="42" t="n">
        <x:v>40</x:v>
      </x:c>
      <x:c r="BR128" s="31" t="n">
        <x:v>298.00</x:v>
      </x:c>
      <x:c r="BT128" s="31" t="n">
        <x:v>24435.4808893485000000000</x:v>
      </x:c>
      <x:c r="BU128" s="31" t="n">
        <x:v>-12476.25600</x:v>
      </x:c>
      <x:c r="BV128" s="31" t="n">
        <x:f>=BT128+BU128</x:f>
      </x:c>
      <x:c r="BW128" s="68" t="n">
        <x:f>=BV128/BT128</x:f>
      </x:c>
      <x:c r="BY128" s="68" t="n">
        <x:f>=BO128</x:f>
      </x:c>
      <x:c r="BZ128" s="68" t="n">
        <x:f>=BF128</x:f>
      </x:c>
      <x:c r="CA128" s="68" t="n">
        <x:f>=BG128</x:f>
      </x:c>
      <x:c r="CB128" s="68" t="n">
        <x:f>=1 - BY128</x:f>
      </x:c>
      <x:c r="CD128" s="68" t="n">
        <x:f>=CA128/(1-BZ128)</x:f>
      </x:c>
    </x:row>
    <x:row r="129">
      <x:c r="A129" s="32" t="s">
        <x:v>289</x:v>
      </x:c>
      <x:c r="B129" t="s"/>
      <x:c r="C129" t="s">
        <x:v>290</x:v>
      </x:c>
      <x:c r="D129" t="s">
        <x:v>259</x:v>
      </x:c>
      <x:c r="E129" t="s">
        <x:v>109</x:v>
      </x:c>
      <x:c r="F129" t="n">
        <x:v>726</x:v>
      </x:c>
      <x:c r="G129" s="33" t="n">
        <x:v>0.0785123966942148760330578512</x:v>
      </x:c>
      <x:c r="H129" s="33" t="n">
        <x:v>0.117079889807162534435261708</x:v>
      </x:c>
      <x:c r="I129" s="33" t="n">
        <x:v>0.2162534435261707988980716253</x:v>
      </x:c>
      <x:c r="J129" s="33" t="n">
        <x:v>0.3044077134986225895316804408</x:v>
      </x:c>
      <x:c r="K129" s="33" t="n">
        <x:v>0.3415977961432506887052341598</x:v>
      </x:c>
      <x:c r="L129" s="33" t="n">
        <x:v>0.3719008264462809917355371901</x:v>
      </x:c>
      <x:c r="M129" s="33" t="n">
        <x:v>0.3608815426997245179063360882</x:v>
      </x:c>
      <x:c r="N129" s="33" t="n">
        <x:v>0.3636363636363636363636363636</x:v>
      </x:c>
      <x:c r="O129" s="33" t="n">
        <x:v>0.3787878787878787878787878788</x:v>
      </x:c>
      <x:c r="P129" s="33" t="n">
        <x:v>0.4159779614325068870523415978</x:v>
      </x:c>
      <x:c r="Q129" s="33" t="n">
        <x:v>0.5041322314049586776859504132</x:v>
      </x:c>
      <x:c r="R129" s="33" t="n">
        <x:v>0.5289256198347107438016528926</x:v>
      </x:c>
      <x:c r="S129" s="33" t="n">
        <x:v>0.5454545454545454545454545455</x:v>
      </x:c>
      <x:c r="T129" s="33" t="n">
        <x:v>0.6363636363636363636363636364</x:v>
      </x:c>
      <x:c r="U129" s="33" t="n">
        <x:v>0.6942148760330578512396694215</x:v>
      </x:c>
      <x:c r="V129" s="24" t="n">
        <x:v>0.7176308539944903581267217631</x:v>
      </x:c>
      <x:c r="W129" s="33" t="n">
        <x:v>0.7754820936639118457300275482</x:v>
      </x:c>
      <x:c r="X129" s="33" t="n">
        <x:v>0.8292011019283746556473829201</x:v>
      </x:c>
      <x:c r="Y129" s="33" t="n">
        <x:v>0.8567493112947658402203856749</x:v>
      </x:c>
      <x:c r="Z129" s="33" t="n">
        <x:v>0.851239669421487603305785124</x:v>
      </x:c>
      <x:c r="AA129" s="33" t="n">
        <x:v>0.8636363636363636363636363636</x:v>
      </x:c>
      <x:c r="AB129" s="33" t="n">
        <x:v>0.8925619834710743801652892562</x:v>
      </x:c>
      <x:c r="AC129" s="33" t="n">
        <x:v>0.8911845730027548209366391185</x:v>
      </x:c>
      <x:c r="AD129" s="23" t="n">
        <x:v>0.9187327823691460055096418733</x:v>
      </x:c>
      <x:c r="BC129" s="34" t="s"/>
      <x:c r="BD129" s="11" t="s">
        <x:v>191</x:v>
      </x:c>
      <x:c r="BE129" s="12" t="n">
        <x:f>=BO129</x:f>
      </x:c>
      <x:c r="BF129" s="12" t="n">
        <x:v>0.8787878787878787878787878788</x:v>
      </x:c>
      <x:c r="BG129" s="12" t="n">
        <x:v>0.0840220385674931129476584022</x:v>
      </x:c>
      <x:c r="BH129" s="12" t="n">
        <x:v>0.037190082644628099173553719</x:v>
      </x:c>
      <x:c r="BI129" s="12" t="n">
        <x:f>=BN129</x:f>
      </x:c>
      <x:c r="BJ129" s="13" t="n">
        <x:v>0</x:v>
      </x:c>
      <x:c r="BK129" s="31" t="n">
        <x:v>9682.42</x:v>
      </x:c>
      <x:c r="BL129" s="31" t="n">
        <x:v>-5889.09420</x:v>
      </x:c>
      <x:c r="BM129" s="31" t="n">
        <x:f>=BK129+BL129</x:f>
      </x:c>
      <x:c r="BN129" s="68" t="n">
        <x:f>=BM129/BK129</x:f>
      </x:c>
      <x:c r="BO129" s="68" t="n">
        <x:v>0.962809917355371900826446281</x:v>
      </x:c>
      <x:c r="BP129" s="31" t="n">
        <x:v>5408.70</x:v>
      </x:c>
      <x:c r="BQ129" s="42" t="n">
        <x:v>27</x:v>
      </x:c>
      <x:c r="BR129" s="31" t="n">
        <x:v>201.15</x:v>
      </x:c>
      <x:c r="BT129" s="31" t="n">
        <x:v>12481.1504198095000000000</x:v>
      </x:c>
      <x:c r="BU129" s="31" t="n">
        <x:v>-5889.09420</x:v>
      </x:c>
      <x:c r="BV129" s="31" t="n">
        <x:f>=BT129+BU129</x:f>
      </x:c>
      <x:c r="BW129" s="68" t="n">
        <x:f>=BV129/BT129</x:f>
      </x:c>
      <x:c r="BY129" s="68" t="n">
        <x:f>=BO129</x:f>
      </x:c>
      <x:c r="BZ129" s="68" t="n">
        <x:f>=BF129</x:f>
      </x:c>
      <x:c r="CA129" s="68" t="n">
        <x:f>=BG129</x:f>
      </x:c>
      <x:c r="CB129" s="68" t="n">
        <x:f>=1 - BY129</x:f>
      </x:c>
      <x:c r="CD129" s="68" t="n">
        <x:f>=CA129/(1-BZ129)</x:f>
      </x:c>
    </x:row>
    <x:row r="130">
      <x:c r="A130" s="32" t="s">
        <x:v>291</x:v>
      </x:c>
      <x:c r="B130" t="s"/>
      <x:c r="C130" t="s">
        <x:v>292</x:v>
      </x:c>
      <x:c r="D130" t="s">
        <x:v>259</x:v>
      </x:c>
      <x:c r="E130" t="s">
        <x:v>109</x:v>
      </x:c>
      <x:c r="F130" t="n">
        <x:v>1158</x:v>
      </x:c>
      <x:c r="G130" s="33" t="n">
        <x:v>0</x:v>
      </x:c>
      <x:c r="H130" s="33" t="n">
        <x:v>0</x:v>
      </x:c>
      <x:c r="I130" s="33" t="n">
        <x:v>0</x:v>
      </x:c>
      <x:c r="J130" s="33" t="n">
        <x:v>0</x:v>
      </x:c>
      <x:c r="K130" s="33" t="n">
        <x:v>0.0189982728842832469775474957</x:v>
      </x:c>
      <x:c r="L130" s="33" t="n">
        <x:v>0.1174438687392055267702936097</x:v>
      </x:c>
      <x:c r="M130" s="33" t="n">
        <x:v>0.1873920552677029360967184801</x:v>
      </x:c>
      <x:c r="N130" s="33" t="n">
        <x:v>0.2081174438687392055267702936</x:v>
      </x:c>
      <x:c r="O130" s="33" t="n">
        <x:v>0.2098445595854922279792746114</x:v>
      </x:c>
      <x:c r="P130" s="33" t="n">
        <x:v>0.2089810017271157167530224525</x:v>
      </x:c>
      <x:c r="Q130" s="33" t="n">
        <x:v>0.2227979274611398963730569948</x:v>
      </x:c>
      <x:c r="R130" s="33" t="n">
        <x:v>0.2668393782383419689119170984</x:v>
      </x:c>
      <x:c r="S130" s="33" t="n">
        <x:v>0.3074265975820379965457685665</x:v>
      </x:c>
      <x:c r="T130" s="33" t="n">
        <x:v>0.344559585492227979274611399</x:v>
      </x:c>
      <x:c r="U130" s="33" t="n">
        <x:v>0.3981001727115716753022452504</x:v>
      </x:c>
      <x:c r="V130" s="33" t="n">
        <x:v>0.4499136442141623488773747841</x:v>
      </x:c>
      <x:c r="W130" s="33" t="n">
        <x:v>0.4818652849740932642487046632</x:v>
      </x:c>
      <x:c r="X130" s="33" t="n">
        <x:v>0.5146804835924006908462867012</x:v>
      </x:c>
      <x:c r="Y130" s="33" t="n">
        <x:v>0.532815198618307426597582038</x:v>
      </x:c>
      <x:c r="Z130" s="33" t="n">
        <x:v>0.5267702936096718480138169257</x:v>
      </x:c>
      <x:c r="BC130" s="34" t="s"/>
      <x:c r="BD130" s="11" t="s">
        <x:v>115</x:v>
      </x:c>
      <x:c r="BE130" s="12" t="n">
        <x:f>=BO130</x:f>
      </x:c>
      <x:c r="BF130" s="12" t="n">
        <x:v>0.5500863557858376511226252159</x:v>
      </x:c>
      <x:c r="BG130" s="12" t="n">
        <x:v>0.3393782383419689119170984456</x:v>
      </x:c>
      <x:c r="BH130" s="12" t="n">
        <x:v>0.1105354058721934369602763385</x:v>
      </x:c>
      <x:c r="BI130" s="12" t="n">
        <x:f>=BN130</x:f>
      </x:c>
      <x:c r="BJ130" s="13" t="n">
        <x:v>0</x:v>
      </x:c>
      <x:c r="BK130" s="31" t="n">
        <x:v>11357.28</x:v>
      </x:c>
      <x:c r="BL130" s="31" t="n">
        <x:v>-10380.89100</x:v>
      </x:c>
      <x:c r="BM130" s="31" t="n">
        <x:f>=BK130+BL130</x:f>
      </x:c>
      <x:c r="BN130" s="68" t="n">
        <x:f>=BM130/BK130</x:f>
      </x:c>
      <x:c r="BO130" s="68" t="n">
        <x:v>0.8894645941278065630397236615</x:v>
      </x:c>
      <x:c r="BP130" s="31" t="n">
        <x:v>9553.50</x:v>
      </x:c>
      <x:c r="BQ130" s="42" t="n">
        <x:v>128</x:v>
      </x:c>
      <x:c r="BR130" s="31" t="n">
        <x:v>1056.00</x:v>
      </x:c>
      <x:c r="BT130" s="31" t="n">
        <x:v>16007.3744475140625000000</x:v>
      </x:c>
      <x:c r="BU130" s="31" t="n">
        <x:v>-10380.89100</x:v>
      </x:c>
      <x:c r="BV130" s="31" t="n">
        <x:f>=BT130+BU130</x:f>
      </x:c>
      <x:c r="BW130" s="68" t="n">
        <x:f>=BV130/BT130</x:f>
      </x:c>
      <x:c r="BY130" s="68" t="n">
        <x:f>=BO130</x:f>
      </x:c>
      <x:c r="BZ130" s="68" t="n">
        <x:f>=BF130</x:f>
      </x:c>
      <x:c r="CA130" s="68" t="n">
        <x:f>=BG130</x:f>
      </x:c>
      <x:c r="CB130" s="68" t="n">
        <x:f>=1 - BY130</x:f>
      </x:c>
      <x:c r="CD130" s="68" t="n">
        <x:f>=CA130/(1-BZ130)</x:f>
      </x:c>
    </x:row>
    <x:row r="131">
      <x:c r="A131" s="32" t="s">
        <x:v>293</x:v>
      </x:c>
      <x:c r="B131" t="s"/>
      <x:c r="C131" t="s">
        <x:v>294</x:v>
      </x:c>
      <x:c r="D131" t="s">
        <x:v>125</x:v>
      </x:c>
      <x:c r="E131" t="s">
        <x:v>109</x:v>
      </x:c>
      <x:c r="F131" t="n">
        <x:v>1034</x:v>
      </x:c>
      <x:c r="G131" s="33" t="n">
        <x:v>0.0009671179883945841392649903</x:v>
      </x:c>
      <x:c r="H131" s="33" t="n">
        <x:v>0.1015473887814313346228239845</x:v>
      </x:c>
      <x:c r="I131" s="33" t="n">
        <x:v>0.29400386847195357833655706</x:v>
      </x:c>
      <x:c r="J131" s="33" t="n">
        <x:v>0.4796905222437137330754352031</x:v>
      </x:c>
      <x:c r="K131" s="33" t="n">
        <x:v>0.4748549323017408123791102515</x:v>
      </x:c>
      <x:c r="L131" s="33" t="n">
        <x:v>0.5164410058027079303675048356</x:v>
      </x:c>
      <x:c r="M131" s="33" t="n">
        <x:v>0.5754352030947775628626692456</x:v>
      </x:c>
      <x:c r="N131" s="33" t="n">
        <x:v>0.5870406189555125725338491296</x:v>
      </x:c>
      <x:c r="O131" s="33" t="n">
        <x:v>0.5996131528046421663442940039</x:v>
      </x:c>
      <x:c r="P131" s="33" t="n">
        <x:v>0.6102514506769825918762088975</x:v>
      </x:c>
      <x:c r="Q131" s="33" t="n">
        <x:v>0.6160541586073500967117988395</x:v>
      </x:c>
      <x:c r="R131" s="33" t="n">
        <x:v>0.6295938104448742746615087041</x:v>
      </x:c>
      <x:c r="S131" s="33" t="n">
        <x:v>0.6286266924564796905222437137</x:v>
      </x:c>
      <x:c r="T131" s="33" t="n">
        <x:v>0.6208897485493230174081237911</x:v>
      </x:c>
      <x:c r="U131" s="23" t="n">
        <x:v>0.6760154738878143133462282398</x:v>
      </x:c>
      <x:c r="BC131" s="34" t="s"/>
      <x:c r="BD131" s="11" t="s">
        <x:v>101</x:v>
      </x:c>
      <x:c r="BE131" s="12" t="n">
        <x:f>=BO131</x:f>
      </x:c>
      <x:c r="BF131" s="12" t="n">
        <x:v>0.6170212765957446808510638298</x:v>
      </x:c>
      <x:c r="BG131" s="12" t="n">
        <x:v>0.3336557059961315280464216634</x:v>
      </x:c>
      <x:c r="BH131" s="12" t="n">
        <x:v>0.0493230174081237911025145068</x:v>
      </x:c>
      <x:c r="BI131" s="12" t="n">
        <x:f>=BN131</x:f>
      </x:c>
      <x:c r="BJ131" s="13" t="n">
        <x:v>0</x:v>
      </x:c>
      <x:c r="BK131" s="31" t="n">
        <x:v>11096.85</x:v>
      </x:c>
      <x:c r="BL131" s="31" t="n">
        <x:v>-8441.5760</x:v>
      </x:c>
      <x:c r="BM131" s="31" t="n">
        <x:f>=BK131+BL131</x:f>
      </x:c>
      <x:c r="BN131" s="68" t="n">
        <x:f>=BM131/BK131</x:f>
      </x:c>
      <x:c r="BO131" s="68" t="n">
        <x:v>0.9506769825918762088974854932</x:v>
      </x:c>
      <x:c r="BP131" s="31" t="n">
        <x:v>8478.80</x:v>
      </x:c>
      <x:c r="BQ131" s="42" t="n">
        <x:v>51</x:v>
      </x:c>
      <x:c r="BR131" s="31" t="n">
        <x:v>418.20</x:v>
      </x:c>
      <x:c r="BT131" s="31" t="n">
        <x:v>15082.9205979105000000000</x:v>
      </x:c>
      <x:c r="BU131" s="31" t="n">
        <x:v>-8441.5760</x:v>
      </x:c>
      <x:c r="BV131" s="31" t="n">
        <x:f>=BT131+BU131</x:f>
      </x:c>
      <x:c r="BW131" s="68" t="n">
        <x:f>=BV131/BT131</x:f>
      </x:c>
      <x:c r="BY131" s="68" t="n">
        <x:f>=BO131</x:f>
      </x:c>
      <x:c r="BZ131" s="68" t="n">
        <x:f>=BF131</x:f>
      </x:c>
      <x:c r="CA131" s="68" t="n">
        <x:f>=BG131</x:f>
      </x:c>
      <x:c r="CB131" s="68" t="n">
        <x:f>=1 - BY131</x:f>
      </x:c>
      <x:c r="CD131" s="68" t="n">
        <x:f>=CA131/(1-BZ131)</x:f>
      </x:c>
    </x:row>
    <x:row r="132">
      <x:c r="A132" s="32" t="s">
        <x:v>295</x:v>
      </x:c>
      <x:c r="B132" t="s"/>
      <x:c r="C132" t="s">
        <x:v>296</x:v>
      </x:c>
      <x:c r="D132" t="s">
        <x:v>125</x:v>
      </x:c>
      <x:c r="E132" t="s">
        <x:v>109</x:v>
      </x:c>
      <x:c r="F132" t="n">
        <x:v>893</x:v>
      </x:c>
      <x:c r="G132" s="33" t="n">
        <x:v>0.1466965285554311310190369541</x:v>
      </x:c>
      <x:c r="H132" s="33" t="n">
        <x:v>0.5442329227323628219484882419</x:v>
      </x:c>
      <x:c r="I132" s="33" t="n">
        <x:v>0.6797312430011198208286674132</x:v>
      </x:c>
      <x:c r="J132" s="24" t="n">
        <x:v>0.7267637178051511758118701008</x:v>
      </x:c>
      <x:c r="K132" s="33" t="n">
        <x:v>0.7838745800671892497200447928</x:v>
      </x:c>
      <x:c r="L132" s="33" t="n">
        <x:v>0.7894736842105263157894736842</x:v>
      </x:c>
      <x:c r="M132" s="33" t="n">
        <x:v>0.8297872340425531914893617021</x:v>
      </x:c>
      <x:c r="N132" s="33" t="n">
        <x:v>0.8365061590145576707726763718</x:v>
      </x:c>
      <x:c r="O132" s="33" t="n">
        <x:v>0.8611422172452407614781634938</x:v>
      </x:c>
      <x:c r="P132" s="33" t="n">
        <x:v>0.8723404255319148936170212766</x:v>
      </x:c>
      <x:c r="Q132" s="33" t="n">
        <x:v>0.8801791713325867861142217245</x:v>
      </x:c>
      <x:c r="R132" s="33" t="n">
        <x:v>0.8913773796192609182530795073</x:v>
      </x:c>
      <x:c r="S132" s="23" t="n">
        <x:v>0.890257558790593505039193729</x:v>
      </x:c>
      <x:c r="BC132" s="34" t="s"/>
      <x:c r="BD132" s="11" t="s">
        <x:v>297</x:v>
      </x:c>
      <x:c r="BE132" s="12" t="n">
        <x:f>=BO132</x:f>
      </x:c>
      <x:c r="BF132" s="12" t="n">
        <x:v>0.8835386338185890257558790594</x:v>
      </x:c>
      <x:c r="BG132" s="12" t="n">
        <x:v>0.0828667413213885778275475924</x:v>
      </x:c>
      <x:c r="BH132" s="12" t="n">
        <x:v>0.0335946248600223964165733483</x:v>
      </x:c>
      <x:c r="BI132" s="12" t="n">
        <x:f>=BN132</x:f>
      </x:c>
      <x:c r="BJ132" s="13" t="n">
        <x:v>0</x:v>
      </x:c>
      <x:c r="BK132" s="31" t="n">
        <x:v>12896.38</x:v>
      </x:c>
      <x:c r="BL132" s="31" t="n">
        <x:v>-8845.8794</x:v>
      </x:c>
      <x:c r="BM132" s="31" t="n">
        <x:f>=BK132+BL132</x:f>
      </x:c>
      <x:c r="BN132" s="68" t="n">
        <x:f>=BM132/BK132</x:f>
      </x:c>
      <x:c r="BO132" s="68" t="n">
        <x:v>0.9664053751399776035834266517</x:v>
      </x:c>
      <x:c r="BP132" s="31" t="n">
        <x:v>8903.21</x:v>
      </x:c>
      <x:c r="BQ132" s="42" t="n">
        <x:v>30</x:v>
      </x:c>
      <x:c r="BR132" s="31" t="n">
        <x:v>299.10</x:v>
      </x:c>
      <x:c r="BT132" s="31" t="n">
        <x:v>16912.648102440125000000000000</x:v>
      </x:c>
      <x:c r="BU132" s="31" t="n">
        <x:v>-8845.8794</x:v>
      </x:c>
      <x:c r="BV132" s="31" t="n">
        <x:f>=BT132+BU132</x:f>
      </x:c>
      <x:c r="BW132" s="68" t="n">
        <x:f>=BV132/BT132</x:f>
      </x:c>
      <x:c r="BY132" s="68" t="n">
        <x:f>=BO132</x:f>
      </x:c>
      <x:c r="BZ132" s="68" t="n">
        <x:f>=BF132</x:f>
      </x:c>
      <x:c r="CA132" s="68" t="n">
        <x:f>=BG132</x:f>
      </x:c>
      <x:c r="CB132" s="68" t="n">
        <x:f>=1 - BY132</x:f>
      </x:c>
      <x:c r="CD132" s="68" t="n">
        <x:f>=CA132/(1-BZ132)</x:f>
      </x:c>
    </x:row>
    <x:row r="133">
      <x:c r="A133" s="35" t="s"/>
      <x:c r="B133" s="6" t="s"/>
      <x:c r="C133" s="6" t="s"/>
      <x:c r="D133" s="6" t="s"/>
      <x:c r="E133" s="6" t="s"/>
      <x:c r="F133" s="6" t="s"/>
      <x:c r="G133" s="6" t="s"/>
      <x:c r="H133" s="6" t="s"/>
      <x:c r="I133" s="6" t="s"/>
      <x:c r="J133" s="6" t="s"/>
      <x:c r="K133" s="6" t="s"/>
      <x:c r="L133" s="6" t="s"/>
      <x:c r="M133" s="6" t="s"/>
      <x:c r="N133" s="6" t="s"/>
      <x:c r="O133" s="6" t="s"/>
      <x:c r="P133" s="6" t="s"/>
      <x:c r="Q133" s="6" t="s"/>
      <x:c r="R133" s="6" t="s"/>
      <x:c r="S133" s="6" t="s"/>
      <x:c r="T133" s="6" t="s"/>
      <x:c r="U133" s="6" t="s"/>
      <x:c r="V133" s="6" t="s"/>
      <x:c r="W133" s="6" t="s"/>
      <x:c r="X133" s="6" t="s"/>
      <x:c r="Y133" s="6" t="s"/>
      <x:c r="Z133" s="6" t="s"/>
      <x:c r="AA133" s="6" t="s"/>
      <x:c r="AB133" s="6" t="s"/>
      <x:c r="AC133" s="6" t="s"/>
      <x:c r="AD133" s="6" t="s"/>
      <x:c r="AE133" s="6" t="s"/>
      <x:c r="AF133" s="6" t="s"/>
      <x:c r="AG133" s="6" t="s"/>
      <x:c r="AH133" s="6" t="s"/>
      <x:c r="AI133" s="6" t="s"/>
      <x:c r="AJ133" s="6" t="s"/>
      <x:c r="AK133" s="6" t="s"/>
      <x:c r="AL133" s="6" t="s"/>
      <x:c r="AM133" s="6" t="s"/>
      <x:c r="AN133" s="6" t="s"/>
      <x:c r="AO133" s="6" t="s"/>
      <x:c r="AP133" s="6" t="s"/>
      <x:c r="AQ133" s="6" t="s"/>
      <x:c r="AR133" s="6" t="s"/>
      <x:c r="AS133" s="6" t="s"/>
      <x:c r="AT133" s="6" t="s"/>
      <x:c r="AU133" s="6" t="s"/>
      <x:c r="AV133" s="6" t="s"/>
      <x:c r="AW133" s="6" t="s"/>
      <x:c r="AX133" s="6" t="s"/>
      <x:c r="AY133" s="6" t="s"/>
      <x:c r="AZ133" s="6" t="s"/>
      <x:c r="BA133" s="6" t="s"/>
      <x:c r="BB133" s="6" t="s"/>
      <x:c r="BC133" s="8" t="s"/>
      <x:c r="BD133" s="14" t="s">
        <x:v>127</x:v>
      </x:c>
      <x:c r="BE133" s="15" t="s"/>
      <x:c r="BF133" s="15" t="s"/>
      <x:c r="BG133" s="15" t="s"/>
      <x:c r="BH133" s="15" t="s"/>
      <x:c r="BI133" s="38">
        <x:f>=BM134/BK134</x:f>
      </x:c>
      <x:c r="BJ133" s="16">
        <x:f>=BR134/BP134</x:f>
      </x:c>
      <x:c r="BK133" s="21" t="n">
        <x:v>353962.28</x:v>
      </x:c>
      <x:c r="BL133" s="21" t="n">
        <x:v>-267956.21916</x:v>
      </x:c>
      <x:c r="BM133" s="21" t="n">
        <x:f>=BK133+BL133</x:f>
      </x:c>
      <x:c r="BN133" s="22" t="n">
        <x:v>0.2429808646277224793557098796</x:v>
      </x:c>
      <x:c r="BP133" s="21" t="n">
        <x:v>-254540.72</x:v>
      </x:c>
      <x:c r="BQ133" s="21" t="n">
        <x:v>929</x:v>
      </x:c>
      <x:c r="BR133" s="21" t="n">
        <x:v>5240.7599317391015270051638926</x:v>
      </x:c>
      <x:c r="BT133" s="21" t="n">
        <x:v>479970.31317870214162500000000</x:v>
      </x:c>
      <x:c r="BU133" s="21" t="n">
        <x:v>-267956.21916</x:v>
      </x:c>
      <x:c r="BV133" s="21" t="n">
        <x:f>=BT133+BU133</x:f>
      </x:c>
      <x:c r="BW133" s="22" t="n">
        <x:v>0.4417233487100383085666997765</x:v>
      </x:c>
    </x:row>
    <x:row r="134">
      <x:c r="BK134" s="19" t="n">
        <x:v>353962.28</x:v>
      </x:c>
      <x:c r="BL134" s="19" t="n">
        <x:v>-267956.21916</x:v>
      </x:c>
      <x:c r="BM134" s="19" t="n">
        <x:f>=BK134+BL134</x:f>
      </x:c>
      <x:c r="BN134" s="20" t="n">
        <x:v>0.2429808646277224793557098796</x:v>
      </x:c>
      <x:c r="BP134" s="19" t="n">
        <x:v>-254540.72</x:v>
      </x:c>
      <x:c r="BQ134" s="19" t="n">
        <x:v>929</x:v>
      </x:c>
      <x:c r="BR134" s="19" t="n">
        <x:v>5240.7599317391015270051638926</x:v>
      </x:c>
      <x:c r="BT134" s="19" t="n">
        <x:v>479970.31317870214162500000000</x:v>
      </x:c>
      <x:c r="BU134" s="19" t="n">
        <x:v>-267956.21916</x:v>
      </x:c>
      <x:c r="BV134" s="19" t="n">
        <x:f>=BT134+BU134</x:f>
      </x:c>
      <x:c r="BW134" s="20" t="n">
        <x:v>0.4417233487100383085666997765</x:v>
      </x:c>
    </x:row>
    <x:row r="135">
      <x:c r="A135" s="10" t="s">
        <x:v>298</x:v>
      </x:c>
      <x:c r="B135" s="5" t="s"/>
      <x:c r="C135" s="5" t="s"/>
      <x:c r="D135" s="5" t="s"/>
      <x:c r="E135" s="5" t="s"/>
      <x:c r="F135" s="5" t="s"/>
      <x:c r="G135" s="5" t="s"/>
      <x:c r="H135" s="5" t="s"/>
      <x:c r="I135" s="5" t="s"/>
      <x:c r="J135" s="5" t="s"/>
      <x:c r="K135" s="5" t="s"/>
      <x:c r="L135" s="5" t="s"/>
      <x:c r="M135" s="5" t="s"/>
      <x:c r="N135" s="5" t="s"/>
      <x:c r="O135" s="5" t="s"/>
      <x:c r="P135" s="5" t="s"/>
      <x:c r="Q135" s="5" t="s"/>
      <x:c r="R135" s="5" t="s"/>
      <x:c r="S135" s="5" t="s"/>
      <x:c r="T135" s="5" t="s"/>
      <x:c r="U135" s="5" t="s"/>
      <x:c r="V135" s="5" t="s"/>
      <x:c r="W135" s="5" t="s"/>
      <x:c r="X135" s="5" t="s"/>
      <x:c r="Y135" s="5" t="s"/>
      <x:c r="Z135" s="5" t="s"/>
      <x:c r="AA135" s="5" t="s"/>
      <x:c r="AB135" s="5" t="s"/>
      <x:c r="AC135" s="5" t="s"/>
      <x:c r="AD135" s="5" t="s"/>
      <x:c r="AE135" s="5" t="s"/>
      <x:c r="AF135" s="5" t="s"/>
      <x:c r="AG135" s="5" t="s"/>
      <x:c r="AH135" s="5" t="s"/>
      <x:c r="AI135" s="5" t="s"/>
      <x:c r="AJ135" s="5" t="s"/>
      <x:c r="AK135" s="5" t="s"/>
      <x:c r="AL135" s="5" t="s"/>
      <x:c r="AM135" s="5" t="s"/>
      <x:c r="AN135" s="5" t="s"/>
      <x:c r="AO135" s="5" t="s"/>
      <x:c r="AP135" s="5" t="s"/>
      <x:c r="AQ135" s="5" t="s"/>
      <x:c r="AR135" s="5" t="s"/>
      <x:c r="AS135" s="5" t="s"/>
      <x:c r="AT135" s="5" t="s"/>
      <x:c r="AU135" s="5" t="s"/>
      <x:c r="AV135" s="5" t="s"/>
      <x:c r="AW135" s="5" t="s"/>
      <x:c r="AX135" s="5" t="s"/>
      <x:c r="AY135" s="5" t="s"/>
      <x:c r="AZ135" s="5" t="s"/>
      <x:c r="BA135" s="5" t="s"/>
      <x:c r="BB135" s="5" t="s"/>
      <x:c r="BC135" s="7" t="s"/>
      <x:c r="BD135" s="10" t="s"/>
      <x:c r="BE135" s="5" t="s"/>
      <x:c r="BF135" s="5" t="s"/>
      <x:c r="BG135" s="5" t="s"/>
      <x:c r="BH135" s="5" t="s"/>
      <x:c r="BI135" s="5" t="s"/>
      <x:c r="BJ135" s="7" t="s"/>
      <x:c r="BK135" s="49" t="s">
        <x:v>11</x:v>
      </x:c>
      <x:c r="BL135" s="50"/>
      <x:c r="BM135" s="51"/>
      <x:c r="BN135" s="52"/>
      <x:c r="BO135" s="52"/>
      <x:c r="BP135" s="53"/>
      <x:c r="BQ135" s="54"/>
      <x:c r="BR135" s="53"/>
      <x:c r="BT135" s="59" t="s">
        <x:v>27</x:v>
      </x:c>
      <x:c r="BU135" s="60"/>
      <x:c r="BV135" s="60"/>
      <x:c r="BW135" s="60"/>
      <x:c r="BX135" s="60"/>
      <x:c r="BY135" s="61"/>
      <x:c r="BZ135" s="61"/>
      <x:c r="CA135" s="61"/>
      <x:c r="CB135" s="61"/>
      <x:c r="CC135" s="60"/>
      <x:c r="CD135" s="62"/>
    </x:row>
    <x:row r="136" ht="45.75" customHeight="1">
      <x:c r="A136" s="41" t="s">
        <x:v>30</x:v>
      </x:c>
      <x:c r="B136" s="41" t="s">
        <x:v>31</x:v>
      </x:c>
      <x:c r="C136" s="41" t="s">
        <x:v>32</x:v>
      </x:c>
      <x:c r="D136" s="41" t="s">
        <x:v>33</x:v>
      </x:c>
      <x:c r="E136" s="41" t="s">
        <x:v>34</x:v>
      </x:c>
      <x:c r="F136" s="41" t="s">
        <x:v>83</x:v>
      </x:c>
      <x:c r="G136" s="41" t="s">
        <x:v>35</x:v>
      </x:c>
      <x:c r="H136" s="41" t="s">
        <x:v>36</x:v>
      </x:c>
      <x:c r="I136" s="41" t="s">
        <x:v>37</x:v>
      </x:c>
      <x:c r="J136" s="41" t="s">
        <x:v>38</x:v>
      </x:c>
      <x:c r="K136" s="41" t="s">
        <x:v>39</x:v>
      </x:c>
      <x:c r="L136" s="41" t="s">
        <x:v>40</x:v>
      </x:c>
      <x:c r="M136" s="41" t="s">
        <x:v>41</x:v>
      </x:c>
      <x:c r="N136" s="41" t="s">
        <x:v>42</x:v>
      </x:c>
      <x:c r="O136" s="41" t="s">
        <x:v>43</x:v>
      </x:c>
      <x:c r="P136" s="41" t="s">
        <x:v>44</x:v>
      </x:c>
      <x:c r="Q136" s="41" t="s">
        <x:v>45</x:v>
      </x:c>
      <x:c r="R136" s="41" t="s">
        <x:v>46</x:v>
      </x:c>
      <x:c r="S136" s="41" t="s">
        <x:v>47</x:v>
      </x:c>
      <x:c r="T136" s="41" t="s">
        <x:v>48</x:v>
      </x:c>
      <x:c r="U136" s="41" t="s">
        <x:v>49</x:v>
      </x:c>
      <x:c r="V136" s="41" t="s">
        <x:v>50</x:v>
      </x:c>
      <x:c r="W136" s="41" t="s">
        <x:v>51</x:v>
      </x:c>
      <x:c r="X136" s="41" t="s">
        <x:v>52</x:v>
      </x:c>
      <x:c r="Y136" s="41" t="s">
        <x:v>53</x:v>
      </x:c>
      <x:c r="Z136" s="41" t="s">
        <x:v>54</x:v>
      </x:c>
      <x:c r="AA136" s="41" t="s">
        <x:v>55</x:v>
      </x:c>
      <x:c r="AB136" s="41" t="s">
        <x:v>56</x:v>
      </x:c>
      <x:c r="AC136" s="41" t="s">
        <x:v>57</x:v>
      </x:c>
      <x:c r="AD136" s="41" t="s">
        <x:v>58</x:v>
      </x:c>
      <x:c r="AE136" s="41" t="s">
        <x:v>59</x:v>
      </x:c>
      <x:c r="AF136" s="41" t="s">
        <x:v>60</x:v>
      </x:c>
      <x:c r="AG136" s="41" t="s">
        <x:v>61</x:v>
      </x:c>
      <x:c r="AH136" s="41" t="s">
        <x:v>62</x:v>
      </x:c>
      <x:c r="AI136" s="41" t="s">
        <x:v>63</x:v>
      </x:c>
      <x:c r="AJ136" s="41" t="s">
        <x:v>64</x:v>
      </x:c>
      <x:c r="AK136" s="41" t="s">
        <x:v>65</x:v>
      </x:c>
      <x:c r="AL136" s="41" t="s">
        <x:v>66</x:v>
      </x:c>
      <x:c r="AM136" s="41" t="s">
        <x:v>67</x:v>
      </x:c>
      <x:c r="AN136" s="41" t="s">
        <x:v>68</x:v>
      </x:c>
      <x:c r="AO136" s="41" t="s">
        <x:v>69</x:v>
      </x:c>
      <x:c r="AP136" s="41" t="s">
        <x:v>70</x:v>
      </x:c>
      <x:c r="AQ136" s="41" t="s">
        <x:v>71</x:v>
      </x:c>
      <x:c r="AR136" s="41" t="s">
        <x:v>72</x:v>
      </x:c>
      <x:c r="AS136" s="41" t="s">
        <x:v>73</x:v>
      </x:c>
      <x:c r="AT136" s="41" t="s">
        <x:v>74</x:v>
      </x:c>
      <x:c r="AU136" s="41" t="s">
        <x:v>75</x:v>
      </x:c>
      <x:c r="AV136" s="41" t="s">
        <x:v>76</x:v>
      </x:c>
      <x:c r="AW136" s="41" t="s">
        <x:v>77</x:v>
      </x:c>
      <x:c r="AX136" s="41" t="s">
        <x:v>78</x:v>
      </x:c>
      <x:c r="AY136" s="41" t="s">
        <x:v>79</x:v>
      </x:c>
      <x:c r="AZ136" s="41" t="s">
        <x:v>80</x:v>
      </x:c>
      <x:c r="BA136" s="41" t="s">
        <x:v>81</x:v>
      </x:c>
      <x:c r="BB136" s="41" t="s">
        <x:v>82</x:v>
      </x:c>
      <x:c r="BD136" s="32" t="s">
        <x:v>84</x:v>
      </x:c>
      <x:c r="BE136" s="33" t="s">
        <x:v>85</x:v>
      </x:c>
      <x:c r="BF136" s="33" t="s">
        <x:v>86</x:v>
      </x:c>
      <x:c r="BG136" s="33" t="s">
        <x:v>87</x:v>
      </x:c>
      <x:c r="BH136" s="33" t="s">
        <x:v>88</x:v>
      </x:c>
      <x:c r="BI136" s="33" t="s">
        <x:v>89</x:v>
      </x:c>
      <x:c r="BJ136" s="34" t="s">
        <x:v>90</x:v>
      </x:c>
      <x:c r="BK136" s="55" t="s">
        <x:v>12</x:v>
      </x:c>
      <x:c r="BL136" s="56" t="s">
        <x:v>13</x:v>
      </x:c>
      <x:c r="BM136" s="56" t="s">
        <x:v>14</x:v>
      </x:c>
      <x:c r="BN136" s="57" t="s">
        <x:v>15</x:v>
      </x:c>
      <x:c r="BO136" s="57" t="s">
        <x:v>28</x:v>
      </x:c>
      <x:c r="BP136" s="58" t="s">
        <x:v>16</x:v>
      </x:c>
      <x:c r="BQ136" s="55" t="s">
        <x:v>17</x:v>
      </x:c>
      <x:c r="BR136" s="58" t="s">
        <x:v>18</x:v>
      </x:c>
      <x:c r="BT136" s="63" t="s">
        <x:v>19</x:v>
      </x:c>
      <x:c r="BU136" s="64" t="s">
        <x:v>20</x:v>
      </x:c>
      <x:c r="BV136" s="64" t="s">
        <x:v>21</x:v>
      </x:c>
      <x:c r="BW136" s="64" t="s">
        <x:v>15</x:v>
      </x:c>
      <x:c r="BX136" s="64"/>
      <x:c r="BY136" s="65" t="s">
        <x:v>22</x:v>
      </x:c>
      <x:c r="BZ136" s="65" t="s">
        <x:v>23</x:v>
      </x:c>
      <x:c r="CA136" s="65" t="s">
        <x:v>26</x:v>
      </x:c>
      <x:c r="CB136" s="65" t="s">
        <x:v>24</x:v>
      </x:c>
      <x:c r="CC136" s="64"/>
      <x:c r="CD136" s="66" t="s">
        <x:v>25</x:v>
      </x:c>
    </x:row>
    <x:row r="137">
      <x:c r="BD137" s="32" t="s"/>
      <x:c r="BJ137" s="34" t="s"/>
    </x:row>
    <x:row r="138">
      <x:c r="A138" s="36" t="s">
        <x:v>129</x:v>
      </x:c>
      <x:c r="BC138" s="34" t="s"/>
      <x:c r="BD138" s="11" t="s"/>
      <x:c r="BJ138" s="13" t="s"/>
    </x:row>
    <x:row r="139">
      <x:c r="A139" s="17" t="s">
        <x:v>105</x:v>
      </x:c>
      <x:c r="BC139" s="34" t="s"/>
      <x:c r="BD139" s="11" t="s"/>
      <x:c r="BJ139" s="13" t="s"/>
    </x:row>
    <x:row r="140">
      <x:c r="A140" s="32" t="s">
        <x:v>299</x:v>
      </x:c>
      <x:c r="B140" t="s">
        <x:v>94</x:v>
      </x:c>
      <x:c r="C140" s="9" t="s">
        <x:v>300</x:v>
      </x:c>
      <x:c r="D140" t="s">
        <x:v>96</x:v>
      </x:c>
      <x:c r="E140" t="s">
        <x:v>132</x:v>
      </x:c>
      <x:c r="F140" t="n">
        <x:v>5247</x:v>
      </x:c>
      <x:c r="G140" s="33" t="n">
        <x:v>0.0421193062702496664760815704</x:v>
      </x:c>
      <x:c r="H140" s="33" t="n">
        <x:v>0.1435105774728416237850200114</x:v>
      </x:c>
      <x:c r="I140" s="33" t="n">
        <x:v>0.2643415284924718886983037926</x:v>
      </x:c>
      <x:c r="J140" s="33" t="n">
        <x:v>0.3401943967981703830760434534</x:v>
      </x:c>
      <x:c r="K140" s="33" t="n">
        <x:v>0.4057556699066133028397179341</x:v>
      </x:c>
      <x:c r="L140" s="33" t="n">
        <x:v>0.4678864112826376977320373547</x:v>
      </x:c>
      <x:c r="M140" s="33" t="n">
        <x:v>0.5189632170764246235944349152</x:v>
      </x:c>
      <x:c r="N140" s="33" t="n">
        <x:v>0.5669906613302839717934057557</x:v>
      </x:c>
      <x:c r="O140" s="33" t="n">
        <x:v>0.6264532113588717362302267963</x:v>
      </x:c>
      <x:c r="P140" s="33" t="n">
        <x:v>0.6582809224318658280922431866</x:v>
      </x:c>
      <x:c r="Q140" s="33" t="n">
        <x:v>0.6784829426338860301124452068</x:v>
      </x:c>
      <x:c r="R140" s="33" t="n">
        <x:v>0.6845816657137411854392986468</x:v>
      </x:c>
      <x:c r="S140" s="33" t="n">
        <x:v>0.6922050695635601295978654469</x:v>
      </x:c>
      <x:c r="T140" s="24" t="n">
        <x:v>0.703640175338288545835715647</x:v>
      </x:c>
      <x:c r="U140" s="33" t="n">
        <x:v>0.7101200686106346483704974271</x:v>
      </x:c>
      <x:c r="V140" s="33" t="n">
        <x:v>0.7165999618829807509052792072</x:v>
      </x:c>
      <x:c r="W140" s="33" t="n">
        <x:v>0.7249857061177815894797026872</x:v>
      </x:c>
      <x:c r="X140" s="33" t="n">
        <x:v>0.7307032590051457975986277873</x:v>
      </x:c>
      <x:c r="Y140" s="33" t="n">
        <x:v>0.7385172479512102153611587574</x:v>
      </x:c>
      <x:c r="Z140" s="33" t="n">
        <x:v>0.7448065561273108442919763674</x:v>
      </x:c>
      <x:c r="AA140" s="33" t="n">
        <x:v>0.7478559176672384219554030875</x:v>
      </x:c>
      <x:c r="AB140" s="33" t="n">
        <x:v>0.7505241090146750524109014675</x:v>
      </x:c>
      <x:c r="AC140" s="33" t="n">
        <x:v>0.7562416619020392605298265676</x:v>
      </x:c>
      <x:c r="AD140" s="33" t="n">
        <x:v>0.7611968744044215742328949876</x:v>
      </x:c>
      <x:c r="AE140" s="33" t="n">
        <x:v>0.7709167143129407280350676577</x:v>
      </x:c>
      <x:c r="AF140" s="33" t="n">
        <x:v>0.7711072994091862016390318277</x:v>
      </x:c>
      <x:c r="AG140" s="33" t="n">
        <x:v>0.7775871926815323041738136078</x:v>
      </x:c>
      <x:c r="AH140" s="33" t="n">
        <x:v>0.7922622450924337716790546979</x:v>
      </x:c>
      <x:c r="AI140" s="33" t="n">
        <x:v>0.8082713931770535544120449781</x:v>
      </x:c>
      <x:c r="AJ140" s="33" t="n">
        <x:v>0.8195159138555364970459310082</x:v>
      </x:c>
      <x:c r="AK140" s="33" t="n">
        <x:v>0.8385744234800838574423480084</x:v>
      </x:c>
      <x:c r="AL140" s="33" t="n">
        <x:v>0.8549647417571945873832666285</x:v>
      </x:c>
      <x:c r="AM140" s="33" t="n">
        <x:v>0.8679245283018867924528301887</x:v>
      </x:c>
      <x:c r="AN140" s="33" t="n">
        <x:v>0.8907947398513436249285305889</x:v>
      </x:c>
      <x:c r="AO140" s="33" t="n">
        <x:v>0.9165237278444825614636935392</x:v>
      </x:c>
      <x:c r="AP140" s="33" t="n">
        <x:v>0.9331046312178387650085763293</x:v>
      </x:c>
      <x:c r="AQ140" s="33" t="n">
        <x:v>0.9456832475700400228702115495</x:v>
      </x:c>
      <x:c r="AR140" s="33" t="n">
        <x:v>0.9514008004574042309891366495</x:v>
      </x:c>
      <x:c r="AS140" s="33" t="n">
        <x:v>0.9561654278635410710882408996</x:v>
      </x:c>
      <x:c r="AT140" s="33" t="n">
        <x:v>0.9586430341147322279397751096</x:v>
      </x:c>
      <x:c r="AU140" s="33" t="n">
        <x:v>0.9611206403659233847913093196</x:v>
      </x:c>
      <x:c r="AV140" s="33" t="n">
        <x:v>0.9630264913283781208309510196</x:v>
      </x:c>
      <x:c r="AW140" s="33" t="n">
        <x:v>0.9664570230607966457023060797</x:v>
      </x:c>
      <x:c r="AX140" s="33" t="n">
        <x:v>0.9693157995044787497617686297</x:v>
      </x:c>
      <x:c r="AY140" s="33" t="n">
        <x:v>0.9695063846007242233657327997</x:v>
      </x:c>
      <x:c r="AZ140" s="33" t="n">
        <x:v>0.9725557461406518010291595197</x:v>
      </x:c>
      <x:c r="BA140" s="23" t="n">
        <x:v>0.9727463312368972746331236897</x:v>
      </x:c>
      <x:c r="BC140" s="34" t="s"/>
      <x:c r="BD140" s="11" t="s">
        <x:v>301</x:v>
      </x:c>
      <x:c r="BE140" s="12" t="n">
        <x:f>=BO140</x:f>
      </x:c>
      <x:c r="BF140" s="12" t="n">
        <x:v>0.9731275014293882218410520297</x:v>
      </x:c>
      <x:c r="BG140" s="12" t="n">
        <x:v>0.0215361158757385172479512102</x:v>
      </x:c>
      <x:c r="BH140" s="12" t="n">
        <x:v>0.0053363826948732609109967601</x:v>
      </x:c>
      <x:c r="BI140" s="12" t="n">
        <x:f>=BN140</x:f>
      </x:c>
      <x:c r="BJ140" s="13" t="n">
        <x:v>0</x:v>
      </x:c>
      <x:c r="BK140" s="31" t="n">
        <x:v>41333.61</x:v>
      </x:c>
      <x:c r="BL140" s="31" t="n">
        <x:v>-28683.1736</x:v>
      </x:c>
      <x:c r="BM140" s="31" t="n">
        <x:f>=BK140+BL140</x:f>
      </x:c>
      <x:c r="BN140" s="68" t="n">
        <x:f>=BM140/BK140</x:f>
      </x:c>
      <x:c r="BO140" s="68" t="n">
        <x:v>0.9946636173051267390890032399</x:v>
      </x:c>
      <x:c r="BP140" s="31" t="n">
        <x:v>24053.90</x:v>
      </x:c>
      <x:c r="BQ140" s="42" t="n">
        <x:v>28</x:v>
      </x:c>
      <x:c r="BR140" s="31" t="n">
        <x:v>128.36081570421193062702496665</x:v>
      </x:c>
      <x:c r="BT140" s="31" t="n">
        <x:v>53449.69563241257225000000</x:v>
      </x:c>
      <x:c r="BU140" s="31" t="n">
        <x:v>-28683.1736</x:v>
      </x:c>
      <x:c r="BV140" s="31" t="n">
        <x:f>=BT140+BU140</x:f>
      </x:c>
      <x:c r="BW140" s="68" t="n">
        <x:f>=BV140/BT140</x:f>
      </x:c>
      <x:c r="BY140" s="68" t="n">
        <x:f>=BO140</x:f>
      </x:c>
      <x:c r="BZ140" s="68" t="n">
        <x:f>=BF140</x:f>
      </x:c>
      <x:c r="CA140" s="68" t="n">
        <x:f>=BG140</x:f>
      </x:c>
      <x:c r="CB140" s="68" t="n">
        <x:f>=1 - BY140</x:f>
      </x:c>
      <x:c r="CD140" s="68" t="n">
        <x:f>=CA140/(1-BZ140)</x:f>
      </x:c>
    </x:row>
    <x:row r="141">
      <x:c r="A141" s="32" t="s">
        <x:v>302</x:v>
      </x:c>
      <x:c r="B141" t="s"/>
      <x:c r="C141" t="s">
        <x:v>303</x:v>
      </x:c>
      <x:c r="D141" t="s">
        <x:v>259</x:v>
      </x:c>
      <x:c r="E141" t="s">
        <x:v>132</x:v>
      </x:c>
      <x:c r="F141" t="n">
        <x:v>1917</x:v>
      </x:c>
      <x:c r="G141" s="33" t="n">
        <x:v>0.067292644757433489827856025</x:v>
      </x:c>
      <x:c r="H141" s="33" t="n">
        <x:v>0.1147626499739175795513823683</x:v>
      </x:c>
      <x:c r="I141" s="33" t="n">
        <x:v>0.1476264997391757955138236828</x:v>
      </x:c>
      <x:c r="J141" s="33" t="n">
        <x:v>0.1867501304121022430881585811</x:v>
      </x:c>
      <x:c r="K141" s="33" t="n">
        <x:v>0.2378716744913928012519561815</x:v>
      </x:c>
      <x:c r="L141" s="33" t="n">
        <x:v>0.2983828899321857068335941575</x:v>
      </x:c>
      <x:c r="M141" s="33" t="n">
        <x:v>0.3552425665101721439749608764</x:v>
      </x:c>
      <x:c r="N141" s="33" t="n">
        <x:v>0.4058424621804903495044340115</x:v>
      </x:c>
      <x:c r="O141" s="33" t="n">
        <x:v>0.447052686489306207616066771</x:v>
      </x:c>
      <x:c r="P141" s="33" t="n">
        <x:v>0.5002608242044861763171622327</x:v>
      </x:c>
      <x:c r="Q141" s="33" t="n">
        <x:v>0.5258215962441314553990610329</x:v>
      </x:c>
      <x:c r="R141" s="33" t="n">
        <x:v>0.5482524778299426186750130412</x:v>
      </x:c>
      <x:c r="S141" s="33" t="n">
        <x:v>0.5696400625978090766823161189</x:v>
      </x:c>
      <x:c r="T141" s="33" t="n">
        <x:v>0.5894627021387584767866458007</x:v>
      </x:c>
      <x:c r="U141" s="33" t="n">
        <x:v>0.6082420448617631716223265519</x:v>
      </x:c>
      <x:c r="V141" s="33" t="n">
        <x:v>0.6191966614501825769431403234</x:v>
      </x:c>
      <x:c r="W141" s="33" t="n">
        <x:v>0.6301512780386019822639540949</x:v>
      </x:c>
      <x:c r="X141" s="33" t="n">
        <x:v>0.6452790818988002086593635889</x:v>
      </x:c>
      <x:c r="Y141" s="33" t="n">
        <x:v>0.6531038080333854981742305686</x:v>
      </x:c>
      <x:c r="Z141" s="33" t="n">
        <x:v>0.6614501825769431403234220136</x:v>
      </x:c>
      <x:c r="AA141" s="33" t="n">
        <x:v>0.6682316118935837245696400626</x:v>
      </x:c>
      <x:c r="AB141" s="33" t="n">
        <x:v>0.6755346896191966614501825769</x:v>
      </x:c>
      <x:c r="AC141" s="33" t="n">
        <x:v>0.6828377673448095983307250913</x:v>
      </x:c>
      <x:c r="AD141" s="33" t="n">
        <x:v>0.689097548252477829942618675</x:v>
      </x:c>
      <x:c r="AE141" s="33" t="n">
        <x:v>0.6964006259780907668231611894</x:v>
      </x:c>
      <x:c r="AF141" s="33" t="n">
        <x:v>0.6979655712050078247261345853</x:v>
      </x:c>
      <x:c r="AG141" s="24" t="n">
        <x:v>0.7052686489306207616066770996</x:v>
      </x:c>
      <x:c r="AH141" s="33" t="n">
        <x:v>0.7089201877934272300469483568</x:v>
      </x:c>
      <x:c r="AI141" s="33" t="n">
        <x:v>0.7136150234741784037558685446</x:v>
      </x:c>
      <x:c r="AJ141" s="33" t="n">
        <x:v>0.7167449139280125195618153365</x:v>
      </x:c>
      <x:c r="AK141" s="33" t="n">
        <x:v>0.7167449139280125195618153365</x:v>
      </x:c>
      <x:c r="AL141" s="33" t="n">
        <x:v>0.7167449139280125195618153365</x:v>
      </x:c>
      <x:c r="AM141" s="33" t="n">
        <x:v>0.7167449139280125195618153365</x:v>
      </x:c>
      <x:c r="AN141" s="23" t="n">
        <x:v>0.7522170057381324986958789776</x:v>
      </x:c>
      <x:c r="BC141" s="34" t="s"/>
      <x:c r="BD141" s="11" t="s">
        <x:v>304</x:v>
      </x:c>
      <x:c r="BE141" s="12" t="n">
        <x:f>=BO141</x:f>
      </x:c>
      <x:c r="BF141" s="12" t="n">
        <x:v>0.7240479916536254564423578508</x:v>
      </x:c>
      <x:c r="BG141" s="12" t="n">
        <x:v>0.0532081377151799687010954617</x:v>
      </x:c>
      <x:c r="BH141" s="12" t="n">
        <x:v>0.2227438706311945748565466875</x:v>
      </x:c>
      <x:c r="BI141" s="12" t="n">
        <x:f>=BN141</x:f>
      </x:c>
      <x:c r="BJ141" s="13" t="n">
        <x:v>0</x:v>
      </x:c>
      <x:c r="BK141" s="31" t="n">
        <x:v>12871.68</x:v>
      </x:c>
      <x:c r="BL141" s="31" t="n">
        <x:v>-11343.67980</x:v>
      </x:c>
      <x:c r="BM141" s="31" t="n">
        <x:f>=BK141+BL141</x:f>
      </x:c>
      <x:c r="BN141" s="68" t="n">
        <x:f>=BM141/BK141</x:f>
      </x:c>
      <x:c r="BO141" s="68" t="n">
        <x:v>0.7772561293688054251434533125</x:v>
      </x:c>
      <x:c r="BP141" s="31" t="n">
        <x:v>10407.75</x:v>
      </x:c>
      <x:c r="BQ141" s="42" t="n">
        <x:v>427</x:v>
      </x:c>
      <x:c r="BR141" s="31" t="n">
        <x:v>2318.2625195618153364632237872</x:v>
      </x:c>
      <x:c r="BT141" s="31" t="n">
        <x:v>18063.180366224938125000000</x:v>
      </x:c>
      <x:c r="BU141" s="31" t="n">
        <x:v>-11343.67980</x:v>
      </x:c>
      <x:c r="BV141" s="31" t="n">
        <x:f>=BT141+BU141</x:f>
      </x:c>
      <x:c r="BW141" s="68" t="n">
        <x:f>=BV141/BT141</x:f>
      </x:c>
      <x:c r="BY141" s="68" t="n">
        <x:f>=BO141</x:f>
      </x:c>
      <x:c r="BZ141" s="68" t="n">
        <x:f>=BF141</x:f>
      </x:c>
      <x:c r="CA141" s="68" t="n">
        <x:f>=BG141</x:f>
      </x:c>
      <x:c r="CB141" s="68" t="n">
        <x:f>=1 - BY141</x:f>
      </x:c>
      <x:c r="CD141" s="68" t="n">
        <x:f>=CA141/(1-BZ141)</x:f>
      </x:c>
    </x:row>
    <x:row r="142">
      <x:c r="A142" s="32" t="s">
        <x:v>305</x:v>
      </x:c>
      <x:c r="B142" t="s"/>
      <x:c r="C142" t="s">
        <x:v>306</x:v>
      </x:c>
      <x:c r="D142" t="s">
        <x:v>96</x:v>
      </x:c>
      <x:c r="E142" t="s">
        <x:v>132</x:v>
      </x:c>
      <x:c r="F142" t="n">
        <x:v>3190</x:v>
      </x:c>
      <x:c r="G142" s="33" t="n">
        <x:v>0.011912225705329153605015674</x:v>
      </x:c>
      <x:c r="H142" s="33" t="n">
        <x:v>0.0304075235109717868338557994</x:v>
      </x:c>
      <x:c r="I142" s="33" t="n">
        <x:v>0.0457680250783699059561128527</x:v>
      </x:c>
      <x:c r="J142" s="33" t="n">
        <x:v>0.0623824451410658307210031348</x:v>
      </x:c>
      <x:c r="K142" s="33" t="n">
        <x:v>0.0771159874608150470219435737</x:v>
      </x:c>
      <x:c r="L142" s="33" t="n">
        <x:v>0.0915360501567398119122257053</x:v>
      </x:c>
      <x:c r="M142" s="33" t="n">
        <x:v>0.1131661442006269592476489028</x:v>
      </x:c>
      <x:c r="N142" s="33" t="n">
        <x:v>0.1463949843260188087774294671</x:v>
      </x:c>
      <x:c r="O142" s="33" t="n">
        <x:v>0.1896551724137931034482758621</x:v>
      </x:c>
      <x:c r="P142" s="33" t="n">
        <x:v>0.2282131661442006269592476489</x:v>
      </x:c>
      <x:c r="Q142" s="33" t="n">
        <x:v>0.2721003134796238244514106583</x:v>
      </x:c>
      <x:c r="R142" s="33" t="n">
        <x:v>0.2946708463949843260188087774</x:v>
      </x:c>
      <x:c r="S142" s="33" t="n">
        <x:v>0.3241379310344827586206896552</x:v>
      </x:c>
      <x:c r="T142" s="33" t="n">
        <x:v>0.3394984326018808777429467085</x:v>
      </x:c>
      <x:c r="U142" s="33" t="n">
        <x:v>0.349216300940438871473354232</x:v>
      </x:c>
      <x:c r="V142" s="33" t="n">
        <x:v>0.3564263322884012539184952978</x:v>
      </x:c>
      <x:c r="W142" s="33" t="n">
        <x:v>0.3642633228840125391849529781</x:v>
      </x:c>
      <x:c r="X142" s="33" t="n">
        <x:v>0.3733542319749216300940438871</x:v>
      </x:c>
      <x:c r="Y142" s="33" t="n">
        <x:v>0.3824451410658307210031347962</x:v>
      </x:c>
      <x:c r="Z142" s="33" t="n">
        <x:v>0.3918495297805642633228840125</x:v>
      </x:c>
      <x:c r="AA142" s="33" t="n">
        <x:v>0.4018808777429467084639498433</x:v>
      </x:c>
      <x:c r="AB142" s="33" t="n">
        <x:v>0.4100313479623824451410658307</x:v>
      </x:c>
      <x:c r="AC142" s="33" t="n">
        <x:v>0.4197492163009404388714733542</x:v>
      </x:c>
      <x:c r="AD142" s="33" t="n">
        <x:v>0.4241379310344827586206896552</x:v>
      </x:c>
      <x:c r="AE142" s="33" t="n">
        <x:v>0.429780564263322884012539185</x:v>
      </x:c>
      <x:c r="AF142" s="33" t="n">
        <x:v>0.4326018808777429467084639498</x:v>
      </x:c>
      <x:c r="AG142" s="33" t="n">
        <x:v>0.4366771159874608150470219436</x:v>
      </x:c>
      <x:c r="AH142" s="33" t="n">
        <x:v>0.4394984326018808777429467085</x:v>
      </x:c>
      <x:c r="AI142" s="33" t="n">
        <x:v>0.4445141065830721003134796238</x:v>
      </x:c>
      <x:c r="AJ142" s="33" t="n">
        <x:v>0.4576802507836990595611285266</x:v>
      </x:c>
      <x:c r="AK142" s="23" t="n">
        <x:v>0.4598746081504702194357366771</x:v>
      </x:c>
      <x:c r="BC142" s="34" t="s"/>
      <x:c r="BD142" s="11" t="s">
        <x:v>307</x:v>
      </x:c>
      <x:c r="BE142" s="12" t="n">
        <x:f>=BO142</x:f>
      </x:c>
      <x:c r="BF142" s="12" t="n">
        <x:v>0.4648902821316614420062695925</x:v>
      </x:c>
      <x:c r="BG142" s="12" t="n">
        <x:v>0.2858934169278996865203761755</x:v>
      </x:c>
      <x:c r="BH142" s="12" t="n">
        <x:v>0.249216300940438871473354232</x:v>
      </x:c>
      <x:c r="BI142" s="12" t="n">
        <x:f>=BN142</x:f>
      </x:c>
      <x:c r="BJ142" s="13" t="n">
        <x:v>0</x:v>
      </x:c>
      <x:c r="BK142" s="31" t="n">
        <x:v>15197.58</x:v>
      </x:c>
      <x:c r="BL142" s="31" t="n">
        <x:v>-15100.7184</x:v>
      </x:c>
      <x:c r="BM142" s="31" t="n">
        <x:f>=BK142+BL142</x:f>
      </x:c>
      <x:c r="BN142" s="68" t="n">
        <x:f>=BM142/BK142</x:f>
      </x:c>
      <x:c r="BO142" s="68" t="n">
        <x:v>0.750783699059561128526645768</x:v>
      </x:c>
      <x:c r="BP142" s="31" t="n">
        <x:v>14448.62</x:v>
      </x:c>
      <x:c r="BQ142" s="42" t="n">
        <x:v>795</x:v>
      </x:c>
      <x:c r="BR142" s="31" t="n">
        <x:v>3600.8316300940438871473354232</x:v>
      </x:c>
      <x:c r="BT142" s="31" t="n">
        <x:v>22557.604929003573750000000</x:v>
      </x:c>
      <x:c r="BU142" s="31" t="n">
        <x:v>-15100.7184</x:v>
      </x:c>
      <x:c r="BV142" s="31" t="n">
        <x:f>=BT142+BU142</x:f>
      </x:c>
      <x:c r="BW142" s="68" t="n">
        <x:f>=BV142/BT142</x:f>
      </x:c>
      <x:c r="BY142" s="68" t="n">
        <x:f>=BO142</x:f>
      </x:c>
      <x:c r="BZ142" s="68" t="n">
        <x:f>=BF142</x:f>
      </x:c>
      <x:c r="CA142" s="68" t="n">
        <x:f>=BG142</x:f>
      </x:c>
      <x:c r="CB142" s="68" t="n">
        <x:f>=1 - BY142</x:f>
      </x:c>
      <x:c r="CD142" s="68" t="n">
        <x:f>=CA142/(1-BZ142)</x:f>
      </x:c>
    </x:row>
    <x:row r="143">
      <x:c r="A143" s="32" t="s">
        <x:v>308</x:v>
      </x:c>
      <x:c r="B143" t="s"/>
      <x:c r="C143" t="s">
        <x:v>309</x:v>
      </x:c>
      <x:c r="D143" t="s">
        <x:v>259</x:v>
      </x:c>
      <x:c r="E143" t="s">
        <x:v>132</x:v>
      </x:c>
      <x:c r="F143" t="n">
        <x:v>1033</x:v>
      </x:c>
      <x:c r="G143" s="33" t="n">
        <x:v>0.0154888673765730880929332043</x:v>
      </x:c>
      <x:c r="H143" s="33" t="n">
        <x:v>0.0784123910939012584704743466</x:v>
      </x:c>
      <x:c r="I143" s="33" t="n">
        <x:v>0.1026137463697967086156824782</x:v>
      </x:c>
      <x:c r="J143" s="33" t="n">
        <x:v>0.1452081316553727008712487899</x:v>
      </x:c>
      <x:c r="K143" s="33" t="n">
        <x:v>0.1597289448209099709583736689</x:v>
      </x:c>
      <x:c r="L143" s="33" t="n">
        <x:v>0.1858664085188770571151984511</x:v>
      </x:c>
      <x:c r="M143" s="33" t="n">
        <x:v>0.2032913843175217812197483059</x:v>
      </x:c>
      <x:c r="N143" s="33" t="n">
        <x:v>0.2410454985479186834462729913</x:v>
      </x:c>
      <x:c r="O143" s="33" t="n">
        <x:v>0.2681510164569215876089060987</x:v>
      </x:c>
      <x:c r="P143" s="33" t="n">
        <x:v>0.3059051306873184898354307841</x:v>
      </x:c>
      <x:c r="Q143" s="33" t="n">
        <x:v>0.3426911907066795740561471442</x:v>
      </x:c>
      <x:c r="R143" s="33" t="n">
        <x:v>0.3901258470474346563407550823</x:v>
      </x:c>
      <x:c r="S143" s="33" t="n">
        <x:v>0.4298160696999031945788964182</x:v>
      </x:c>
      <x:c r="T143" s="33" t="n">
        <x:v>0.4685382381413359148112294288</x:v>
      </x:c>
      <x:c r="U143" s="33" t="n">
        <x:v>0.4937076476282671829622458858</x:v>
      </x:c>
      <x:c r="V143" s="33" t="n">
        <x:v>0.5411423039690222652468538238</x:v>
      </x:c>
      <x:c r="W143" s="33" t="n">
        <x:v>0.5914811229428848015488867377</x:v>
      </x:c>
      <x:c r="X143" s="33" t="n">
        <x:v>0.625363020329138431752178122</x:v>
      </x:c>
      <x:c r="Y143" s="33" t="n">
        <x:v>0.65440464666021297192642788</x:v>
      </x:c>
      <x:c r="Z143" s="33" t="n">
        <x:v>0.6747337850919651500484027106</x:v>
      </x:c>
      <x:c r="AA143" s="33" t="n">
        <x:v>0.6834462729912875121006776379</x:v>
      </x:c>
      <x:c r="AB143" s="33" t="n">
        <x:v>0.6989351403678606001936108422</x:v>
      </x:c>
      <x:c r="AC143" s="24" t="n">
        <x:v>0.7037754114230396902226524685</x:v>
      </x:c>
      <x:c r="AD143" s="33" t="n">
        <x:v>0.7105517909002904162633107454</x:v>
      </x:c>
      <x:c r="AE143" s="33" t="n">
        <x:v>0.7337850919651500484027105518</x:v>
      </x:c>
      <x:c r="AF143" s="33" t="n">
        <x:v>0.7463697967086156824782187803</x:v>
      </x:c>
      <x:c r="AG143" s="33" t="n">
        <x:v>0.7618586640851887705711519845</x:v>
      </x:c>
      <x:c r="AH143" s="33" t="n">
        <x:v>0.788964181994191674733785092</x:v>
      </x:c>
      <x:c r="AI143" s="33" t="n">
        <x:v>0.8083252662149080348499515973</x:v>
      </x:c>
      <x:c r="AJ143" s="33" t="n">
        <x:v>0.8412391093901258470474346563</x:v>
      </x:c>
      <x:c r="AK143" s="23" t="n">
        <x:v>0.8499515972894482090997095837</x:v>
      </x:c>
      <x:c r="BC143" s="34" t="s"/>
      <x:c r="BD143" s="11" t="s">
        <x:v>307</x:v>
      </x:c>
      <x:c r="BE143" s="12" t="n">
        <x:f>=BO143</x:f>
      </x:c>
      <x:c r="BF143" s="12" t="n">
        <x:v>0.8441432720232333010648596321</x:v>
      </x:c>
      <x:c r="BG143" s="12" t="n">
        <x:v>0.1665053242981606969990319458</x:v>
      </x:c>
      <x:c r="BH143" s="12" t="n">
        <x:v>-0.0106485963213939980638915779</x:v>
      </x:c>
      <x:c r="BI143" s="12" t="n">
        <x:f>=BN143</x:f>
      </x:c>
      <x:c r="BJ143" s="13" t="n">
        <x:v>0</x:v>
      </x:c>
      <x:c r="BK143" s="31" t="n">
        <x:v>11212.66</x:v>
      </x:c>
      <x:c r="BL143" s="31" t="n">
        <x:v>-7300.18550</x:v>
      </x:c>
      <x:c r="BM143" s="31" t="n">
        <x:f>=BK143+BL143</x:f>
      </x:c>
      <x:c r="BN143" s="68" t="n">
        <x:f>=BM143/BK143</x:f>
      </x:c>
      <x:c r="BO143" s="68" t="n">
        <x:v>1.0106485963213939980638915779</x:v>
      </x:c>
      <x:c r="BP143" s="31" t="n">
        <x:v>6741.90</x:v>
      </x:c>
      <x:c r="BQ143" s="42" t="n">
        <x:v>-11</x:v>
      </x:c>
      <x:c r="BR143" s="31" t="n">
        <x:v>-71.791771539206195546950629235</x:v>
      </x:c>
      <x:c r="BT143" s="31" t="n">
        <x:v>14639.356521504401125000000</x:v>
      </x:c>
      <x:c r="BU143" s="31" t="n">
        <x:v>-7300.18550</x:v>
      </x:c>
      <x:c r="BV143" s="31" t="n">
        <x:f>=BT143+BU143</x:f>
      </x:c>
      <x:c r="BW143" s="68" t="n">
        <x:f>=BV143/BT143</x:f>
      </x:c>
      <x:c r="BY143" s="68" t="n">
        <x:f>=BO143</x:f>
      </x:c>
      <x:c r="BZ143" s="68" t="n">
        <x:f>=BF143</x:f>
      </x:c>
      <x:c r="CA143" s="68" t="n">
        <x:f>=BG143</x:f>
      </x:c>
      <x:c r="CB143" s="68" t="n">
        <x:f>=1 - BY143</x:f>
      </x:c>
      <x:c r="CD143" s="68" t="n">
        <x:f>=CA143/(1-BZ143)</x:f>
      </x:c>
    </x:row>
    <x:row r="144">
      <x:c r="A144" s="32" t="s">
        <x:v>310</x:v>
      </x:c>
      <x:c r="B144" t="s"/>
      <x:c r="C144" t="s">
        <x:v>311</x:v>
      </x:c>
      <x:c r="D144" t="s">
        <x:v>96</x:v>
      </x:c>
      <x:c r="E144" t="s">
        <x:v>132</x:v>
      </x:c>
      <x:c r="F144" t="n">
        <x:v>4972</x:v>
      </x:c>
      <x:c r="G144" s="33" t="n">
        <x:v>0.0090506838294448913917940467</x:v>
      </x:c>
      <x:c r="H144" s="33" t="n">
        <x:v>0.0633547868061142397425583266</x:v>
      </x:c>
      <x:c r="I144" s="33" t="n">
        <x:v>0.1411906677393403057119871279</x:v>
      </x:c>
      <x:c r="J144" s="33" t="n">
        <x:v>0.210579243765084473049074819</x:v>
      </x:c>
      <x:c r="K144" s="33" t="n">
        <x:v>0.2658889782783588093322606597</x:v>
      </x:c>
      <x:c r="L144" s="33" t="n">
        <x:v>0.3113435237329042638777152051</x:v>
      </x:c>
      <x:c r="M144" s="33" t="n">
        <x:v>0.366854384553499597747385358</x:v>
      </x:c>
      <x:c r="N144" s="33" t="n">
        <x:v>0.4183427192276749798873692679</x:v>
      </x:c>
      <x:c r="O144" s="33" t="n">
        <x:v>0.4601769911504424778761061947</x:v>
      </x:c>
      <x:c r="P144" s="33" t="n">
        <x:v>0.4979887369267900241351568785</x:v>
      </x:c>
      <x:c r="Q144" s="33" t="n">
        <x:v>0.5390185036202735317779565567</x:v>
      </x:c>
      <x:c r="R144" s="33" t="n">
        <x:v>0.589702333065164923572003218</x:v>
      </x:c>
      <x:c r="S144" s="33" t="n">
        <x:v>0.6323411102172164119066773934</x:v>
      </x:c>
      <x:c r="T144" s="33" t="n">
        <x:v>0.6695494770716009654062751408</x:v>
      </x:c>
      <x:c r="U144" s="24" t="n">
        <x:v>0.7047465808527755430410297667</x:v>
      </x:c>
      <x:c r="V144" s="33" t="n">
        <x:v>0.7379324215607401448109412711</x:v>
      </x:c>
      <x:c r="W144" s="33" t="n">
        <x:v>0.7670957361222847948511665326</x:v>
      </x:c>
      <x:c r="X144" s="33" t="n">
        <x:v>0.7958567980691874497184231698</x:v>
      </x:c>
      <x:c r="Y144" s="33" t="n">
        <x:v>0.8119469026548672566371681416</x:v>
      </x:c>
      <x:c r="Z144" s="33" t="n">
        <x:v>0.8264279967819790828640386163</x:v>
      </x:c>
      <x:c r="AA144" s="33" t="n">
        <x:v>0.8509654062751407884151246983</x:v>
      </x:c>
      <x:c r="AB144" s="33" t="n">
        <x:v>0.8712791633145615446500402253</x:v>
      </x:c>
      <x:c r="AC144" s="23" t="n">
        <x:v>0.8911906677393403057119871279</x:v>
      </x:c>
      <x:c r="BC144" s="34" t="s"/>
      <x:c r="BD144" s="11" t="s">
        <x:v>196</x:v>
      </x:c>
      <x:c r="BE144" s="12" t="n">
        <x:f>=BO144</x:f>
      </x:c>
      <x:c r="BF144" s="12" t="n">
        <x:v>0.892598551890587288817377313</x:v>
      </x:c>
      <x:c r="BG144" s="12" t="n">
        <x:v>0.1057924376508447304907481899</x:v>
      </x:c>
      <x:c r="BH144" s="12" t="n">
        <x:v>0.0016090104585679806918744972</x:v>
      </x:c>
      <x:c r="BI144" s="12" t="n">
        <x:f>=BN144</x:f>
      </x:c>
      <x:c r="BJ144" s="13" t="n">
        <x:v>0</x:v>
      </x:c>
      <x:c r="BK144" s="31" t="n">
        <x:v>17732.66</x:v>
      </x:c>
      <x:c r="BL144" s="31" t="n">
        <x:v>-9225.2436</x:v>
      </x:c>
      <x:c r="BM144" s="31" t="n">
        <x:f>=BK144+BL144</x:f>
      </x:c>
      <x:c r="BN144" s="68" t="n">
        <x:f>=BM144/BK144</x:f>
      </x:c>
      <x:c r="BO144" s="68" t="n">
        <x:v>0.9983909895414320193081255028</x:v>
      </x:c>
      <x:c r="BP144" s="31" t="n">
        <x:v>9275.80</x:v>
      </x:c>
      <x:c r="BQ144" s="42" t="n">
        <x:v>8</x:v>
      </x:c>
      <x:c r="BR144" s="31" t="n">
        <x:v>14.924859211584875301689460982</x:v>
      </x:c>
      <x:c r="BT144" s="31" t="n">
        <x:v>23377.360016704875500000000</x:v>
      </x:c>
      <x:c r="BU144" s="31" t="n">
        <x:v>-9225.2436</x:v>
      </x:c>
      <x:c r="BV144" s="31" t="n">
        <x:f>=BT144+BU144</x:f>
      </x:c>
      <x:c r="BW144" s="68" t="n">
        <x:f>=BV144/BT144</x:f>
      </x:c>
      <x:c r="BY144" s="68" t="n">
        <x:f>=BO144</x:f>
      </x:c>
      <x:c r="BZ144" s="68" t="n">
        <x:f>=BF144</x:f>
      </x:c>
      <x:c r="CA144" s="68" t="n">
        <x:f>=BG144</x:f>
      </x:c>
      <x:c r="CB144" s="68" t="n">
        <x:f>=1 - BY144</x:f>
      </x:c>
      <x:c r="CD144" s="68" t="n">
        <x:f>=CA144/(1-BZ144)</x:f>
      </x:c>
    </x:row>
    <x:row r="145">
      <x:c r="A145" s="32" t="s">
        <x:v>312</x:v>
      </x:c>
      <x:c r="B145" t="s"/>
      <x:c r="C145" t="s">
        <x:v>313</x:v>
      </x:c>
      <x:c r="D145" t="s">
        <x:v>96</x:v>
      </x:c>
      <x:c r="E145" t="s">
        <x:v>132</x:v>
      </x:c>
      <x:c r="F145" t="n">
        <x:v>2970</x:v>
      </x:c>
      <x:c r="G145" s="33" t="n">
        <x:v>0.004040404040404040404040404</x:v>
      </x:c>
      <x:c r="H145" s="33" t="n">
        <x:v>0.0734006734006734006734006734</x:v>
      </x:c>
      <x:c r="I145" s="33" t="n">
        <x:v>0.138047138047138047138047138</x:v>
      </x:c>
      <x:c r="J145" s="33" t="n">
        <x:v>0.1942760942760942760942760943</x:v>
      </x:c>
      <x:c r="K145" s="33" t="n">
        <x:v>0.2417508417508417508417508418</x:v>
      </x:c>
      <x:c r="L145" s="33" t="n">
        <x:v>0.2895622895622895622895622896</x:v>
      </x:c>
      <x:c r="M145" s="33" t="n">
        <x:v>0.3410774410774410774410774411</x:v>
      </x:c>
      <x:c r="N145" s="33" t="n">
        <x:v>0.3764309764309764309764309764</x:v>
      </x:c>
      <x:c r="O145" s="33" t="n">
        <x:v>0.4107744107744107744107744108</x:v>
      </x:c>
      <x:c r="P145" s="33" t="n">
        <x:v>0.4427609427609427609427609428</x:v>
      </x:c>
      <x:c r="Q145" s="33" t="n">
        <x:v>0.4757575757575757575757575758</x:v>
      </x:c>
      <x:c r="R145" s="33" t="n">
        <x:v>0.4983164983164983164983164983</x:v>
      </x:c>
      <x:c r="S145" s="33" t="n">
        <x:v>0.5205387205387205387205387205</x:v>
      </x:c>
      <x:c r="T145" s="33" t="n">
        <x:v>0.5441077441077441077441077441</x:v>
      </x:c>
      <x:c r="U145" s="33" t="n">
        <x:v>0.5626262626262626262626262626</x:v>
      </x:c>
      <x:c r="V145" s="33" t="n">
        <x:v>0.5814814814814814814814814815</x:v>
      </x:c>
      <x:c r="W145" s="33" t="n">
        <x:v>0.6033670033670033670033670034</x:v>
      </x:c>
      <x:c r="X145" s="33" t="n">
        <x:v>0.6252525252525252525252525253</x:v>
      </x:c>
      <x:c r="Y145" s="33" t="n">
        <x:v>0.6420875420875420875420875421</x:v>
      </x:c>
      <x:c r="Z145" s="33" t="n">
        <x:v>0.6643097643097643097643097643</x:v>
      </x:c>
      <x:c r="AA145" s="33" t="n">
        <x:v>0.6855218855218855218855218855</x:v>
      </x:c>
      <x:c r="AB145" s="24" t="n">
        <x:v>0.7043771043771043771043771044</x:v>
      </x:c>
      <x:c r="BC145" s="34" t="s"/>
      <x:c r="BD145" s="11" t="s">
        <x:v>199</x:v>
      </x:c>
      <x:c r="BE145" s="12" t="n">
        <x:f>=BO145</x:f>
      </x:c>
      <x:c r="BF145" s="12" t="n">
        <x:v>0.7212121212121212121212121212</x:v>
      </x:c>
      <x:c r="BG145" s="12" t="n">
        <x:v>0.2356902356902356902356902357</x:v>
      </x:c>
      <x:c r="BH145" s="12" t="n">
        <x:v>0.0430976430976430976430976431</x:v>
      </x:c>
      <x:c r="BI145" s="12" t="n">
        <x:f>=BN145</x:f>
      </x:c>
      <x:c r="BJ145" s="13" t="n">
        <x:v>0</x:v>
      </x:c>
      <x:c r="BK145" s="31" t="n">
        <x:v>9602.47</x:v>
      </x:c>
      <x:c r="BL145" s="31" t="n">
        <x:v>-5985.8425</x:v>
      </x:c>
      <x:c r="BM145" s="31" t="n">
        <x:f>=BK145+BL145</x:f>
      </x:c>
      <x:c r="BN145" s="68" t="n">
        <x:f>=BM145/BK145</x:f>
      </x:c>
      <x:c r="BO145" s="68" t="n">
        <x:v>0.9569023569023569023569023569</x:v>
      </x:c>
      <x:c r="BP145" s="31" t="n">
        <x:v>5739.25</x:v>
      </x:c>
      <x:c r="BQ145" s="42" t="n">
        <x:v>128</x:v>
      </x:c>
      <x:c r="BR145" s="31" t="n">
        <x:v>247.34814814814814814814814815</x:v>
      </x:c>
      <x:c r="BT145" s="31" t="n">
        <x:v>13014.37681178594500000000</x:v>
      </x:c>
      <x:c r="BU145" s="31" t="n">
        <x:v>-5985.8425</x:v>
      </x:c>
      <x:c r="BV145" s="31" t="n">
        <x:f>=BT145+BU145</x:f>
      </x:c>
      <x:c r="BW145" s="68" t="n">
        <x:f>=BV145/BT145</x:f>
      </x:c>
      <x:c r="BY145" s="68" t="n">
        <x:f>=BO145</x:f>
      </x:c>
      <x:c r="BZ145" s="68" t="n">
        <x:f>=BF145</x:f>
      </x:c>
      <x:c r="CA145" s="68" t="n">
        <x:f>=BG145</x:f>
      </x:c>
      <x:c r="CB145" s="68" t="n">
        <x:f>=1 - BY145</x:f>
      </x:c>
      <x:c r="CD145" s="68" t="n">
        <x:f>=CA145/(1-BZ145)</x:f>
      </x:c>
    </x:row>
    <x:row r="146">
      <x:c r="A146" s="32" t="s">
        <x:v>314</x:v>
      </x:c>
      <x:c r="B146" t="s"/>
      <x:c r="C146" t="s">
        <x:v>315</x:v>
      </x:c>
      <x:c r="D146" t="s">
        <x:v>96</x:v>
      </x:c>
      <x:c r="E146" t="s">
        <x:v>132</x:v>
      </x:c>
      <x:c r="F146" t="n">
        <x:v>2005</x:v>
      </x:c>
      <x:c r="G146" s="33" t="n">
        <x:v>0.1012468827930174563591022444</x:v>
      </x:c>
      <x:c r="H146" s="33" t="n">
        <x:v>0.2458852867830423940149625935</x:v>
      </x:c>
      <x:c r="I146" s="33" t="n">
        <x:v>0.4199501246882793017456359102</x:v>
      </x:c>
      <x:c r="J146" s="33" t="n">
        <x:v>0.6558603491271820448877805486</x:v>
      </x:c>
      <x:c r="K146" s="24" t="n">
        <x:v>0.8164588528678304239401496259</x:v>
      </x:c>
      <x:c r="L146" s="33" t="n">
        <x:v>0.885785536159600997506234414</x:v>
      </x:c>
      <x:c r="M146" s="33" t="n">
        <x:v>0.9097256857855361596009975062</x:v>
      </x:c>
      <x:c r="N146" s="33" t="n">
        <x:v>0.9246882793017456359102244389</x:v>
      </x:c>
      <x:c r="O146" s="33" t="n">
        <x:v>0.9351620947630922693266832918</x:v>
      </x:c>
      <x:c r="P146" s="33" t="n">
        <x:v>0.9476309226932668329177057357</x:v>
      </x:c>
      <x:c r="Q146" s="33" t="n">
        <x:v>0.9481296758104738154613466334</x:v>
      </x:c>
      <x:c r="R146" s="33" t="n">
        <x:v>0.9521197007481296758104738155</x:v>
      </x:c>
      <x:c r="S146" s="33" t="n">
        <x:v>0.9546134663341645885286783042</x:v>
      </x:c>
      <x:c r="T146" s="33" t="n">
        <x:v>0.9576059850374064837905236908</x:v>
      </x:c>
      <x:c r="U146" s="33" t="n">
        <x:v>0.9600997506234413965087281796</x:v>
      </x:c>
      <x:c r="V146" s="33" t="n">
        <x:v>0.9635910224438902743142144638</x:v>
      </x:c>
      <x:c r="W146" s="33" t="n">
        <x:v>0.9660847880299251870324189526</x:v>
      </x:c>
      <x:c r="X146" s="33" t="n">
        <x:v>0.9700748129675810473815461347</x:v>
      </x:c>
      <x:c r="Y146" s="23" t="n">
        <x:v>0.977556109725685785536159601</x:v>
      </x:c>
      <x:c r="BC146" s="34" t="s"/>
      <x:c r="BD146" s="11" t="s">
        <x:v>133</x:v>
      </x:c>
      <x:c r="BE146" s="12" t="n">
        <x:f>=BO146</x:f>
      </x:c>
      <x:c r="BF146" s="12" t="n">
        <x:v>0.9745635910224438902743142145</x:v>
      </x:c>
      <x:c r="BG146" s="12" t="n">
        <x:v>0.0124688279301745635910224439</x:v>
      </x:c>
      <x:c r="BH146" s="12" t="n">
        <x:v>0.0129675810473815461346633416</x:v>
      </x:c>
      <x:c r="BI146" s="12" t="n">
        <x:f>=BN146</x:f>
      </x:c>
      <x:c r="BJ146" s="13" t="n">
        <x:v>0</x:v>
      </x:c>
      <x:c r="BK146" s="31" t="n">
        <x:v>8941.67</x:v>
      </x:c>
      <x:c r="BL146" s="31" t="n">
        <x:v>-4775.9515</x:v>
      </x:c>
      <x:c r="BM146" s="31" t="n">
        <x:f>=BK146+BL146</x:f>
      </x:c>
      <x:c r="BN146" s="68" t="n">
        <x:f>=BM146/BK146</x:f>
      </x:c>
      <x:c r="BO146" s="68" t="n">
        <x:v>0.9870324189526184538653366584</x:v>
      </x:c>
      <x:c r="BP146" s="31" t="n">
        <x:v>4695.05</x:v>
      </x:c>
      <x:c r="BQ146" s="42" t="n">
        <x:v>26</x:v>
      </x:c>
      <x:c r="BR146" s="31" t="n">
        <x:v>60.883441396508728179551122195</x:v>
      </x:c>
      <x:c r="BT146" s="31" t="n">
        <x:v>11643.052017707241875000000</x:v>
      </x:c>
      <x:c r="BU146" s="31" t="n">
        <x:v>-4775.9515</x:v>
      </x:c>
      <x:c r="BV146" s="31" t="n">
        <x:f>=BT146+BU146</x:f>
      </x:c>
      <x:c r="BW146" s="68" t="n">
        <x:f>=BV146/BT146</x:f>
      </x:c>
      <x:c r="BY146" s="68" t="n">
        <x:f>=BO146</x:f>
      </x:c>
      <x:c r="BZ146" s="68" t="n">
        <x:f>=BF146</x:f>
      </x:c>
      <x:c r="CA146" s="68" t="n">
        <x:f>=BG146</x:f>
      </x:c>
      <x:c r="CB146" s="68" t="n">
        <x:f>=1 - BY146</x:f>
      </x:c>
      <x:c r="CD146" s="68" t="n">
        <x:f>=CA146/(1-BZ146)</x:f>
      </x:c>
    </x:row>
    <x:row r="147">
      <x:c r="A147" s="32" t="s">
        <x:v>316</x:v>
      </x:c>
      <x:c r="B147" t="s"/>
      <x:c r="C147" t="s">
        <x:v>317</x:v>
      </x:c>
      <x:c r="D147" t="s">
        <x:v>259</x:v>
      </x:c>
      <x:c r="E147" t="s">
        <x:v>132</x:v>
      </x:c>
      <x:c r="F147" t="n">
        <x:v>3020</x:v>
      </x:c>
      <x:c r="G147" s="33" t="n">
        <x:v>0.0029801324503311258278145695</x:v>
      </x:c>
      <x:c r="H147" s="33" t="n">
        <x:v>0.022185430463576158940397351</x:v>
      </x:c>
      <x:c r="I147" s="33" t="n">
        <x:v>0.0529801324503311258278145695</x:v>
      </x:c>
      <x:c r="J147" s="33" t="n">
        <x:v>0.1009933774834437086092715232</x:v>
      </x:c>
      <x:c r="K147" s="33" t="n">
        <x:v>0.1380794701986754966887417219</x:v>
      </x:c>
      <x:c r="L147" s="33" t="n">
        <x:v>0.1758278145695364238410596026</x:v>
      </x:c>
      <x:c r="M147" s="33" t="n">
        <x:v>0.2301324503311258278145695364</x:v>
      </x:c>
      <x:c r="N147" s="33" t="n">
        <x:v>0.2824503311258278145695364238</x:v>
      </x:c>
      <x:c r="O147" s="33" t="n">
        <x:v>0.3344370860927152317880794702</x:v>
      </x:c>
      <x:c r="P147" s="33" t="n">
        <x:v>0.4115894039735099337748344371</x:v>
      </x:c>
      <x:c r="Q147" s="33" t="n">
        <x:v>0.5013245033112582781456953642</x:v>
      </x:c>
      <x:c r="R147" s="33" t="n">
        <x:v>0.6129139072847682119205298013</x:v>
      </x:c>
      <x:c r="S147" s="33" t="n">
        <x:v>0.6523178807947019867549668874</x:v>
      </x:c>
      <x:c r="T147" s="24" t="n">
        <x:v>0.8817880794701986754966887417</x:v>
      </x:c>
      <x:c r="BC147" s="34" t="s"/>
      <x:c r="BD147" s="11" t="s">
        <x:v>118</x:v>
      </x:c>
      <x:c r="BE147" s="12" t="n">
        <x:f>=BO147</x:f>
      </x:c>
      <x:c r="BF147" s="12" t="n">
        <x:v>0.6400662251655629139072847682</x:v>
      </x:c>
      <x:c r="BG147" s="12" t="n">
        <x:v>0.355298013245033112582781457</x:v>
      </x:c>
      <x:c r="BH147" s="12" t="n">
        <x:v>0.0046357615894039735099337748</x:v>
      </x:c>
      <x:c r="BI147" s="12" t="n">
        <x:f>=BN147</x:f>
      </x:c>
      <x:c r="BJ147" s="13" t="n">
        <x:v>0</x:v>
      </x:c>
      <x:c r="BK147" s="31" t="n">
        <x:v>39556.02</x:v>
      </x:c>
      <x:c r="BL147" s="31" t="n">
        <x:v>-28794.44640</x:v>
      </x:c>
      <x:c r="BM147" s="31" t="n">
        <x:f>=BK147+BL147</x:f>
      </x:c>
      <x:c r="BN147" s="68" t="n">
        <x:f>=BM147/BK147</x:f>
      </x:c>
      <x:c r="BO147" s="68" t="n">
        <x:v>0.9953642384105960264900662252</x:v>
      </x:c>
      <x:c r="BP147" s="31" t="n">
        <x:v>26490.40</x:v>
      </x:c>
      <x:c r="BQ147" s="42" t="n">
        <x:v>14</x:v>
      </x:c>
      <x:c r="BR147" s="31" t="n">
        <x:v>122.80317880794701986754966887</x:v>
      </x:c>
      <x:c r="BT147" s="31" t="n">
        <x:v>54038.79457241586000000000</x:v>
      </x:c>
      <x:c r="BU147" s="31" t="n">
        <x:v>-28794.44640</x:v>
      </x:c>
      <x:c r="BV147" s="31" t="n">
        <x:f>=BT147+BU147</x:f>
      </x:c>
      <x:c r="BW147" s="68" t="n">
        <x:f>=BV147/BT147</x:f>
      </x:c>
      <x:c r="BY147" s="68" t="n">
        <x:f>=BO147</x:f>
      </x:c>
      <x:c r="BZ147" s="68" t="n">
        <x:f>=BF147</x:f>
      </x:c>
      <x:c r="CA147" s="68" t="n">
        <x:f>=BG147</x:f>
      </x:c>
      <x:c r="CB147" s="68" t="n">
        <x:f>=1 - BY147</x:f>
      </x:c>
      <x:c r="CD147" s="68" t="n">
        <x:f>=CA147/(1-BZ147)</x:f>
      </x:c>
    </x:row>
    <x:row r="148">
      <x:c r="A148" s="32" t="s">
        <x:v>318</x:v>
      </x:c>
      <x:c r="B148" t="s"/>
      <x:c r="C148" t="s">
        <x:v>319</x:v>
      </x:c>
      <x:c r="D148" t="s">
        <x:v>125</x:v>
      </x:c>
      <x:c r="E148" t="s">
        <x:v>132</x:v>
      </x:c>
      <x:c r="F148" t="n">
        <x:v>2101</x:v>
      </x:c>
      <x:c r="G148" s="33" t="n">
        <x:v>0.033793431699190861494526416</x:v>
      </x:c>
      <x:c r="H148" s="33" t="n">
        <x:v>0.0970966206568300809138505474</x:v>
      </x:c>
      <x:c r="I148" s="33" t="n">
        <x:v>0.1627796287482151356496906235</x:v>
      </x:c>
      <x:c r="J148" s="33" t="n">
        <x:v>0.2175154688243693479295573536</x:v>
      </x:c>
      <x:c r="K148" s="33" t="n">
        <x:v>0.2855782960495002379819133746</x:v>
      </x:c>
      <x:c r="L148" s="33" t="n">
        <x:v>0.3741075678248453117563065207</x:v>
      </x:c>
      <x:c r="M148" s="33" t="n">
        <x:v>0.4807234650166587339362208472</x:v>
      </x:c>
      <x:c r="N148" s="33" t="n">
        <x:v>0.5778200856734888148500713946</x:v>
      </x:c>
      <x:c r="O148" s="33" t="n">
        <x:v>0.6996668253212755830556877677</x:v>
      </x:c>
      <x:c r="P148" s="24" t="n">
        <x:v>0.8019990480723465016658733936</x:v>
      </x:c>
      <x:c r="Q148" s="33" t="n">
        <x:v>0.8595906711089957163255592575</x:v>
      </x:c>
      <x:c r="R148" s="33" t="n">
        <x:v>0.8843407900999524036173250833</x:v>
      </x:c>
      <x:c r="S148" s="23" t="n">
        <x:v>0.9338410280818657782008567349</x:v>
      </x:c>
      <x:c r="BC148" s="34" t="s"/>
      <x:c r="BD148" s="11" t="s">
        <x:v>297</x:v>
      </x:c>
      <x:c r="BE148" s="12" t="n">
        <x:f>=BO148</x:f>
      </x:c>
      <x:c r="BF148" s="12" t="n">
        <x:v>0.8638743455497382198952879581</x:v>
      </x:c>
      <x:c r="BG148" s="12" t="n">
        <x:v>0.1470728224654926225606853879</x:v>
      </x:c>
      <x:c r="BH148" s="12" t="n">
        <x:v>-0.010947168015230842455973346</x:v>
      </x:c>
      <x:c r="BI148" s="12" t="n">
        <x:f>=BN148</x:f>
      </x:c>
      <x:c r="BJ148" s="13" t="n">
        <x:v>0</x:v>
      </x:c>
      <x:c r="BK148" s="31" t="n">
        <x:v>14615.55</x:v>
      </x:c>
      <x:c r="BL148" s="31" t="n">
        <x:v>-9546.9808</x:v>
      </x:c>
      <x:c r="BM148" s="31" t="n">
        <x:f>=BK148+BL148</x:f>
      </x:c>
      <x:c r="BN148" s="68" t="n">
        <x:f>=BM148/BK148</x:f>
      </x:c>
      <x:c r="BO148" s="68" t="n">
        <x:v>1.010947168015230842455973346</x:v>
      </x:c>
      <x:c r="BP148" s="31" t="n">
        <x:v>9406.02</x:v>
      </x:c>
      <x:c r="BQ148" s="42" t="n">
        <x:v>-23</x:v>
      </x:c>
      <x:c r="BR148" s="31" t="n">
        <x:v>-102.96928129462160875773441218</x:v>
      </x:c>
      <x:c r="BT148" s="31" t="n">
        <x:v>19252.431433032110625000000</x:v>
      </x:c>
      <x:c r="BU148" s="31" t="n">
        <x:v>-9546.9808</x:v>
      </x:c>
      <x:c r="BV148" s="31" t="n">
        <x:f>=BT148+BU148</x:f>
      </x:c>
      <x:c r="BW148" s="68" t="n">
        <x:f>=BV148/BT148</x:f>
      </x:c>
      <x:c r="BY148" s="68" t="n">
        <x:f>=BO148</x:f>
      </x:c>
      <x:c r="BZ148" s="68" t="n">
        <x:f>=BF148</x:f>
      </x:c>
      <x:c r="CA148" s="68" t="n">
        <x:f>=BG148</x:f>
      </x:c>
      <x:c r="CB148" s="68" t="n">
        <x:f>=1 - BY148</x:f>
      </x:c>
      <x:c r="CD148" s="68" t="n">
        <x:f>=CA148/(1-BZ148)</x:f>
      </x:c>
    </x:row>
    <x:row r="149">
      <x:c r="A149" s="32" t="s">
        <x:v>320</x:v>
      </x:c>
      <x:c r="B149" t="s"/>
      <x:c r="C149" t="s">
        <x:v>321</x:v>
      </x:c>
      <x:c r="D149" t="s">
        <x:v>125</x:v>
      </x:c>
      <x:c r="E149" t="s">
        <x:v>132</x:v>
      </x:c>
      <x:c r="F149" t="n">
        <x:v>1974</x:v>
      </x:c>
      <x:c r="G149" s="33" t="n">
        <x:v>0.0283687943262411347517730496</x:v>
      </x:c>
      <x:c r="H149" s="33" t="n">
        <x:v>0.1180344478216818642350557244</x:v>
      </x:c>
      <x:c r="I149" s="33" t="n">
        <x:v>0.2259371833839918946301925025</x:v>
      </x:c>
      <x:c r="J149" s="33" t="n">
        <x:v>0.3611955420466058763931104357</x:v>
      </x:c>
      <x:c r="K149" s="33" t="n">
        <x:v>0.4782168186423505572441742655</x:v>
      </x:c>
      <x:c r="L149" s="33" t="n">
        <x:v>0.6529888551165146909827760892</x:v>
      </x:c>
      <x:c r="M149" s="24" t="n">
        <x:v>0.813576494427558257345491388</x:v>
      </x:c>
      <x:c r="N149" s="33" t="n">
        <x:v>0.9214792299898682877406281662</x:v>
      </x:c>
      <x:c r="O149" s="33" t="n">
        <x:v>0.9559270516717325227963525836</x:v>
      </x:c>
      <x:c r="P149" s="33" t="n">
        <x:v>0.9756838905775075987841945289</x:v>
      </x:c>
      <x:c r="Q149" s="33" t="n">
        <x:v>0.9863221884498480243161094225</x:v>
      </x:c>
      <x:c r="R149" s="33" t="n">
        <x:v>0.9858156028368794326241134752</x:v>
      </x:c>
      <x:c r="S149" s="23" t="n">
        <x:v>0.9908814589665653495440729483</x:v>
      </x:c>
      <x:c r="BC149" s="34" t="s"/>
      <x:c r="BD149" s="11" t="s">
        <x:v>297</x:v>
      </x:c>
      <x:c r="BE149" s="12" t="n">
        <x:f>=BO149</x:f>
      </x:c>
      <x:c r="BF149" s="12" t="n">
        <x:v>0.9640324214792299898682877406</x:v>
      </x:c>
      <x:c r="BG149" s="12" t="n">
        <x:v>0.0374873353596757852077001013</x:v>
      </x:c>
      <x:c r="BH149" s="12" t="n">
        <x:v>-0.0015197568389057750759878419</x:v>
      </x:c>
      <x:c r="BI149" s="12" t="n">
        <x:f>=BN149</x:f>
      </x:c>
      <x:c r="BJ149" s="13" t="n">
        <x:v>0</x:v>
      </x:c>
      <x:c r="BK149" s="31" t="n">
        <x:v>14580.17</x:v>
      </x:c>
      <x:c r="BL149" s="31" t="n">
        <x:v>-8901.3882</x:v>
      </x:c>
      <x:c r="BM149" s="31" t="n">
        <x:f>=BK149+BL149</x:f>
      </x:c>
      <x:c r="BN149" s="68" t="n">
        <x:f>=BM149/BK149</x:f>
      </x:c>
      <x:c r="BO149" s="68" t="n">
        <x:v>1.0015197568389057750759878419</x:v>
      </x:c>
      <x:c r="BP149" s="31" t="n">
        <x:v>7930.98</x:v>
      </x:c>
      <x:c r="BQ149" s="42" t="n">
        <x:v>-3</x:v>
      </x:c>
      <x:c r="BR149" s="31" t="n">
        <x:v>-12.053161094224924012158054711</x:v>
      </x:c>
      <x:c r="BT149" s="31" t="n">
        <x:v>18997.642147620722750000000</x:v>
      </x:c>
      <x:c r="BU149" s="31" t="n">
        <x:v>-8901.3882</x:v>
      </x:c>
      <x:c r="BV149" s="31" t="n">
        <x:f>=BT149+BU149</x:f>
      </x:c>
      <x:c r="BW149" s="68" t="n">
        <x:f>=BV149/BT149</x:f>
      </x:c>
      <x:c r="BY149" s="68" t="n">
        <x:f>=BO149</x:f>
      </x:c>
      <x:c r="BZ149" s="68" t="n">
        <x:f>=BF149</x:f>
      </x:c>
      <x:c r="CA149" s="68" t="n">
        <x:f>=BG149</x:f>
      </x:c>
      <x:c r="CB149" s="68" t="n">
        <x:f>=1 - BY149</x:f>
      </x:c>
      <x:c r="CD149" s="68" t="n">
        <x:f>=CA149/(1-BZ149)</x:f>
      </x:c>
    </x:row>
    <x:row r="150">
      <x:c r="A150" s="32" t="s">
        <x:v>322</x:v>
      </x:c>
      <x:c r="B150" t="s"/>
      <x:c r="C150" t="s">
        <x:v>321</x:v>
      </x:c>
      <x:c r="D150" t="s">
        <x:v>125</x:v>
      </x:c>
      <x:c r="E150" t="s">
        <x:v>132</x:v>
      </x:c>
      <x:c r="F150" t="n">
        <x:v>3989</x:v>
      </x:c>
      <x:c r="G150" s="33" t="n">
        <x:v>0</x:v>
      </x:c>
      <x:c r="H150" s="33" t="n">
        <x:v>0.0002506893958385560290799699</x:v>
      </x:c>
      <x:c r="I150" s="33" t="n">
        <x:v>0.0268237653547254951115567811</x:v>
      </x:c>
      <x:c r="J150" s="33" t="n">
        <x:v>0.1095512659814489847079468538</x:v>
      </x:c>
      <x:c r="K150" s="33" t="n">
        <x:v>0.2093256455251942842817748809</x:v>
      </x:c>
      <x:c r="L150" s="33" t="n">
        <x:v>0.3351717222361494108799197794</x:v>
      </x:c>
      <x:c r="M150" s="33" t="n">
        <x:v>0.503133617447981950363499624</x:v>
      </x:c>
      <x:c r="N150" s="24" t="n">
        <x:v>0.7024316871396339934820757082</x:v>
      </x:c>
      <x:c r="O150" s="33" t="n">
        <x:v>0.8513411882677362747555778391</x:v>
      </x:c>
      <x:c r="P150" s="33" t="n">
        <x:v>0.945600401103033341689646528</x:v>
      </x:c>
      <x:c r="Q150" s="33" t="n">
        <x:v>0.9593883178741539232890448734</x:v>
      </x:c>
      <x:c r="R150" s="33" t="n">
        <x:v>0.9704186512910503885685635498</x:v>
      </x:c>
      <x:c r="S150" s="33" t="n">
        <x:v>0.9704186512910503885685635498</x:v>
      </x:c>
      <x:c r="BC150" s="34" t="s"/>
      <x:c r="BD150" s="11" t="s">
        <x:v>297</x:v>
      </x:c>
      <x:c r="BE150" s="12" t="n">
        <x:f>=BO150</x:f>
      </x:c>
      <x:c r="BF150" s="12" t="n">
        <x:v>0.954625219353221358736525445</x:v>
      </x:c>
      <x:c r="BG150" s="12" t="n">
        <x:v>0.0172975683128603660065179243</x:v>
      </x:c>
      <x:c r="BH150" s="12" t="n">
        <x:v>0.0280772123339182752569566307</x:v>
      </x:c>
      <x:c r="BI150" s="12" t="n">
        <x:f>=BN150</x:f>
      </x:c>
      <x:c r="BJ150" s="13" t="n">
        <x:v>0</x:v>
      </x:c>
      <x:c r="BK150" s="31" t="n">
        <x:v>24692.45</x:v>
      </x:c>
      <x:c r="BL150" s="31" t="n">
        <x:v>-16677.2499</x:v>
      </x:c>
      <x:c r="BM150" s="31" t="n">
        <x:f>=BK150+BL150</x:f>
      </x:c>
      <x:c r="BN150" s="68" t="n">
        <x:f>=BM150/BK150</x:f>
      </x:c>
      <x:c r="BO150" s="68" t="n">
        <x:v>0.9719227876660817247430433693</x:v>
      </x:c>
      <x:c r="BP150" s="31" t="n">
        <x:v>14933.90</x:v>
      </x:c>
      <x:c r="BQ150" s="42" t="n">
        <x:v>112</x:v>
      </x:c>
      <x:c r="BR150" s="31" t="n">
        <x:v>419.30228127350213085986462773</x:v>
      </x:c>
      <x:c r="BT150" s="31" t="n">
        <x:v>32288.98306947978950000000</x:v>
      </x:c>
      <x:c r="BU150" s="31" t="n">
        <x:v>-16677.2499</x:v>
      </x:c>
      <x:c r="BV150" s="31" t="n">
        <x:f>=BT150+BU150</x:f>
      </x:c>
      <x:c r="BW150" s="68" t="n">
        <x:f>=BV150/BT150</x:f>
      </x:c>
      <x:c r="BY150" s="68" t="n">
        <x:f>=BO150</x:f>
      </x:c>
      <x:c r="BZ150" s="68" t="n">
        <x:f>=BF150</x:f>
      </x:c>
      <x:c r="CA150" s="68" t="n">
        <x:f>=BG150</x:f>
      </x:c>
      <x:c r="CB150" s="68" t="n">
        <x:f>=1 - BY150</x:f>
      </x:c>
      <x:c r="CD150" s="68" t="n">
        <x:f>=CA150/(1-BZ150)</x:f>
      </x:c>
    </x:row>
    <x:row r="151">
      <x:c r="A151" s="32" t="s">
        <x:v>323</x:v>
      </x:c>
      <x:c r="B151" t="s"/>
      <x:c r="C151" t="s">
        <x:v>324</x:v>
      </x:c>
      <x:c r="D151" t="s">
        <x:v>125</x:v>
      </x:c>
      <x:c r="E151" t="s">
        <x:v>132</x:v>
      </x:c>
      <x:c r="F151" t="n">
        <x:v>2954</x:v>
      </x:c>
      <x:c r="G151" s="33" t="n">
        <x:v>0.0416384563303994583615436696</x:v>
      </x:c>
      <x:c r="H151" s="33" t="n">
        <x:v>0.1445497630331753554502369668</x:v>
      </x:c>
      <x:c r="I151" s="33" t="n">
        <x:v>0.2373053486797562626946513202</x:v>
      </x:c>
      <x:c r="J151" s="33" t="n">
        <x:v>0.3774542992552471225457007448</x:v>
      </x:c>
      <x:c r="K151" s="33" t="n">
        <x:v>0.5169262017603249830737982397</x:v>
      </x:c>
      <x:c r="L151" s="33" t="n">
        <x:v>0.6357481381178063642518618822</x:v>
      </x:c>
      <x:c r="M151" s="24" t="n">
        <x:v>0.7339201083276912660798916723</x:v>
      </x:c>
      <x:c r="N151" s="33" t="n">
        <x:v>0.8226134055517941773865944482</x:v>
      </x:c>
      <x:c r="O151" s="33" t="n">
        <x:v>0.9079214624238320920785375762</x:v>
      </x:c>
      <x:c r="P151" s="33" t="n">
        <x:v>0.9641164522681110358835477319</x:v>
      </x:c>
      <x:c r="Q151" s="33" t="n">
        <x:v>0.9844278943805010155721056195</x:v>
      </x:c>
      <x:c r="R151" s="33" t="n">
        <x:v>0.9857819905213270142180094787</x:v>
      </x:c>
      <x:c r="S151" s="23" t="n">
        <x:v>0.9979688557887610020311442112</x:v>
      </x:c>
      <x:c r="BC151" s="34" t="s"/>
      <x:c r="BD151" s="11" t="s">
        <x:v>297</x:v>
      </x:c>
      <x:c r="BE151" s="12" t="n">
        <x:f>=BO151</x:f>
      </x:c>
      <x:c r="BF151" s="12" t="n">
        <x:v>0.960731211916046039268788084</x:v>
      </x:c>
      <x:c r="BG151" s="12" t="n">
        <x:v>0.0477318889641164522681110359</x:v>
      </x:c>
      <x:c r="BH151" s="12" t="n">
        <x:v>-0.0084631008801624915368991198</x:v>
      </x:c>
      <x:c r="BI151" s="12" t="n">
        <x:f>=BN151</x:f>
      </x:c>
      <x:c r="BJ151" s="13" t="n">
        <x:v>0</x:v>
      </x:c>
      <x:c r="BK151" s="31" t="n">
        <x:v>21589.84</x:v>
      </x:c>
      <x:c r="BL151" s="31" t="n">
        <x:v>-13438.9678</x:v>
      </x:c>
      <x:c r="BM151" s="31" t="n">
        <x:f>=BK151+BL151</x:f>
      </x:c>
      <x:c r="BN151" s="68" t="n">
        <x:f>=BM151/BK151</x:f>
      </x:c>
      <x:c r="BO151" s="68" t="n">
        <x:v>1.0084631008801624915368991198</x:v>
      </x:c>
      <x:c r="BP151" s="31" t="n">
        <x:v>11878.64</x:v>
      </x:c>
      <x:c r="BQ151" s="42" t="n">
        <x:v>-25</x:v>
      </x:c>
      <x:c r="BR151" s="31" t="n">
        <x:v>-100.53012863913337846987136087</x:v>
      </x:c>
      <x:c r="BT151" s="31" t="n">
        <x:v>28206.07726243544050000000</x:v>
      </x:c>
      <x:c r="BU151" s="31" t="n">
        <x:v>-13438.9678</x:v>
      </x:c>
      <x:c r="BV151" s="31" t="n">
        <x:f>=BT151+BU151</x:f>
      </x:c>
      <x:c r="BW151" s="68" t="n">
        <x:f>=BV151/BT151</x:f>
      </x:c>
      <x:c r="BY151" s="68" t="n">
        <x:f>=BO151</x:f>
      </x:c>
      <x:c r="BZ151" s="68" t="n">
        <x:f>=BF151</x:f>
      </x:c>
      <x:c r="CA151" s="68" t="n">
        <x:f>=BG151</x:f>
      </x:c>
      <x:c r="CB151" s="68" t="n">
        <x:f>=1 - BY151</x:f>
      </x:c>
      <x:c r="CD151" s="68" t="n">
        <x:f>=CA151/(1-BZ151)</x:f>
      </x:c>
    </x:row>
    <x:row r="152">
      <x:c r="A152" s="32" t="s">
        <x:v>325</x:v>
      </x:c>
      <x:c r="B152" t="s"/>
      <x:c r="C152" t="s">
        <x:v>326</x:v>
      </x:c>
      <x:c r="D152" t="s">
        <x:v>125</x:v>
      </x:c>
      <x:c r="E152" t="s">
        <x:v>132</x:v>
      </x:c>
      <x:c r="F152" t="n">
        <x:v>2052</x:v>
      </x:c>
      <x:c r="G152" s="33" t="n">
        <x:v>0.0082846003898635477582846004</x:v>
      </x:c>
      <x:c r="H152" s="33" t="n">
        <x:v>0.100877192982456140350877193</x:v>
      </x:c>
      <x:c r="I152" s="33" t="n">
        <x:v>0.2158869395711500974658869396</x:v>
      </x:c>
      <x:c r="J152" s="33" t="n">
        <x:v>0.3693957115009746588693957115</x:v>
      </x:c>
      <x:c r="K152" s="33" t="n">
        <x:v>0.5014619883040935672514619883</x:v>
      </x:c>
      <x:c r="L152" s="33" t="n">
        <x:v>0.6252436647173489278752436647</x:v>
      </x:c>
      <x:c r="M152" s="24" t="n">
        <x:v>0.7207602339181286549707602339</x:v>
      </x:c>
      <x:c r="N152" s="33" t="n">
        <x:v>0.7704678362573099415204678363</x:v>
      </x:c>
      <x:c r="O152" s="33" t="n">
        <x:v>0.8128654970760233918128654971</x:v>
      </x:c>
      <x:c r="P152" s="33" t="n">
        <x:v>0.8386939571150097465886939571</x:v>
      </x:c>
      <x:c r="Q152" s="33" t="n">
        <x:v>0.8674463937621832358674463938</x:v>
      </x:c>
      <x:c r="R152" s="33" t="n">
        <x:v>0.8835282651072124756335282651</x:v>
      </x:c>
      <x:c r="S152" s="23" t="n">
        <x:v>0.9288499025341130604288499025</x:v>
      </x:c>
      <x:c r="BC152" s="34" t="s"/>
      <x:c r="BD152" s="11" t="s">
        <x:v>297</x:v>
      </x:c>
      <x:c r="BE152" s="12" t="n">
        <x:f>=BO152</x:f>
      </x:c>
      <x:c r="BF152" s="12" t="n">
        <x:v>0.8874269005847953216374269006</x:v>
      </x:c>
      <x:c r="BG152" s="12" t="n">
        <x:v>0.0984405458089668615984405458</x:v>
      </x:c>
      <x:c r="BH152" s="12" t="n">
        <x:v>0.0141325536062378167641325536</x:v>
      </x:c>
      <x:c r="BI152" s="12" t="n">
        <x:f>=BN152</x:f>
      </x:c>
      <x:c r="BJ152" s="13" t="n">
        <x:v>0</x:v>
      </x:c>
      <x:c r="BK152" s="31" t="n">
        <x:v>7477.47</x:v>
      </x:c>
      <x:c r="BL152" s="31" t="n">
        <x:v>-4885.5044</x:v>
      </x:c>
      <x:c r="BM152" s="31" t="n">
        <x:f>=BK152+BL152</x:f>
      </x:c>
      <x:c r="BN152" s="68" t="n">
        <x:f>=BM152/BK152</x:f>
      </x:c>
      <x:c r="BO152" s="68" t="n">
        <x:v>0.9858674463937621832358674464</x:v>
      </x:c>
      <x:c r="BP152" s="31" t="n">
        <x:v>4888.52</x:v>
      </x:c>
      <x:c r="BQ152" s="42" t="n">
        <x:v>29</x:v>
      </x:c>
      <x:c r="BR152" s="31" t="n">
        <x:v>69.087270955165692007797270955</x:v>
      </x:c>
      <x:c r="BT152" s="31" t="n">
        <x:v>9834.78743359756200000000</x:v>
      </x:c>
      <x:c r="BU152" s="31" t="n">
        <x:v>-4885.5044</x:v>
      </x:c>
      <x:c r="BV152" s="31" t="n">
        <x:f>=BT152+BU152</x:f>
      </x:c>
      <x:c r="BW152" s="68" t="n">
        <x:f>=BV152/BT152</x:f>
      </x:c>
      <x:c r="BY152" s="68" t="n">
        <x:f>=BO152</x:f>
      </x:c>
      <x:c r="BZ152" s="68" t="n">
        <x:f>=BF152</x:f>
      </x:c>
      <x:c r="CA152" s="68" t="n">
        <x:f>=BG152</x:f>
      </x:c>
      <x:c r="CB152" s="68" t="n">
        <x:f>=1 - BY152</x:f>
      </x:c>
      <x:c r="CD152" s="68" t="n">
        <x:f>=CA152/(1-BZ152)</x:f>
      </x:c>
    </x:row>
    <x:row r="153">
      <x:c r="A153" s="32" t="s">
        <x:v>327</x:v>
      </x:c>
      <x:c r="B153" t="s"/>
      <x:c r="C153" t="s">
        <x:v>328</x:v>
      </x:c>
      <x:c r="D153" t="s">
        <x:v>259</x:v>
      </x:c>
      <x:c r="E153" t="s">
        <x:v>132</x:v>
      </x:c>
      <x:c r="F153" t="n">
        <x:v>2055</x:v>
      </x:c>
      <x:c r="G153" s="33" t="n">
        <x:v>0.0004866180048661800486618005</x:v>
      </x:c>
      <x:c r="H153" s="33" t="n">
        <x:v>0.0209245742092457420924574209</x:v>
      </x:c>
      <x:c r="I153" s="33" t="n">
        <x:v>0.0690997566909975669099756691</x:v>
      </x:c>
      <x:c r="J153" s="33" t="n">
        <x:v>0.1236009732360097323600973236</x:v>
      </x:c>
      <x:c r="K153" s="33" t="n">
        <x:v>0.1527980535279805352798053528</x:v>
      </x:c>
      <x:c r="L153" s="33" t="n">
        <x:v>0.1927007299270072992700729927</x:v>
      </x:c>
      <x:c r="M153" s="33" t="n">
        <x:v>0.2399026763990267639902676399</x:v>
      </x:c>
      <x:c r="N153" s="33" t="n">
        <x:v>0.2987834549878345498783454988</x:v>
      </x:c>
      <x:c r="O153" s="33" t="n">
        <x:v>0.3503649635036496350364963504</x:v>
      </x:c>
      <x:c r="P153" s="33" t="n">
        <x:v>0.4043795620437956204379562044</x:v>
      </x:c>
      <x:c r="Q153" s="33" t="n">
        <x:v>0.4545012165450121654501216545</x:v>
      </x:c>
      <x:c r="R153" s="33" t="n">
        <x:v>0.5143552311435523114355231144</x:v>
      </x:c>
      <x:c r="S153" s="23" t="n">
        <x:v>0.5381995133819951338199513382</x:v>
      </x:c>
      <x:c r="BC153" s="34" t="s"/>
      <x:c r="BD153" s="11" t="s">
        <x:v>297</x:v>
      </x:c>
      <x:c r="BE153" s="12" t="n">
        <x:f>=BO153</x:f>
      </x:c>
      <x:c r="BF153" s="12" t="n">
        <x:v>0.4953771289537712895377128954</x:v>
      </x:c>
      <x:c r="BG153" s="12" t="n">
        <x:v>0.4759124087591240875912408759</x:v>
      </x:c>
      <x:c r="BH153" s="12" t="n">
        <x:v>0.0287104622871046228710462287</x:v>
      </x:c>
      <x:c r="BI153" s="12" t="n">
        <x:f>=BN153</x:f>
      </x:c>
      <x:c r="BJ153" s="13" t="n">
        <x:v>0</x:v>
      </x:c>
      <x:c r="BK153" s="31" t="n">
        <x:v>24907.33</x:v>
      </x:c>
      <x:c r="BL153" s="31" t="n">
        <x:v>-19599.53910</x:v>
      </x:c>
      <x:c r="BM153" s="31" t="n">
        <x:f>=BK153+BL153</x:f>
      </x:c>
      <x:c r="BN153" s="68" t="n">
        <x:f>=BM153/BK153</x:f>
      </x:c>
      <x:c r="BO153" s="68" t="n">
        <x:v>0.9712895377128953771289537713</x:v>
      </x:c>
      <x:c r="BP153" s="31" t="n">
        <x:v>18031.35</x:v>
      </x:c>
      <x:c r="BQ153" s="42" t="n">
        <x:v>59</x:v>
      </x:c>
      <x:c r="BR153" s="31" t="n">
        <x:v>517.68839416058394160583941604</x:v>
      </x:c>
      <x:c r="BT153" s="31" t="n">
        <x:v>34770.25260443816875000000</x:v>
      </x:c>
      <x:c r="BU153" s="31" t="n">
        <x:v>-19599.53910</x:v>
      </x:c>
      <x:c r="BV153" s="31" t="n">
        <x:f>=BT153+BU153</x:f>
      </x:c>
      <x:c r="BW153" s="68" t="n">
        <x:f>=BV153/BT153</x:f>
      </x:c>
      <x:c r="BY153" s="68" t="n">
        <x:f>=BO153</x:f>
      </x:c>
      <x:c r="BZ153" s="68" t="n">
        <x:f>=BF153</x:f>
      </x:c>
      <x:c r="CA153" s="68" t="n">
        <x:f>=BG153</x:f>
      </x:c>
      <x:c r="CB153" s="68" t="n">
        <x:f>=1 - BY153</x:f>
      </x:c>
      <x:c r="CD153" s="68" t="n">
        <x:f>=CA153/(1-BZ153)</x:f>
      </x:c>
    </x:row>
    <x:row r="154">
      <x:c r="A154" s="32" t="s">
        <x:v>329</x:v>
      </x:c>
      <x:c r="B154" t="s"/>
      <x:c r="C154" t="s">
        <x:v>330</x:v>
      </x:c>
      <x:c r="D154" t="s">
        <x:v>259</x:v>
      </x:c>
      <x:c r="E154" t="s">
        <x:v>132</x:v>
      </x:c>
      <x:c r="F154" t="n">
        <x:v>2031</x:v>
      </x:c>
      <x:c r="G154" s="33" t="n">
        <x:v>0.0334810438207779419005416051</x:v>
      </x:c>
      <x:c r="H154" s="33" t="n">
        <x:v>0.1093057607090103397341211226</x:v>
      </x:c>
      <x:c r="I154" s="33" t="n">
        <x:v>0.1915312653865091088133924175</x:v>
      </x:c>
      <x:c r="J154" s="33" t="n">
        <x:v>0.2968980797636632200886262925</x:v>
      </x:c>
      <x:c r="K154" s="33" t="n">
        <x:v>0.3855243722304283604135893648</x:v>
      </x:c>
      <x:c r="L154" s="33" t="n">
        <x:v>0.4687346134908911866075824717</x:v>
      </x:c>
      <x:c r="M154" s="33" t="n">
        <x:v>0.5440669620876415558838010832</x:v>
      </x:c>
      <x:c r="N154" s="33" t="n">
        <x:v>0.6115214180206794682422451994</x:v>
      </x:c>
      <x:c r="O154" s="33" t="n">
        <x:v>0.6701132447070408665681930084</x:v>
      </x:c>
      <x:c r="P154" s="24" t="n">
        <x:v>0.7242737567700640078778926637</x:v>
      </x:c>
      <x:c r="Q154" s="33" t="n">
        <x:v>0.7764647956671590349581486952</x:v>
      </x:c>
      <x:c r="R154" s="33" t="n">
        <x:v>0.8119153126538650910881339242</x:v>
      </x:c>
      <x:c r="S154" s="23" t="n">
        <x:v>0.8498276710979812900049236829</x:v>
      </x:c>
      <x:c r="BC154" s="34" t="s"/>
      <x:c r="BD154" s="11" t="s">
        <x:v>297</x:v>
      </x:c>
      <x:c r="BE154" s="12" t="n">
        <x:f>=BO154</x:f>
      </x:c>
      <x:c r="BF154" s="12" t="n">
        <x:v>0.8537666174298375184638109306</x:v>
      </x:c>
      <x:c r="BG154" s="12" t="n">
        <x:v>0.1245691777449532250123092073</x:v>
      </x:c>
      <x:c r="BH154" s="12" t="n">
        <x:v>0.0216642048252092565238798621</x:v>
      </x:c>
      <x:c r="BI154" s="12" t="n">
        <x:f>=BN154</x:f>
      </x:c>
      <x:c r="BJ154" s="13" t="n">
        <x:v>0</x:v>
      </x:c>
      <x:c r="BK154" s="31" t="n">
        <x:v>9450.26</x:v>
      </x:c>
      <x:c r="BL154" s="31" t="n">
        <x:v>-6839.26050</x:v>
      </x:c>
      <x:c r="BM154" s="31" t="n">
        <x:f>=BK154+BL154</x:f>
      </x:c>
      <x:c r="BN154" s="68" t="n">
        <x:f>=BM154/BK154</x:f>
      </x:c>
      <x:c r="BO154" s="68" t="n">
        <x:v>0.9783357951747907434761201379</x:v>
      </x:c>
      <x:c r="BP154" s="31" t="n">
        <x:v>6065.25</x:v>
      </x:c>
      <x:c r="BQ154" s="42" t="n">
        <x:v>44</x:v>
      </x:c>
      <x:c r="BR154" s="31" t="n">
        <x:v>131.39881831610044313146233383</x:v>
      </x:c>
      <x:c r="BT154" s="31" t="n">
        <x:v>12546.829691985384125000000</x:v>
      </x:c>
      <x:c r="BU154" s="31" t="n">
        <x:v>-6839.26050</x:v>
      </x:c>
      <x:c r="BV154" s="31" t="n">
        <x:f>=BT154+BU154</x:f>
      </x:c>
      <x:c r="BW154" s="68" t="n">
        <x:f>=BV154/BT154</x:f>
      </x:c>
      <x:c r="BY154" s="68" t="n">
        <x:f>=BO154</x:f>
      </x:c>
      <x:c r="BZ154" s="68" t="n">
        <x:f>=BF154</x:f>
      </x:c>
      <x:c r="CA154" s="68" t="n">
        <x:f>=BG154</x:f>
      </x:c>
      <x:c r="CB154" s="68" t="n">
        <x:f>=1 - BY154</x:f>
      </x:c>
      <x:c r="CD154" s="68" t="n">
        <x:f>=CA154/(1-BZ154)</x:f>
      </x:c>
    </x:row>
    <x:row r="155">
      <x:c r="A155" s="32" t="s">
        <x:v>331</x:v>
      </x:c>
      <x:c r="B155" t="s"/>
      <x:c r="C155" t="s">
        <x:v>332</x:v>
      </x:c>
      <x:c r="D155" t="s">
        <x:v>259</x:v>
      </x:c>
      <x:c r="E155" t="s">
        <x:v>132</x:v>
      </x:c>
      <x:c r="F155" t="n">
        <x:v>2941</x:v>
      </x:c>
      <x:c r="G155" s="33" t="n">
        <x:v>0.0081604896293777626657599456</x:v>
      </x:c>
      <x:c r="H155" s="33" t="n">
        <x:v>0.0533832029921795307718463108</x:v>
      </x:c>
      <x:c r="I155" s="33" t="n">
        <x:v>0.1234274056443386603196191772</x:v>
      </x:c>
      <x:c r="J155" s="33" t="n">
        <x:v>0.2060523631417885073104386263</x:v>
      </x:c>
      <x:c r="K155" s="33" t="n">
        <x:v>0.2995579734784087045222713363</x:v>
      </x:c>
      <x:c r="L155" s="33" t="n">
        <x:v>0.4270656239374362461747704862</x:v>
      </x:c>
      <x:c r="M155" s="33" t="n">
        <x:v>0.5406324379462767766065963958</x:v>
      </x:c>
      <x:c r="N155" s="33" t="n">
        <x:v>0.6467188031281876912614756885</x:v>
      </x:c>
      <x:c r="O155" s="33" t="n">
        <x:v>0.6766405984359061543692621557</x:v>
      </x:c>
      <x:c r="P155" s="33" t="n">
        <x:v>0.6766405984359061543692621557</x:v>
      </x:c>
      <x:c r="Q155" s="33" t="n">
        <x:v>0.6766405984359061543692621557</x:v>
      </x:c>
      <x:c r="R155" s="33" t="n">
        <x:v>0.6766405984359061543692621557</x:v>
      </x:c>
      <x:c r="S155" s="24" t="n">
        <x:v>0.7018021081264875892553553213</x:v>
      </x:c>
      <x:c r="BC155" s="34" t="s"/>
      <x:c r="BD155" s="11" t="s">
        <x:v>297</x:v>
      </x:c>
      <x:c r="BE155" s="12" t="n">
        <x:f>=BO155</x:f>
      </x:c>
      <x:c r="BF155" s="12" t="n">
        <x:v>0.6620197211832709962597755865</x:v>
      </x:c>
      <x:c r="BG155" s="12" t="n">
        <x:v>0.0938456307378442706562393744</x:v>
      </x:c>
      <x:c r="BH155" s="12" t="n">
        <x:v>0.2441346480788847330839850391</x:v>
      </x:c>
      <x:c r="BI155" s="12" t="n">
        <x:f>=BN155</x:f>
      </x:c>
      <x:c r="BJ155" s="13" t="n">
        <x:v>0</x:v>
      </x:c>
      <x:c r="BK155" s="31" t="n">
        <x:v>20276.34</x:v>
      </x:c>
      <x:c r="BL155" s="31" t="n">
        <x:v>-17531.44642</x:v>
      </x:c>
      <x:c r="BM155" s="31" t="n">
        <x:f>=BK155+BL155</x:f>
      </x:c>
      <x:c r="BN155" s="68" t="n">
        <x:f>=BM155/BK155</x:f>
      </x:c>
      <x:c r="BO155" s="68" t="n">
        <x:v>0.7558653519211152669160149609</x:v>
      </x:c>
      <x:c r="BP155" s="31" t="n">
        <x:v>15938.37</x:v>
      </x:c>
      <x:c r="BQ155" s="42" t="n">
        <x:v>718</x:v>
      </x:c>
      <x:c r="BR155" s="31" t="n">
        <x:v>3891.1083509010540632437946277</x:v>
      </x:c>
      <x:c r="BT155" s="31" t="n">
        <x:v>28745.49485537303775000000</x:v>
      </x:c>
      <x:c r="BU155" s="31" t="n">
        <x:v>-17531.44642</x:v>
      </x:c>
      <x:c r="BV155" s="31" t="n">
        <x:f>=BT155+BU155</x:f>
      </x:c>
      <x:c r="BW155" s="68" t="n">
        <x:f>=BV155/BT155</x:f>
      </x:c>
      <x:c r="BY155" s="68" t="n">
        <x:f>=BO155</x:f>
      </x:c>
      <x:c r="BZ155" s="68" t="n">
        <x:f>=BF155</x:f>
      </x:c>
      <x:c r="CA155" s="68" t="n">
        <x:f>=BG155</x:f>
      </x:c>
      <x:c r="CB155" s="68" t="n">
        <x:f>=1 - BY155</x:f>
      </x:c>
      <x:c r="CD155" s="68" t="n">
        <x:f>=CA155/(1-BZ155)</x:f>
      </x:c>
    </x:row>
    <x:row r="156">
      <x:c r="A156" s="32" t="s">
        <x:v>333</x:v>
      </x:c>
      <x:c r="B156" t="s"/>
      <x:c r="C156" t="s">
        <x:v>334</x:v>
      </x:c>
      <x:c r="D156" t="s">
        <x:v>125</x:v>
      </x:c>
      <x:c r="E156" t="s">
        <x:v>132</x:v>
      </x:c>
      <x:c r="F156" t="n">
        <x:v>2046</x:v>
      </x:c>
      <x:c r="G156" s="33" t="n">
        <x:v>0.0215053763440860215053763441</x:v>
      </x:c>
      <x:c r="H156" s="33" t="n">
        <x:v>0.0654936461388074291300097752</x:v>
      </x:c>
      <x:c r="I156" s="33" t="n">
        <x:v>0.1182795698924731182795698925</x:v>
      </x:c>
      <x:c r="J156" s="33" t="n">
        <x:v>0.162756598240469208211143695</x:v>
      </x:c>
      <x:c r="K156" s="33" t="n">
        <x:v>0.2179863147605083088954056696</x:v>
      </x:c>
      <x:c r="L156" s="33" t="n">
        <x:v>0.292277614858260019550342131</x:v>
      </x:c>
      <x:c r="M156" s="33" t="n">
        <x:v>0.382209188660801564027370479</x:v>
      </x:c>
      <x:c r="N156" s="33" t="n">
        <x:v>0.4750733137829912023460410557</x:v>
      </x:c>
      <x:c r="O156" s="33" t="n">
        <x:v>0.5713587487781036168132942326</x:v>
      </x:c>
      <x:c r="P156" s="33" t="n">
        <x:v>0.6671554252199413489736070381</x:v>
      </x:c>
      <x:c r="Q156" s="24" t="n">
        <x:v>0.7277614858260019550342130987</x:v>
      </x:c>
      <x:c r="R156" s="23" t="n">
        <x:v>0.7619745845552297165200391007</x:v>
      </x:c>
      <x:c r="BC156" s="34" t="s"/>
      <x:c r="BD156" s="11" t="s">
        <x:v>335</x:v>
      </x:c>
      <x:c r="BE156" s="12" t="n">
        <x:f>=BO156</x:f>
      </x:c>
      <x:c r="BF156" s="12" t="n">
        <x:v>0.7434017595307917888563049853</x:v>
      </x:c>
      <x:c r="BG156" s="12" t="n">
        <x:v>0.2316715542521994134897360704</x:v>
      </x:c>
      <x:c r="BH156" s="12" t="n">
        <x:v>0.0249266862170087976539589443</x:v>
      </x:c>
      <x:c r="BI156" s="12" t="n">
        <x:f>=BN156</x:f>
      </x:c>
      <x:c r="BJ156" s="13" t="n">
        <x:v>0</x:v>
      </x:c>
      <x:c r="BK156" s="31" t="n">
        <x:v>9189.38</x:v>
      </x:c>
      <x:c r="BL156" s="31" t="n">
        <x:v>-6158.4414</x:v>
      </x:c>
      <x:c r="BM156" s="31" t="n">
        <x:f>=BK156+BL156</x:f>
      </x:c>
      <x:c r="BN156" s="68" t="n">
        <x:f>=BM156/BK156</x:f>
      </x:c>
      <x:c r="BO156" s="68" t="n">
        <x:v>0.9750733137829912023460410557</x:v>
      </x:c>
      <x:c r="BP156" s="31" t="n">
        <x:v>5924.10</x:v>
      </x:c>
      <x:c r="BQ156" s="42" t="n">
        <x:v>51</x:v>
      </x:c>
      <x:c r="BR156" s="31" t="n">
        <x:v>147.66818181818181818181818182</x:v>
      </x:c>
      <x:c r="BT156" s="31" t="n">
        <x:v>12427.129450662344750000000</x:v>
      </x:c>
      <x:c r="BU156" s="31" t="n">
        <x:v>-6158.4414</x:v>
      </x:c>
      <x:c r="BV156" s="31" t="n">
        <x:f>=BT156+BU156</x:f>
      </x:c>
      <x:c r="BW156" s="68" t="n">
        <x:f>=BV156/BT156</x:f>
      </x:c>
      <x:c r="BY156" s="68" t="n">
        <x:f>=BO156</x:f>
      </x:c>
      <x:c r="BZ156" s="68" t="n">
        <x:f>=BF156</x:f>
      </x:c>
      <x:c r="CA156" s="68" t="n">
        <x:f>=BG156</x:f>
      </x:c>
      <x:c r="CB156" s="68" t="n">
        <x:f>=1 - BY156</x:f>
      </x:c>
      <x:c r="CD156" s="68" t="n">
        <x:f>=CA156/(1-BZ156)</x:f>
      </x:c>
    </x:row>
    <x:row r="157">
      <x:c r="A157" s="32" t="s">
        <x:v>336</x:v>
      </x:c>
      <x:c r="B157" t="s"/>
      <x:c r="C157" t="s">
        <x:v>337</x:v>
      </x:c>
      <x:c r="D157" t="s">
        <x:v>259</x:v>
      </x:c>
      <x:c r="E157" t="s">
        <x:v>132</x:v>
      </x:c>
      <x:c r="F157" t="n">
        <x:v>4868</x:v>
      </x:c>
      <x:c r="G157" s="33" t="n">
        <x:v>0.0006162695152013147082990961</x:v>
      </x:c>
      <x:c r="H157" s="33" t="n">
        <x:v>0.031429745275267050123253903</x:v>
      </x:c>
      <x:c r="I157" s="33" t="n">
        <x:v>0.1507806080525883319638455218</x:v>
      </x:c>
      <x:c r="J157" s="33" t="n">
        <x:v>0.3042317173377156943303204601</x:v>
      </x:c>
      <x:c r="K157" s="33" t="n">
        <x:v>0.4435086277732128184059161873</x:v>
      </x:c>
      <x:c r="L157" s="33" t="n">
        <x:v>0.5618323746918652423993426459</x:v>
      </x:c>
      <x:c r="M157" s="33" t="n">
        <x:v>0.6676253081347576006573541495</x:v>
      </x:c>
      <x:c r="N157" s="24" t="n">
        <x:v>0.7762941659819227608874281019</x:v>
      </x:c>
      <x:c r="O157" s="33" t="n">
        <x:v>0.8553820870994248151191454396</x:v>
      </x:c>
      <x:c r="P157" s="23" t="n">
        <x:v>0.9771980279375513557929334429</x:v>
      </x:c>
      <x:c r="BC157" s="34" t="s"/>
      <x:c r="BD157" s="11" t="s">
        <x:v>141</x:v>
      </x:c>
      <x:c r="BE157" s="12" t="n">
        <x:f>=BO157</x:f>
      </x:c>
      <x:c r="BF157" s="12" t="n">
        <x:v>0.8373048479868529170090386196</x:v>
      </x:c>
      <x:c r="BG157" s="12" t="n">
        <x:v>0.1659819227608874281018898932</x:v>
      </x:c>
      <x:c r="BH157" s="12" t="n">
        <x:v>-0.0032867707477403451109285127</x:v>
      </x:c>
      <x:c r="BI157" s="12" t="n">
        <x:f>=BN157</x:f>
      </x:c>
      <x:c r="BJ157" s="13" t="n">
        <x:v>0</x:v>
      </x:c>
      <x:c r="BK157" s="31" t="n">
        <x:v>57040.02</x:v>
      </x:c>
      <x:c r="BL157" s="31" t="n">
        <x:v>-36777.05880</x:v>
      </x:c>
      <x:c r="BM157" s="31" t="n">
        <x:f>=BK157+BL157</x:f>
      </x:c>
      <x:c r="BN157" s="68" t="n">
        <x:f>=BM157/BK157</x:f>
      </x:c>
      <x:c r="BO157" s="68" t="n">
        <x:v>1.0032867707477403451109285127</x:v>
      </x:c>
      <x:c r="BP157" s="31" t="n">
        <x:v>33659.80</x:v>
      </x:c>
      <x:c r="BQ157" s="42" t="n">
        <x:v>-16</x:v>
      </x:c>
      <x:c r="BR157" s="31" t="n">
        <x:v>-110.63204601479046836483155300</x:v>
      </x:c>
      <x:c r="BT157" s="31" t="n">
        <x:v>75224.41238765844900000000</x:v>
      </x:c>
      <x:c r="BU157" s="31" t="n">
        <x:v>-36777.05880</x:v>
      </x:c>
      <x:c r="BV157" s="31" t="n">
        <x:f>=BT157+BU157</x:f>
      </x:c>
      <x:c r="BW157" s="68" t="n">
        <x:f>=BV157/BT157</x:f>
      </x:c>
      <x:c r="BY157" s="68" t="n">
        <x:f>=BO157</x:f>
      </x:c>
      <x:c r="BZ157" s="68" t="n">
        <x:f>=BF157</x:f>
      </x:c>
      <x:c r="CA157" s="68" t="n">
        <x:f>=BG157</x:f>
      </x:c>
      <x:c r="CB157" s="68" t="n">
        <x:f>=1 - BY157</x:f>
      </x:c>
      <x:c r="CD157" s="68" t="n">
        <x:f>=CA157/(1-BZ157)</x:f>
      </x:c>
    </x:row>
    <x:row r="158">
      <x:c r="A158" s="32" t="s">
        <x:v>338</x:v>
      </x:c>
      <x:c r="B158" t="s"/>
      <x:c r="C158" t="s">
        <x:v>339</x:v>
      </x:c>
      <x:c r="D158" t="s">
        <x:v>125</x:v>
      </x:c>
      <x:c r="E158" t="s">
        <x:v>132</x:v>
      </x:c>
      <x:c r="F158" t="n">
        <x:v>1014</x:v>
      </x:c>
      <x:c r="G158" s="33" t="n">
        <x:v>0.0788954635108481262327416174</x:v>
      </x:c>
      <x:c r="H158" s="33" t="n">
        <x:v>0.1597633136094674556213017751</x:v>
      </x:c>
      <x:c r="I158" s="33" t="n">
        <x:v>0.2859960552268244575936883629</x:v>
      </x:c>
      <x:c r="J158" s="33" t="n">
        <x:v>0.4102564102564102564102564103</x:v>
      </x:c>
      <x:c r="K158" s="33" t="n">
        <x:v>0.4881656804733727810650887574</x:v>
      </x:c>
      <x:c r="L158" s="33" t="n">
        <x:v>0.5670611439842209072978303748</x:v>
      </x:c>
      <x:c r="M158" s="33" t="n">
        <x:v>0.6065088757396449704142011834</x:v>
      </x:c>
      <x:c r="N158" s="33" t="n">
        <x:v>0.6321499013806706114398422091</x:v>
      </x:c>
      <x:c r="O158" s="23" t="n">
        <x:v>0.6548323471400394477317554241</x:v>
      </x:c>
      <x:c r="BC158" s="34" t="s"/>
      <x:c r="BD158" s="11" t="s">
        <x:v>340</x:v>
      </x:c>
      <x:c r="BE158" s="12" t="n">
        <x:f>=BO158</x:f>
      </x:c>
      <x:c r="BF158" s="12" t="n">
        <x:v>0.6489151873767258382642998028</x:v>
      </x:c>
      <x:c r="BG158" s="12" t="n">
        <x:v>0.3284023668639053254437869822</x:v>
      </x:c>
      <x:c r="BH158" s="12" t="n">
        <x:v>0.022682445759368836291913215</x:v>
      </x:c>
      <x:c r="BI158" s="12" t="n">
        <x:f>=BN158</x:f>
      </x:c>
      <x:c r="BJ158" s="13" t="n">
        <x:v>0</x:v>
      </x:c>
      <x:c r="BK158" s="31" t="n">
        <x:v>7286.00</x:v>
      </x:c>
      <x:c r="BL158" s="31" t="n">
        <x:v>-5022.5326</x:v>
      </x:c>
      <x:c r="BM158" s="31" t="n">
        <x:f>=BK158+BL158</x:f>
      </x:c>
      <x:c r="BN158" s="68" t="n">
        <x:f>=BM158/BK158</x:f>
      </x:c>
      <x:c r="BO158" s="68" t="n">
        <x:v>0.977317554240631163708086785</x:v>
      </x:c>
      <x:c r="BP158" s="31" t="n">
        <x:v>5122.36</x:v>
      </x:c>
      <x:c r="BQ158" s="42" t="n">
        <x:v>23</x:v>
      </x:c>
      <x:c r="BR158" s="31" t="n">
        <x:v>116.18765285996055226824457594</x:v>
      </x:c>
      <x:c r="BT158" s="31" t="n">
        <x:v>10004.689042803295250000000</x:v>
      </x:c>
      <x:c r="BU158" s="31" t="n">
        <x:v>-5022.5326</x:v>
      </x:c>
      <x:c r="BV158" s="31" t="n">
        <x:f>=BT158+BU158</x:f>
      </x:c>
      <x:c r="BW158" s="68" t="n">
        <x:f>=BV158/BT158</x:f>
      </x:c>
      <x:c r="BY158" s="68" t="n">
        <x:f>=BO158</x:f>
      </x:c>
      <x:c r="BZ158" s="68" t="n">
        <x:f>=BF158</x:f>
      </x:c>
      <x:c r="CA158" s="68" t="n">
        <x:f>=BG158</x:f>
      </x:c>
      <x:c r="CB158" s="68" t="n">
        <x:f>=1 - BY158</x:f>
      </x:c>
      <x:c r="CD158" s="68" t="n">
        <x:f>=CA158/(1-BZ158)</x:f>
      </x:c>
    </x:row>
    <x:row r="159">
      <x:c r="A159" s="32" t="s"/>
      <x:c r="BC159" s="34" t="s"/>
      <x:c r="BD159" s="11" t="s"/>
      <x:c r="BJ159" s="13" t="s"/>
    </x:row>
    <x:row r="160">
      <x:c r="A160" s="17" t="s">
        <x:v>92</x:v>
      </x:c>
      <x:c r="BC160" s="34" t="s"/>
      <x:c r="BD160" s="11" t="s"/>
      <x:c r="BJ160" s="13" t="s"/>
    </x:row>
    <x:row r="161">
      <x:c r="A161" s="32" t="s">
        <x:v>341</x:v>
      </x:c>
      <x:c r="B161" t="s"/>
      <x:c r="C161" t="s">
        <x:v>342</x:v>
      </x:c>
      <x:c r="D161" t="s">
        <x:v>125</x:v>
      </x:c>
      <x:c r="E161" t="s">
        <x:v>132</x:v>
      </x:c>
      <x:c r="F161" t="n">
        <x:v>2038</x:v>
      </x:c>
      <x:c r="G161" s="33" t="n">
        <x:v>0.0004906771344455348380765456</x:v>
      </x:c>
      <x:c r="H161" s="33" t="n">
        <x:v>0.0014720314033366045142296369</x:v>
      </x:c>
      <x:c r="I161" s="33" t="n">
        <x:v>0.0039254170755642787046123651</x:v>
      </x:c>
      <x:c r="J161" s="33" t="n">
        <x:v>0.0127576054955839057899901865</x:v>
      </x:c>
      <x:c r="K161" s="33" t="n">
        <x:v>0.020117762512266928361138371</x:v>
      </x:c>
      <x:c r="L161" s="33" t="n">
        <x:v>0.033366045142296368989205103</x:v>
      </x:c>
      <x:c r="M161" s="33" t="n">
        <x:v>0.0510304219823356231599607458</x:v>
      </x:c>
      <x:c r="N161" s="33" t="n">
        <x:v>0.0672227674190382728164867517</x:v>
      </x:c>
      <x:c r="O161" s="33" t="n">
        <x:v>0.0843964671246319921491658489</x:v>
      </x:c>
      <x:c r="P161" s="33" t="n">
        <x:v>0.1040235525024533856722276742</x:v>
      </x:c>
      <x:c r="Q161" s="33" t="n">
        <x:v>0.1246319921491658488714425908</x:v>
      </x:c>
      <x:c r="R161" s="33" t="n">
        <x:v>0.1427870461236506378802747792</x:v>
      </x:c>
      <x:c r="S161" s="23" t="n">
        <x:v>0.15505397448478900883218842</x:v>
      </x:c>
      <x:c r="BC161" s="34" t="s"/>
      <x:c r="BD161" s="11" t="s">
        <x:v>297</x:v>
      </x:c>
      <x:c r="BE161" s="12" t="n">
        <x:f>=BO161</x:f>
      </x:c>
      <x:c r="BF161" s="12" t="n">
        <x:v>0.1658488714425907752698724239</x:v>
      </x:c>
      <x:c r="BG161" s="12" t="n">
        <x:v>0.737978410206084396467124632</x:v>
      </x:c>
      <x:c r="BH161" s="12" t="n">
        <x:v>0.0961727183513248282630029441</x:v>
      </x:c>
      <x:c r="BI161" s="12" t="n">
        <x:f>=BN161</x:f>
      </x:c>
      <x:c r="BJ161" s="13" t="n">
        <x:v>0</x:v>
      </x:c>
      <x:c r="BK161" s="31" t="n">
        <x:v>12805.55</x:v>
      </x:c>
      <x:c r="BL161" s="31" t="n">
        <x:v>-14619.4109</x:v>
      </x:c>
      <x:c r="BM161" s="31" t="n">
        <x:f>=BK161+BL161</x:f>
      </x:c>
      <x:c r="BN161" s="68" t="n">
        <x:f>=BM161/BK161</x:f>
      </x:c>
      <x:c r="BO161" s="68" t="n">
        <x:v>0.9038272816486751717369970559</x:v>
      </x:c>
      <x:c r="BP161" s="31" t="n">
        <x:v>14648.41</x:v>
      </x:c>
      <x:c r="BQ161" s="42" t="n">
        <x:v>196</x:v>
      </x:c>
      <x:c r="BR161" s="31" t="n">
        <x:v>1408.7774092247301275760549558</x:v>
      </x:c>
      <x:c r="BT161" s="31" t="n">
        <x:v>20387.06398722692750000000</x:v>
      </x:c>
      <x:c r="BU161" s="31" t="n">
        <x:v>-14619.4109</x:v>
      </x:c>
      <x:c r="BV161" s="31" t="n">
        <x:f>=BT161+BU161</x:f>
      </x:c>
      <x:c r="BW161" s="68" t="n">
        <x:f>=BV161/BT161</x:f>
      </x:c>
      <x:c r="BY161" s="68" t="n">
        <x:f>=BO161</x:f>
      </x:c>
      <x:c r="BZ161" s="68" t="n">
        <x:f>=BF161</x:f>
      </x:c>
      <x:c r="CA161" s="68" t="n">
        <x:f>=BG161</x:f>
      </x:c>
      <x:c r="CB161" s="68" t="n">
        <x:f>=1 - BY161</x:f>
      </x:c>
      <x:c r="CD161" s="68" t="n">
        <x:f>=CA161/(1-BZ161)</x:f>
      </x:c>
    </x:row>
    <x:row r="162">
      <x:c r="A162" s="32" t="s">
        <x:v>343</x:v>
      </x:c>
      <x:c r="B162" t="s"/>
      <x:c r="C162" t="s">
        <x:v>344</x:v>
      </x:c>
      <x:c r="D162" t="s">
        <x:v>173</x:v>
      </x:c>
      <x:c r="E162" t="s">
        <x:v>132</x:v>
      </x:c>
      <x:c r="F162" t="n">
        <x:v>4234</x:v>
      </x:c>
      <x:c r="G162" s="33" t="n">
        <x:v>0.0262163438828530940009447331</x:v>
      </x:c>
      <x:c r="H162" s="33" t="n">
        <x:v>0.0897496457250826641473783656</x:v>
      </x:c>
      <x:c r="I162" s="33" t="n">
        <x:v>0.1894189891355692017005196032</x:v>
      </x:c>
      <x:c r="J162" s="33" t="n">
        <x:v>0.265706188001889466225791214</x:v>
      </x:c>
      <x:c r="K162" s="33" t="n">
        <x:v>0.3396315540859707132735002362</x:v>
      </x:c>
      <x:c r="L162" s="33" t="n">
        <x:v>0.4000944733112895606991025035</x:v>
      </x:c>
      <x:c r="M162" s="33" t="n">
        <x:v>0.4362305148795465281058101086</x:v>
      </x:c>
      <x:c r="N162" s="33" t="n">
        <x:v>0.4747283892300425129900803023</x:v>
      </x:c>
      <x:c r="O162" s="33" t="n">
        <x:v>0.4860651865847897968823807274</x:v>
      </x:c>
      <x:c r="P162" s="33" t="n">
        <x:v>0.490080302314596126594237128</x:v>
      </x:c>
      <x:c r="Q162" s="23" t="n">
        <x:v>0.5054322153991497401983939537</x:v>
      </x:c>
      <x:c r="BC162" s="34" t="s"/>
      <x:c r="BD162" s="11" t="s">
        <x:v>126</x:v>
      </x:c>
      <x:c r="BE162" s="12" t="n">
        <x:f>=BO162</x:f>
      </x:c>
      <x:c r="BF162" s="12" t="n">
        <x:v>0.4922059518186112423240434577</x:v>
      </x:c>
      <x:c r="BG162" s="12" t="n">
        <x:v>0.1010864430798299480396787907</x:v>
      </x:c>
      <x:c r="BH162" s="12" t="n">
        <x:v>0.4067076051015588096362777515</x:v>
      </x:c>
      <x:c r="BI162" s="12" t="n">
        <x:f>=BN162</x:f>
      </x:c>
      <x:c r="BJ162" s="13" t="n">
        <x:v>0</x:v>
      </x:c>
      <x:c r="BK162" s="31" t="n">
        <x:v>42061.31</x:v>
      </x:c>
      <x:c r="BL162" s="31" t="n">
        <x:v>-48454.8760</x:v>
      </x:c>
      <x:c r="BM162" s="31" t="n">
        <x:f>=BK162+BL162</x:f>
      </x:c>
      <x:c r="BN162" s="68" t="n">
        <x:f>=BM162/BK162</x:f>
      </x:c>
      <x:c r="BO162" s="68" t="n">
        <x:v>0.5932923948984411903637222485</x:v>
      </x:c>
      <x:c r="BP162" s="31" t="n">
        <x:v>47448.00</x:v>
      </x:c>
      <x:c r="BQ162" s="42" t="n">
        <x:v>1722</x:v>
      </x:c>
      <x:c r="BR162" s="31" t="n">
        <x:v>19297.462446858762399622106755</x:v>
      </x:c>
      <x:c r="BT162" s="31" t="n">
        <x:v>64528.642725099403250000000</x:v>
      </x:c>
      <x:c r="BU162" s="31" t="n">
        <x:v>-48454.8760</x:v>
      </x:c>
      <x:c r="BV162" s="31" t="n">
        <x:f>=BT162+BU162</x:f>
      </x:c>
      <x:c r="BW162" s="68" t="n">
        <x:f>=BV162/BT162</x:f>
      </x:c>
      <x:c r="BY162" s="68" t="n">
        <x:f>=BO162</x:f>
      </x:c>
      <x:c r="BZ162" s="68" t="n">
        <x:f>=BF162</x:f>
      </x:c>
      <x:c r="CA162" s="68" t="n">
        <x:f>=BG162</x:f>
      </x:c>
      <x:c r="CB162" s="68" t="n">
        <x:f>=1 - BY162</x:f>
      </x:c>
      <x:c r="CD162" s="68" t="n">
        <x:f>=CA162/(1-BZ162)</x:f>
      </x:c>
    </x:row>
    <x:row r="163">
      <x:c r="A163" s="32" t="s">
        <x:v>345</x:v>
      </x:c>
      <x:c r="B163" t="s"/>
      <x:c r="C163" t="s">
        <x:v>346</x:v>
      </x:c>
      <x:c r="D163" t="s">
        <x:v>259</x:v>
      </x:c>
      <x:c r="E163" t="s">
        <x:v>132</x:v>
      </x:c>
      <x:c r="F163" t="n">
        <x:v>4064</x:v>
      </x:c>
      <x:c r="G163" s="33" t="n">
        <x:v>0.0054133858267716535433070866</x:v>
      </x:c>
      <x:c r="H163" s="33" t="n">
        <x:v>0.0172244094488188976377952756</x:v>
      </x:c>
      <x:c r="I163" s="33" t="n">
        <x:v>0.0337106299212598425196850394</x:v>
      </x:c>
      <x:c r="J163" s="33" t="n">
        <x:v>0.046998031496062992125984252</x:v>
      </x:c>
      <x:c r="K163" s="33" t="n">
        <x:v>0.0632381889763779527559055118</x:v>
      </x:c>
      <x:c r="L163" s="33" t="n">
        <x:v>0.074064960629921259842519685</x:v>
      </x:c>
      <x:c r="M163" s="33" t="n">
        <x:v>0.0947342519685039370078740157</x:v>
      </x:c>
      <x:c r="N163" s="33" t="n">
        <x:v>0.1245078740157480314960629921</x:v>
      </x:c>
      <x:c r="O163" s="23" t="n">
        <x:v>0.1651082677165354330708661417</x:v>
      </x:c>
      <x:c r="BC163" s="34" t="s"/>
      <x:c r="BD163" s="11" t="s">
        <x:v>340</x:v>
      </x:c>
      <x:c r="BE163" s="12" t="n">
        <x:f>=BO163</x:f>
      </x:c>
      <x:c r="BF163" s="12" t="n">
        <x:v>0.1781496062992125984251968504</x:v>
      </x:c>
      <x:c r="BG163" s="12" t="n">
        <x:v>0.6139271653543307086614173228</x:v>
      </x:c>
      <x:c r="BH163" s="12" t="n">
        <x:v>0.2079232283464566929133858268</x:v>
      </x:c>
      <x:c r="BI163" s="12" t="n">
        <x:f>=BN163</x:f>
      </x:c>
      <x:c r="BJ163" s="13" t="n">
        <x:v>0</x:v>
      </x:c>
      <x:c r="BK163" s="31" t="n">
        <x:v>23383.39</x:v>
      </x:c>
      <x:c r="BL163" s="31" t="n">
        <x:v>-29802.67200</x:v>
      </x:c>
      <x:c r="BM163" s="31" t="n">
        <x:f>=BK163+BL163</x:f>
      </x:c>
      <x:c r="BN163" s="68" t="n">
        <x:f>=BM163/BK163</x:f>
      </x:c>
      <x:c r="BO163" s="68" t="n">
        <x:v>0.7920767716535433070866141732</x:v>
      </x:c>
      <x:c r="BP163" s="31" t="n">
        <x:v>27256.00</x:v>
      </x:c>
      <x:c r="BQ163" s="42" t="n">
        <x:v>845</x:v>
      </x:c>
      <x:c r="BR163" s="31" t="n">
        <x:v>5667.1555118110236220472440945</x:v>
      </x:c>
      <x:c r="BT163" s="31" t="n">
        <x:v>37538.273643232228000000000</x:v>
      </x:c>
      <x:c r="BU163" s="31" t="n">
        <x:v>-29802.67200</x:v>
      </x:c>
      <x:c r="BV163" s="31" t="n">
        <x:f>=BT163+BU163</x:f>
      </x:c>
      <x:c r="BW163" s="68" t="n">
        <x:f>=BV163/BT163</x:f>
      </x:c>
      <x:c r="BY163" s="68" t="n">
        <x:f>=BO163</x:f>
      </x:c>
      <x:c r="BZ163" s="68" t="n">
        <x:f>=BF163</x:f>
      </x:c>
      <x:c r="CA163" s="68" t="n">
        <x:f>=BG163</x:f>
      </x:c>
      <x:c r="CB163" s="68" t="n">
        <x:f>=1 - BY163</x:f>
      </x:c>
      <x:c r="CD163" s="68" t="n">
        <x:f>=CA163/(1-BZ163)</x:f>
      </x:c>
    </x:row>
    <x:row r="164">
      <x:c r="A164" s="32" t="s">
        <x:v>347</x:v>
      </x:c>
      <x:c r="B164" t="s"/>
      <x:c r="C164" t="s">
        <x:v>348</x:v>
      </x:c>
      <x:c r="D164" t="s">
        <x:v>259</x:v>
      </x:c>
      <x:c r="E164" t="s">
        <x:v>132</x:v>
      </x:c>
      <x:c r="F164" t="n">
        <x:v>2097</x:v>
      </x:c>
      <x:c r="G164" s="33" t="n">
        <x:v>0.0057224606580829756795422031</x:v>
      </x:c>
      <x:c r="H164" s="33" t="n">
        <x:v>0.0133524082021936099189318073</x:v>
      </x:c>
      <x:c r="I164" s="33" t="n">
        <x:v>0.0224129709108249880782069623</x:v>
      </x:c>
      <x:c r="J164" s="33" t="n">
        <x:v>0.038149737720553171196948021</x:v>
      </x:c>
      <x:c r="K164" s="33" t="n">
        <x:v>0.0572246065808297567954220315</x:v>
      </x:c>
      <x:c r="L164" s="33" t="n">
        <x:v>0.078206962327134000953743443</x:v>
      </x:c>
      <x:c r="M164" s="33" t="n">
        <x:v>0.1030042918454935622317596567</x:v>
      </x:c>
      <x:c r="N164" s="23" t="n">
        <x:v>0.1378159275154983309489747258</x:v>
      </x:c>
      <x:c r="BC164" s="34" t="s"/>
      <x:c r="BD164" s="11" t="s">
        <x:v>210</x:v>
      </x:c>
      <x:c r="BE164" s="12" t="n">
        <x:f>=BO164</x:f>
      </x:c>
      <x:c r="BF164" s="12" t="n">
        <x:v>0.1382927992370052455889365761</x:v>
      </x:c>
      <x:c r="BG164" s="12" t="n">
        <x:v>0.7424892703862660944206008584</x:v>
      </x:c>
      <x:c r="BH164" s="12" t="n">
        <x:v>0.1192179303767286599904625656</x:v>
      </x:c>
      <x:c r="BI164" s="12" t="n">
        <x:f>=BN164</x:f>
      </x:c>
      <x:c r="BJ164" s="13" t="n">
        <x:v>0</x:v>
      </x:c>
      <x:c r="BK164" s="31" t="n">
        <x:v>11180.17</x:v>
      </x:c>
      <x:c r="BL164" s="31" t="n">
        <x:v>-14736.55320</x:v>
      </x:c>
      <x:c r="BM164" s="31" t="n">
        <x:f>=BK164+BL164</x:f>
      </x:c>
      <x:c r="BN164" s="68" t="n">
        <x:f>=BM164/BK164</x:f>
      </x:c>
      <x:c r="BO164" s="68" t="n">
        <x:v>0.8807820696232713400095374344</x:v>
      </x:c>
      <x:c r="BP164" s="31" t="n">
        <x:v>13462.20</x:v>
      </x:c>
      <x:c r="BQ164" s="42" t="n">
        <x:v>250</x:v>
      </x:c>
      <x:c r="BR164" s="31" t="n">
        <x:v>1604.9356223175965665236051502</x:v>
      </x:c>
      <x:c r="BT164" s="31" t="n">
        <x:v>18188.94269631574675000000</x:v>
      </x:c>
      <x:c r="BU164" s="31" t="n">
        <x:v>-14736.55320</x:v>
      </x:c>
      <x:c r="BV164" s="31" t="n">
        <x:f>=BT164+BU164</x:f>
      </x:c>
      <x:c r="BW164" s="68" t="n">
        <x:f>=BV164/BT164</x:f>
      </x:c>
      <x:c r="BY164" s="68" t="n">
        <x:f>=BO164</x:f>
      </x:c>
      <x:c r="BZ164" s="68" t="n">
        <x:f>=BF164</x:f>
      </x:c>
      <x:c r="CA164" s="68" t="n">
        <x:f>=BG164</x:f>
      </x:c>
      <x:c r="CB164" s="68" t="n">
        <x:f>=1 - BY164</x:f>
      </x:c>
      <x:c r="CD164" s="68" t="n">
        <x:f>=CA164/(1-BZ164)</x:f>
      </x:c>
    </x:row>
    <x:row r="165">
      <x:c r="BC165" s="34" t="s"/>
      <x:c r="BD165" s="11" t="s"/>
      <x:c r="BJ165" s="13" t="s"/>
    </x:row>
    <x:row r="166">
      <x:c r="A166" s="36" t="s">
        <x:v>91</x:v>
      </x:c>
      <x:c r="BC166" s="34" t="s"/>
      <x:c r="BD166" s="11" t="s"/>
      <x:c r="BJ166" s="13" t="s"/>
    </x:row>
    <x:row r="167">
      <x:c r="A167" s="17" t="s">
        <x:v>92</x:v>
      </x:c>
      <x:c r="BC167" s="34" t="s"/>
      <x:c r="BD167" s="11" t="s"/>
      <x:c r="BJ167" s="13" t="s"/>
    </x:row>
    <x:row r="168">
      <x:c r="A168" s="32" t="s">
        <x:v>349</x:v>
      </x:c>
      <x:c r="B168" t="s"/>
      <x:c r="C168" t="s">
        <x:v>350</x:v>
      </x:c>
      <x:c r="D168" t="s">
        <x:v>108</x:v>
      </x:c>
      <x:c r="E168" t="s">
        <x:v>97</x:v>
      </x:c>
      <x:c r="F168" t="n">
        <x:v>505</x:v>
      </x:c>
      <x:c r="G168" s="33" t="n">
        <x:v>0.003960396039603960396039604</x:v>
      </x:c>
      <x:c r="H168" s="33" t="n">
        <x:v>0.0118811881188118811881188119</x:v>
      </x:c>
      <x:c r="I168" s="33" t="n">
        <x:v>0.0316831683168316831683168317</x:v>
      </x:c>
      <x:c r="J168" s="33" t="n">
        <x:v>0.0415841584158415841584158416</x:v>
      </x:c>
      <x:c r="K168" s="33" t="n">
        <x:v>0.0475247524752475247524752475</x:v>
      </x:c>
      <x:c r="L168" s="33" t="n">
        <x:v>0.0633663366336633663366336634</x:v>
      </x:c>
      <x:c r="M168" s="33" t="n">
        <x:v>0.0712871287128712871287128713</x:v>
      </x:c>
      <x:c r="N168" s="33" t="n">
        <x:v>0.0772277227722772277227722772</x:v>
      </x:c>
      <x:c r="O168" s="33" t="n">
        <x:v>0.0930693069306930693069306931</x:v>
      </x:c>
      <x:c r="P168" s="33" t="n">
        <x:v>0.1108910891089108910891089109</x:v>
      </x:c>
      <x:c r="Q168" s="33" t="n">
        <x:v>0.1207920792079207920792079208</x:v>
      </x:c>
      <x:c r="R168" s="33" t="n">
        <x:v>0.1287128712871287128712871287</x:v>
      </x:c>
      <x:c r="S168" s="33" t="n">
        <x:v>0.1267326732673267326732673267</x:v>
      </x:c>
      <x:c r="T168" s="33" t="n">
        <x:v>0.1306930693069306930693069307</x:v>
      </x:c>
      <x:c r="U168" s="33" t="n">
        <x:v>0.1366336633663366336633663366</x:v>
      </x:c>
      <x:c r="V168" s="33" t="n">
        <x:v>0.1346534653465346534653465347</x:v>
      </x:c>
      <x:c r="W168" s="33" t="n">
        <x:v>0.1366336633663366336633663366</x:v>
      </x:c>
      <x:c r="X168" s="33" t="n">
        <x:v>0.1425742574257425742574257426</x:v>
      </x:c>
      <x:c r="Y168" s="33" t="n">
        <x:v>0.1425742574257425742574257426</x:v>
      </x:c>
      <x:c r="Z168" s="33" t="n">
        <x:v>0.1425742574257425742574257426</x:v>
      </x:c>
      <x:c r="AA168" s="33" t="n">
        <x:v>0.1465346534653465346534653465</x:v>
      </x:c>
      <x:c r="AB168" s="33" t="n">
        <x:v>0.1524752475247524752475247525</x:v>
      </x:c>
      <x:c r="AC168" s="33" t="n">
        <x:v>0.1564356435643564356435643564</x:v>
      </x:c>
      <x:c r="AD168" s="33" t="n">
        <x:v>0.1643564356435643564356435644</x:v>
      </x:c>
      <x:c r="AE168" s="33" t="n">
        <x:v>0.1702970297029702970297029703</x:v>
      </x:c>
      <x:c r="AF168" s="23" t="n">
        <x:v>0.2138613861386138613861386139</x:v>
      </x:c>
      <x:c r="BC168" s="34" t="s"/>
      <x:c r="BD168" s="11" t="s">
        <x:v>147</x:v>
      </x:c>
      <x:c r="BE168" s="12" t="n">
        <x:f>=BO168</x:f>
      </x:c>
      <x:c r="BF168" s="12" t="n">
        <x:v>0.196039603960396039603960396</x:v>
      </x:c>
      <x:c r="BG168" s="12" t="n">
        <x:v>0.3722772277227722772277227723</x:v>
      </x:c>
      <x:c r="BH168" s="12" t="n">
        <x:v>0.4316831683168316831683168317</x:v>
      </x:c>
      <x:c r="BI168" s="12" t="n">
        <x:f>=BN168</x:f>
      </x:c>
      <x:c r="BJ168" s="13" t="n">
        <x:v>0</x:v>
      </x:c>
      <x:c r="BK168" s="31" t="n">
        <x:v>1353.26</x:v>
      </x:c>
      <x:c r="BL168" s="31" t="n">
        <x:v>-2902.66709357925000000000</x:v>
      </x:c>
      <x:c r="BM168" s="31" t="n">
        <x:f>=BK168+BL168</x:f>
      </x:c>
      <x:c r="BN168" s="68" t="n">
        <x:f>=BM168/BK168</x:f>
      </x:c>
      <x:c r="BO168" s="68" t="n">
        <x:v>0.5683168316831683168316831683</x:v>
      </x:c>
      <x:c r="BP168" s="31" t="n">
        <x:v>2931.527931525000000000</x:v>
      </x:c>
      <x:c r="BQ168" s="42" t="n">
        <x:v>218</x:v>
      </x:c>
      <x:c r="BR168" s="31" t="n">
        <x:v>1265.491265490000000000</x:v>
      </x:c>
      <x:c r="BT168" s="31" t="n">
        <x:v>2651.1101946775000000000000000</x:v>
      </x:c>
      <x:c r="BU168" s="31" t="n">
        <x:v>-2902.66709357925000000000</x:v>
      </x:c>
      <x:c r="BV168" s="31" t="n">
        <x:f>=BT168+BU168</x:f>
      </x:c>
      <x:c r="BW168" s="68" t="n">
        <x:f>=BV168/BT168</x:f>
      </x:c>
      <x:c r="BY168" s="68" t="n">
        <x:f>=BO168</x:f>
      </x:c>
      <x:c r="BZ168" s="68" t="n">
        <x:f>=BF168</x:f>
      </x:c>
      <x:c r="CA168" s="68" t="n">
        <x:f>=BG168</x:f>
      </x:c>
      <x:c r="CB168" s="68" t="n">
        <x:f>=1 - BY168</x:f>
      </x:c>
      <x:c r="CD168" s="68" t="n">
        <x:f>=CA168/(1-BZ168)</x:f>
      </x:c>
    </x:row>
    <x:row r="169">
      <x:c r="A169" s="32" t="s">
        <x:v>351</x:v>
      </x:c>
      <x:c r="B169" t="s"/>
      <x:c r="C169" t="s">
        <x:v>352</x:v>
      </x:c>
      <x:c r="D169" t="s">
        <x:v>108</x:v>
      </x:c>
      <x:c r="E169" t="s">
        <x:v>97</x:v>
      </x:c>
      <x:c r="F169" t="n">
        <x:v>516</x:v>
      </x:c>
      <x:c r="G169" s="33" t="n">
        <x:v>0.001937984496124031007751938</x:v>
      </x:c>
      <x:c r="H169" s="33" t="n">
        <x:v>0.0096899224806201550387596899</x:v>
      </x:c>
      <x:c r="I169" s="33" t="n">
        <x:v>0.0116279069767441860465116279</x:v>
      </x:c>
      <x:c r="J169" s="33" t="n">
        <x:v>0.0174418604651162790697674419</x:v>
      </x:c>
      <x:c r="K169" s="33" t="n">
        <x:v>0.0116279069767441860465116279</x:v>
      </x:c>
      <x:c r="L169" s="33" t="n">
        <x:v>0.0135658914728682170542635659</x:v>
      </x:c>
      <x:c r="M169" s="33" t="n">
        <x:v>0.0155038759689922480620155039</x:v>
      </x:c>
      <x:c r="N169" s="33" t="n">
        <x:v>0.0232558139534883720930232558</x:v>
      </x:c>
      <x:c r="O169" s="33" t="n">
        <x:v>0.0290697674418604651162790698</x:v>
      </x:c>
      <x:c r="P169" s="33" t="n">
        <x:v>0.0406976744186046511627906977</x:v>
      </x:c>
      <x:c r="Q169" s="33" t="n">
        <x:v>0.0523255813953488372093023256</x:v>
      </x:c>
      <x:c r="R169" s="33" t="n">
        <x:v>0.0562015503875968992248062016</x:v>
      </x:c>
      <x:c r="S169" s="33" t="n">
        <x:v>0.0562015503875968992248062016</x:v>
      </x:c>
      <x:c r="T169" s="33" t="n">
        <x:v>0.0581395348837209302325581395</x:v>
      </x:c>
      <x:c r="U169" s="33" t="n">
        <x:v>0.0600775193798449612403100775</x:v>
      </x:c>
      <x:c r="V169" s="33" t="n">
        <x:v>0.0678294573643410852713178295</x:v>
      </x:c>
      <x:c r="W169" s="33" t="n">
        <x:v>0.0697674418604651162790697674</x:v>
      </x:c>
      <x:c r="X169" s="33" t="n">
        <x:v>0.0775193798449612403100775194</x:v>
      </x:c>
      <x:c r="Y169" s="33" t="n">
        <x:v>0.0794573643410852713178294574</x:v>
      </x:c>
      <x:c r="Z169" s="33" t="n">
        <x:v>0.0813953488372093023255813953</x:v>
      </x:c>
      <x:c r="AA169" s="33" t="n">
        <x:v>0.0813953488372093023255813953</x:v>
      </x:c>
      <x:c r="AB169" s="33" t="n">
        <x:v>0.0833333333333333333333333333</x:v>
      </x:c>
      <x:c r="AC169" s="33" t="n">
        <x:v>0.0833333333333333333333333333</x:v>
      </x:c>
      <x:c r="AD169" s="33" t="n">
        <x:v>0.0813953488372093023255813953</x:v>
      </x:c>
      <x:c r="AE169" s="33" t="n">
        <x:v>0.0833333333333333333333333333</x:v>
      </x:c>
      <x:c r="AF169" s="23" t="n">
        <x:v>0.1027131782945736434108527132</x:v>
      </x:c>
      <x:c r="BC169" s="34" t="s"/>
      <x:c r="BD169" s="11" t="s">
        <x:v>147</x:v>
      </x:c>
      <x:c r="BE169" s="12" t="n">
        <x:f>=BO169</x:f>
      </x:c>
      <x:c r="BF169" s="12" t="n">
        <x:v>0.1007751937984496124031007752</x:v>
      </x:c>
      <x:c r="BG169" s="12" t="n">
        <x:v>0.377906976744186046511627907</x:v>
      </x:c>
      <x:c r="BH169" s="12" t="n">
        <x:v>0.5213178294573643410852713178</x:v>
      </x:c>
      <x:c r="BI169" s="12" t="n">
        <x:f>=BN169</x:f>
      </x:c>
      <x:c r="BJ169" s="13" t="n">
        <x:v>0</x:v>
      </x:c>
      <x:c r="BK169" s="31" t="n">
        <x:v>983.87</x:v>
      </x:c>
      <x:c r="BL169" s="31" t="n">
        <x:v>-2964.50030551860000000000</x:v>
      </x:c>
      <x:c r="BM169" s="31" t="n">
        <x:f>=BK169+BL169</x:f>
      </x:c>
      <x:c r="BN169" s="68" t="n">
        <x:f>=BM169/BK169</x:f>
      </x:c>
      <x:c r="BO169" s="68" t="n">
        <x:v>0.4786821705426356589147286822</x:v>
      </x:c>
      <x:c r="BP169" s="31" t="n">
        <x:v>2995.382995380000000000</x:v>
      </x:c>
      <x:c r="BQ169" s="42" t="n">
        <x:v>269</x:v>
      </x:c>
      <x:c r="BR169" s="31" t="n">
        <x:v>1561.546561545000000000</x:v>
      </x:c>
      <x:c r="BT169" s="31" t="n">
        <x:v>2309.9901989180000000000</x:v>
      </x:c>
      <x:c r="BU169" s="31" t="n">
        <x:v>-2964.50030551860000000000</x:v>
      </x:c>
      <x:c r="BV169" s="31" t="n">
        <x:f>=BT169+BU169</x:f>
      </x:c>
      <x:c r="BW169" s="68" t="n">
        <x:f>=BV169/BT169</x:f>
      </x:c>
      <x:c r="BY169" s="68" t="n">
        <x:f>=BO169</x:f>
      </x:c>
      <x:c r="BZ169" s="68" t="n">
        <x:f>=BF169</x:f>
      </x:c>
      <x:c r="CA169" s="68" t="n">
        <x:f>=BG169</x:f>
      </x:c>
      <x:c r="CB169" s="68" t="n">
        <x:f>=1 - BY169</x:f>
      </x:c>
      <x:c r="CD169" s="68" t="n">
        <x:f>=CA169/(1-BZ169)</x:f>
      </x:c>
    </x:row>
    <x:row r="170">
      <x:c r="A170" s="32" t="s">
        <x:v>353</x:v>
      </x:c>
      <x:c r="B170" t="s"/>
      <x:c r="C170" t="s">
        <x:v>354</x:v>
      </x:c>
      <x:c r="D170" t="s">
        <x:v>108</x:v>
      </x:c>
      <x:c r="E170" t="s">
        <x:v>97</x:v>
      </x:c>
      <x:c r="F170" t="n">
        <x:v>519</x:v>
      </x:c>
      <x:c r="G170" s="33" t="n">
        <x:v>0.0038535645472061657032755299</x:v>
      </x:c>
      <x:c r="H170" s="33" t="n">
        <x:v>0.0077071290944123314065510597</x:v>
      </x:c>
      <x:c r="I170" s="33" t="n">
        <x:v>0.0173410404624277456647398844</x:v>
      </x:c>
      <x:c r="J170" s="33" t="n">
        <x:v>0.0269749518304431599229287091</x:v>
      </x:c>
      <x:c r="K170" s="33" t="n">
        <x:v>0.0308285163776493256262042389</x:v>
      </x:c>
      <x:c r="L170" s="33" t="n">
        <x:v>0.0423892100192678227360308285</x:v>
      </x:c>
      <x:c r="M170" s="33" t="n">
        <x:v>0.0423892100192678227360308285</x:v>
      </x:c>
      <x:c r="N170" s="33" t="n">
        <x:v>0.0423892100192678227360308285</x:v>
      </x:c>
      <x:c r="O170" s="33" t="n">
        <x:v>0.0520231213872832369942196532</x:v>
      </x:c>
      <x:c r="P170" s="33" t="n">
        <x:v>0.0616570327552986512524084778</x:v>
      </x:c>
      <x:c r="Q170" s="33" t="n">
        <x:v>0.0712909441233140655105973025</x:v>
      </x:c>
      <x:c r="R170" s="33" t="n">
        <x:v>0.0751445086705202312138728324</x:v>
      </x:c>
      <x:c r="S170" s="33" t="n">
        <x:v>0.0732177263969171483622350674</x:v>
      </x:c>
      <x:c r="T170" s="33" t="n">
        <x:v>0.0770712909441233140655105973</x:v>
      </x:c>
      <x:c r="U170" s="33" t="n">
        <x:v>0.0789980732177263969171483622</x:v>
      </x:c>
      <x:c r="V170" s="33" t="n">
        <x:v>0.0828516377649325626204238921</x:v>
      </x:c>
      <x:c r="W170" s="33" t="n">
        <x:v>0.084778420038535645472061657</x:v>
      </x:c>
      <x:c r="X170" s="33" t="n">
        <x:v>0.0886319845857418111753371869</x:v>
      </x:c>
      <x:c r="Y170" s="33" t="n">
        <x:v>0.0905587668593448940269749518</x:v>
      </x:c>
      <x:c r="Z170" s="33" t="n">
        <x:v>0.0905587668593448940269749518</x:v>
      </x:c>
      <x:c r="AA170" s="33" t="n">
        <x:v>0.0924855491329479768786127168</x:v>
      </x:c>
      <x:c r="AB170" s="33" t="n">
        <x:v>0.0944123314065510597302504817</x:v>
      </x:c>
      <x:c r="AC170" s="33" t="n">
        <x:v>0.0982658959537572254335260116</x:v>
      </x:c>
      <x:c r="AD170" s="33" t="n">
        <x:v>0.0982658959537572254335260116</x:v>
      </x:c>
      <x:c r="AE170" s="33" t="n">
        <x:v>0.0982658959537572254335260116</x:v>
      </x:c>
      <x:c r="AF170" s="23" t="n">
        <x:v>0.142581888246628131021194605</x:v>
      </x:c>
      <x:c r="BC170" s="34" t="s"/>
      <x:c r="BD170" s="11" t="s">
        <x:v>147</x:v>
      </x:c>
      <x:c r="BE170" s="12" t="n">
        <x:f>=BO170</x:f>
      </x:c>
      <x:c r="BF170" s="12" t="n">
        <x:v>0.1194605009633911368015414258</x:v>
      </x:c>
      <x:c r="BG170" s="12" t="n">
        <x:v>0.2639691714836223506743737958</x:v>
      </x:c>
      <x:c r="BH170" s="12" t="n">
        <x:v>0.6165703275529865125240847784</x:v>
      </x:c>
      <x:c r="BI170" s="12" t="n">
        <x:f>=BN170</x:f>
      </x:c>
      <x:c r="BJ170" s="13" t="n">
        <x:v>0</x:v>
      </x:c>
      <x:c r="BK170" s="31" t="n">
        <x:v>911.28</x:v>
      </x:c>
      <x:c r="BL170" s="31" t="n">
        <x:v>-2983.13707241115000000000</x:v>
      </x:c>
      <x:c r="BM170" s="31" t="n">
        <x:f>=BK170+BL170</x:f>
      </x:c>
      <x:c r="BN170" s="68" t="n">
        <x:f>=BM170/BK170</x:f>
      </x:c>
      <x:c r="BO170" s="68" t="n">
        <x:v>0.3834296724470134874759152216</x:v>
      </x:c>
      <x:c r="BP170" s="31" t="n">
        <x:v>3012.798012795000000000</x:v>
      </x:c>
      <x:c r="BQ170" s="42" t="n">
        <x:v>320</x:v>
      </x:c>
      <x:c r="BR170" s="31" t="n">
        <x:v>1857.601857600000000000</x:v>
      </x:c>
      <x:c r="BT170" s="31" t="n">
        <x:v>2245.1102000745000000000</x:v>
      </x:c>
      <x:c r="BU170" s="31" t="n">
        <x:v>-2983.13707241115000000000</x:v>
      </x:c>
      <x:c r="BV170" s="31" t="n">
        <x:f>=BT170+BU170</x:f>
      </x:c>
      <x:c r="BW170" s="68" t="n">
        <x:f>=BV170/BT170</x:f>
      </x:c>
      <x:c r="BY170" s="68" t="n">
        <x:f>=BO170</x:f>
      </x:c>
      <x:c r="BZ170" s="68" t="n">
        <x:f>=BF170</x:f>
      </x:c>
      <x:c r="CA170" s="68" t="n">
        <x:f>=BG170</x:f>
      </x:c>
      <x:c r="CB170" s="68" t="n">
        <x:f>=1 - BY170</x:f>
      </x:c>
      <x:c r="CD170" s="68" t="n">
        <x:f>=CA170/(1-BZ170)</x:f>
      </x:c>
    </x:row>
    <x:row r="171">
      <x:c r="BC171" s="34" t="s"/>
      <x:c r="BD171" s="11" t="s"/>
      <x:c r="BJ171" s="13" t="s"/>
      <x:c r="BK171" s="21" t="n">
        <x:v>460231.99</x:v>
      </x:c>
      <x:c r="BL171" s="21" t="n">
        <x:v>-373051.42779150900000000000</x:v>
      </x:c>
      <x:c r="BM171" s="21" t="n">
        <x:f>=BK171+BL171</x:f>
      </x:c>
      <x:c r="BN171" s="22" t="n">
        <x:v>0.1894274281292158765408723544</x:v>
      </x:c>
      <x:c r="BP171" s="21" t="n">
        <x:v>-347386.278939700000000000</x:v>
      </x:c>
      <x:c r="BQ171" s="21" t="n">
        <x:v>6204</x:v>
      </x:c>
      <x:c r="BR171" s="21" t="n">
        <x:v>32481.077805369827586206896552</x:v>
      </x:c>
      <x:c r="BT171" s="21" t="n">
        <x:v>640931.28389239001812500000000</x:v>
      </x:c>
      <x:c r="BU171" s="21" t="n">
        <x:v>-373051.42779150900000000000</x:v>
      </x:c>
      <x:c r="BV171" s="21" t="n">
        <x:f>=BT171+BU171</x:f>
      </x:c>
      <x:c r="BW171" s="22" t="n">
        <x:v>0.4179540971600585047194792331</x:v>
      </x:c>
    </x:row>
    <x:row r="172">
      <x:c r="A172" s="36" t="s">
        <x:v>104</x:v>
      </x:c>
      <x:c r="BC172" s="34" t="s"/>
      <x:c r="BD172" s="11" t="s"/>
      <x:c r="BJ172" s="13" t="s"/>
    </x:row>
    <x:row r="173">
      <x:c r="A173" s="17" t="s">
        <x:v>105</x:v>
      </x:c>
      <x:c r="BC173" s="34" t="s"/>
      <x:c r="BD173" s="11" t="s"/>
      <x:c r="BJ173" s="13" t="s"/>
    </x:row>
    <x:row r="174">
      <x:c r="A174" s="32" t="s">
        <x:v>355</x:v>
      </x:c>
      <x:c r="B174" t="s"/>
      <x:c r="C174" t="s">
        <x:v>356</x:v>
      </x:c>
      <x:c r="D174" t="s">
        <x:v>108</x:v>
      </x:c>
      <x:c r="E174" t="s">
        <x:v>109</x:v>
      </x:c>
      <x:c r="F174" t="n">
        <x:v>502</x:v>
      </x:c>
      <x:c r="G174" s="33" t="n">
        <x:v>0.0278884462151394422310756972</x:v>
      </x:c>
      <x:c r="H174" s="33" t="n">
        <x:v>0.0478087649402390438247011952</x:v>
      </x:c>
      <x:c r="I174" s="33" t="n">
        <x:v>0.0776892430278884462151394422</x:v>
      </x:c>
      <x:c r="J174" s="33" t="n">
        <x:v>0.1274900398406374501992031873</x:v>
      </x:c>
      <x:c r="K174" s="33" t="n">
        <x:v>0.1434262948207171314741035857</x:v>
      </x:c>
      <x:c r="L174" s="33" t="n">
        <x:v>0.1633466135458167330677290837</x:v>
      </x:c>
      <x:c r="M174" s="33" t="n">
        <x:v>0.2151394422310756972111553785</x:v>
      </x:c>
      <x:c r="N174" s="33" t="n">
        <x:v>0.2430278884462151394422310757</x:v>
      </x:c>
      <x:c r="O174" s="33" t="n">
        <x:v>0.2768924302788844621513944223</x:v>
      </x:c>
      <x:c r="P174" s="33" t="n">
        <x:v>0.2908366533864541832669322709</x:v>
      </x:c>
      <x:c r="Q174" s="33" t="n">
        <x:v>0.3107569721115537848605577689</x:v>
      </x:c>
      <x:c r="R174" s="33" t="n">
        <x:v>0.3286852589641434262948207171</x:v>
      </x:c>
      <x:c r="S174" s="33" t="n">
        <x:v>0.3645418326693227091633466135</x:v>
      </x:c>
      <x:c r="T174" s="33" t="n">
        <x:v>0.380478087649402390438247012</x:v>
      </x:c>
      <x:c r="U174" s="33" t="n">
        <x:v>0.4183266932270916334661354582</x:v>
      </x:c>
      <x:c r="V174" s="33" t="n">
        <x:v>0.5</x:v>
      </x:c>
      <x:c r="W174" s="33" t="n">
        <x:v>0.5617529880478087649402390438</x:v>
      </x:c>
      <x:c r="X174" s="33" t="n">
        <x:v>0.609561752988047808764940239</x:v>
      </x:c>
      <x:c r="Y174" s="33" t="n">
        <x:v>0.6952191235059760956175298805</x:v>
      </x:c>
      <x:c r="Z174" s="24" t="n">
        <x:v>0.7430278884462151394422310757</x:v>
      </x:c>
      <x:c r="AA174" s="33" t="n">
        <x:v>0.7410358565737051792828685259</x:v>
      </x:c>
      <x:c r="AB174" s="33" t="n">
        <x:v>0.7549800796812749003984063745</x:v>
      </x:c>
      <x:c r="AC174" s="33" t="n">
        <x:v>0.7509960159362549800796812749</x:v>
      </x:c>
      <x:c r="AD174" s="33" t="n">
        <x:v>0.7529880478087649402390438247</x:v>
      </x:c>
      <x:c r="AE174" s="33" t="n">
        <x:v>0.7569721115537848605577689243</x:v>
      </x:c>
      <x:c r="AF174" s="33" t="n">
        <x:v>0.7709163346613545816733067729</x:v>
      </x:c>
      <x:c r="AG174" s="33" t="n">
        <x:v>0.7908366533864541832669322709</x:v>
      </x:c>
      <x:c r="AH174" s="33" t="n">
        <x:v>0.7908366533864541832669322709</x:v>
      </x:c>
      <x:c r="AI174" s="33" t="n">
        <x:v>0.8127490039840637450199203187</x:v>
      </x:c>
      <x:c r="AJ174" s="33" t="n">
        <x:v>0.8187250996015936254980079681</x:v>
      </x:c>
      <x:c r="AK174" s="33" t="n">
        <x:v>0.8187250996015936254980079681</x:v>
      </x:c>
      <x:c r="AL174" s="33" t="n">
        <x:v>0.8127490039840637450199203187</x:v>
      </x:c>
      <x:c r="AM174" s="33" t="n">
        <x:v>0.8127490039840637450199203187</x:v>
      </x:c>
      <x:c r="AN174" s="33" t="n">
        <x:v>0.8266932270916334661354581673</x:v>
      </x:c>
      <x:c r="AO174" s="33" t="n">
        <x:v>0.8466135458167330677290836653</x:v>
      </x:c>
      <x:c r="AP174" s="33" t="n">
        <x:v>0.8764940239043824701195219124</x:v>
      </x:c>
      <x:c r="AQ174" s="33" t="n">
        <x:v>0.9183266932270916334661354582</x:v>
      </x:c>
      <x:c r="AR174" s="23" t="n">
        <x:v>0.9681274900398406374501992032</x:v>
      </x:c>
      <x:c r="BC174" s="34" t="s"/>
      <x:c r="BD174" s="11" t="s">
        <x:v>357</x:v>
      </x:c>
      <x:c r="BE174" s="12" t="n">
        <x:f>=BO174</x:f>
      </x:c>
      <x:c r="BF174" s="12" t="n">
        <x:v>0.8864541832669322709163346614</x:v>
      </x:c>
      <x:c r="BG174" s="12" t="n">
        <x:v>0.0856573705179282868525896414</x:v>
      </x:c>
      <x:c r="BH174" s="12" t="n">
        <x:v>0.0278884462151394422310756972</x:v>
      </x:c>
      <x:c r="BI174" s="12" t="n">
        <x:f>=BN174</x:f>
      </x:c>
      <x:c r="BJ174" s="13" t="n">
        <x:v>0</x:v>
      </x:c>
      <x:c r="BK174" s="31" t="n">
        <x:v>5793.73</x:v>
      </x:c>
      <x:c r="BL174" s="31" t="n">
        <x:v>-4105.52472374922372321860</x:v>
      </x:c>
      <x:c r="BM174" s="31" t="n">
        <x:f>=BK174+BL174</x:f>
      </x:c>
      <x:c r="BN174" s="68" t="n">
        <x:f>=BM174/BK174</x:f>
      </x:c>
      <x:c r="BO174" s="68" t="n">
        <x:v>0.9721115537848605577689243028</x:v>
      </x:c>
      <x:c r="BP174" s="31" t="n">
        <x:v>4131.582189432189405380</x:v>
      </x:c>
      <x:c r="BQ174" s="42" t="n">
        <x:v>14</x:v>
      </x:c>
      <x:c r="BR174" s="31" t="n">
        <x:v>115.223407673407672660</x:v>
      </x:c>
      <x:c r="BT174" s="31" t="n">
        <x:v>7567.6727660913750000000000000</x:v>
      </x:c>
      <x:c r="BU174" s="31" t="n">
        <x:v>-4105.52472374922372321860</x:v>
      </x:c>
      <x:c r="BV174" s="31" t="n">
        <x:f>=BT174+BU174</x:f>
      </x:c>
      <x:c r="BW174" s="68" t="n">
        <x:f>=BV174/BT174</x:f>
      </x:c>
      <x:c r="BY174" s="68" t="n">
        <x:f>=BO174</x:f>
      </x:c>
      <x:c r="BZ174" s="68" t="n">
        <x:f>=BF174</x:f>
      </x:c>
      <x:c r="CA174" s="68" t="n">
        <x:f>=BG174</x:f>
      </x:c>
      <x:c r="CB174" s="68" t="n">
        <x:f>=1 - BY174</x:f>
      </x:c>
      <x:c r="CD174" s="68" t="n">
        <x:f>=CA174/(1-BZ174)</x:f>
      </x:c>
    </x:row>
    <x:row r="175">
      <x:c r="A175" s="32" t="s">
        <x:v>358</x:v>
      </x:c>
      <x:c r="B175" t="s"/>
      <x:c r="C175" t="s">
        <x:v>359</x:v>
      </x:c>
      <x:c r="D175" t="s">
        <x:v>173</x:v>
      </x:c>
      <x:c r="E175" t="s">
        <x:v>109</x:v>
      </x:c>
      <x:c r="F175" t="n">
        <x:v>1007</x:v>
      </x:c>
      <x:c r="G175" s="33" t="n">
        <x:v>0.0019860973187686196623634558</x:v>
      </x:c>
      <x:c r="H175" s="33" t="n">
        <x:v>0.0248262164846077457795431976</x:v>
      </x:c>
      <x:c r="I175" s="33" t="n">
        <x:v>0.0397219463753723932472691162</x:v>
      </x:c>
      <x:c r="J175" s="33" t="n">
        <x:v>0.0546176762661370407149950348</x:v>
      </x:c>
      <x:c r="K175" s="33" t="n">
        <x:v>0.0764647467725918570009930487</x:v>
      </x:c>
      <x:c r="L175" s="33" t="n">
        <x:v>0.1012909632571996027805362463</x:v>
      </x:c>
      <x:c r="M175" s="33" t="n">
        <x:v>0.1211519364448857994041708044</x:v>
      </x:c>
      <x:c r="N175" s="33" t="n">
        <x:v>0.1519364448857994041708043694</x:v>
      </x:c>
      <x:c r="O175" s="33" t="n">
        <x:v>0.1727904667328699106256206554</x:v>
      </x:c>
      <x:c r="P175" s="33" t="n">
        <x:v>0.1996027805362462760675273088</x:v>
      </x:c>
      <x:c r="Q175" s="33" t="n">
        <x:v>0.229394240317775571002979146</x:v>
      </x:c>
      <x:c r="R175" s="33" t="n">
        <x:v>0.2383316782522343594836146971</x:v>
      </x:c>
      <x:c r="S175" s="33" t="n">
        <x:v>0.2800397219463753723932472691</x:v>
      </x:c>
      <x:c r="T175" s="33" t="n">
        <x:v>0.3247269116186693147964250248</x:v>
      </x:c>
      <x:c r="U175" s="33" t="n">
        <x:v>0.354518371400198609731876862</x:v>
      </x:c>
      <x:c r="V175" s="33" t="n">
        <x:v>0.3674280039721946375372393247</x:v>
      </x:c>
      <x:c r="W175" s="33" t="n">
        <x:v>0.3882820258192651439920556107</x:v>
      </x:c>
      <x:c r="X175" s="33" t="n">
        <x:v>0.4359483614697120158887785501</x:v>
      </x:c>
      <x:c r="Y175" s="33" t="n">
        <x:v>0.4667328699106256206554121152</x:v>
      </x:c>
      <x:c r="Z175" s="33" t="n">
        <x:v>0.5024826216484607745779543198</x:v>
      </x:c>
      <x:c r="AA175" s="33" t="n">
        <x:v>0.5292949354518371400198609732</x:v>
      </x:c>
      <x:c r="AB175" s="33" t="n">
        <x:v>0.5471698113207547169811320755</x:v>
      </x:c>
      <x:c r="AC175" s="33" t="n">
        <x:v>0.5809334657398212512413108242</x:v>
      </x:c>
      <x:c r="AD175" s="33" t="n">
        <x:v>0.5918570009930486593843098312</x:v>
      </x:c>
      <x:c r="AE175" s="33" t="n">
        <x:v>0.6067527308838133068520357498</x:v>
      </x:c>
      <x:c r="AF175" s="33" t="n">
        <x:v>0.6107249255213505461767626614</x:v>
      </x:c>
      <x:c r="AG175" s="33" t="n">
        <x:v>0.624627606752730883813306852</x:v>
      </x:c>
      <x:c r="AH175" s="33" t="n">
        <x:v>0.6534260178748758689175769613</x:v>
      </x:c>
      <x:c r="AI175" s="33" t="n">
        <x:v>0.666335650446871896722939424</x:v>
      </x:c>
      <x:c r="AJ175" s="33" t="n">
        <x:v>0.6782522343594836146971201589</x:v>
      </x:c>
      <x:c r="AK175" s="33" t="n">
        <x:v>0.6832174776564051638530287984</x:v>
      </x:c>
      <x:c r="AL175" s="33" t="n">
        <x:v>0.6881827209533267130089374379</x:v>
      </x:c>
      <x:c r="AM175" s="33" t="n">
        <x:v>0.6971201588877855014895729891</x:v>
      </x:c>
      <x:c r="AN175" s="24" t="n">
        <x:v>0.7090367428003972194637537239</x:v>
      </x:c>
      <x:c r="AO175" s="33" t="n">
        <x:v>0.7249255213505461767626613704</x:v>
      </x:c>
      <x:c r="AP175" s="23" t="n">
        <x:v>0.7874875868917576961271102284</x:v>
      </x:c>
      <x:c r="BC175" s="34" t="s"/>
      <x:c r="BD175" s="11" t="s">
        <x:v>360</x:v>
      </x:c>
      <x:c r="BE175" s="12" t="n">
        <x:f>=BO175</x:f>
      </x:c>
      <x:c r="BF175" s="12" t="n">
        <x:v>0.7447864945382323733862959285</x:v>
      </x:c>
      <x:c r="BG175" s="12" t="n">
        <x:v>0.1112214498510427010923535253</x:v>
      </x:c>
      <x:c r="BH175" s="12" t="n">
        <x:v>0.1439920556107249255213505462</x:v>
      </x:c>
      <x:c r="BI175" s="12" t="n">
        <x:f>=BN175</x:f>
      </x:c>
      <x:c r="BJ175" s="13" t="n">
        <x:v>0</x:v>
      </x:c>
      <x:c r="BK175" s="31" t="n">
        <x:v>14688.61</x:v>
      </x:c>
      <x:c r="BL175" s="31" t="n">
        <x:v>-11769.4132</x:v>
      </x:c>
      <x:c r="BM175" s="31" t="n">
        <x:f>=BK175+BL175</x:f>
      </x:c>
      <x:c r="BN175" s="68" t="n">
        <x:f>=BM175/BK175</x:f>
      </x:c>
      <x:c r="BO175" s="68" t="n">
        <x:v>0.8560079443892750744786494538</x:v>
      </x:c>
      <x:c r="BP175" s="31" t="n">
        <x:v>10573.50</x:v>
      </x:c>
      <x:c r="BQ175" s="42" t="n">
        <x:v>145</x:v>
      </x:c>
      <x:c r="BR175" s="31" t="n">
        <x:v>1522.50</x:v>
      </x:c>
      <x:c r="BT175" s="31" t="n">
        <x:v>20188.089574921812500000000000</x:v>
      </x:c>
      <x:c r="BU175" s="31" t="n">
        <x:v>-11769.4132</x:v>
      </x:c>
      <x:c r="BV175" s="31" t="n">
        <x:f>=BT175+BU175</x:f>
      </x:c>
      <x:c r="BW175" s="68" t="n">
        <x:f>=BV175/BT175</x:f>
      </x:c>
      <x:c r="BY175" s="68" t="n">
        <x:f>=BO175</x:f>
      </x:c>
      <x:c r="BZ175" s="68" t="n">
        <x:f>=BF175</x:f>
      </x:c>
      <x:c r="CA175" s="68" t="n">
        <x:f>=BG175</x:f>
      </x:c>
      <x:c r="CB175" s="68" t="n">
        <x:f>=1 - BY175</x:f>
      </x:c>
      <x:c r="CD175" s="68" t="n">
        <x:f>=CA175/(1-BZ175)</x:f>
      </x:c>
    </x:row>
    <x:row r="176">
      <x:c r="A176" s="32" t="s">
        <x:v>361</x:v>
      </x:c>
      <x:c r="B176" t="s"/>
      <x:c r="C176" t="s">
        <x:v>362</x:v>
      </x:c>
      <x:c r="D176" t="s">
        <x:v>108</x:v>
      </x:c>
      <x:c r="E176" t="s">
        <x:v>109</x:v>
      </x:c>
      <x:c r="F176" t="n">
        <x:v>410</x:v>
      </x:c>
      <x:c r="G176" s="33" t="n">
        <x:v>0.019512195121951219512195122</x:v>
      </x:c>
      <x:c r="H176" s="33" t="n">
        <x:v>0.0975609756097560975609756098</x:v>
      </x:c>
      <x:c r="I176" s="33" t="n">
        <x:v>0.1682926829268292682926829268</x:v>
      </x:c>
      <x:c r="J176" s="33" t="n">
        <x:v>0.219512195121951219512195122</x:v>
      </x:c>
      <x:c r="K176" s="33" t="n">
        <x:v>0.2365853658536585365853658537</x:v>
      </x:c>
      <x:c r="L176" s="33" t="n">
        <x:v>0.2170731707317073170731707317</x:v>
      </x:c>
      <x:c r="M176" s="33" t="n">
        <x:v>0.2243902439024390243902439024</x:v>
      </x:c>
      <x:c r="N176" s="33" t="n">
        <x:v>0.2341463414634146341463414634</x:v>
      </x:c>
      <x:c r="O176" s="33" t="n">
        <x:v>0.2414634146341463414634146341</x:v>
      </x:c>
      <x:c r="P176" s="33" t="n">
        <x:v>0.2609756097560975609756097561</x:v>
      </x:c>
      <x:c r="Q176" s="33" t="n">
        <x:v>0.2707317073170731707317073171</x:v>
      </x:c>
      <x:c r="R176" s="33" t="n">
        <x:v>0.2878048780487804878048780488</x:v>
      </x:c>
      <x:c r="S176" s="33" t="n">
        <x:v>0.3268292682926829268292682927</x:v>
      </x:c>
      <x:c r="T176" s="33" t="n">
        <x:v>0.3487804878048780487804878049</x:v>
      </x:c>
      <x:c r="U176" s="33" t="n">
        <x:v>0.3658536585365853658536585366</x:v>
      </x:c>
      <x:c r="V176" s="33" t="n">
        <x:v>0.3731707317073170731707317073</x:v>
      </x:c>
      <x:c r="W176" s="33" t="n">
        <x:v>0.3878048780487804878048780488</x:v>
      </x:c>
      <x:c r="X176" s="33" t="n">
        <x:v>0.4073170731707317073170731707</x:v>
      </x:c>
      <x:c r="Y176" s="33" t="n">
        <x:v>0.4341463414634146341463414634</x:v>
      </x:c>
      <x:c r="Z176" s="33" t="n">
        <x:v>0.4536585365853658536585365854</x:v>
      </x:c>
      <x:c r="AA176" s="33" t="n">
        <x:v>0.4780487804878048780487804878</x:v>
      </x:c>
      <x:c r="AB176" s="33" t="n">
        <x:v>0.4926829268292682926829268293</x:v>
      </x:c>
      <x:c r="AC176" s="33" t="n">
        <x:v>0.509756097560975609756097561</x:v>
      </x:c>
      <x:c r="AD176" s="33" t="n">
        <x:v>0.5170731707317073170731707317</x:v>
      </x:c>
      <x:c r="AE176" s="33" t="n">
        <x:v>0.5390243902439024390243902439</x:v>
      </x:c>
      <x:c r="AF176" s="33" t="n">
        <x:v>0.5487804878048780487804878049</x:v>
      </x:c>
      <x:c r="AG176" s="33" t="n">
        <x:v>0.5414634146341463414634146341</x:v>
      </x:c>
      <x:c r="AH176" s="33" t="n">
        <x:v>0.5512195121951219512195121951</x:v>
      </x:c>
      <x:c r="AI176" s="33" t="n">
        <x:v>0.5585365853658536585365853659</x:v>
      </x:c>
      <x:c r="AJ176" s="33" t="n">
        <x:v>0.5658536585365853658536585366</x:v>
      </x:c>
      <x:c r="AK176" s="33" t="n">
        <x:v>0.5756097560975609756097560976</x:v>
      </x:c>
      <x:c r="AL176" s="33" t="n">
        <x:v>0.5780487804878048780487804878</x:v>
      </x:c>
      <x:c r="AM176" s="33" t="n">
        <x:v>0.5756097560975609756097560976</x:v>
      </x:c>
      <x:c r="AN176" s="33" t="n">
        <x:v>0.5756097560975609756097560976</x:v>
      </x:c>
      <x:c r="AO176" s="24" t="n">
        <x:v>0.809756097560975609756097561</x:v>
      </x:c>
      <x:c r="BC176" s="34" t="s"/>
      <x:c r="BD176" s="11" t="s">
        <x:v>363</x:v>
      </x:c>
      <x:c r="BE176" s="12" t="n">
        <x:f>=BO176</x:f>
      </x:c>
      <x:c r="BF176" s="12" t="n">
        <x:v>0.5731707317073170731707317073</x:v>
      </x:c>
      <x:c r="BG176" s="12" t="n">
        <x:v>0.4121951219512195121951219512</x:v>
      </x:c>
      <x:c r="BH176" s="12" t="n">
        <x:v>0.0146341463414634146341463415</x:v>
      </x:c>
      <x:c r="BI176" s="12" t="n">
        <x:f>=BN176</x:f>
      </x:c>
      <x:c r="BJ176" s="13" t="n">
        <x:v>0</x:v>
      </x:c>
      <x:c r="BK176" s="31" t="n">
        <x:v>4188.61</x:v>
      </x:c>
      <x:c r="BL176" s="31" t="n">
        <x:v>-3929.41308879925000000000</x:v>
      </x:c>
      <x:c r="BM176" s="31" t="n">
        <x:f>=BK176+BL176</x:f>
      </x:c>
      <x:c r="BN176" s="68" t="n">
        <x:f>=BM176/BK176</x:f>
      </x:c>
      <x:c r="BO176" s="68" t="n">
        <x:v>0.9853658536585365853658536585</x:v>
      </x:c>
      <x:c r="BP176" s="31" t="n">
        <x:v>3957.528957525000000000</x:v>
      </x:c>
      <x:c r="BQ176" s="42" t="n">
        <x:v>6</x:v>
      </x:c>
      <x:c r="BR176" s="31" t="n">
        <x:v>57.915057915000000000</x:v>
      </x:c>
      <x:c r="BT176" s="31" t="n">
        <x:v>5900.8727568393750000000000000</x:v>
      </x:c>
      <x:c r="BU176" s="31" t="n">
        <x:v>-3929.41308879925000000000</x:v>
      </x:c>
      <x:c r="BV176" s="31" t="n">
        <x:f>=BT176+BU176</x:f>
      </x:c>
      <x:c r="BW176" s="68" t="n">
        <x:f>=BV176/BT176</x:f>
      </x:c>
      <x:c r="BY176" s="68" t="n">
        <x:f>=BO176</x:f>
      </x:c>
      <x:c r="BZ176" s="68" t="n">
        <x:f>=BF176</x:f>
      </x:c>
      <x:c r="CA176" s="68" t="n">
        <x:f>=BG176</x:f>
      </x:c>
      <x:c r="CB176" s="68" t="n">
        <x:f>=1 - BY176</x:f>
      </x:c>
      <x:c r="CD176" s="68" t="n">
        <x:f>=CA176/(1-BZ176)</x:f>
      </x:c>
    </x:row>
    <x:row r="177">
      <x:c r="A177" s="32" t="s">
        <x:v>364</x:v>
      </x:c>
      <x:c r="B177" t="s"/>
      <x:c r="C177" t="s">
        <x:v>365</x:v>
      </x:c>
      <x:c r="D177" t="s">
        <x:v>366</x:v>
      </x:c>
      <x:c r="E177" t="s">
        <x:v>109</x:v>
      </x:c>
      <x:c r="F177" t="n">
        <x:v>1452</x:v>
      </x:c>
      <x:c r="G177" s="33" t="n">
        <x:v>0.0179063360881542699724517906</x:v>
      </x:c>
      <x:c r="H177" s="33" t="n">
        <x:v>0.037190082644628099173553719</x:v>
      </x:c>
      <x:c r="I177" s="33" t="n">
        <x:v>0.0557851239669421487603305785</x:v>
      </x:c>
      <x:c r="J177" s="33" t="n">
        <x:v>0.0544077134986225895316804408</x:v>
      </x:c>
      <x:c r="K177" s="33" t="n">
        <x:v>0.0564738292011019283746556474</x:v>
      </x:c>
      <x:c r="L177" s="33" t="n">
        <x:v>0.0626721763085399449035812672</x:v>
      </x:c>
      <x:c r="M177" s="33" t="n">
        <x:v>0.0695592286501377410468319559</x:v>
      </x:c>
      <x:c r="N177" s="33" t="n">
        <x:v>0.074380165289256198347107438</x:v>
      </x:c>
      <x:c r="O177" s="33" t="n">
        <x:v>0.0874655647382920110192837466</x:v>
      </x:c>
      <x:c r="P177" s="33" t="n">
        <x:v>0.0929752066115702479338842975</x:v>
      </x:c>
      <x:c r="Q177" s="33" t="n">
        <x:v>0.0998622589531680440771349862</x:v>
      </x:c>
      <x:c r="R177" s="33" t="n">
        <x:v>0.1026170798898071625344352617</x:v>
      </x:c>
      <x:c r="S177" s="33" t="n">
        <x:v>0.1163911845730027548209366391</x:v>
      </x:c>
      <x:c r="T177" s="33" t="n">
        <x:v>0.1301652892561983471074380165</x:v>
      </x:c>
      <x:c r="U177" s="33" t="n">
        <x:v>0.159779614325068870523415978</x:v>
      </x:c>
      <x:c r="V177" s="33" t="n">
        <x:v>0.1928374655647382920110192837</x:v>
      </x:c>
      <x:c r="W177" s="33" t="n">
        <x:v>0.2389807162534435261707988981</x:v>
      </x:c>
      <x:c r="X177" s="33" t="n">
        <x:v>0.287190082644628099173553719</x:v>
      </x:c>
      <x:c r="Y177" s="33" t="n">
        <x:v>0.3202479338842975206611570248</x:v>
      </x:c>
      <x:c r="Z177" s="33" t="n">
        <x:v>0.3567493112947658402203856749</x:v>
      </x:c>
      <x:c r="AA177" s="33" t="n">
        <x:v>0.382920110192837465564738292</x:v>
      </x:c>
      <x:c r="AB177" s="33" t="n">
        <x:v>0.4015151515151515151515151515</x:v>
      </x:c>
      <x:c r="AC177" s="33" t="n">
        <x:v>0.4263085399449035812672176309</x:v>
      </x:c>
      <x:c r="AD177" s="33" t="n">
        <x:v>0.4497245179063360881542699725</x:v>
      </x:c>
      <x:c r="AE177" s="33" t="n">
        <x:v>0.4690082644628099173553719008</x:v>
      </x:c>
      <x:c r="AF177" s="33" t="n">
        <x:v>0.494490358126721763085399449</x:v>
      </x:c>
      <x:c r="AG177" s="33" t="n">
        <x:v>0.5241046831955922865013774105</x:v>
      </x:c>
      <x:c r="AH177" s="33" t="n">
        <x:v>0.5571625344352617079889807163</x:v>
      </x:c>
      <x:c r="AI177" s="33" t="n">
        <x:v>0.5688705234159779614325068871</x:v>
      </x:c>
      <x:c r="AJ177" s="33" t="n">
        <x:v>0.5915977961432506887052341598</x:v>
      </x:c>
      <x:c r="AK177" s="33" t="n">
        <x:v>0.6287878787878787878787878788</x:v>
      </x:c>
      <x:c r="AL177" s="33" t="n">
        <x:v>0.6515151515151515151515151515</x:v>
      </x:c>
      <x:c r="AM177" s="24" t="n">
        <x:v>0.765840220385674931129476584</x:v>
      </x:c>
      <x:c r="BC177" s="34" t="s"/>
      <x:c r="BD177" s="11" t="s">
        <x:v>177</x:v>
      </x:c>
      <x:c r="BE177" s="12" t="n">
        <x:f>=BO177</x:f>
      </x:c>
      <x:c r="BF177" s="12" t="n">
        <x:v>0.8112947658402203856749311295</x:v>
      </x:c>
      <x:c r="BG177" s="12" t="n">
        <x:v>0.0971074380165289256198347107</x:v>
      </x:c>
      <x:c r="BH177" s="12" t="n">
        <x:v>0.0915977961432506887052341598</x:v>
      </x:c>
      <x:c r="BI177" s="12" t="n">
        <x:f>=BN177</x:f>
      </x:c>
      <x:c r="BJ177" s="13" t="n">
        <x:v>0</x:v>
      </x:c>
      <x:c r="BK177" s="31" t="n">
        <x:v>11422.40</x:v>
      </x:c>
      <x:c r="BL177" s="31" t="n">
        <x:v>-8899.8888</x:v>
      </x:c>
      <x:c r="BM177" s="31" t="n">
        <x:f>=BK177+BL177</x:f>
      </x:c>
      <x:c r="BN177" s="68" t="n">
        <x:f>=BM177/BK177</x:f>
      </x:c>
      <x:c r="BO177" s="68" t="n">
        <x:v>0.9084022038567493112947658402</x:v>
      </x:c>
      <x:c r="BP177" s="31" t="n">
        <x:v>8784.60</x:v>
      </x:c>
      <x:c r="BQ177" s="42" t="n">
        <x:v>133</x:v>
      </x:c>
      <x:c r="BR177" s="31" t="n">
        <x:v>804.65</x:v>
      </x:c>
      <x:c r="BT177" s="31" t="n">
        <x:v>16086.9506996825000000000</x:v>
      </x:c>
      <x:c r="BU177" s="31" t="n">
        <x:v>-8899.8888</x:v>
      </x:c>
      <x:c r="BV177" s="31" t="n">
        <x:f>=BT177+BU177</x:f>
      </x:c>
      <x:c r="BW177" s="68" t="n">
        <x:f>=BV177/BT177</x:f>
      </x:c>
      <x:c r="BY177" s="68" t="n">
        <x:f>=BO177</x:f>
      </x:c>
      <x:c r="BZ177" s="68" t="n">
        <x:f>=BF177</x:f>
      </x:c>
      <x:c r="CA177" s="68" t="n">
        <x:f>=BG177</x:f>
      </x:c>
      <x:c r="CB177" s="68" t="n">
        <x:f>=1 - BY177</x:f>
      </x:c>
      <x:c r="CD177" s="68" t="n">
        <x:f>=CA177/(1-BZ177)</x:f>
      </x:c>
    </x:row>
    <x:row r="178">
      <x:c r="A178" s="32" t="s">
        <x:v>367</x:v>
      </x:c>
      <x:c r="B178" t="s"/>
      <x:c r="C178" t="s">
        <x:v>368</x:v>
      </x:c>
      <x:c r="D178" t="s">
        <x:v>259</x:v>
      </x:c>
      <x:c r="E178" t="s">
        <x:v>109</x:v>
      </x:c>
      <x:c r="F178" t="n">
        <x:v>1212</x:v>
      </x:c>
      <x:c r="G178" s="33" t="n">
        <x:v>0</x:v>
      </x:c>
      <x:c r="H178" s="33" t="n">
        <x:v>0.0008250825082508250825082508</x:v>
      </x:c>
      <x:c r="I178" s="33" t="n">
        <x:v>0.004950495049504950495049505</x:v>
      </x:c>
      <x:c r="J178" s="33" t="n">
        <x:v>0.0915841584158415841584158416</x:v>
      </x:c>
      <x:c r="K178" s="33" t="n">
        <x:v>0.1097359735973597359735973597</x:v>
      </x:c>
      <x:c r="L178" s="33" t="n">
        <x:v>0.1254125412541254125412541254</x:v>
      </x:c>
      <x:c r="M178" s="33" t="n">
        <x:v>0.1485148514851485148514851485</x:v>
      </x:c>
      <x:c r="N178" s="33" t="n">
        <x:v>0.1782178217821782178217821782</x:v>
      </x:c>
      <x:c r="O178" s="33" t="n">
        <x:v>0.235973597359735973597359736</x:v>
      </x:c>
      <x:c r="P178" s="33" t="n">
        <x:v>0.2805280528052805280528052805</x:v>
      </x:c>
      <x:c r="Q178" s="33" t="n">
        <x:v>0.3366336633663366336633663366</x:v>
      </x:c>
      <x:c r="R178" s="33" t="n">
        <x:v>0.3976897689768976897689768977</x:v>
      </x:c>
      <x:c r="S178" s="33" t="n">
        <x:v>0.4364686468646864686468646865</x:v>
      </x:c>
      <x:c r="T178" s="33" t="n">
        <x:v>0.4678217821782178217821782178</x:v>
      </x:c>
      <x:c r="U178" s="33" t="n">
        <x:v>0.5024752475247524752475247525</x:v>
      </x:c>
      <x:c r="V178" s="33" t="n">
        <x:v>0.518976897689768976897689769</x:v>
      </x:c>
      <x:c r="W178" s="33" t="n">
        <x:v>0.5338283828382838283828382838</x:v>
      </x:c>
      <x:c r="X178" s="33" t="n">
        <x:v>0.551980198019801980198019802</x:v>
      </x:c>
      <x:c r="Y178" s="33" t="n">
        <x:v>0.5627062706270627062706270627</x:v>
      </x:c>
      <x:c r="Z178" s="33" t="n">
        <x:v>0.5627062706270627062706270627</x:v>
      </x:c>
      <x:c r="AA178" s="33" t="n">
        <x:v>0.570957095709570957095709571</x:v>
      </x:c>
      <x:c r="AB178" s="33" t="n">
        <x:v>0.5858085808580858085808580858</x:v>
      </x:c>
      <x:c r="AC178" s="33" t="n">
        <x:v>0.5940594059405940594059405941</x:v>
      </x:c>
      <x:c r="AD178" s="33" t="n">
        <x:v>0.5998349834983498349834983498</x:v>
      </x:c>
      <x:c r="AE178" s="33" t="n">
        <x:v>0.6097359735973597359735973597</x:v>
      </x:c>
      <x:c r="AF178" s="33" t="n">
        <x:v>0.6146864686468646864686468647</x:v>
      </x:c>
      <x:c r="AG178" s="33" t="n">
        <x:v>0.6163366336633663366336633663</x:v>
      </x:c>
      <x:c r="AH178" s="33" t="n">
        <x:v>0.6188118811881188118811881188</x:v>
      </x:c>
      <x:c r="AI178" s="33" t="n">
        <x:v>0.6212871287128712871287128713</x:v>
      </x:c>
      <x:c r="AJ178" s="33" t="n">
        <x:v>0.6072607260726072607260726073</x:v>
      </x:c>
      <x:c r="AK178" s="33" t="n">
        <x:v>0.6072607260726072607260726073</x:v>
      </x:c>
      <x:c r="AL178" s="33" t="n">
        <x:v>0.6105610561056105610561056106</x:v>
      </x:c>
      <x:c r="AM178" s="23" t="n">
        <x:v>0.6064356435643564356435643564</x:v>
      </x:c>
      <x:c r="BC178" s="34" t="s"/>
      <x:c r="BD178" s="11" t="s">
        <x:v>177</x:v>
      </x:c>
      <x:c r="BE178" s="12" t="n">
        <x:f>=BO178</x:f>
      </x:c>
      <x:c r="BF178" s="12" t="n">
        <x:v>0.6155115511551155115511551155</x:v>
      </x:c>
      <x:c r="BG178" s="12" t="n">
        <x:v>0.1542904290429042904290429043</x:v>
      </x:c>
      <x:c r="BH178" s="12" t="n">
        <x:v>0.2301980198019801980198019802</x:v>
      </x:c>
      <x:c r="BI178" s="12" t="n">
        <x:f>=BN178</x:f>
      </x:c>
      <x:c r="BJ178" s="13" t="n">
        <x:v>0</x:v>
      </x:c>
      <x:c r="BK178" s="31" t="n">
        <x:v>11464.55</x:v>
      </x:c>
      <x:c r="BL178" s="31" t="n">
        <x:v>-10865.94360</x:v>
      </x:c>
      <x:c r="BM178" s="31" t="n">
        <x:f>=BK178+BL178</x:f>
      </x:c>
      <x:c r="BN178" s="68" t="n">
        <x:f>=BM178/BK178</x:f>
      </x:c>
      <x:c r="BO178" s="68" t="n">
        <x:v>0.7698019801980198019801980198</x:v>
      </x:c>
      <x:c r="BP178" s="31" t="n">
        <x:v>9999.00</x:v>
      </x:c>
      <x:c r="BQ178" s="42" t="n">
        <x:v>279</x:v>
      </x:c>
      <x:c r="BR178" s="31" t="n">
        <x:v>2301.75</x:v>
      </x:c>
      <x:c r="BT178" s="31" t="n">
        <x:v>16331.4882300406250000000</x:v>
      </x:c>
      <x:c r="BU178" s="31" t="n">
        <x:v>-10865.94360</x:v>
      </x:c>
      <x:c r="BV178" s="31" t="n">
        <x:f>=BT178+BU178</x:f>
      </x:c>
      <x:c r="BW178" s="68" t="n">
        <x:f>=BV178/BT178</x:f>
      </x:c>
      <x:c r="BY178" s="68" t="n">
        <x:f>=BO178</x:f>
      </x:c>
      <x:c r="BZ178" s="68" t="n">
        <x:f>=BF178</x:f>
      </x:c>
      <x:c r="CA178" s="68" t="n">
        <x:f>=BG178</x:f>
      </x:c>
      <x:c r="CB178" s="68" t="n">
        <x:f>=1 - BY178</x:f>
      </x:c>
      <x:c r="CD178" s="68" t="n">
        <x:f>=CA178/(1-BZ178)</x:f>
      </x:c>
    </x:row>
    <x:row r="179">
      <x:c r="A179" s="32" t="s">
        <x:v>369</x:v>
      </x:c>
      <x:c r="B179" t="s"/>
      <x:c r="C179" t="s">
        <x:v>370</x:v>
      </x:c>
      <x:c r="D179" t="s">
        <x:v>125</x:v>
      </x:c>
      <x:c r="E179" t="s">
        <x:v>109</x:v>
      </x:c>
      <x:c r="F179" t="n">
        <x:v>1099</x:v>
      </x:c>
      <x:c r="G179" s="33" t="n">
        <x:v>0.0090991810737033666969972702</x:v>
      </x:c>
      <x:c r="H179" s="33" t="n">
        <x:v>0.0391264786169244767970882621</x:v>
      </x:c>
      <x:c r="I179" s="33" t="n">
        <x:v>0.0545950864422202001819836215</x:v>
      </x:c>
      <x:c r="J179" s="33" t="n">
        <x:v>0.1392174704276615104640582348</x:v>
      </x:c>
      <x:c r="K179" s="33" t="n">
        <x:v>0.1565059144676979071883530482</x:v>
      </x:c>
      <x:c r="L179" s="33" t="n">
        <x:v>0.2256596906278434940855323021</x:v>
      </x:c>
      <x:c r="M179" s="33" t="n">
        <x:v>0.2547770700636942675159235669</x:v>
      </x:c>
      <x:c r="N179" s="33" t="n">
        <x:v>0.3657870791628753412192902639</x:v>
      </x:c>
      <x:c r="O179" s="33" t="n">
        <x:v>0.3757961783439490445859872611</x:v>
      </x:c>
      <x:c r="P179" s="33" t="n">
        <x:v>0.3921747042766151046405823476</x:v>
      </x:c>
      <x:c r="Q179" s="33" t="n">
        <x:v>0.4121929026387625113739763421</x:v>
      </x:c>
      <x:c r="R179" s="33" t="n">
        <x:v>0.4340309372156505914467697907</x:v>
      </x:c>
      <x:c r="S179" s="33" t="n">
        <x:v>0.4467697907188353048225659691</x:v>
      </x:c>
      <x:c r="T179" s="33" t="n">
        <x:v>0.4485896269335759781619654231</x:v>
      </x:c>
      <x:c r="U179" s="33" t="n">
        <x:v>0.4485896269335759781619654231</x:v>
      </x:c>
      <x:c r="V179" s="33" t="n">
        <x:v>0.4567788898999090081892629663</x:v>
      </x:c>
      <x:c r="W179" s="33" t="n">
        <x:v>0.4695177434030937215650591447</x:v>
      </x:c>
      <x:c r="X179" s="33" t="n">
        <x:v>0.4731574158325750682438580528</x:v>
      </x:c>
      <x:c r="Y179" s="33" t="n">
        <x:v>0.4767970882620564149226569609</x:v>
      </x:c>
      <x:c r="Z179" s="33" t="n">
        <x:v>0.4767970882620564149226569609</x:v>
      </x:c>
      <x:c r="AA179" s="33" t="n">
        <x:v>0.482256596906278434940855323</x:v>
      </x:c>
      <x:c r="AB179" s="33" t="n">
        <x:v>0.4849863512283894449499545041</x:v>
      </x:c>
      <x:c r="AC179" s="33" t="n">
        <x:v>0.4886260236578707916287534122</x:v>
      </x:c>
      <x:c r="AD179" s="33" t="n">
        <x:v>0.4922656960873521383075523203</x:v>
      </x:c>
      <x:c r="AE179" s="33" t="n">
        <x:v>0.4968152866242038216560509554</x:v>
      </x:c>
      <x:c r="AF179" s="33" t="n">
        <x:v>0.4949954504094631483166515014</x:v>
      </x:c>
      <x:c r="AG179" s="33" t="n">
        <x:v>0.4986351228389444949954504095</x:v>
      </x:c>
      <x:c r="AH179" s="33" t="n">
        <x:v>0.4995450409463148316651501365</x:v>
      </x:c>
      <x:c r="AI179" s="33" t="n">
        <x:v>0.5040946314831665150136487716</x:v>
      </x:c>
      <x:c r="AJ179" s="23" t="n">
        <x:v>0.5386715195632393084622383985</x:v>
      </x:c>
      <x:c r="BC179" s="34" t="s"/>
      <x:c r="BD179" s="11" t="s">
        <x:v>185</x:v>
      </x:c>
      <x:c r="BE179" s="12" t="n">
        <x:f>=BO179</x:f>
      </x:c>
      <x:c r="BF179" s="12" t="n">
        <x:v>0.5031847133757961783439490446</x:v>
      </x:c>
      <x:c r="BG179" s="12" t="n">
        <x:v>0.3057324840764331210191082803</x:v>
      </x:c>
      <x:c r="BH179" s="12" t="n">
        <x:v>0.1910828025477707006369426752</x:v>
      </x:c>
      <x:c r="BI179" s="12" t="n">
        <x:f>=BN179</x:f>
      </x:c>
      <x:c r="BJ179" s="13" t="n">
        <x:v>0</x:v>
      </x:c>
      <x:c r="BK179" s="31" t="n">
        <x:v>8712.62</x:v>
      </x:c>
      <x:c r="BL179" s="31" t="n">
        <x:v>-8610.7749</x:v>
      </x:c>
      <x:c r="BM179" s="31" t="n">
        <x:f>=BK179+BL179</x:f>
      </x:c>
      <x:c r="BN179" s="68" t="n">
        <x:f>=BM179/BK179</x:f>
      </x:c>
      <x:c r="BO179" s="68" t="n">
        <x:v>0.8089171974522292993630573248</x:v>
      </x:c>
      <x:c r="BP179" s="31" t="n">
        <x:v>8605.17</x:v>
      </x:c>
      <x:c r="BQ179" s="42" t="n">
        <x:v>210</x:v>
      </x:c>
      <x:c r="BR179" s="31" t="n">
        <x:v>1644.30</x:v>
      </x:c>
      <x:c r="BT179" s="31" t="n">
        <x:v>12596.211832538687500000000000</x:v>
      </x:c>
      <x:c r="BU179" s="31" t="n">
        <x:v>-8610.7749</x:v>
      </x:c>
      <x:c r="BV179" s="31" t="n">
        <x:f>=BT179+BU179</x:f>
      </x:c>
      <x:c r="BW179" s="68" t="n">
        <x:f>=BV179/BT179</x:f>
      </x:c>
      <x:c r="BY179" s="68" t="n">
        <x:f>=BO179</x:f>
      </x:c>
      <x:c r="BZ179" s="68" t="n">
        <x:f>=BF179</x:f>
      </x:c>
      <x:c r="CA179" s="68" t="n">
        <x:f>=BG179</x:f>
      </x:c>
      <x:c r="CB179" s="68" t="n">
        <x:f>=1 - BY179</x:f>
      </x:c>
      <x:c r="CD179" s="68" t="n">
        <x:f>=CA179/(1-BZ179)</x:f>
      </x:c>
    </x:row>
    <x:row r="180">
      <x:c r="A180" s="32" t="s">
        <x:v>371</x:v>
      </x:c>
      <x:c r="B180" t="s"/>
      <x:c r="C180" t="s">
        <x:v>372</x:v>
      </x:c>
      <x:c r="D180" t="s">
        <x:v>108</x:v>
      </x:c>
      <x:c r="E180" t="s">
        <x:v>109</x:v>
      </x:c>
      <x:c r="F180" t="n">
        <x:v>1034</x:v>
      </x:c>
      <x:c r="G180" s="33" t="n">
        <x:v>0.0435203094777562862669245648</x:v>
      </x:c>
      <x:c r="H180" s="33" t="n">
        <x:v>0.1063829787234042553191489362</x:v>
      </x:c>
      <x:c r="I180" s="33" t="n">
        <x:v>0.1721470019342359767891682785</x:v>
      </x:c>
      <x:c r="J180" s="33" t="n">
        <x:v>0.1924564796905222437137330754</x:v>
      </x:c>
      <x:c r="K180" s="33" t="n">
        <x:v>0.1992263056092843326885880077</x:v>
      </x:c>
      <x:c r="L180" s="33" t="n">
        <x:v>0.2224371373307543520309477756</x:v>
      </x:c>
      <x:c r="M180" s="33" t="n">
        <x:v>0.2369439071566731141199226306</x:v>
      </x:c>
      <x:c r="N180" s="33" t="n">
        <x:v>0.2562862669245647969052224371</x:v>
      </x:c>
      <x:c r="O180" s="33" t="n">
        <x:v>0.2862669245647969052224371373</x:v>
      </x:c>
      <x:c r="P180" s="33" t="n">
        <x:v>0.3046421663442940038684719536</x:v>
      </x:c>
      <x:c r="Q180" s="33" t="n">
        <x:v>0.3065764023210831721470019342</x:v>
      </x:c>
      <x:c r="R180" s="33" t="n">
        <x:v>0.3307543520309477756286266925</x:v>
      </x:c>
      <x:c r="S180" s="33" t="n">
        <x:v>0.3462282398452611218568665377</x:v>
      </x:c>
      <x:c r="T180" s="33" t="n">
        <x:v>0.3607350096711798839458413926</x:v>
      </x:c>
      <x:c r="U180" s="33" t="n">
        <x:v>0.361702127659574468085106383</x:v>
      </x:c>
      <x:c r="V180" s="33" t="n">
        <x:v>0.367504835589941972920696325</x:v>
      </x:c>
      <x:c r="W180" s="33" t="n">
        <x:v>0.3733075435203094777562862669</x:v>
      </x:c>
      <x:c r="X180" s="33" t="n">
        <x:v>0.3781431334622823984526112186</x:v>
      </x:c>
      <x:c r="Y180" s="33" t="n">
        <x:v>0.4139264990328820116054158607</x:v>
      </x:c>
      <x:c r="Z180" s="33" t="n">
        <x:v>0.4448742746615087040618955513</x:v>
      </x:c>
      <x:c r="AA180" s="33" t="n">
        <x:v>0.5203094777562862669245647969</x:v>
      </x:c>
      <x:c r="AB180" s="33" t="n">
        <x:v>0.6063829787234042553191489362</x:v>
      </x:c>
      <x:c r="AC180" s="33" t="n">
        <x:v>0.6914893617021276595744680851</x:v>
      </x:c>
      <x:c r="AD180" s="24" t="n">
        <x:v>0.7698259187620889748549323017</x:v>
      </x:c>
      <x:c r="AE180" s="33" t="n">
        <x:v>0.8172147001934235976789168279</x:v>
      </x:c>
      <x:c r="AF180" s="33" t="n">
        <x:v>0.8568665377176015473887814313</x:v>
      </x:c>
      <x:c r="AG180" s="33" t="n">
        <x:v>0.8839458413926499032882011605</x:v>
      </x:c>
      <x:c r="AH180" s="33" t="n">
        <x:v>0.9052224371373307543520309478</x:v>
      </x:c>
      <x:c r="AI180" s="23" t="n">
        <x:v>0.9197292069632495164410058027</x:v>
      </x:c>
      <x:c r="BC180" s="34" t="s"/>
      <x:c r="BD180" s="11" t="s">
        <x:v>248</x:v>
      </x:c>
      <x:c r="BE180" s="12" t="n">
        <x:f>=BO180</x:f>
      </x:c>
      <x:c r="BF180" s="12" t="n">
        <x:v>0.8936170212765957446808510638</x:v>
      </x:c>
      <x:c r="BG180" s="12" t="n">
        <x:v>0.1121856866537717601547388781</x:v>
      </x:c>
      <x:c r="BH180" s="12" t="n">
        <x:v>-0.005802707930367504835589942</x:v>
      </x:c>
      <x:c r="BI180" s="12" t="n">
        <x:f>=BN180</x:f>
      </x:c>
      <x:c r="BJ180" s="13" t="n">
        <x:v>0</x:v>
      </x:c>
      <x:c r="BK180" s="31" t="n">
        <x:v>13579.70</x:v>
      </x:c>
      <x:c r="BL180" s="31" t="n">
        <x:v>-9287.81516676566670670740</x:v>
      </x:c>
      <x:c r="BM180" s="31" t="n">
        <x:f>=BK180+BL180</x:f>
      </x:c>
      <x:c r="BN180" s="68" t="n">
        <x:f>=BM180/BK180</x:f>
      </x:c>
      <x:c r="BO180" s="68" t="n">
        <x:v>1.005802707930367504835589942</x:v>
      </x:c>
      <x:c r="BP180" s="31" t="n">
        <x:v>9367.201202851202790420</x:v>
      </x:c>
      <x:c r="BQ180" s="42" t="n">
        <x:v>-6</x:v>
      </x:c>
      <x:c r="BR180" s="31" t="n">
        <x:v>-54.355132705132704780</x:v>
      </x:c>
      <x:c r="BT180" s="31" t="n">
        <x:v>18230.115697562250000000000000</x:v>
      </x:c>
      <x:c r="BU180" s="31" t="n">
        <x:v>-9287.81516676566670670740</x:v>
      </x:c>
      <x:c r="BV180" s="31" t="n">
        <x:f>=BT180+BU180</x:f>
      </x:c>
      <x:c r="BW180" s="68" t="n">
        <x:f>=BV180/BT180</x:f>
      </x:c>
      <x:c r="BY180" s="68" t="n">
        <x:f>=BO180</x:f>
      </x:c>
      <x:c r="BZ180" s="68" t="n">
        <x:f>=BF180</x:f>
      </x:c>
      <x:c r="CA180" s="68" t="n">
        <x:f>=BG180</x:f>
      </x:c>
      <x:c r="CB180" s="68" t="n">
        <x:f>=1 - BY180</x:f>
      </x:c>
      <x:c r="CD180" s="68" t="n">
        <x:f>=CA180/(1-BZ180)</x:f>
      </x:c>
    </x:row>
    <x:row r="181">
      <x:c r="A181" s="32" t="s">
        <x:v>373</x:v>
      </x:c>
      <x:c r="B181" t="s"/>
      <x:c r="C181" t="s">
        <x:v>374</x:v>
      </x:c>
      <x:c r="D181" t="s">
        <x:v>125</x:v>
      </x:c>
      <x:c r="E181" t="s">
        <x:v>109</x:v>
      </x:c>
      <x:c r="F181" t="n">
        <x:v>1028</x:v>
      </x:c>
      <x:c r="G181" s="33" t="n">
        <x:v>0.0535019455252918287937743191</x:v>
      </x:c>
      <x:c r="H181" s="33" t="n">
        <x:v>0.2285992217898832684824902724</x:v>
      </x:c>
      <x:c r="I181" s="33" t="n">
        <x:v>0.2714007782101167315175097276</x:v>
      </x:c>
      <x:c r="J181" s="33" t="n">
        <x:v>0.394941634241245136186770428</x:v>
      </x:c>
      <x:c r="K181" s="33" t="n">
        <x:v>0.3939688715953307392996108949</x:v>
      </x:c>
      <x:c r="L181" s="33" t="n">
        <x:v>0.4250972762645914396887159533</x:v>
      </x:c>
      <x:c r="M181" s="33" t="n">
        <x:v>0.4377431906614785992217898833</x:v>
      </x:c>
      <x:c r="N181" s="33" t="n">
        <x:v>0.4562256809338521400778210117</x:v>
      </x:c>
      <x:c r="O181" s="33" t="n">
        <x:v>0.4970817120622568093385214008</x:v>
      </x:c>
      <x:c r="P181" s="33" t="n">
        <x:v>0.4990272373540856031128404669</x:v>
      </x:c>
      <x:c r="Q181" s="33" t="n">
        <x:v>0.5048638132295719844357976654</x:v>
      </x:c>
      <x:c r="R181" s="33" t="n">
        <x:v>0.5116731517509727626459143969</x:v>
      </x:c>
      <x:c r="S181" s="33" t="n">
        <x:v>0.5223735408560311284046692607</x:v>
      </x:c>
      <x:c r="T181" s="33" t="n">
        <x:v>0.5437743190661478599221789883</x:v>
      </x:c>
      <x:c r="U181" s="33" t="n">
        <x:v>0.5564202334630350194552529183</x:v>
      </x:c>
      <x:c r="V181" s="33" t="n">
        <x:v>0.5593385214007782101167315175</x:v>
      </x:c>
      <x:c r="W181" s="33" t="n">
        <x:v>0.565175097276264591439688716</x:v>
      </x:c>
      <x:c r="X181" s="33" t="n">
        <x:v>0.5680933852140077821011673152</x:v>
      </x:c>
      <x:c r="Y181" s="33" t="n">
        <x:v>0.5768482490272373540856031128</x:v>
      </x:c>
      <x:c r="Z181" s="33" t="n">
        <x:v>0.5797665369649805447470817121</x:v>
      </x:c>
      <x:c r="AA181" s="33" t="n">
        <x:v>0.5875486381322957198443579767</x:v>
      </x:c>
      <x:c r="AB181" s="33" t="n">
        <x:v>0.5904669260700389105058365759</x:v>
      </x:c>
      <x:c r="AC181" s="33" t="n">
        <x:v>0.592412451361867704280155642</x:v>
      </x:c>
      <x:c r="AD181" s="33" t="n">
        <x:v>0.5963035019455252918287937743</x:v>
      </x:c>
      <x:c r="AE181" s="33" t="n">
        <x:v>0.592412451361867704280155642</x:v>
      </x:c>
      <x:c r="AF181" s="23" t="n">
        <x:v>0.6264591439688715953307392996</x:v>
      </x:c>
      <x:c r="BC181" s="34" t="s"/>
      <x:c r="BD181" s="11" t="s">
        <x:v>147</x:v>
      </x:c>
      <x:c r="BE181" s="12" t="n">
        <x:f>=BO181</x:f>
      </x:c>
      <x:c r="BF181" s="12" t="n">
        <x:v>0.5671206225680933852140077821</x:v>
      </x:c>
      <x:c r="BG181" s="12" t="n">
        <x:v>0.3336575875486381322957198444</x:v>
      </x:c>
      <x:c r="BH181" s="12" t="n">
        <x:v>0.0992217898832684824902723735</x:v>
      </x:c>
      <x:c r="BI181" s="12" t="n">
        <x:f>=BN181</x:f>
      </x:c>
      <x:c r="BJ181" s="13" t="n">
        <x:v>0</x:v>
      </x:c>
      <x:c r="BK181" s="31" t="n">
        <x:v>9678.47</x:v>
      </x:c>
      <x:c r="BL181" s="31" t="n">
        <x:v>-8054.4828</x:v>
      </x:c>
      <x:c r="BM181" s="31" t="n">
        <x:f>=BK181+BL181</x:f>
      </x:c>
      <x:c r="BN181" s="68" t="n">
        <x:f>=BM181/BK181</x:f>
      </x:c>
      <x:c r="BO181" s="68" t="n">
        <x:v>0.9007782101167315175097276265</x:v>
      </x:c>
      <x:c r="BP181" s="31" t="n">
        <x:v>8049.24</x:v>
      </x:c>
      <x:c r="BQ181" s="42" t="n">
        <x:v>102</x:v>
      </x:c>
      <x:c r="BR181" s="31" t="n">
        <x:v>798.66</x:v>
      </x:c>
      <x:c r="BT181" s="31" t="n">
        <x:v>13311.165544904250000000000000</x:v>
      </x:c>
      <x:c r="BU181" s="31" t="n">
        <x:v>-8054.4828</x:v>
      </x:c>
      <x:c r="BV181" s="31" t="n">
        <x:f>=BT181+BU181</x:f>
      </x:c>
      <x:c r="BW181" s="68" t="n">
        <x:f>=BV181/BT181</x:f>
      </x:c>
      <x:c r="BY181" s="68" t="n">
        <x:f>=BO181</x:f>
      </x:c>
      <x:c r="BZ181" s="68" t="n">
        <x:f>=BF181</x:f>
      </x:c>
      <x:c r="CA181" s="68" t="n">
        <x:f>=BG181</x:f>
      </x:c>
      <x:c r="CB181" s="68" t="n">
        <x:f>=1 - BY181</x:f>
      </x:c>
      <x:c r="CD181" s="68" t="n">
        <x:f>=CA181/(1-BZ181)</x:f>
      </x:c>
    </x:row>
    <x:row r="182">
      <x:c r="A182" s="32" t="s">
        <x:v>375</x:v>
      </x:c>
      <x:c r="B182" t="s"/>
      <x:c r="C182" t="s">
        <x:v>376</x:v>
      </x:c>
      <x:c r="D182" t="s">
        <x:v>125</x:v>
      </x:c>
      <x:c r="E182" t="s">
        <x:v>109</x:v>
      </x:c>
      <x:c r="F182" t="n">
        <x:v>1001</x:v>
      </x:c>
      <x:c r="G182" s="33" t="n">
        <x:v>0.046953046953046953046953047</x:v>
      </x:c>
      <x:c r="H182" s="33" t="n">
        <x:v>0.2137862137862137862137862138</x:v>
      </x:c>
      <x:c r="I182" s="33" t="n">
        <x:v>0.3446553446553446553446553447</x:v>
      </x:c>
      <x:c r="J182" s="33" t="n">
        <x:v>0.4365634365634365634365634366</x:v>
      </x:c>
      <x:c r="K182" s="33" t="n">
        <x:v>0.4925074925074925074925074925</x:v>
      </x:c>
      <x:c r="L182" s="33" t="n">
        <x:v>0.5944055944055944055944055944</x:v>
      </x:c>
      <x:c r="M182" s="33" t="n">
        <x:v>0.6583416583416583416583416583</x:v>
      </x:c>
      <x:c r="N182" s="24" t="n">
        <x:v>0.7452547452547452547452547453</x:v>
      </x:c>
      <x:c r="O182" s="33" t="n">
        <x:v>0.7832167832167832167832167832</x:v>
      </x:c>
      <x:c r="P182" s="33" t="n">
        <x:v>0.8321678321678321678321678322</x:v>
      </x:c>
      <x:c r="Q182" s="33" t="n">
        <x:v>0.8211788211788211788211788212</x:v>
      </x:c>
      <x:c r="R182" s="33" t="n">
        <x:v>0.8371628371628371628371628372</x:v>
      </x:c>
      <x:c r="S182" s="33" t="n">
        <x:v>0.8421578421578421578421578422</x:v>
      </x:c>
      <x:c r="T182" s="33" t="n">
        <x:v>0.8611388611388611388611388611</x:v>
      </x:c>
      <x:c r="U182" s="33" t="n">
        <x:v>0.8811188811188811188811188811</x:v>
      </x:c>
      <x:c r="V182" s="33" t="n">
        <x:v>0.8891108891108891108891108891</x:v>
      </x:c>
      <x:c r="W182" s="33" t="n">
        <x:v>0.9120879120879120879120879121</x:v>
      </x:c>
      <x:c r="X182" s="33" t="n">
        <x:v>0.9130869130869130869130869131</x:v>
      </x:c>
      <x:c r="Y182" s="33" t="n">
        <x:v>0.9210789210789210789210789211</x:v>
      </x:c>
      <x:c r="Z182" s="33" t="n">
        <x:v>0.9310689310689310689310689311</x:v>
      </x:c>
      <x:c r="AA182" s="33" t="n">
        <x:v>0.9400599400599400599400599401</x:v>
      </x:c>
      <x:c r="AB182" s="33" t="n">
        <x:v>0.9380619380619380619380619381</x:v>
      </x:c>
      <x:c r="AC182" s="23" t="n">
        <x:v>0.9350649350649350649350649351</x:v>
      </x:c>
      <x:c r="BC182" s="34" t="s"/>
      <x:c r="BD182" s="11" t="s">
        <x:v>196</x:v>
      </x:c>
      <x:c r="BE182" s="12" t="n">
        <x:f>=BO182</x:f>
      </x:c>
      <x:c r="BF182" s="12" t="n">
        <x:v>0.9260739260739260739260739261</x:v>
      </x:c>
      <x:c r="BG182" s="12" t="n">
        <x:v>0.024975024975024975024975025</x:v>
      </x:c>
      <x:c r="BH182" s="12" t="n">
        <x:v>0.048951048951048951048951049</x:v>
      </x:c>
      <x:c r="BI182" s="12" t="n">
        <x:f>=BN182</x:f>
      </x:c>
      <x:c r="BJ182" s="13" t="n">
        <x:v>0</x:v>
      </x:c>
      <x:c r="BK182" s="31" t="n">
        <x:v>10056.58</x:v>
      </x:c>
      <x:c r="BL182" s="31" t="n">
        <x:v>-6113.7076</x:v>
      </x:c>
      <x:c r="BM182" s="31" t="n">
        <x:f>=BK182+BL182</x:f>
      </x:c>
      <x:c r="BN182" s="68" t="n">
        <x:f>=BM182/BK182</x:f>
      </x:c>
      <x:c r="BO182" s="68" t="n">
        <x:v>0.951048951048951048951048951</x:v>
      </x:c>
      <x:c r="BP182" s="31" t="n">
        <x:v>6086.08</x:v>
      </x:c>
      <x:c r="BQ182" s="42" t="n">
        <x:v>49</x:v>
      </x:c>
      <x:c r="BR182" s="31" t="n">
        <x:v>297.92</x:v>
      </x:c>
      <x:c r="BT182" s="31" t="n">
        <x:v>13272.292982356875000000000000</x:v>
      </x:c>
      <x:c r="BU182" s="31" t="n">
        <x:v>-6113.7076</x:v>
      </x:c>
      <x:c r="BV182" s="31" t="n">
        <x:f>=BT182+BU182</x:f>
      </x:c>
      <x:c r="BW182" s="68" t="n">
        <x:f>=BV182/BT182</x:f>
      </x:c>
      <x:c r="BY182" s="68" t="n">
        <x:f>=BO182</x:f>
      </x:c>
      <x:c r="BZ182" s="68" t="n">
        <x:f>=BF182</x:f>
      </x:c>
      <x:c r="CA182" s="68" t="n">
        <x:f>=BG182</x:f>
      </x:c>
      <x:c r="CB182" s="68" t="n">
        <x:f>=1 - BY182</x:f>
      </x:c>
      <x:c r="CD182" s="68" t="n">
        <x:f>=CA182/(1-BZ182)</x:f>
      </x:c>
    </x:row>
    <x:row r="183">
      <x:c r="A183" s="32" t="s">
        <x:v>377</x:v>
      </x:c>
      <x:c r="B183" t="s"/>
      <x:c r="C183" t="s">
        <x:v>378</x:v>
      </x:c>
      <x:c r="D183" t="s">
        <x:v>108</x:v>
      </x:c>
      <x:c r="E183" t="s">
        <x:v>109</x:v>
      </x:c>
      <x:c r="F183" t="n">
        <x:v>539</x:v>
      </x:c>
      <x:c r="G183" s="33" t="n">
        <x:v>0.0871985157699443413729128015</x:v>
      </x:c>
      <x:c r="H183" s="33" t="n">
        <x:v>0.1762523191094619666048237477</x:v>
      </x:c>
      <x:c r="I183" s="33" t="n">
        <x:v>0.2207792207792207792207792208</x:v>
      </x:c>
      <x:c r="J183" s="33" t="n">
        <x:v>0.2820037105751391465677179963</x:v>
      </x:c>
      <x:c r="K183" s="33" t="n">
        <x:v>0.3283858998144712430426716141</x:v>
      </x:c>
      <x:c r="L183" s="33" t="n">
        <x:v>0.3729128014842300556586270872</x:v>
      </x:c>
      <x:c r="M183" s="33" t="n">
        <x:v>0.4118738404452690166975881262</x:v>
      </x:c>
      <x:c r="N183" s="33" t="n">
        <x:v>0.432282003710575139146567718</x:v>
      </x:c>
      <x:c r="O183" s="33" t="n">
        <x:v>0.4786641929499072356215213358</x:v>
      </x:c>
      <x:c r="P183" s="33" t="n">
        <x:v>0.4953617810760667903525046382</x:v>
      </x:c>
      <x:c r="Q183" s="33" t="n">
        <x:v>0.5083487940630797773654916512</x:v>
      </x:c>
      <x:c r="R183" s="33" t="n">
        <x:v>0.5343228200371057513914656772</x:v>
      </x:c>
      <x:c r="S183" s="33" t="n">
        <x:v>0.5231910946196660482374768089</x:v>
      </x:c>
      <x:c r="T183" s="33" t="n">
        <x:v>0.5565862708719851576994434137</x:v>
      </x:c>
      <x:c r="U183" s="33" t="n">
        <x:v>0.5844155844155844155844155844</x:v>
      </x:c>
      <x:c r="V183" s="33" t="n">
        <x:v>0.5974025974025974025974025974</x:v>
      </x:c>
      <x:c r="W183" s="33" t="n">
        <x:v>0.6085343228200371057513914657</x:v>
      </x:c>
      <x:c r="X183" s="33" t="n">
        <x:v>0.6141001855287569573283858998</x:v>
      </x:c>
      <x:c r="Y183" s="33" t="n">
        <x:v>0.6382189239332096474953617811</x:v>
      </x:c>
      <x:c r="Z183" s="23" t="n">
        <x:v>0.6567717996289424860853432282</x:v>
      </x:c>
      <x:c r="BC183" s="34" t="s"/>
      <x:c r="BD183" s="11" t="s">
        <x:v>115</x:v>
      </x:c>
      <x:c r="BE183" s="12" t="n">
        <x:f>=BO183</x:f>
      </x:c>
      <x:c r="BF183" s="12" t="n">
        <x:v>0.6549165120593692022263450835</x:v>
      </x:c>
      <x:c r="BG183" s="12" t="n">
        <x:v>0.174397031539888682745825603</x:v>
      </x:c>
      <x:c r="BH183" s="12" t="n">
        <x:v>0.1706864564007421150278293135</x:v>
      </x:c>
      <x:c r="BI183" s="12" t="n">
        <x:f>=BN183</x:f>
      </x:c>
      <x:c r="BJ183" s="13" t="n">
        <x:v>0</x:v>
      </x:c>
      <x:c r="BK183" s="31" t="n">
        <x:v>4246.09</x:v>
      </x:c>
      <x:c r="BL183" s="31" t="n">
        <x:v>-3541.87606566566551968420</x:v>
      </x:c>
      <x:c r="BM183" s="31" t="n">
        <x:f>=BK183+BL183</x:f>
      </x:c>
      <x:c r="BN183" s="68" t="n">
        <x:f>=BM183/BK183</x:f>
      </x:c>
      <x:c r="BO183" s="68" t="n">
        <x:v>0.8293135435992578849721706865</x:v>
      </x:c>
      <x:c r="BP183" s="31" t="n">
        <x:v>3564.956356356356205860</x:v>
      </x:c>
      <x:c r="BQ183" s="42" t="n">
        <x:v>92</x:v>
      </x:c>
      <x:c r="BR183" s="31" t="n">
        <x:v>608.489767689767664080</x:v>
      </x:c>
      <x:c r="BT183" s="31" t="n">
        <x:v>5977.6277597306250000000000000</x:v>
      </x:c>
      <x:c r="BU183" s="31" t="n">
        <x:v>-3541.87606566566551968420</x:v>
      </x:c>
      <x:c r="BV183" s="31" t="n">
        <x:f>=BT183+BU183</x:f>
      </x:c>
      <x:c r="BW183" s="68" t="n">
        <x:f>=BV183/BT183</x:f>
      </x:c>
      <x:c r="BY183" s="68" t="n">
        <x:f>=BO183</x:f>
      </x:c>
      <x:c r="BZ183" s="68" t="n">
        <x:f>=BF183</x:f>
      </x:c>
      <x:c r="CA183" s="68" t="n">
        <x:f>=BG183</x:f>
      </x:c>
      <x:c r="CB183" s="68" t="n">
        <x:f>=1 - BY183</x:f>
      </x:c>
      <x:c r="CD183" s="68" t="n">
        <x:f>=CA183/(1-BZ183)</x:f>
      </x:c>
    </x:row>
    <x:row r="184">
      <x:c r="A184" s="32" t="s">
        <x:v>379</x:v>
      </x:c>
      <x:c r="B184" t="s"/>
      <x:c r="C184" t="s">
        <x:v>380</x:v>
      </x:c>
      <x:c r="D184" t="s">
        <x:v>125</x:v>
      </x:c>
      <x:c r="E184" t="s">
        <x:v>109</x:v>
      </x:c>
      <x:c r="F184" t="n">
        <x:v>538</x:v>
      </x:c>
      <x:c r="G184" s="33" t="n">
        <x:v>0.0353159851301115241635687732</x:v>
      </x:c>
      <x:c r="H184" s="33" t="n">
        <x:v>0.2936802973977695167286245353</x:v>
      </x:c>
      <x:c r="I184" s="33" t="n">
        <x:v>0.4684014869888475836431226766</x:v>
      </x:c>
      <x:c r="J184" s="33" t="n">
        <x:v>0.5706319702602230483271375465</x:v>
      </x:c>
      <x:c r="K184" s="33" t="n">
        <x:v>0.5576208178438661710037174721</x:v>
      </x:c>
      <x:c r="L184" s="33" t="n">
        <x:v>0.6133828996282527881040892193</x:v>
      </x:c>
      <x:c r="M184" s="33" t="n">
        <x:v>0.6301115241635687732342007435</x:v>
      </x:c>
      <x:c r="N184" s="33" t="n">
        <x:v>0.6152416356877323420074349442</x:v>
      </x:c>
      <x:c r="O184" s="33" t="n">
        <x:v>0.600371747211895910780669145</x:v>
      </x:c>
      <x:c r="P184" s="33" t="n">
        <x:v>0.5855018587360594795539033457</x:v>
      </x:c>
      <x:c r="Q184" s="33" t="n">
        <x:v>0.6040892193308550185873605948</x:v>
      </x:c>
      <x:c r="R184" s="33" t="n">
        <x:v>0.6133828996282527881040892193</x:v>
      </x:c>
      <x:c r="S184" s="33" t="n">
        <x:v>0.6078066914498141263940520446</x:v>
      </x:c>
      <x:c r="T184" s="23" t="n">
        <x:v>0.6375464684014869888475836431</x:v>
      </x:c>
      <x:c r="BC184" s="34" t="s"/>
      <x:c r="BD184" s="11" t="s">
        <x:v>118</x:v>
      </x:c>
      <x:c r="BE184" s="12" t="n">
        <x:f>=BO184</x:f>
      </x:c>
      <x:c r="BF184" s="12" t="n">
        <x:v>0.5966542750929368029739776952</x:v>
      </x:c>
      <x:c r="BG184" s="12" t="n">
        <x:v>0.2118959107806691449814126394</x:v>
      </x:c>
      <x:c r="BH184" s="12" t="n">
        <x:v>0.1914498141263940520446096654</x:v>
      </x:c>
      <x:c r="BI184" s="12" t="n">
        <x:f>=BN184</x:f>
      </x:c>
      <x:c r="BJ184" s="13" t="n">
        <x:v>0</x:v>
      </x:c>
      <x:c r="BK184" s="31" t="n">
        <x:v>5383.06</x:v>
      </x:c>
      <x:c r="BL184" s="31" t="n">
        <x:v>-4549.4356</x:v>
      </x:c>
      <x:c r="BM184" s="31" t="n">
        <x:f>=BK184+BL184</x:f>
      </x:c>
      <x:c r="BN184" s="68" t="n">
        <x:f>=BM184/BK184</x:f>
      </x:c>
      <x:c r="BO184" s="68" t="n">
        <x:v>0.8085501858736059479553903346</x:v>
      </x:c>
      <x:c r="BP184" s="31" t="n">
        <x:v>4508.44</x:v>
      </x:c>
      <x:c r="BQ184" s="42" t="n">
        <x:v>103</x:v>
      </x:c>
      <x:c r="BR184" s="31" t="n">
        <x:v>863.14</x:v>
      </x:c>
      <x:c r="BT184" s="31" t="n">
        <x:v>7802.7153629482500000000000000</x:v>
      </x:c>
      <x:c r="BU184" s="31" t="n">
        <x:v>-4549.4356</x:v>
      </x:c>
      <x:c r="BV184" s="31" t="n">
        <x:f>=BT184+BU184</x:f>
      </x:c>
      <x:c r="BW184" s="68" t="n">
        <x:f>=BV184/BT184</x:f>
      </x:c>
      <x:c r="BY184" s="68" t="n">
        <x:f>=BO184</x:f>
      </x:c>
      <x:c r="BZ184" s="68" t="n">
        <x:f>=BF184</x:f>
      </x:c>
      <x:c r="CA184" s="68" t="n">
        <x:f>=BG184</x:f>
      </x:c>
      <x:c r="CB184" s="68" t="n">
        <x:f>=1 - BY184</x:f>
      </x:c>
      <x:c r="CD184" s="68" t="n">
        <x:f>=CA184/(1-BZ184)</x:f>
      </x:c>
    </x:row>
    <x:row r="185">
      <x:c r="A185" s="32" t="s">
        <x:v>381</x:v>
      </x:c>
      <x:c r="B185" t="s"/>
      <x:c r="C185" t="s">
        <x:v>382</x:v>
      </x:c>
      <x:c r="D185" t="s">
        <x:v>125</x:v>
      </x:c>
      <x:c r="E185" t="s">
        <x:v>109</x:v>
      </x:c>
      <x:c r="F185" t="n">
        <x:v>889</x:v>
      </x:c>
      <x:c r="G185" s="33" t="n">
        <x:v>0.0449943757030371203599550056</x:v>
      </x:c>
      <x:c r="H185" s="33" t="n">
        <x:v>0.3228346456692913385826771654</x:v>
      </x:c>
      <x:c r="I185" s="33" t="n">
        <x:v>0.4926884139482564679415073116</x:v>
      </x:c>
      <x:c r="J185" s="33" t="n">
        <x:v>0.5331833520809898762654668166</x:v>
      </x:c>
      <x:c r="K185" s="33" t="n">
        <x:v>0.519685039370078740157480315</x:v>
      </x:c>
      <x:c r="L185" s="33" t="n">
        <x:v>0.5185601799775028121484814398</x:v>
      </x:c>
      <x:c r="M185" s="33" t="n">
        <x:v>0.5016872890888638920134983127</x:v>
      </x:c>
      <x:c r="N185" s="33" t="n">
        <x:v>0.5320584926884139482564679415</x:v>
      </x:c>
      <x:c r="O185" s="33" t="n">
        <x:v>0.5590551181102362204724409449</x:v>
      </x:c>
      <x:c r="P185" s="33" t="n">
        <x:v>0.5883014623172103487064116985</x:v>
      </x:c>
      <x:c r="Q185" s="33" t="n">
        <x:v>0.591676040494938132733408324</x:v>
      </x:c>
      <x:c r="R185" s="33" t="n">
        <x:v>0.6209223847019122609673790776</x:v>
      </x:c>
      <x:c r="S185" s="23" t="n">
        <x:v>0.6580427446569178852643419573</x:v>
      </x:c>
      <x:c r="BC185" s="34" t="s"/>
      <x:c r="BD185" s="11" t="s">
        <x:v>297</x:v>
      </x:c>
      <x:c r="BE185" s="12" t="n">
        <x:f>=BO185</x:f>
      </x:c>
      <x:c r="BF185" s="12" t="n">
        <x:v>0.6006749156355455568053993251</x:v>
      </x:c>
      <x:c r="BG185" s="12" t="n">
        <x:v>0.1822272215973003374578177728</x:v>
      </x:c>
      <x:c r="BH185" s="12" t="n">
        <x:v>0.2170978627671541057367829021</x:v>
      </x:c>
      <x:c r="BI185" s="12" t="n">
        <x:f>=BN185</x:f>
      </x:c>
      <x:c r="BJ185" s="13" t="n">
        <x:v>0</x:v>
      </x:c>
      <x:c r="BK185" s="31" t="n">
        <x:v>8784.80</x:v>
      </x:c>
      <x:c r="BL185" s="31" t="n">
        <x:v>-7845.6028</x:v>
      </x:c>
      <x:c r="BM185" s="31" t="n">
        <x:f>=BK185+BL185</x:f>
      </x:c>
      <x:c r="BN185" s="68" t="n">
        <x:f>=BM185/BK185</x:f>
      </x:c>
      <x:c r="BO185" s="68" t="n">
        <x:v>0.7829021372328458942632170979</x:v>
      </x:c>
      <x:c r="BP185" s="31" t="n">
        <x:v>7787.64</x:v>
      </x:c>
      <x:c r="BQ185" s="42" t="n">
        <x:v>193</x:v>
      </x:c>
      <x:c r="BR185" s="31" t="n">
        <x:v>1690.68</x:v>
      </x:c>
      <x:c r="BT185" s="31" t="n">
        <x:v>12783.078099741625000000000000</x:v>
      </x:c>
      <x:c r="BU185" s="31" t="n">
        <x:v>-7845.6028</x:v>
      </x:c>
      <x:c r="BV185" s="31" t="n">
        <x:f>=BT185+BU185</x:f>
      </x:c>
      <x:c r="BW185" s="68" t="n">
        <x:f>=BV185/BT185</x:f>
      </x:c>
      <x:c r="BY185" s="68" t="n">
        <x:f>=BO185</x:f>
      </x:c>
      <x:c r="BZ185" s="68" t="n">
        <x:f>=BF185</x:f>
      </x:c>
      <x:c r="CA185" s="68" t="n">
        <x:f>=BG185</x:f>
      </x:c>
      <x:c r="CB185" s="68" t="n">
        <x:f>=1 - BY185</x:f>
      </x:c>
      <x:c r="CD185" s="68" t="n">
        <x:f>=CA185/(1-BZ185)</x:f>
      </x:c>
    </x:row>
    <x:row r="186">
      <x:c r="A186" s="32" t="s">
        <x:v>383</x:v>
      </x:c>
      <x:c r="B186" t="s"/>
      <x:c r="C186" t="s">
        <x:v>384</x:v>
      </x:c>
      <x:c r="D186" t="s">
        <x:v>125</x:v>
      </x:c>
      <x:c r="E186" t="s">
        <x:v>109</x:v>
      </x:c>
      <x:c r="F186" t="n">
        <x:v>341</x:v>
      </x:c>
      <x:c r="G186" s="33" t="n">
        <x:v>0.1700879765395894428152492669</x:v>
      </x:c>
      <x:c r="H186" s="33" t="n">
        <x:v>0.6539589442815249266862170088</x:v>
      </x:c>
      <x:c r="I186" s="24" t="n">
        <x:v>0.7947214076246334310850439883</x:v>
      </x:c>
      <x:c r="J186" s="33" t="n">
        <x:v>0.8064516129032258064516129032</x:v>
      </x:c>
      <x:c r="K186" s="33" t="n">
        <x:v>0.8739002932551319648093841642</x:v>
      </x:c>
      <x:c r="L186" s="33" t="n">
        <x:v>0.8856304985337243401759530792</x:v>
      </x:c>
      <x:c r="M186" s="33" t="n">
        <x:v>0.9120234604105571847507331378</x:v>
      </x:c>
      <x:c r="N186" s="23" t="n">
        <x:v>0.876832844574780058651026393</x:v>
      </x:c>
      <x:c r="BC186" s="34" t="s"/>
      <x:c r="BD186" s="11" t="s">
        <x:v>210</x:v>
      </x:c>
      <x:c r="BE186" s="12" t="n">
        <x:f>=BO186</x:f>
      </x:c>
      <x:c r="BF186" s="12" t="n">
        <x:v>0.8240469208211143695014662757</x:v>
      </x:c>
      <x:c r="BG186" s="12" t="n">
        <x:v>0.0410557184750733137829912023</x:v>
      </x:c>
      <x:c r="BH186" s="12" t="n">
        <x:v>0.134897360703812316715542522</x:v>
      </x:c>
      <x:c r="BI186" s="12" t="n">
        <x:f>=BN186</x:f>
      </x:c>
      <x:c r="BJ186" s="13" t="n">
        <x:v>0</x:v>
      </x:c>
      <x:c r="BK186" s="31" t="n">
        <x:v>2422.67</x:v>
      </x:c>
      <x:c r="BL186" s="31" t="n">
        <x:v>-1906.8720</x:v>
      </x:c>
      <x:c r="BM186" s="31" t="n">
        <x:f>=BK186+BL186</x:f>
      </x:c>
      <x:c r="BN186" s="68" t="n">
        <x:f>=BM186/BK186</x:f>
      </x:c>
      <x:c r="BO186" s="68" t="n">
        <x:v>0.865102639296187683284457478</x:v>
      </x:c>
      <x:c r="BP186" s="31" t="n">
        <x:v>1909.60</x:v>
      </x:c>
      <x:c r="BQ186" s="42" t="n">
        <x:v>46</x:v>
      </x:c>
      <x:c r="BR186" s="31" t="n">
        <x:v>257.60</x:v>
      </x:c>
      <x:c r="BT186" s="31" t="n">
        <x:v>3299.0401314555000000000000000</x:v>
      </x:c>
      <x:c r="BU186" s="31" t="n">
        <x:v>-1906.8720</x:v>
      </x:c>
      <x:c r="BV186" s="31" t="n">
        <x:f>=BT186+BU186</x:f>
      </x:c>
      <x:c r="BW186" s="68" t="n">
        <x:f>=BV186/BT186</x:f>
      </x:c>
      <x:c r="BY186" s="68" t="n">
        <x:f>=BO186</x:f>
      </x:c>
      <x:c r="BZ186" s="68" t="n">
        <x:f>=BF186</x:f>
      </x:c>
      <x:c r="CA186" s="68" t="n">
        <x:f>=BG186</x:f>
      </x:c>
      <x:c r="CB186" s="68" t="n">
        <x:f>=1 - BY186</x:f>
      </x:c>
      <x:c r="CD186" s="68" t="n">
        <x:f>=CA186/(1-BZ186)</x:f>
      </x:c>
    </x:row>
    <x:row r="187">
      <x:c r="A187" s="32" t="s"/>
      <x:c r="BC187" s="34" t="s"/>
      <x:c r="BD187" s="11" t="s"/>
      <x:c r="BJ187" s="13" t="s"/>
    </x:row>
    <x:row r="188">
      <x:c r="A188" s="17" t="s">
        <x:v>92</x:v>
      </x:c>
      <x:c r="BC188" s="34" t="s"/>
      <x:c r="BD188" s="11" t="s"/>
      <x:c r="BJ188" s="13" t="s"/>
    </x:row>
    <x:row r="189">
      <x:c r="A189" s="32" t="s">
        <x:v>385</x:v>
      </x:c>
      <x:c r="B189" t="s"/>
      <x:c r="C189" t="s">
        <x:v>386</x:v>
      </x:c>
      <x:c r="D189" t="s">
        <x:v>108</x:v>
      </x:c>
      <x:c r="E189" t="s">
        <x:v>109</x:v>
      </x:c>
      <x:c r="F189" t="n">
        <x:v>833</x:v>
      </x:c>
      <x:c r="G189" s="33" t="n">
        <x:v>0.0204081632653061224489795918</x:v>
      </x:c>
      <x:c r="H189" s="33" t="n">
        <x:v>0.0396158463385354141656662665</x:v>
      </x:c>
      <x:c r="I189" s="33" t="n">
        <x:v>0.0636254501800720288115246098</x:v>
      </x:c>
      <x:c r="J189" s="33" t="n">
        <x:v>0.0612244897959183673469387755</x:v>
      </x:c>
      <x:c r="K189" s="33" t="n">
        <x:v>0.0612244897959183673469387755</x:v>
      </x:c>
      <x:c r="L189" s="33" t="n">
        <x:v>0.0708283313325330132052821128</x:v>
      </x:c>
      <x:c r="M189" s="33" t="n">
        <x:v>0.0768307322929171668667466987</x:v>
      </x:c>
      <x:c r="N189" s="33" t="n">
        <x:v>0.0900360144057623049219687875</x:v>
      </x:c>
      <x:c r="O189" s="33" t="n">
        <x:v>0.1020408163265306122448979592</x:v>
      </x:c>
      <x:c r="P189" s="33" t="n">
        <x:v>0.1104441776710684273709483794</x:v>
      </x:c>
      <x:c r="Q189" s="33" t="n">
        <x:v>0.1128451380552220888355342137</x:v>
      </x:c>
      <x:c r="R189" s="33" t="n">
        <x:v>0.1284513805522208883553421369</x:v>
      </x:c>
      <x:c r="S189" s="33" t="n">
        <x:v>0.1284513805522208883553421369</x:v>
      </x:c>
      <x:c r="T189" s="33" t="n">
        <x:v>0.1404561824729891956782713085</x:v>
      </x:c>
      <x:c r="U189" s="33" t="n">
        <x:v>0.14405762304921968787515006</x:v>
      </x:c>
      <x:c r="V189" s="33" t="n">
        <x:v>0.14405762304921968787515006</x:v>
      </x:c>
      <x:c r="W189" s="33" t="n">
        <x:v>0.1452581032412965186074429772</x:v>
      </x:c>
      <x:c r="X189" s="33" t="n">
        <x:v>0.1524609843937575030012004802</x:v>
      </x:c>
      <x:c r="Y189" s="33" t="n">
        <x:v>0.1572629051620648259303721489</x:v>
      </x:c>
      <x:c r="Z189" s="33" t="n">
        <x:v>0.1572629051620648259303721489</x:v>
      </x:c>
      <x:c r="AA189" s="33" t="n">
        <x:v>0.1620648259303721488595438175</x:v>
      </x:c>
      <x:c r="AB189" s="33" t="n">
        <x:v>0.1608643457382953181272509004</x:v>
      </x:c>
      <x:c r="AC189" s="33" t="n">
        <x:v>0.1644657863145258103241296519</x:v>
      </x:c>
      <x:c r="AD189" s="33" t="n">
        <x:v>0.172869147659063625450180072</x:v>
      </x:c>
      <x:c r="AE189" s="33" t="n">
        <x:v>0.1836734693877551020408163265</x:v>
      </x:c>
      <x:c r="AF189" s="33" t="n">
        <x:v>0.187274909963985594237695078</x:v>
      </x:c>
      <x:c r="AG189" s="33" t="n">
        <x:v>0.1908763505402160864345738295</x:v>
      </x:c>
      <x:c r="AH189" s="33" t="n">
        <x:v>0.1980792316926770708283313325</x:v>
      </x:c>
      <x:c r="AI189" s="33" t="n">
        <x:v>0.2076830732292917166866746699</x:v>
      </x:c>
      <x:c r="AJ189" s="33" t="n">
        <x:v>0.2136854741896758703481392557</x:v>
      </x:c>
      <x:c r="AK189" s="33" t="n">
        <x:v>0.2184873949579831932773109244</x:v>
      </x:c>
      <x:c r="AL189" s="33" t="n">
        <x:v>0.2280912364945978391356542617</x:v>
      </x:c>
      <x:c r="AM189" s="33" t="n">
        <x:v>0.2364945978391356542617046819</x:v>
      </x:c>
      <x:c r="AN189" s="33" t="n">
        <x:v>0.2605042016806722689075630252</x:v>
      </x:c>
      <x:c r="AO189" s="33" t="n">
        <x:v>0.2749099639855942376950780312</x:v>
      </x:c>
      <x:c r="AP189" s="33" t="n">
        <x:v>0.2917166866746698679471788715</x:v>
      </x:c>
      <x:c r="AQ189" s="33" t="n">
        <x:v>0.3133253301320528211284513806</x:v>
      </x:c>
      <x:c r="AR189" s="33" t="n">
        <x:v>0.3205282112845138055222088836</x:v>
      </x:c>
      <x:c r="AS189" s="33" t="n">
        <x:v>0.3265306122448979591836734694</x:v>
      </x:c>
      <x:c r="AT189" s="33" t="n">
        <x:v>0.3253301320528211284513805522</x:v>
      </x:c>
      <x:c r="AU189" s="33" t="n">
        <x:v>0.3373349339735894357743097239</x:v>
      </x:c>
      <x:c r="AV189" s="33" t="n">
        <x:v>0.3361344537815126050420168067</x:v>
      </x:c>
      <x:c r="AW189" s="33" t="n">
        <x:v>0.3373349339735894357743097239</x:v>
      </x:c>
      <x:c r="AX189" s="33" t="n">
        <x:v>0.3349339735894357743097238896</x:v>
      </x:c>
      <x:c r="AY189" s="33" t="n">
        <x:v>0.3361344537815126050420168067</x:v>
      </x:c>
      <x:c r="AZ189" s="33" t="n">
        <x:v>0.3361344537815126050420168067</x:v>
      </x:c>
      <x:c r="BA189" s="33" t="n">
        <x:v>0.3397358943577430972388955582</x:v>
      </x:c>
      <x:c r="BB189" s="23" t="n">
        <x:v>0.3481392557022809123649459784</x:v>
      </x:c>
      <x:c r="BC189" s="34" t="s"/>
      <x:c r="BD189" s="11" t="s">
        <x:v>387</x:v>
      </x:c>
      <x:c r="BE189" s="12" t="n">
        <x:f>=BO189</x:f>
      </x:c>
      <x:c r="BF189" s="12" t="n">
        <x:v>0.4093637454981992797118847539</x:v>
      </x:c>
      <x:c r="BG189" s="12" t="n">
        <x:v>0.5450180072028811524609843938</x:v>
      </x:c>
      <x:c r="BH189" s="12" t="n">
        <x:v>0.0456182472989195678271308523</x:v>
      </x:c>
      <x:c r="BI189" s="12" t="n">
        <x:f>=BN189</x:f>
      </x:c>
      <x:c r="BJ189" s="13" t="n">
        <x:v>0</x:v>
      </x:c>
      <x:c r="BK189" s="31" t="n">
        <x:v>9407.82</x:v>
      </x:c>
      <x:c r="BL189" s="31" t="n">
        <x:v>-10087.50758698733692307470</x:v>
      </x:c>
      <x:c r="BM189" s="31" t="n">
        <x:f>=BK189+BL189</x:f>
      </x:c>
      <x:c r="BN189" s="68" t="n">
        <x:f>=BM189/BK189</x:f>
      </x:c>
      <x:c r="BO189" s="68" t="n">
        <x:v>0.9543817527010804321728691477</x:v>
      </x:c>
      <x:c r="BP189" s="31" t="n">
        <x:v>10209.705759780759714510</x:v>
      </x:c>
      <x:c r="BQ189" s="42" t="n">
        <x:v>38</x:v>
      </x:c>
      <x:c r="BR189" s="31" t="n">
        <x:v>465.748882198882195860</x:v>
      </x:c>
      <x:c r="BT189" s="31" t="n">
        <x:v>14492.244512663562500000000000</x:v>
      </x:c>
      <x:c r="BU189" s="31" t="n">
        <x:v>-10087.50758698733692307470</x:v>
      </x:c>
      <x:c r="BV189" s="31" t="n">
        <x:f>=BT189+BU189</x:f>
      </x:c>
      <x:c r="BW189" s="68" t="n">
        <x:f>=BV189/BT189</x:f>
      </x:c>
      <x:c r="BY189" s="68" t="n">
        <x:f>=BO189</x:f>
      </x:c>
      <x:c r="BZ189" s="68" t="n">
        <x:f>=BF189</x:f>
      </x:c>
      <x:c r="CA189" s="68" t="n">
        <x:f>=BG189</x:f>
      </x:c>
      <x:c r="CB189" s="68" t="n">
        <x:f>=1 - BY189</x:f>
      </x:c>
      <x:c r="CD189" s="68" t="n">
        <x:f>=CA189/(1-BZ189)</x:f>
      </x:c>
    </x:row>
    <x:row r="190">
      <x:c r="A190" s="32" t="s">
        <x:v>388</x:v>
      </x:c>
      <x:c r="B190" t="s"/>
      <x:c r="C190" t="s">
        <x:v>389</x:v>
      </x:c>
      <x:c r="D190" t="s">
        <x:v>173</x:v>
      </x:c>
      <x:c r="E190" t="s">
        <x:v>109</x:v>
      </x:c>
      <x:c r="F190" t="n">
        <x:v>1007</x:v>
      </x:c>
      <x:c r="G190" s="33" t="n">
        <x:v>0.0009930486593843098311817279</x:v>
      </x:c>
      <x:c r="H190" s="33" t="n">
        <x:v>0.0367428003972194637537239325</x:v>
      </x:c>
      <x:c r="I190" s="33" t="n">
        <x:v>0.0585898709036742800397219464</x:v>
      </x:c>
      <x:c r="J190" s="33" t="n">
        <x:v>0.0714995034756703078450844091</x:v>
      </x:c>
      <x:c r="K190" s="33" t="n">
        <x:v>0.0844091360476663356504468719</x:v>
      </x:c>
      <x:c r="L190" s="33" t="n">
        <x:v>0.0963257199602780536246276068</x:v>
      </x:c>
      <x:c r="M190" s="33" t="n">
        <x:v>0.1032770605759682224428997021</x:v>
      </x:c>
      <x:c r="N190" s="33" t="n">
        <x:v>0.114200595829195630585898709</x:v>
      </x:c>
      <x:c r="O190" s="33" t="n">
        <x:v>0.125124131082423038728897716</x:v>
      </x:c>
      <x:c r="P190" s="33" t="n">
        <x:v>0.1340615690168818272095332671</x:v>
      </x:c>
      <x:c r="Q190" s="33" t="n">
        <x:v>0.135054617676266137040714995</x:v>
      </x:c>
      <x:c r="R190" s="33" t="n">
        <x:v>0.1469712015888778550148957299</x:v>
      </x:c>
      <x:c r="S190" s="33" t="n">
        <x:v>0.1578947368421052631578947368</x:v>
      </x:c>
      <x:c r="T190" s="33" t="n">
        <x:v>0.1787487586891757696127110228</x:v>
      </x:c>
      <x:c r="U190" s="33" t="n">
        <x:v>0.1936444885799404170804369414</x:v>
      </x:c>
      <x:c r="V190" s="33" t="n">
        <x:v>0.2045680238331678252234359484</x:v>
      </x:c>
      <x:c r="W190" s="33" t="n">
        <x:v>0.2552135054617676266137040715</x:v>
      </x:c>
      <x:c r="X190" s="33" t="n">
        <x:v>0.2869910625620655412115193644</x:v>
      </x:c>
      <x:c r="Y190" s="33" t="n">
        <x:v>0.3058589870903674280039721946</x:v>
      </x:c>
      <x:c r="Z190" s="33" t="n">
        <x:v>0.322740814299900695134061569</x:v>
      </x:c>
      <x:c r="AA190" s="33" t="n">
        <x:v>0.3455809334657398212512413108</x:v>
      </x:c>
      <x:c r="AB190" s="33" t="n">
        <x:v>0.3922542204568023833167825223</x:v>
      </x:c>
      <x:c r="AC190" s="33" t="n">
        <x:v>0.4001986097318768619662363456</x:v>
      </x:c>
      <x:c r="AD190" s="33" t="n">
        <x:v>0.4160873882820258192651439921</x:v>
      </x:c>
      <x:c r="AE190" s="33" t="n">
        <x:v>0.4359483614697120158887785501</x:v>
      </x:c>
      <x:c r="AF190" s="33" t="n">
        <x:v>0.4369414101290963257199602781</x:v>
      </x:c>
      <x:c r="AG190" s="33" t="n">
        <x:v>0.4399205561072492552135054618</x:v>
      </x:c>
      <x:c r="AH190" s="33" t="n">
        <x:v>0.4458788480635551142005958292</x:v>
      </x:c>
      <x:c r="AI190" s="33" t="n">
        <x:v>0.4538232373386295928500496524</x:v>
      </x:c>
      <x:c r="AJ190" s="33" t="n">
        <x:v>0.4617676266137040714995034757</x:v>
      </x:c>
      <x:c r="AK190" s="33" t="n">
        <x:v>0.4627606752730883813306852036</x:v>
      </x:c>
      <x:c r="AL190" s="33" t="n">
        <x:v>0.4667328699106256206554121152</x:v>
      </x:c>
      <x:c r="AM190" s="33" t="n">
        <x:v>0.4736842105263157894736842105</x:v>
      </x:c>
      <x:c r="AN190" s="33" t="n">
        <x:v>0.4716981132075471698113207547</x:v>
      </x:c>
      <x:c r="AO190" s="33" t="n">
        <x:v>0.4776564051638530287984111221</x:v>
      </x:c>
      <x:c r="AP190" s="33" t="n">
        <x:v>0.4766633565044687189672293942</x:v>
      </x:c>
      <x:c r="AQ190" s="33" t="n">
        <x:v>0.4875868917576961271102284012</x:v>
      </x:c>
      <x:c r="AR190" s="33" t="n">
        <x:v>0.4965243296921549155908639523</x:v>
      </x:c>
      <x:c r="AS190" s="23" t="n">
        <x:v>0.5779543197616683217477656405</x:v>
      </x:c>
      <x:c r="BC190" s="34" t="s"/>
      <x:c r="BD190" s="11" t="s">
        <x:v>390</x:v>
      </x:c>
      <x:c r="BE190" s="12" t="n">
        <x:f>=BO190</x:f>
      </x:c>
      <x:c r="BF190" s="12" t="n">
        <x:v>0.5283018867924528301886792453</x:v>
      </x:c>
      <x:c r="BG190" s="12" t="n">
        <x:v>0.1906653426017874875868917577</x:v>
      </x:c>
      <x:c r="BH190" s="12" t="n">
        <x:v>0.281032770605759682224428997</x:v>
      </x:c>
      <x:c r="BI190" s="12" t="n">
        <x:f>=BN190</x:f>
      </x:c>
      <x:c r="BJ190" s="13" t="n">
        <x:v>0</x:v>
      </x:c>
      <x:c r="BK190" s="31" t="n">
        <x:v>9083.07</x:v>
      </x:c>
      <x:c r="BL190" s="31" t="n">
        <x:v>-9650.4838</x:v>
      </x:c>
      <x:c r="BM190" s="31" t="n">
        <x:f>=BK190+BL190</x:f>
      </x:c>
      <x:c r="BN190" s="68" t="n">
        <x:f>=BM190/BK190</x:f>
      </x:c>
      <x:c r="BO190" s="68" t="n">
        <x:v>0.718967229394240317775571003</x:v>
      </x:c>
      <x:c r="BP190" s="31" t="n">
        <x:v>8660.20</x:v>
      </x:c>
      <x:c r="BQ190" s="42" t="n">
        <x:v>283</x:v>
      </x:c>
      <x:c r="BR190" s="31" t="n">
        <x:v>2433.80</x:v>
      </x:c>
      <x:c r="BT190" s="31" t="n">
        <x:v>13612.053179347375000000000000</x:v>
      </x:c>
      <x:c r="BU190" s="31" t="n">
        <x:v>-9650.4838</x:v>
      </x:c>
      <x:c r="BV190" s="31" t="n">
        <x:f>=BT190+BU190</x:f>
      </x:c>
      <x:c r="BW190" s="68" t="n">
        <x:f>=BV190/BT190</x:f>
      </x:c>
      <x:c r="BY190" s="68" t="n">
        <x:f>=BO190</x:f>
      </x:c>
      <x:c r="BZ190" s="68" t="n">
        <x:f>=BF190</x:f>
      </x:c>
      <x:c r="CA190" s="68" t="n">
        <x:f>=BG190</x:f>
      </x:c>
      <x:c r="CB190" s="68" t="n">
        <x:f>=1 - BY190</x:f>
      </x:c>
      <x:c r="CD190" s="68" t="n">
        <x:f>=CA190/(1-BZ190)</x:f>
      </x:c>
    </x:row>
    <x:row r="191">
      <x:c r="A191" s="32" t="s">
        <x:v>391</x:v>
      </x:c>
      <x:c r="B191" t="s"/>
      <x:c r="C191" t="s">
        <x:v>392</x:v>
      </x:c>
      <x:c r="D191" t="s">
        <x:v>173</x:v>
      </x:c>
      <x:c r="E191" t="s">
        <x:v>109</x:v>
      </x:c>
      <x:c r="F191" t="n">
        <x:v>1007</x:v>
      </x:c>
      <x:c r="G191" s="33" t="n">
        <x:v>0.0009930486593843098311817279</x:v>
      </x:c>
      <x:c r="H191" s="33" t="n">
        <x:v>0.0039721946375372393247269116</x:v>
      </x:c>
      <x:c r="I191" s="33" t="n">
        <x:v>0.0079443892750744786494538232</x:v>
      </x:c>
      <x:c r="J191" s="33" t="n">
        <x:v>0.010923535253227408142999007</x:v>
      </x:c>
      <x:c r="K191" s="33" t="n">
        <x:v>0.0119165839126117179741807349</x:v>
      </x:c>
      <x:c r="L191" s="33" t="n">
        <x:v>0.0119165839126117179741807349</x:v>
      </x:c>
      <x:c r="M191" s="33" t="n">
        <x:v>0.0158887785501489572989076465</x:v>
      </x:c>
      <x:c r="N191" s="33" t="n">
        <x:v>0.0317775571002979145978152929</x:v>
      </x:c>
      <x:c r="O191" s="33" t="n">
        <x:v>0.0367428003972194637537239325</x:v>
      </x:c>
      <x:c r="P191" s="33" t="n">
        <x:v>0.0407149950347567030784508441</x:v>
      </x:c>
      <x:c r="Q191" s="33" t="n">
        <x:v>0.0387288977159880834160873883</x:v>
      </x:c>
      <x:c r="R191" s="33" t="n">
        <x:v>0.0407149950347567030784508441</x:v>
      </x:c>
      <x:c r="S191" s="33" t="n">
        <x:v>0.0436941410129096325719960278</x:v>
      </x:c>
      <x:c r="T191" s="33" t="n">
        <x:v>0.041708043694141012909632572</x:v>
      </x:c>
      <x:c r="U191" s="33" t="n">
        <x:v>0.0476663356504468718967229394</x:v>
      </x:c>
      <x:c r="V191" s="33" t="n">
        <x:v>0.0546176762661370407149950348</x:v>
      </x:c>
      <x:c r="W191" s="33" t="n">
        <x:v>0.1112214498510427010923535253</x:v>
      </x:c>
      <x:c r="X191" s="33" t="n">
        <x:v>0.1122144985104270109235352532</x:v>
      </x:c>
      <x:c r="Y191" s="33" t="n">
        <x:v>0.1151936444885799404170804369</x:v>
      </x:c>
      <x:c r="Z191" s="33" t="n">
        <x:v>0.0993048659384309831181727905</x:v>
      </x:c>
      <x:c r="AA191" s="33" t="n">
        <x:v>0.1112214498510427010923535253</x:v>
      </x:c>
      <x:c r="AB191" s="33" t="n">
        <x:v>0.1022840119165839126117179742</x:v>
      </x:c>
      <x:c r="AC191" s="33" t="n">
        <x:v>0.1032770605759682224428997021</x:v>
      </x:c>
      <x:c r="AD191" s="33" t="n">
        <x:v>0.0893743793445878848063555114</x:v>
      </x:c>
      <x:c r="AE191" s="33" t="n">
        <x:v>0.1032770605759682224428997021</x:v>
      </x:c>
      <x:c r="AF191" s="33" t="n">
        <x:v>0.1072492552135054617676266137</x:v>
      </x:c>
      <x:c r="AG191" s="33" t="n">
        <x:v>0.1062562065541211519364448858</x:v>
      </x:c>
      <x:c r="AH191" s="33" t="n">
        <x:v>0.1052631578947368421052631579</x:v>
      </x:c>
      <x:c r="AI191" s="33" t="n">
        <x:v>0.1082423038728897715988083416</x:v>
      </x:c>
      <x:c r="AJ191" s="33" t="n">
        <x:v>0.1112214498510427010923535253</x:v>
      </x:c>
      <x:c r="AK191" s="33" t="n">
        <x:v>0.1151936444885799404170804369</x:v>
      </x:c>
      <x:c r="AL191" s="33" t="n">
        <x:v>0.1161866931479642502482621648</x:v>
      </x:c>
      <x:c r="AM191" s="33" t="n">
        <x:v>0.1161866931479642502482621648</x:v>
      </x:c>
      <x:c r="AN191" s="33" t="n">
        <x:v>0.1171797418073485600794438928</x:v>
      </x:c>
      <x:c r="AO191" s="33" t="n">
        <x:v>0.1171797418073485600794438928</x:v>
      </x:c>
      <x:c r="AP191" s="33" t="n">
        <x:v>0.1181727904667328699106256207</x:v>
      </x:c>
      <x:c r="AQ191" s="33" t="n">
        <x:v>0.1201588877855014895729890765</x:v>
      </x:c>
      <x:c r="AR191" s="33" t="n">
        <x:v>0.1241310824230387288977159881</x:v>
      </x:c>
      <x:c r="AS191" s="23" t="n">
        <x:v>0.1678252234359483614697120159</x:v>
      </x:c>
      <x:c r="BC191" s="34" t="s"/>
      <x:c r="BD191" s="11" t="s">
        <x:v>390</x:v>
      </x:c>
      <x:c r="BE191" s="12" t="n">
        <x:f>=BO191</x:f>
      </x:c>
      <x:c r="BF191" s="12" t="n">
        <x:v>0.2244289970208540218470705065</x:v>
      </x:c>
      <x:c r="BG191" s="12" t="n">
        <x:v>0.3306852035749751737835153923</x:v>
      </x:c>
      <x:c r="BH191" s="12" t="n">
        <x:v>0.4448857994041708043694141013</x:v>
      </x:c>
      <x:c r="BI191" s="12" t="n">
        <x:f>=BN191</x:f>
      </x:c>
      <x:c r="BJ191" s="13" t="n">
        <x:v>0</x:v>
      </x:c>
      <x:c r="BK191" s="31" t="n">
        <x:v>3762.83</x:v>
      </x:c>
      <x:c r="BL191" s="31" t="n">
        <x:v>-8663.8252</x:v>
      </x:c>
      <x:c r="BM191" s="31" t="n">
        <x:f>=BK191+BL191</x:f>
      </x:c>
      <x:c r="BN191" s="68" t="n">
        <x:f>=BM191/BK191</x:f>
      </x:c>
      <x:c r="BO191" s="68" t="n">
        <x:v>0.5551142005958291956305858987</x:v>
      </x:c>
      <x:c r="BP191" s="31" t="n">
        <x:v>7753.90</x:v>
      </x:c>
      <x:c r="BQ191" s="42" t="n">
        <x:v>448</x:v>
      </x:c>
      <x:c r="BR191" s="31" t="n">
        <x:v>3449.60</x:v>
      </x:c>
      <x:c r="BT191" s="31" t="n">
        <x:v>7644.8155822977500000000</x:v>
      </x:c>
      <x:c r="BU191" s="31" t="n">
        <x:v>-8663.8252</x:v>
      </x:c>
      <x:c r="BV191" s="31" t="n">
        <x:f>=BT191+BU191</x:f>
      </x:c>
      <x:c r="BW191" s="68" t="n">
        <x:f>=BV191/BT191</x:f>
      </x:c>
      <x:c r="BY191" s="68" t="n">
        <x:f>=BO191</x:f>
      </x:c>
      <x:c r="BZ191" s="68" t="n">
        <x:f>=BF191</x:f>
      </x:c>
      <x:c r="CA191" s="68" t="n">
        <x:f>=BG191</x:f>
      </x:c>
      <x:c r="CB191" s="68" t="n">
        <x:f>=1 - BY191</x:f>
      </x:c>
      <x:c r="CD191" s="68" t="n">
        <x:f>=CA191/(1-BZ191)</x:f>
      </x:c>
    </x:row>
    <x:row r="192">
      <x:c r="A192" s="32" t="s">
        <x:v>393</x:v>
      </x:c>
      <x:c r="B192" t="s"/>
      <x:c r="C192" t="s">
        <x:v>394</x:v>
      </x:c>
      <x:c r="D192" t="s">
        <x:v>366</x:v>
      </x:c>
      <x:c r="E192" t="s">
        <x:v>109</x:v>
      </x:c>
      <x:c r="F192" t="n">
        <x:v>1189</x:v>
      </x:c>
      <x:c r="G192" s="33" t="n">
        <x:v>0.0042052144659377628259041211</x:v>
      </x:c>
      <x:c r="H192" s="33" t="n">
        <x:v>0.0050462573591253153910849453</x:v>
      </x:c>
      <x:c r="I192" s="33" t="n">
        <x:v>0.0134566862910008410428931876</x:v>
      </x:c>
      <x:c r="J192" s="33" t="n">
        <x:v>0.0084104289318755256518082422</x:v>
      </x:c>
      <x:c r="K192" s="33" t="n">
        <x:v>0.0100925147182506307821698907</x:v>
      </x:c>
      <x:c r="L192" s="33" t="n">
        <x:v>0.0109335576114381833473507149</x:v>
      </x:c>
      <x:c r="M192" s="33" t="n">
        <x:v>0.0134566862910008410428931876</x:v>
      </x:c>
      <x:c r="N192" s="33" t="n">
        <x:v>0.0159798149705634987384356602</x:v>
      </x:c>
      <x:c r="O192" s="33" t="n">
        <x:v>0.0193439865433137089991589571</x:v>
      </x:c>
      <x:c r="P192" s="33" t="n">
        <x:v>0.0193439865433137089991589571</x:v>
      </x:c>
      <x:c r="Q192" s="33" t="n">
        <x:v>0.0168208578637510513036164844</x:v>
      </x:c>
      <x:c r="R192" s="33" t="n">
        <x:v>0.0185029436501261564339781329</x:v>
      </x:c>
      <x:c r="S192" s="33" t="n">
        <x:v>0.0218671152228763666947014298</x:v>
      </x:c>
      <x:c r="T192" s="33" t="n">
        <x:v>0.0252312867956265769554247267</x:v>
      </x:c>
      <x:c r="U192" s="33" t="n">
        <x:v>0.0328006728343145500420521447</x:v>
      </x:c>
      <x:c r="V192" s="33" t="n">
        <x:v>0.0428931875525651808242220353</x:v>
      </x:c>
      <x:c r="W192" s="33" t="n">
        <x:v>0.0437342304457527333894028595</x:v>
      </x:c>
      <x:c r="X192" s="33" t="n">
        <x:v>0.0462573591253153910849453322</x:v>
      </x:c>
      <x:c r="Y192" s="33" t="n">
        <x:v>0.052985702270815811606391926</x:v>
      </x:c>
      <x:c r="Z192" s="33" t="n">
        <x:v>0.0555088309503784693019343987</x:v>
      </x:c>
      <x:c r="AA192" s="33" t="n">
        <x:v>0.0538267451640033641715727502</x:v>
      </x:c>
      <x:c r="AB192" s="33" t="n">
        <x:v>0.0538267451640033641715727502</x:v>
      </x:c>
      <x:c r="AC192" s="33" t="n">
        <x:v>0.0538267451640033641715727502</x:v>
      </x:c>
      <x:c r="AD192" s="33" t="n">
        <x:v>0.0588730025231286795626576955</x:v>
      </x:c>
      <x:c r="AE192" s="33" t="n">
        <x:v>0.060555088309503784693019344</x:v>
      </x:c>
      <x:c r="AF192" s="33" t="n">
        <x:v>0.0588730025231286795626576955</x:v>
      </x:c>
      <x:c r="AG192" s="33" t="n">
        <x:v>0.0613961312026913372582001682</x:v>
      </x:c>
      <x:c r="AH192" s="33" t="n">
        <x:v>0.0613961312026913372582001682</x:v>
      </x:c>
      <x:c r="AI192" s="33" t="n">
        <x:v>0.0630782169890664423885618167</x:v>
      </x:c>
      <x:c r="AJ192" s="33" t="n">
        <x:v>0.0630782169890664423885618167</x:v>
      </x:c>
      <x:c r="AK192" s="33" t="n">
        <x:v>0.0639192598822539949537426409</x:v>
      </x:c>
      <x:c r="AL192" s="33" t="n">
        <x:v>0.0630782169890664423885618167</x:v>
      </x:c>
      <x:c r="AM192" s="33" t="n">
        <x:v>0.0630782169890664423885618167</x:v>
      </x:c>
      <x:c r="AN192" s="33" t="n">
        <x:v>0.0622371740958788898233809924</x:v>
      </x:c>
      <x:c r="AO192" s="33" t="n">
        <x:v>0.0622371740958788898233809924</x:v>
      </x:c>
      <x:c r="AP192" s="33" t="n">
        <x:v>0.0656013456686291000841042893</x:v>
      </x:c>
      <x:c r="AQ192" s="33" t="n">
        <x:v>0.0622371740958788898233809924</x:v>
      </x:c>
      <x:c r="AR192" s="23" t="n">
        <x:v>0.2060555088309503784693019344</x:v>
      </x:c>
      <x:c r="BC192" s="34" t="s"/>
      <x:c r="BD192" s="11" t="s">
        <x:v>357</x:v>
      </x:c>
      <x:c r="BE192" s="12" t="n">
        <x:f>=BO192</x:f>
      </x:c>
      <x:c r="BF192" s="12" t="n">
        <x:v>0.2758620689655172413793103448</x:v>
      </x:c>
      <x:c r="BG192" s="12" t="n">
        <x:v>0.4264087468460891505466778806</x:v>
      </x:c>
      <x:c r="BH192" s="12" t="n">
        <x:v>0.2977291841883936080740117746</x:v>
      </x:c>
      <x:c r="BI192" s="12" t="n">
        <x:f>=BN192</x:f>
      </x:c>
      <x:c r="BJ192" s="13" t="n">
        <x:v>0</x:v>
      </x:c>
      <x:c r="BK192" s="31" t="n">
        <x:v>4720.11</x:v>
      </x:c>
      <x:c r="BL192" s="31" t="n">
        <x:v>-12203.8960</x:v>
      </x:c>
      <x:c r="BM192" s="31" t="n">
        <x:f>=BK192+BL192</x:f>
      </x:c>
      <x:c r="BN192" s="68" t="n">
        <x:f>=BM192/BK192</x:f>
      </x:c>
      <x:c r="BO192" s="68" t="n">
        <x:v>0.7022708158116063919259882254</x:v>
      </x:c>
      <x:c r="BP192" s="31" t="n">
        <x:v>12127.80</x:v>
      </x:c>
      <x:c r="BQ192" s="42" t="n">
        <x:v>354</x:v>
      </x:c>
      <x:c r="BR192" s="31" t="n">
        <x:v>3610.80</x:v>
      </x:c>
      <x:c r="BT192" s="31" t="n">
        <x:v>10831.570916719000000000000000</x:v>
      </x:c>
      <x:c r="BU192" s="31" t="n">
        <x:v>-12203.8960</x:v>
      </x:c>
      <x:c r="BV192" s="31" t="n">
        <x:f>=BT192+BU192</x:f>
      </x:c>
      <x:c r="BW192" s="68" t="n">
        <x:f>=BV192/BT192</x:f>
      </x:c>
      <x:c r="BY192" s="68" t="n">
        <x:f>=BO192</x:f>
      </x:c>
      <x:c r="BZ192" s="68" t="n">
        <x:f>=BF192</x:f>
      </x:c>
      <x:c r="CA192" s="68" t="n">
        <x:f>=BG192</x:f>
      </x:c>
      <x:c r="CB192" s="68" t="n">
        <x:f>=1 - BY192</x:f>
      </x:c>
      <x:c r="CD192" s="68" t="n">
        <x:f>=CA192/(1-BZ192)</x:f>
      </x:c>
    </x:row>
    <x:row r="193">
      <x:c r="A193" s="32" t="s">
        <x:v>395</x:v>
      </x:c>
      <x:c r="B193" t="s"/>
      <x:c r="C193" t="s">
        <x:v>396</x:v>
      </x:c>
      <x:c r="D193" t="s">
        <x:v>259</x:v>
      </x:c>
      <x:c r="E193" t="s">
        <x:v>109</x:v>
      </x:c>
      <x:c r="F193" t="n">
        <x:v>1249</x:v>
      </x:c>
      <x:c r="G193" s="33" t="n">
        <x:v>0.0008006405124099279423538831</x:v>
      </x:c>
      <x:c r="H193" s="33" t="n">
        <x:v>0.0008006405124099279423538831</x:v>
      </x:c>
      <x:c r="I193" s="33" t="n">
        <x:v>0.0280224179343474779823859087</x:v>
      </x:c>
      <x:c r="J193" s="33" t="n">
        <x:v>0.060048038430744595676541233</x:v>
      </x:c>
      <x:c r="K193" s="33" t="n">
        <x:v>0.0576461168935148118494795837</x:v>
      </x:c>
      <x:c r="L193" s="33" t="n">
        <x:v>0.0568454763811048839071257006</x:v>
      </x:c>
      <x:c r="M193" s="33" t="n">
        <x:v>0.0704563650920736589271417134</x:v>
      </x:c>
      <x:c r="N193" s="33" t="n">
        <x:v>0.0800640512409927942353883106</x:v>
      </x:c>
      <x:c r="O193" s="33" t="n">
        <x:v>0.0816653322658126501200960769</x:v>
      </x:c>
      <x:c r="P193" s="33" t="n">
        <x:v>0.1016813450760608486789431545</x:v>
      </x:c>
      <x:c r="Q193" s="33" t="n">
        <x:v>0.128102481985588470776621297</x:v>
      </x:c>
      <x:c r="R193" s="33" t="n">
        <x:v>0.1593274619695756605284227382</x:v>
      </x:c>
      <x:c r="S193" s="33" t="n">
        <x:v>0.1769415532425940752602081665</x:v>
      </x:c>
      <x:c r="T193" s="33" t="n">
        <x:v>0.2001601281024819855884707766</x:v>
      </x:c>
      <x:c r="U193" s="33" t="n">
        <x:v>0.1929543634907926341072858287</x:v>
      </x:c>
      <x:c r="V193" s="33" t="n">
        <x:v>0.2169735788630904723779023219</x:v>
      </x:c>
      <x:c r="W193" s="33" t="n">
        <x:v>0.2201761409127301841473178543</x:v>
      </x:c>
      <x:c r="X193" s="33" t="n">
        <x:v>0.2193755004003202562049639712</x:v>
      </x:c>
      <x:c r="Y193" s="33" t="n">
        <x:v>0.2249799839871897518014411529</x:v>
      </x:c>
      <x:c r="Z193" s="33" t="n">
        <x:v>0.2313851080864691753402722178</x:v>
      </x:c>
      <x:c r="AA193" s="33" t="n">
        <x:v>0.2369895916733386709367493995</x:v>
      </x:c>
      <x:c r="AB193" s="33" t="n">
        <x:v>0.2401921537229783827061649319</x:v>
      </x:c>
      <x:c r="AC193" s="33" t="n">
        <x:v>0.2465972778222578062449959968</x:v>
      </x:c>
      <x:c r="AD193" s="33" t="n">
        <x:v>0.2530024019215372297838270616</x:v>
      </x:c>
      <x:c r="AE193" s="33" t="n">
        <x:v>0.2497998398718975180144115292</x:v>
      </x:c>
      <x:c r="AF193" s="33" t="n">
        <x:v>0.2473979183346677341873498799</x:v>
      </x:c>
      <x:c r="AG193" s="33" t="n">
        <x:v>0.2489991993594875900720576461</x:v>
      </x:c>
      <x:c r="AH193" s="33" t="n">
        <x:v>0.2514011208967173738991192954</x:v>
      </x:c>
      <x:c r="AI193" s="33" t="n">
        <x:v>0.2506004803843074459567654123</x:v>
      </x:c>
      <x:c r="AJ193" s="33" t="n">
        <x:v>0.2514011208967173738991192954</x:v>
      </x:c>
      <x:c r="AK193" s="33" t="n">
        <x:v>0.2506004803843074459567654123</x:v>
      </x:c>
      <x:c r="AL193" s="33" t="n">
        <x:v>0.2530024019215372297838270616</x:v>
      </x:c>
      <x:c r="AM193" s="33" t="n">
        <x:v>0.2594075260208166533226581265</x:v>
      </x:c>
      <x:c r="AN193" s="33" t="n">
        <x:v>0.2570056044835868694955964772</x:v>
      </x:c>
      <x:c r="AO193" s="33" t="n">
        <x:v>0.2570056044835868694955964772</x:v>
      </x:c>
      <x:c r="AP193" s="33" t="n">
        <x:v>0.2570056044835868694955964772</x:v>
      </x:c>
      <x:c r="AQ193" s="33" t="n">
        <x:v>0.2570056044835868694955964772</x:v>
      </x:c>
      <x:c r="AR193" s="23" t="n">
        <x:v>0.3466773418734987990392313851</x:v>
      </x:c>
      <x:c r="BC193" s="34" t="s"/>
      <x:c r="BD193" s="11" t="s">
        <x:v>357</x:v>
      </x:c>
      <x:c r="BE193" s="12" t="n">
        <x:f>=BO193</x:f>
      </x:c>
      <x:c r="BF193" s="12" t="n">
        <x:v>0.2746196957566052842273819055</x:v>
      </x:c>
      <x:c r="BG193" s="12" t="n">
        <x:v>0.2161729383506805444355484388</x:v>
      </x:c>
      <x:c r="BH193" s="12" t="n">
        <x:v>0.5092073658927141713370696557</x:v>
      </x:c>
      <x:c r="BI193" s="12" t="n">
        <x:f>=BN193</x:f>
      </x:c>
      <x:c r="BJ193" s="13" t="n">
        <x:v>0</x:v>
      </x:c>
      <x:c r="BK193" s="31" t="n">
        <x:v>5272.28</x:v>
      </x:c>
      <x:c r="BL193" s="31" t="n">
        <x:v>-10131.38840</x:v>
      </x:c>
      <x:c r="BM193" s="31" t="n">
        <x:f>=BK193+BL193</x:f>
      </x:c>
      <x:c r="BN193" s="68" t="n">
        <x:f>=BM193/BK193</x:f>
      </x:c>
      <x:c r="BO193" s="68" t="n">
        <x:v>0.4907926341072858286629303443</x:v>
      </x:c>
      <x:c r="BP193" s="31" t="n">
        <x:v>9305.05</x:v>
      </x:c>
      <x:c r="BQ193" s="42" t="n">
        <x:v>636</x:v>
      </x:c>
      <x:c r="BR193" s="31" t="n">
        <x:v>4738.20</x:v>
      </x:c>
      <x:c r="BT193" s="31" t="n">
        <x:v>10087.1757222342500000000</x:v>
      </x:c>
      <x:c r="BU193" s="31" t="n">
        <x:v>-10131.38840</x:v>
      </x:c>
      <x:c r="BV193" s="31" t="n">
        <x:f>=BT193+BU193</x:f>
      </x:c>
      <x:c r="BW193" s="68" t="n">
        <x:f>=BV193/BT193</x:f>
      </x:c>
      <x:c r="BY193" s="68" t="n">
        <x:f>=BO193</x:f>
      </x:c>
      <x:c r="BZ193" s="68" t="n">
        <x:f>=BF193</x:f>
      </x:c>
      <x:c r="CA193" s="68" t="n">
        <x:f>=BG193</x:f>
      </x:c>
      <x:c r="CB193" s="68" t="n">
        <x:f>=1 - BY193</x:f>
      </x:c>
      <x:c r="CD193" s="68" t="n">
        <x:f>=CA193/(1-BZ193)</x:f>
      </x:c>
    </x:row>
    <x:row r="194">
      <x:c r="A194" s="32" t="s">
        <x:v>397</x:v>
      </x:c>
      <x:c r="B194" t="s"/>
      <x:c r="C194" t="s">
        <x:v>398</x:v>
      </x:c>
      <x:c r="D194" t="s">
        <x:v>173</x:v>
      </x:c>
      <x:c r="E194" t="s">
        <x:v>109</x:v>
      </x:c>
      <x:c r="F194" t="n">
        <x:v>1007</x:v>
      </x:c>
      <x:c r="G194" s="33" t="n">
        <x:v>0.0049652432969215491559086395</x:v>
      </x:c>
      <x:c r="H194" s="33" t="n">
        <x:v>0.0059582919563058589870903674</x:v>
      </x:c>
      <x:c r="I194" s="33" t="n">
        <x:v>0.0079443892750744786494538232</x:v>
      </x:c>
      <x:c r="J194" s="33" t="n">
        <x:v>0.0089374379344587884806355511</x:v>
      </x:c>
      <x:c r="K194" s="33" t="n">
        <x:v>0.0089374379344587884806355511</x:v>
      </x:c>
      <x:c r="L194" s="33" t="n">
        <x:v>0.0198609731876861966236345581</x:v>
      </x:c>
      <x:c r="M194" s="33" t="n">
        <x:v>0.0238331678252234359483614697</x:v>
      </x:c>
      <x:c r="N194" s="33" t="n">
        <x:v>0.020854021847070506454816286</x:v>
      </x:c>
      <x:c r="O194" s="33" t="n">
        <x:v>0.0278053624627606752730883813</x:v>
      </x:c>
      <x:c r="P194" s="33" t="n">
        <x:v>0.0238331678252234359483614697</x:v>
      </x:c>
      <x:c r="Q194" s="33" t="n">
        <x:v>0.0278053624627606752730883813</x:v>
      </x:c>
      <x:c r="R194" s="33" t="n">
        <x:v>0.0287984111221449851042701092</x:v>
      </x:c>
      <x:c r="S194" s="33" t="n">
        <x:v>0.030784508440913604766633565</x:v>
      </x:c>
      <x:c r="T194" s="33" t="n">
        <x:v>0.030784508440913604766633565</x:v>
      </x:c>
      <x:c r="U194" s="33" t="n">
        <x:v>0.0357497517378351539225422046</x:v>
      </x:c>
      <x:c r="V194" s="33" t="n">
        <x:v>0.0446871896722939424031777557</x:v>
      </x:c>
      <x:c r="W194" s="33" t="n">
        <x:v>0.0486593843098311817279046673</x:v>
      </x:c>
      <x:c r="X194" s="33" t="n">
        <x:v>0.0585898709036742800397219464</x:v>
      </x:c>
      <x:c r="Y194" s="33" t="n">
        <x:v>0.0615690168818272095332671301</x:v>
      </x:c>
      <x:c r="Z194" s="33" t="n">
        <x:v>0.0575968222442899702085402185</x:v>
      </x:c>
      <x:c r="AA194" s="33" t="n">
        <x:v>0.0595829195630585898709036743</x:v>
      </x:c>
      <x:c r="AB194" s="33" t="n">
        <x:v>0.0605759682224428997020854022</x:v>
      </x:c>
      <x:c r="AC194" s="33" t="n">
        <x:v>0.0615690168818272095332671301</x:v>
      </x:c>
      <x:c r="AD194" s="33" t="n">
        <x:v>0.0605759682224428997020854022</x:v>
      </x:c>
      <x:c r="AE194" s="33" t="n">
        <x:v>0.0585898709036742800397219464</x:v>
      </x:c>
      <x:c r="AF194" s="33" t="n">
        <x:v>0.0585898709036742800397219464</x:v>
      </x:c>
      <x:c r="AG194" s="33" t="n">
        <x:v>0.0566037735849056603773584906</x:v>
      </x:c>
      <x:c r="AH194" s="33" t="n">
        <x:v>0.0585898709036742800397219464</x:v>
      </x:c>
      <x:c r="AI194" s="33" t="n">
        <x:v>0.0595829195630585898709036743</x:v>
      </x:c>
      <x:c r="AJ194" s="33" t="n">
        <x:v>0.0595829195630585898709036743</x:v>
      </x:c>
      <x:c r="AK194" s="33" t="n">
        <x:v>0.0595829195630585898709036743</x:v>
      </x:c>
      <x:c r="AL194" s="33" t="n">
        <x:v>0.0585898709036742800397219464</x:v>
      </x:c>
      <x:c r="AM194" s="33" t="n">
        <x:v>0.0585898709036742800397219464</x:v>
      </x:c>
      <x:c r="AN194" s="33" t="n">
        <x:v>0.0575968222442899702085402185</x:v>
      </x:c>
      <x:c r="AO194" s="33" t="n">
        <x:v>0.0595829195630585898709036743</x:v>
      </x:c>
      <x:c r="AP194" s="33" t="n">
        <x:v>0.0615690168818272095332671301</x:v>
      </x:c>
      <x:c r="AQ194" s="23" t="n">
        <x:v>0.0734856007944389275074478649</x:v>
      </x:c>
      <x:c r="BC194" s="34" t="s"/>
      <x:c r="BD194" s="11" t="s">
        <x:v>399</x:v>
      </x:c>
      <x:c r="BE194" s="12" t="n">
        <x:f>=BO194</x:f>
      </x:c>
      <x:c r="BF194" s="12" t="n">
        <x:v>0.135054617676266137040714995</x:v>
      </x:c>
      <x:c r="BG194" s="12" t="n">
        <x:v>0.2720953326713008937437934459</x:v>
      </x:c>
      <x:c r="BH194" s="12" t="n">
        <x:v>0.5928500496524329692154915591</x:v>
      </x:c>
      <x:c r="BI194" s="12" t="n">
        <x:f>=BN194</x:f>
      </x:c>
      <x:c r="BJ194" s="13" t="n">
        <x:v>0</x:v>
      </x:c>
      <x:c r="BK194" s="31" t="n">
        <x:v>3348.35</x:v>
      </x:c>
      <x:c r="BL194" s="31" t="n">
        <x:v>-12069.9020</x:v>
      </x:c>
      <x:c r="BM194" s="31" t="n">
        <x:f>=BK194+BL194</x:f>
      </x:c>
      <x:c r="BN194" s="68" t="n">
        <x:f>=BM194/BK194</x:f>
      </x:c>
      <x:c r="BO194" s="68" t="n">
        <x:v>0.4071499503475670307845084409</x:v>
      </x:c>
      <x:c r="BP194" s="31" t="n">
        <x:v>10875.60</x:v>
      </x:c>
      <x:c r="BQ194" s="42" t="n">
        <x:v>597</x:v>
      </x:c>
      <x:c r="BR194" s="31" t="n">
        <x:v>6447.60</x:v>
      </x:c>
      <x:c r="BT194" s="31" t="n">
        <x:v>8847.829574921812500000000000</x:v>
      </x:c>
      <x:c r="BU194" s="31" t="n">
        <x:v>-12069.9020</x:v>
      </x:c>
      <x:c r="BV194" s="31" t="n">
        <x:f>=BT194+BU194</x:f>
      </x:c>
      <x:c r="BW194" s="68" t="n">
        <x:f>=BV194/BT194</x:f>
      </x:c>
      <x:c r="BY194" s="68" t="n">
        <x:f>=BO194</x:f>
      </x:c>
      <x:c r="BZ194" s="68" t="n">
        <x:f>=BF194</x:f>
      </x:c>
      <x:c r="CA194" s="68" t="n">
        <x:f>=BG194</x:f>
      </x:c>
      <x:c r="CB194" s="68" t="n">
        <x:f>=1 - BY194</x:f>
      </x:c>
      <x:c r="CD194" s="68" t="n">
        <x:f>=CA194/(1-BZ194)</x:f>
      </x:c>
    </x:row>
    <x:row r="195">
      <x:c r="A195" s="32" t="s">
        <x:v>400</x:v>
      </x:c>
      <x:c r="B195" t="s"/>
      <x:c r="C195" t="s">
        <x:v>401</x:v>
      </x:c>
      <x:c r="D195" t="s">
        <x:v>366</x:v>
      </x:c>
      <x:c r="E195" t="s">
        <x:v>109</x:v>
      </x:c>
      <x:c r="F195" t="n">
        <x:v>738</x:v>
      </x:c>
      <x:c r="G195" s="33" t="n">
        <x:v>0.0094850948509485094850948509</x:v>
      </x:c>
      <x:c r="H195" s="33" t="n">
        <x:v>0.0365853658536585365853658537</x:v>
      </x:c>
      <x:c r="I195" s="33" t="n">
        <x:v>0.0447154471544715447154471545</x:v>
      </x:c>
      <x:c r="J195" s="33" t="n">
        <x:v>0.0474254742547425474254742547</x:v>
      </x:c>
      <x:c r="K195" s="33" t="n">
        <x:v>0.0542005420054200542005420054</x:v>
      </x:c>
      <x:c r="L195" s="33" t="n">
        <x:v>0.0569105691056910569105691057</x:v>
      </x:c>
      <x:c r="M195" s="33" t="n">
        <x:v>0.0840108401084010840108401084</x:v>
      </x:c>
      <x:c r="N195" s="33" t="n">
        <x:v>0.0934959349593495934959349593</x:v>
      </x:c>
      <x:c r="O195" s="33" t="n">
        <x:v>0.1016260162601626016260162602</x:v>
      </x:c>
      <x:c r="P195" s="33" t="n">
        <x:v>0.1165311653116531165311653117</x:v>
      </x:c>
      <x:c r="Q195" s="33" t="n">
        <x:v>0.1233062330623306233062330623</x:v>
      </x:c>
      <x:c r="R195" s="33" t="n">
        <x:v>0.1355013550135501355013550136</x:v>
      </x:c>
      <x:c r="S195" s="33" t="n">
        <x:v>0.139566395663956639566395664</x:v>
      </x:c>
      <x:c r="T195" s="33" t="n">
        <x:v>0.1490514905149051490514905149</x:v>
      </x:c>
      <x:c r="U195" s="33" t="n">
        <x:v>0.1842818428184281842818428184</x:v>
      </x:c>
      <x:c r="V195" s="33" t="n">
        <x:v>0.2222222222222222222222222222</x:v>
      </x:c>
      <x:c r="W195" s="33" t="n">
        <x:v>0.2506775067750677506775067751</x:v>
      </x:c>
      <x:c r="X195" s="33" t="n">
        <x:v>0.2655826558265582655826558266</x:v>
      </x:c>
      <x:c r="Y195" s="33" t="n">
        <x:v>0.2953929539295392953929539295</x:v>
      </x:c>
      <x:c r="Z195" s="33" t="n">
        <x:v>0.3008130081300813008130081301</x:v>
      </x:c>
      <x:c r="AA195" s="33" t="n">
        <x:v>0.3157181571815718157181571816</x:v>
      </x:c>
      <x:c r="AB195" s="33" t="n">
        <x:v>0.3184281842818428184281842818</x:v>
      </x:c>
      <x:c r="AC195" s="33" t="n">
        <x:v>0.3265582655826558265582655827</x:v>
      </x:c>
      <x:c r="AD195" s="33" t="n">
        <x:v>0.3292682926829268292682926829</x:v>
      </x:c>
      <x:c r="AE195" s="33" t="n">
        <x:v>0.3373983739837398373983739837</x:v>
      </x:c>
      <x:c r="AF195" s="33" t="n">
        <x:v>0.3468834688346883468834688347</x:v>
      </x:c>
      <x:c r="AG195" s="33" t="n">
        <x:v>0.3563685636856368563685636856</x:v>
      </x:c>
      <x:c r="AH195" s="33" t="n">
        <x:v>0.360433604336043360433604336</x:v>
      </x:c>
      <x:c r="AI195" s="33" t="n">
        <x:v>0.360433604336043360433604336</x:v>
      </x:c>
      <x:c r="AJ195" s="33" t="n">
        <x:v>0.3631436314363143631436314363</x:v>
      </x:c>
      <x:c r="AK195" s="33" t="n">
        <x:v>0.3644986449864498644986449864</x:v>
      </x:c>
      <x:c r="AL195" s="33" t="n">
        <x:v>0.3766937669376693766937669377</x:v>
      </x:c>
      <x:c r="AM195" s="23" t="n">
        <x:v>0.5636856368563685636856368564</x:v>
      </x:c>
      <x:c r="BC195" s="34" t="s"/>
      <x:c r="BD195" s="11" t="s">
        <x:v>177</x:v>
      </x:c>
      <x:c r="BE195" s="12" t="n">
        <x:f>=BO195</x:f>
      </x:c>
      <x:c r="BF195" s="12" t="n">
        <x:v>0.5975609756097560975609756098</x:v>
      </x:c>
      <x:c r="BG195" s="12" t="n">
        <x:v>0.2615176151761517615176151762</x:v>
      </x:c>
      <x:c r="BH195" s="12" t="n">
        <x:v>0.1409214092140921409214092141</x:v>
      </x:c>
      <x:c r="BI195" s="12" t="n">
        <x:f>=BN195</x:f>
      </x:c>
      <x:c r="BJ195" s="13" t="n">
        <x:v>0</x:v>
      </x:c>
      <x:c r="BK195" s="31" t="n">
        <x:v>3873.87</x:v>
      </x:c>
      <x:c r="BL195" s="31" t="n">
        <x:v>-4343.8680</x:v>
      </x:c>
      <x:c r="BM195" s="31" t="n">
        <x:f>=BK195+BL195</x:f>
      </x:c>
      <x:c r="BN195" s="68" t="n">
        <x:f>=BM195/BK195</x:f>
      </x:c>
      <x:c r="BO195" s="68" t="n">
        <x:v>0.8590785907859078590785907859</x:v>
      </x:c>
      <x:c r="BP195" s="31" t="n">
        <x:v>4280.40</x:v>
      </x:c>
      <x:c r="BQ195" s="42" t="n">
        <x:v>104</x:v>
      </x:c>
      <x:c r="BR195" s="31" t="n">
        <x:v>603.20</x:v>
      </x:c>
      <x:c r="BT195" s="31" t="n">
        <x:v>6007.6128200613750000000</x:v>
      </x:c>
      <x:c r="BU195" s="31" t="n">
        <x:v>-4343.8680</x:v>
      </x:c>
      <x:c r="BV195" s="31" t="n">
        <x:f>=BT195+BU195</x:f>
      </x:c>
      <x:c r="BW195" s="68" t="n">
        <x:f>=BV195/BT195</x:f>
      </x:c>
      <x:c r="BY195" s="68" t="n">
        <x:f>=BO195</x:f>
      </x:c>
      <x:c r="BZ195" s="68" t="n">
        <x:f>=BF195</x:f>
      </x:c>
      <x:c r="CA195" s="68" t="n">
        <x:f>=BG195</x:f>
      </x:c>
      <x:c r="CB195" s="68" t="n">
        <x:f>=1 - BY195</x:f>
      </x:c>
      <x:c r="CD195" s="68" t="n">
        <x:f>=CA195/(1-BZ195)</x:f>
      </x:c>
    </x:row>
    <x:row r="196">
      <x:c r="A196" s="32" t="s">
        <x:v>402</x:v>
      </x:c>
      <x:c r="B196" t="s"/>
      <x:c r="C196" t="s">
        <x:v>403</x:v>
      </x:c>
      <x:c r="D196" t="s">
        <x:v>366</x:v>
      </x:c>
      <x:c r="E196" t="s">
        <x:v>109</x:v>
      </x:c>
      <x:c r="F196" t="n">
        <x:v>647</x:v>
      </x:c>
      <x:c r="G196" s="33" t="n">
        <x:v>0.0309119010819165378670788253</x:v>
      </x:c>
      <x:c r="H196" s="33" t="n">
        <x:v>0.0726429675425038639876352396</x:v>
      </x:c>
      <x:c r="I196" s="33" t="n">
        <x:v>0.0880989180834621329211746522</x:v>
      </x:c>
      <x:c r="J196" s="33" t="n">
        <x:v>0.0880989180834621329211746522</x:v>
      </x:c>
      <x:c r="K196" s="33" t="n">
        <x:v>0.092735703245749613601236476</x:v>
      </x:c>
      <x:c r="L196" s="33" t="n">
        <x:v>0.0989180834621329211746522411</x:v>
      </x:c>
      <x:c r="M196" s="33" t="n">
        <x:v>0.1020092735703245749613601236</x:v>
      </x:c>
      <x:c r="N196" s="33" t="n">
        <x:v>0.1112828438948995363214837713</x:v>
      </x:c>
      <x:c r="O196" s="33" t="n">
        <x:v>0.1236476043276661514683153014</x:v>
      </x:c>
      <x:c r="P196" s="33" t="n">
        <x:v>0.1344667697063369397217928903</x:v>
      </x:c>
      <x:c r="Q196" s="33" t="n">
        <x:v>0.1514683153013910355486862442</x:v>
      </x:c>
      <x:c r="R196" s="33" t="n">
        <x:v>0.1731066460587326120556414219</x:v>
      </x:c>
      <x:c r="S196" s="33" t="n">
        <x:v>0.1761978361669242658423493045</x:v>
      </x:c>
      <x:c r="T196" s="33" t="n">
        <x:v>0.1823802163833075734157650696</x:v>
      </x:c>
      <x:c r="U196" s="33" t="n">
        <x:v>0.1931993817619783616692426584</x:v>
      </x:c>
      <x:c r="V196" s="33" t="n">
        <x:v>0.1993817619783616692426584235</x:v>
      </x:c>
      <x:c r="W196" s="33" t="n">
        <x:v>0.2071097372488408037094281298</x:v>
      </x:c>
      <x:c r="X196" s="33" t="n">
        <x:v>0.2102009273570324574961360124</x:v>
      </x:c>
      <x:c r="Y196" s="33" t="n">
        <x:v>0.2117465224111282843894899536</x:v>
      </x:c>
      <x:c r="Z196" s="33" t="n">
        <x:v>0.2117465224111282843894899536</x:v>
      </x:c>
      <x:c r="AA196" s="33" t="n">
        <x:v>0.2148377125193199381761978362</x:v>
      </x:c>
      <x:c r="AB196" s="33" t="n">
        <x:v>0.2179289026275115919629057187</x:v>
      </x:c>
      <x:c r="AC196" s="33" t="n">
        <x:v>0.2148377125193199381761978362</x:v>
      </x:c>
      <x:c r="AD196" s="33" t="n">
        <x:v>0.2210200927357032457496136012</x:v>
      </x:c>
      <x:c r="AE196" s="33" t="n">
        <x:v>0.2241112828438948995363214838</x:v>
      </x:c>
      <x:c r="AF196" s="33" t="n">
        <x:v>0.2272024729520865533230293663</x:v>
      </x:c>
      <x:c r="AG196" s="33" t="n">
        <x:v>0.2302936630602782071097372488</x:v>
      </x:c>
      <x:c r="AH196" s="33" t="n">
        <x:v>0.2287480680061823802163833076</x:v>
      </x:c>
      <x:c r="AI196" s="33" t="n">
        <x:v>0.2318392581143740340030911901</x:v>
      </x:c>
      <x:c r="AJ196" s="33" t="n">
        <x:v>0.2333848531684698608964451314</x:v>
      </x:c>
      <x:c r="AK196" s="33" t="n">
        <x:v>0.2395672333848531684698608964</x:v>
      </x:c>
      <x:c r="AL196" s="33" t="n">
        <x:v>0.2395672333848531684698608964</x:v>
      </x:c>
      <x:c r="AM196" s="23" t="n">
        <x:v>0.4482225656877897990726429675</x:v>
      </x:c>
      <x:c r="BC196" s="34" t="s"/>
      <x:c r="BD196" s="11" t="s">
        <x:v>177</x:v>
      </x:c>
      <x:c r="BE196" s="12" t="n">
        <x:f>=BO196</x:f>
      </x:c>
      <x:c r="BF196" s="12" t="n">
        <x:v>0.4992272024729520865533230294</x:v>
      </x:c>
      <x:c r="BG196" s="12" t="n">
        <x:v>0.3493044822256568778979907264</x:v>
      </x:c>
      <x:c r="BH196" s="12" t="n">
        <x:v>0.1514683153013910355486862442</x:v>
      </x:c>
      <x:c r="BI196" s="12" t="n">
        <x:f>=BN196</x:f>
      </x:c>
      <x:c r="BJ196" s="13" t="n">
        <x:v>0</x:v>
      </x:c>
      <x:c r="BK196" s="31" t="n">
        <x:v>2834.77</x:v>
      </x:c>
      <x:c r="BL196" s="31" t="n">
        <x:v>-4310.3140</x:v>
      </x:c>
      <x:c r="BM196" s="31" t="n">
        <x:f>=BK196+BL196</x:f>
      </x:c>
      <x:c r="BN196" s="68" t="n">
        <x:f>=BM196/BK196</x:f>
      </x:c>
      <x:c r="BO196" s="68" t="n">
        <x:v>0.8485316846986089644513137558</x:v>
      </x:c>
      <x:c r="BP196" s="31" t="n">
        <x:v>4270.20</x:v>
      </x:c>
      <x:c r="BQ196" s="42" t="n">
        <x:v>98</x:v>
      </x:c>
      <x:c r="BR196" s="31" t="n">
        <x:v>646.80</x:v>
      </x:c>
      <x:c r="BT196" s="31" t="n">
        <x:v>4913.2578117731250000000000000</x:v>
      </x:c>
      <x:c r="BU196" s="31" t="n">
        <x:v>-4310.3140</x:v>
      </x:c>
      <x:c r="BV196" s="31" t="n">
        <x:f>=BT196+BU196</x:f>
      </x:c>
      <x:c r="BW196" s="68" t="n">
        <x:f>=BV196/BT196</x:f>
      </x:c>
      <x:c r="BY196" s="68" t="n">
        <x:f>=BO196</x:f>
      </x:c>
      <x:c r="BZ196" s="68" t="n">
        <x:f>=BF196</x:f>
      </x:c>
      <x:c r="CA196" s="68" t="n">
        <x:f>=BG196</x:f>
      </x:c>
      <x:c r="CB196" s="68" t="n">
        <x:f>=1 - BY196</x:f>
      </x:c>
      <x:c r="CD196" s="68" t="n">
        <x:f>=CA196/(1-BZ196)</x:f>
      </x:c>
    </x:row>
    <x:row r="197">
      <x:c r="A197" s="32" t="s">
        <x:v>404</x:v>
      </x:c>
      <x:c r="B197" t="s"/>
      <x:c r="C197" t="s">
        <x:v>405</x:v>
      </x:c>
      <x:c r="D197" t="s">
        <x:v>108</x:v>
      </x:c>
      <x:c r="E197" t="s">
        <x:v>109</x:v>
      </x:c>
      <x:c r="F197" t="n">
        <x:v>1064</x:v>
      </x:c>
      <x:c r="G197" s="33" t="n">
        <x:v>0.0366541353383458646616541353</x:v>
      </x:c>
      <x:c r="H197" s="33" t="n">
        <x:v>0.0958646616541353383458646617</x:v>
      </x:c>
      <x:c r="I197" s="33" t="n">
        <x:v>0.1278195488721804511278195489</x:v>
      </x:c>
      <x:c r="J197" s="33" t="n">
        <x:v>0.132518796992481203007518797</x:v>
      </x:c>
      <x:c r="K197" s="33" t="n">
        <x:v>0.140037593984962406015037594</x:v>
      </x:c>
      <x:c r="L197" s="33" t="n">
        <x:v>0.147556390977443609022556391</x:v>
      </x:c>
      <x:c r="M197" s="33" t="n">
        <x:v>0.1447368421052631578947368421</x:v>
      </x:c>
      <x:c r="N197" s="33" t="n">
        <x:v>0.1513157894736842105263157895</x:v>
      </x:c>
      <x:c r="O197" s="33" t="n">
        <x:v>0.1484962406015037593984962406</x:v>
      </x:c>
      <x:c r="P197" s="33" t="n">
        <x:v>0.1560150375939849624060150376</x:v>
      </x:c>
      <x:c r="Q197" s="33" t="n">
        <x:v>0.1578947368421052631578947368</x:v>
      </x:c>
      <x:c r="R197" s="33" t="n">
        <x:v>0.1644736842105263157894736842</x:v>
      </x:c>
      <x:c r="S197" s="33" t="n">
        <x:v>0.1691729323308270676691729323</x:v>
      </x:c>
      <x:c r="T197" s="33" t="n">
        <x:v>0.1766917293233082706766917293</x:v>
      </x:c>
      <x:c r="U197" s="33" t="n">
        <x:v>0.1926691729323308270676691729</x:v>
      </x:c>
      <x:c r="V197" s="33" t="n">
        <x:v>0.2133458646616541353383458647</x:v>
      </x:c>
      <x:c r="W197" s="33" t="n">
        <x:v>0.234962406015037593984962406</x:v>
      </x:c>
      <x:c r="X197" s="33" t="n">
        <x:v>0.2528195488721804511278195489</x:v>
      </x:c>
      <x:c r="Y197" s="33" t="n">
        <x:v>0.2593984962406015037593984962</x:v>
      </x:c>
      <x:c r="Z197" s="33" t="n">
        <x:v>0.2640977443609022556390977444</x:v>
      </x:c>
      <x:c r="AA197" s="33" t="n">
        <x:v>0.2659774436090225563909774436</x:v>
      </x:c>
      <x:c r="AB197" s="33" t="n">
        <x:v>0.2687969924812030075187969925</x:v>
      </x:c>
      <x:c r="AC197" s="33" t="n">
        <x:v>0.2734962406015037593984962406</x:v>
      </x:c>
      <x:c r="AD197" s="33" t="n">
        <x:v>0.2744360902255639097744360902</x:v>
      </x:c>
      <x:c r="AE197" s="33" t="n">
        <x:v>0.2791353383458646616541353383</x:v>
      </x:c>
      <x:c r="AF197" s="33" t="n">
        <x:v>0.2781954887218045112781954887</x:v>
      </x:c>
      <x:c r="AG197" s="33" t="n">
        <x:v>0.280075187969924812030075188</x:v>
      </x:c>
      <x:c r="AH197" s="33" t="n">
        <x:v>0.280075187969924812030075188</x:v>
      </x:c>
      <x:c r="AI197" s="33" t="n">
        <x:v>0.2819548872180451127819548872</x:v>
      </x:c>
      <x:c r="AJ197" s="33" t="n">
        <x:v>0.2828947368421052631578947368</x:v>
      </x:c>
      <x:c r="AK197" s="33" t="n">
        <x:v>0.2847744360902255639097744361</x:v>
      </x:c>
      <x:c r="AL197" s="33" t="n">
        <x:v>0.2866541353383458646616541353</x:v>
      </x:c>
      <x:c r="AM197" s="23" t="n">
        <x:v>0.5648496240601503759398496241</x:v>
      </x:c>
      <x:c r="BC197" s="34" t="s"/>
      <x:c r="BD197" s="11" t="s">
        <x:v>177</x:v>
      </x:c>
      <x:c r="BE197" s="12" t="n">
        <x:f>=BO197</x:f>
      </x:c>
      <x:c r="BF197" s="12" t="n">
        <x:v>0.2913533834586466165413533835</x:v>
      </x:c>
      <x:c r="BG197" s="12" t="n">
        <x:v>0.6870300751879699248120300752</x:v>
      </x:c>
      <x:c r="BH197" s="12" t="n">
        <x:v>0.0216165413533834586466165414</x:v>
      </x:c>
      <x:c r="BI197" s="12" t="n">
        <x:f>=BN197</x:f>
      </x:c>
      <x:c r="BJ197" s="13" t="n">
        <x:v>0</x:v>
      </x:c>
      <x:c r="BK197" s="31" t="n">
        <x:v>7824.09</x:v>
      </x:c>
      <x:c r="BL197" s="31" t="n">
        <x:v>-9611.81293516360000000000</x:v>
      </x:c>
      <x:c r="BM197" s="31" t="n">
        <x:f>=BK197+BL197</x:f>
      </x:c>
      <x:c r="BN197" s="68" t="n">
        <x:f>=BM197/BK197</x:f>
      </x:c>
      <x:c r="BO197" s="68" t="n">
        <x:v>0.9783834586466165413533834586</x:v>
      </x:c>
      <x:c r="BP197" s="31" t="n">
        <x:v>9623.889623880000000000</x:v>
      </x:c>
      <x:c r="BQ197" s="42" t="n">
        <x:v>23</x:v>
      </x:c>
      <x:c r="BR197" s="31" t="n">
        <x:v>208.035208035000000000</x:v>
      </x:c>
      <x:c r="BT197" s="31" t="n">
        <x:v>12267.620666529500000000000000</x:v>
      </x:c>
      <x:c r="BU197" s="31" t="n">
        <x:v>-9611.81293516360000000000</x:v>
      </x:c>
      <x:c r="BV197" s="31" t="n">
        <x:f>=BT197+BU197</x:f>
      </x:c>
      <x:c r="BW197" s="68" t="n">
        <x:f>=BV197/BT197</x:f>
      </x:c>
      <x:c r="BY197" s="68" t="n">
        <x:f>=BO197</x:f>
      </x:c>
      <x:c r="BZ197" s="68" t="n">
        <x:f>=BF197</x:f>
      </x:c>
      <x:c r="CA197" s="68" t="n">
        <x:f>=BG197</x:f>
      </x:c>
      <x:c r="CB197" s="68" t="n">
        <x:f>=1 - BY197</x:f>
      </x:c>
      <x:c r="CD197" s="68" t="n">
        <x:f>=CA197/(1-BZ197)</x:f>
      </x:c>
    </x:row>
    <x:row r="198">
      <x:c r="A198" s="32" t="s">
        <x:v>406</x:v>
      </x:c>
      <x:c r="B198" t="s"/>
      <x:c r="C198" t="s">
        <x:v>407</x:v>
      </x:c>
      <x:c r="D198" t="s">
        <x:v>173</x:v>
      </x:c>
      <x:c r="E198" t="s">
        <x:v>109</x:v>
      </x:c>
      <x:c r="F198" t="n">
        <x:v>998</x:v>
      </x:c>
      <x:c r="G198" s="33" t="n">
        <x:v>0.0110220440881763527054108216</x:v>
      </x:c>
      <x:c r="H198" s="33" t="n">
        <x:v>0.0160320641282565130260521042</x:v>
      </x:c>
      <x:c r="I198" s="33" t="n">
        <x:v>0.0200400801603206412825651303</x:v>
      </x:c>
      <x:c r="J198" s="33" t="n">
        <x:v>0.0230460921843687374749498998</x:v>
      </x:c>
      <x:c r="K198" s="33" t="n">
        <x:v>0.0240480961923847695390781563</x:v>
      </x:c>
      <x:c r="L198" s="33" t="n">
        <x:v>0.0270541082164328657314629259</x:v>
      </x:c>
      <x:c r="M198" s="33" t="n">
        <x:v>0.0270541082164328657314629259</x:v>
      </x:c>
      <x:c r="N198" s="33" t="n">
        <x:v>0.0310621242484969939879759519</x:v>
      </x:c>
      <x:c r="O198" s="33" t="n">
        <x:v>0.0360721442885771543086172345</x:v>
      </x:c>
      <x:c r="P198" s="33" t="n">
        <x:v>0.0380761523046092184368737475</x:v>
      </x:c>
      <x:c r="Q198" s="33" t="n">
        <x:v>0.0400801603206412825651302605</x:v>
      </x:c>
      <x:c r="R198" s="33" t="n">
        <x:v>0.0420841683366733466933867735</x:v>
      </x:c>
      <x:c r="S198" s="33" t="n">
        <x:v>0.0430861723446893787575150301</x:v>
      </x:c>
      <x:c r="T198" s="33" t="n">
        <x:v>0.0480961923847695390781563126</x:v>
      </x:c>
      <x:c r="U198" s="33" t="n">
        <x:v>0.0531062124248496993987975952</x:v>
      </x:c>
      <x:c r="V198" s="33" t="n">
        <x:v>0.0551102204408817635270541082</x:v>
      </x:c>
      <x:c r="W198" s="33" t="n">
        <x:v>0.0551102204408817635270541082</x:v>
      </x:c>
      <x:c r="X198" s="33" t="n">
        <x:v>0.0561122244488977955911823647</x:v>
      </x:c>
      <x:c r="Y198" s="33" t="n">
        <x:v>0.0581162324649298597194388778</x:v>
      </x:c>
      <x:c r="Z198" s="33" t="n">
        <x:v>0.0571142284569138276553106212</x:v>
      </x:c>
      <x:c r="AA198" s="33" t="n">
        <x:v>0.0571142284569138276553106212</x:v>
      </x:c>
      <x:c r="AB198" s="33" t="n">
        <x:v>0.0571142284569138276553106212</x:v>
      </x:c>
      <x:c r="AC198" s="33" t="n">
        <x:v>0.0591182364729458917835671343</x:v>
      </x:c>
      <x:c r="AD198" s="33" t="n">
        <x:v>0.0591182364729458917835671343</x:v>
      </x:c>
      <x:c r="AE198" s="33" t="n">
        <x:v>0.0591182364729458917835671343</x:v>
      </x:c>
      <x:c r="AF198" s="33" t="n">
        <x:v>0.0601202404809619238476953908</x:v>
      </x:c>
      <x:c r="AG198" s="33" t="n">
        <x:v>0.0591182364729458917835671343</x:v>
      </x:c>
      <x:c r="AH198" s="33" t="n">
        <x:v>0.0591182364729458917835671343</x:v>
      </x:c>
      <x:c r="AI198" s="33" t="n">
        <x:v>0.0601202404809619238476953908</x:v>
      </x:c>
      <x:c r="AJ198" s="33" t="n">
        <x:v>0.0621242484969939879759519038</x:v>
      </x:c>
      <x:c r="AK198" s="33" t="n">
        <x:v>0.0621242484969939879759519038</x:v>
      </x:c>
      <x:c r="AL198" s="23" t="n">
        <x:v>0.0661322645290581162324649299</x:v>
      </x:c>
      <x:c r="BC198" s="34" t="s"/>
      <x:c r="BD198" s="11" t="s">
        <x:v>182</x:v>
      </x:c>
      <x:c r="BE198" s="12" t="n">
        <x:f>=BO198</x:f>
      </x:c>
      <x:c r="BF198" s="12" t="n">
        <x:v>0.0661322645290581162324649299</x:v>
      </x:c>
      <x:c r="BG198" s="12" t="n">
        <x:v>0.921843687374749498997995992</x:v>
      </x:c>
      <x:c r="BH198" s="12" t="n">
        <x:v>0.0120240480961923847695390782</x:v>
      </x:c>
      <x:c r="BI198" s="12" t="n">
        <x:f>=BN198</x:f>
      </x:c>
      <x:c r="BJ198" s="13" t="n">
        <x:v>0</x:v>
      </x:c>
      <x:c r="BK198" s="31" t="n">
        <x:v>10499.40</x:v>
      </x:c>
      <x:c r="BL198" s="31" t="n">
        <x:v>-24321.7590</x:v>
      </x:c>
      <x:c r="BM198" s="31" t="n">
        <x:f>=BK198+BL198</x:f>
      </x:c>
      <x:c r="BN198" s="68" t="n">
        <x:f>=BM198/BK198</x:f>
      </x:c>
      <x:c r="BO198" s="68" t="n">
        <x:v>0.9879759519038076152304609218</x:v>
      </x:c>
      <x:c r="BP198" s="31" t="n">
        <x:v>21407.10</x:v>
      </x:c>
      <x:c r="BQ198" s="42" t="n">
        <x:v>12</x:v>
      </x:c>
      <x:c r="BR198" s="31" t="n">
        <x:v>257.40</x:v>
      </x:c>
      <x:c r="BT198" s="31" t="n">
        <x:v>20919.145312961562500000000000</x:v>
      </x:c>
      <x:c r="BU198" s="31" t="n">
        <x:v>-24321.7590</x:v>
      </x:c>
      <x:c r="BV198" s="31" t="n">
        <x:f>=BT198+BU198</x:f>
      </x:c>
      <x:c r="BW198" s="68" t="n">
        <x:f>=BV198/BT198</x:f>
      </x:c>
      <x:c r="BY198" s="68" t="n">
        <x:f>=BO198</x:f>
      </x:c>
      <x:c r="BZ198" s="68" t="n">
        <x:f>=BF198</x:f>
      </x:c>
      <x:c r="CA198" s="68" t="n">
        <x:f>=BG198</x:f>
      </x:c>
      <x:c r="CB198" s="68" t="n">
        <x:f>=1 - BY198</x:f>
      </x:c>
      <x:c r="CD198" s="68" t="n">
        <x:f>=CA198/(1-BZ198)</x:f>
      </x:c>
    </x:row>
    <x:row r="199">
      <x:c r="A199" s="32" t="s">
        <x:v>408</x:v>
      </x:c>
      <x:c r="B199" t="s"/>
      <x:c r="C199" t="s">
        <x:v>409</x:v>
      </x:c>
      <x:c r="D199" t="s">
        <x:v>173</x:v>
      </x:c>
      <x:c r="E199" t="s">
        <x:v>109</x:v>
      </x:c>
      <x:c r="F199" t="n">
        <x:v>996</x:v>
      </x:c>
      <x:c r="G199" s="33" t="n">
        <x:v>0.0130522088353413654618473896</x:v>
      </x:c>
      <x:c r="H199" s="33" t="n">
        <x:v>0.0361445783132530120481927711</x:v>
      </x:c>
      <x:c r="I199" s="33" t="n">
        <x:v>0.0411646586345381526104417671</x:v>
      </x:c>
      <x:c r="J199" s="33" t="n">
        <x:v>0.0491967871485943775100401606</x:v>
      </x:c>
      <x:c r="K199" s="33" t="n">
        <x:v>0.0451807228915662650602409639</x:v>
      </x:c>
      <x:c r="L199" s="33" t="n">
        <x:v>0.051204819277108433734939759</x:v>
      </x:c>
      <x:c r="M199" s="33" t="n">
        <x:v>0.0582329317269076305220883534</x:v>
      </x:c>
      <x:c r="N199" s="33" t="n">
        <x:v>0.0652610441767068273092369478</x:v>
      </x:c>
      <x:c r="O199" s="33" t="n">
        <x:v>0.0702811244979919678714859438</x:v>
      </x:c>
      <x:c r="P199" s="33" t="n">
        <x:v>0.076305220883534136546184739</x:v>
      </x:c>
      <x:c r="Q199" s="33" t="n">
        <x:v>0.0833333333333333333333333333</x:v>
      </x:c>
      <x:c r="R199" s="33" t="n">
        <x:v>0.0843373493975903614457831325</x:v>
      </x:c>
      <x:c r="S199" s="33" t="n">
        <x:v>0.0933734939759036144578313253</x:v>
      </x:c>
      <x:c r="T199" s="33" t="n">
        <x:v>0.1054216867469879518072289157</x:v>
      </x:c>
      <x:c r="U199" s="33" t="n">
        <x:v>0.1104417670682730923694779116</x:v>
      </x:c>
      <x:c r="V199" s="33" t="n">
        <x:v>0.1204819277108433734939759036</x:v>
      </x:c>
      <x:c r="W199" s="33" t="n">
        <x:v>0.127510040160642570281124498</x:v>
      </x:c>
      <x:c r="X199" s="33" t="n">
        <x:v>0.13755020080321285140562249</x:v>
      </x:c>
      <x:c r="Y199" s="33" t="n">
        <x:v>0.1445783132530120481927710843</x:v>
      </x:c>
      <x:c r="Z199" s="33" t="n">
        <x:v>0.1455823293172690763052208835</x:v>
      </x:c>
      <x:c r="AA199" s="33" t="n">
        <x:v>0.1576305220883534136546184739</x:v>
      </x:c>
      <x:c r="AB199" s="33" t="n">
        <x:v>0.1606425702811244979919678715</x:v>
      </x:c>
      <x:c r="AC199" s="33" t="n">
        <x:v>0.1636546184738955823293172691</x:v>
      </x:c>
      <x:c r="AD199" s="33" t="n">
        <x:v>0.1626506024096385542168674699</x:v>
      </x:c>
      <x:c r="AE199" s="33" t="n">
        <x:v>0.1656626506024096385542168675</x:v>
      </x:c>
      <x:c r="AF199" s="33" t="n">
        <x:v>0.1686746987951807228915662651</x:v>
      </x:c>
      <x:c r="AG199" s="33" t="n">
        <x:v>0.1656626506024096385542168675</x:v>
      </x:c>
      <x:c r="AH199" s="33" t="n">
        <x:v>0.1686746987951807228915662651</x:v>
      </x:c>
      <x:c r="AI199" s="33" t="n">
        <x:v>0.1696787148594377510040160643</x:v>
      </x:c>
      <x:c r="AJ199" s="33" t="n">
        <x:v>0.1686746987951807228915662651</x:v>
      </x:c>
      <x:c r="AK199" s="33" t="n">
        <x:v>0.1827309236947791164658634538</x:v>
      </x:c>
      <x:c r="AL199" s="23" t="n">
        <x:v>0.2309236947791164658634538153</x:v>
      </x:c>
      <x:c r="BC199" s="34" t="s"/>
      <x:c r="BD199" s="11" t="s">
        <x:v>182</x:v>
      </x:c>
      <x:c r="BE199" s="12" t="n">
        <x:f>=BO199</x:f>
      </x:c>
      <x:c r="BF199" s="12" t="n">
        <x:v>0.1927710843373493975903614458</x:v>
      </x:c>
      <x:c r="BG199" s="12" t="n">
        <x:v>0.5451807228915662650602409639</x:v>
      </x:c>
      <x:c r="BH199" s="12" t="n">
        <x:v>0.2620481927710843373493975904</x:v>
      </x:c>
      <x:c r="BI199" s="12" t="n">
        <x:f>=BN199</x:f>
      </x:c>
      <x:c r="BJ199" s="13" t="n">
        <x:v>0</x:v>
      </x:c>
      <x:c r="BK199" s="31" t="n">
        <x:v>9242.38</x:v>
      </x:c>
      <x:c r="BL199" s="31" t="n">
        <x:v>-16728.8160</x:v>
      </x:c>
      <x:c r="BM199" s="31" t="n">
        <x:f>=BK199+BL199</x:f>
      </x:c>
      <x:c r="BN199" s="68" t="n">
        <x:f>=BM199/BK199</x:f>
      </x:c>
      <x:c r="BO199" s="68" t="n">
        <x:v>0.7379518072289156626506024096</x:v>
      </x:c>
      <x:c r="BP199" s="31" t="n">
        <x:v>14591.40</x:v>
      </x:c>
      <x:c r="BQ199" s="42" t="n">
        <x:v>261</x:v>
      </x:c>
      <x:c r="BR199" s="31" t="n">
        <x:v>3823.65</x:v>
      </x:c>
      <x:c r="BT199" s="31" t="n">
        <x:v>16441.5935798818750000000</x:v>
      </x:c>
      <x:c r="BU199" s="31" t="n">
        <x:v>-16728.8160</x:v>
      </x:c>
      <x:c r="BV199" s="31" t="n">
        <x:f>=BT199+BU199</x:f>
      </x:c>
      <x:c r="BW199" s="68" t="n">
        <x:f>=BV199/BT199</x:f>
      </x:c>
      <x:c r="BY199" s="68" t="n">
        <x:f>=BO199</x:f>
      </x:c>
      <x:c r="BZ199" s="68" t="n">
        <x:f>=BF199</x:f>
      </x:c>
      <x:c r="CA199" s="68" t="n">
        <x:f>=BG199</x:f>
      </x:c>
      <x:c r="CB199" s="68" t="n">
        <x:f>=1 - BY199</x:f>
      </x:c>
      <x:c r="CD199" s="68" t="n">
        <x:f>=CA199/(1-BZ199)</x:f>
      </x:c>
    </x:row>
    <x:row r="200">
      <x:c r="A200" s="32" t="s">
        <x:v>410</x:v>
      </x:c>
      <x:c r="B200" t="s"/>
      <x:c r="C200" t="s">
        <x:v>411</x:v>
      </x:c>
      <x:c r="D200" t="s">
        <x:v>108</x:v>
      </x:c>
      <x:c r="E200" t="s">
        <x:v>109</x:v>
      </x:c>
      <x:c r="F200" t="n">
        <x:v>1097</x:v>
      </x:c>
      <x:c r="G200" s="33" t="n">
        <x:v>0.0246125797629899726526891522</x:v>
      </x:c>
      <x:c r="H200" s="33" t="n">
        <x:v>0.0528714676390154968094804011</x:v>
      </x:c>
      <x:c r="I200" s="33" t="n">
        <x:v>0.0711030082041932543299908842</x:v>
      </x:c>
      <x:c r="J200" s="33" t="n">
        <x:v>0.0656335460346399270738377393</x:v>
      </x:c>
      <x:c r="K200" s="33" t="n">
        <x:v>0.0592525068368277119416590702</x:v>
      </x:c>
      <x:c r="L200" s="33" t="n">
        <x:v>0.0565177757520510483135824977</x:v>
      </x:c>
      <x:c r="M200" s="33" t="n">
        <x:v>0.0556061987237921604375569736</x:v>
      </x:c>
      <x:c r="N200" s="33" t="n">
        <x:v>0.0546946216955332725615314494</x:v>
      </x:c>
      <x:c r="O200" s="33" t="n">
        <x:v>0.0574293527803099361896080219</x:v>
      </x:c>
      <x:c r="P200" s="33" t="n">
        <x:v>0.0628988149498632634457611668</x:v>
      </x:c>
      <x:c r="Q200" s="33" t="n">
        <x:v>0.0628988149498632634457611668</x:v>
      </x:c>
      <x:c r="R200" s="33" t="n">
        <x:v>0.0628988149498632634457611668</x:v>
      </x:c>
      <x:c r="S200" s="33" t="n">
        <x:v>0.0647219690063810391978122151</x:v>
      </x:c>
      <x:c r="T200" s="33" t="n">
        <x:v>0.0656335460346399270738377393</x:v>
      </x:c>
      <x:c r="U200" s="33" t="n">
        <x:v>0.0747493163172288058340929809</x:v>
      </x:c>
      <x:c r="V200" s="33" t="n">
        <x:v>0.0938924339106654512306289881</x:v>
      </x:c>
      <x:c r="W200" s="33" t="n">
        <x:v>0.1121239744758432087511394713</x:v>
      </x:c>
      <x:c r="X200" s="33" t="n">
        <x:v>0.1257976298997265268915223336</x:v>
      </x:c>
      <x:c r="Y200" s="33" t="n">
        <x:v>0.1330902461257976298997265269</x:v>
      </x:c>
      <x:c r="Z200" s="33" t="n">
        <x:v>0.1376481312670920692798541477</x:v>
      </x:c>
      <x:c r="AA200" s="33" t="n">
        <x:v>0.1431175934366453965360072926</x:v>
      </x:c>
      <x:c r="AB200" s="33" t="n">
        <x:v>0.1467639015496809480401093892</x:v>
      </x:c>
      <x:c r="AC200" s="33" t="n">
        <x:v>0.1558796718322698268003646308</x:v>
      </x:c>
      <x:c r="AD200" s="33" t="n">
        <x:v>0.1577028258887876025524156791</x:v>
      </x:c>
      <x:c r="AE200" s="33" t="n">
        <x:v>0.1604375569735642661804922516</x:v>
      </x:c>
      <x:c r="AF200" s="33" t="n">
        <x:v>0.1631722880583409298085688241</x:v>
      </x:c>
      <x:c r="AG200" s="33" t="n">
        <x:v>0.1640838650865998176845943482</x:v>
      </x:c>
      <x:c r="AH200" s="33" t="n">
        <x:v>0.1640838650865998176845943482</x:v>
      </x:c>
      <x:c r="AI200" s="33" t="n">
        <x:v>0.168641750227894257064721969</x:v>
      </x:c>
      <x:c r="AJ200" s="33" t="n">
        <x:v>0.1713764813126709206927985415</x:v>
      </x:c>
      <x:c r="AK200" s="33" t="n">
        <x:v>0.1768459434822242479489516864</x:v>
      </x:c>
      <x:c r="AL200" s="23" t="n">
        <x:v>0.168641750227894257064721969</x:v>
      </x:c>
      <x:c r="BC200" s="34" t="s"/>
      <x:c r="BD200" s="11" t="s">
        <x:v>182</x:v>
      </x:c>
      <x:c r="BE200" s="12" t="n">
        <x:f>=BO200</x:f>
      </x:c>
      <x:c r="BF200" s="12" t="n">
        <x:v>0.2251595259799453053783044667</x:v>
      </x:c>
      <x:c r="BG200" s="12" t="n">
        <x:v>0.5788514129443938012762078396</x:v>
      </x:c>
      <x:c r="BH200" s="12" t="n">
        <x:v>0.1959890610756608933454876937</x:v>
      </x:c>
      <x:c r="BI200" s="12" t="n">
        <x:f>=BN200</x:f>
      </x:c>
      <x:c r="BJ200" s="13" t="n">
        <x:v>0</x:v>
      </x:c>
      <x:c r="BK200" s="31" t="n">
        <x:v>7338.60</x:v>
      </x:c>
      <x:c r="BL200" s="31" t="n">
        <x:v>-11906.27363899807500000000</x:v>
      </x:c>
      <x:c r="BM200" s="31" t="n">
        <x:f>=BK200+BL200</x:f>
      </x:c>
      <x:c r="BN200" s="68" t="n">
        <x:f>=BM200/BK200</x:f>
      </x:c>
      <x:c r="BO200" s="68" t="n">
        <x:v>0.8040109389243391066545123063</x:v>
      </x:c>
      <x:c r="BP200" s="31" t="n">
        <x:v>11921.659421647500000000</x:v>
      </x:c>
      <x:c r="BQ200" s="42" t="n">
        <x:v>215</x:v>
      </x:c>
      <x:c r="BR200" s="31" t="n">
        <x:v>2336.514836512500000000</x:v>
      </x:c>
      <x:c r="BT200" s="31" t="n">
        <x:v>12977.180845787000000000000000</x:v>
      </x:c>
      <x:c r="BU200" s="31" t="n">
        <x:v>-11906.27363899807500000000</x:v>
      </x:c>
      <x:c r="BV200" s="31" t="n">
        <x:f>=BT200+BU200</x:f>
      </x:c>
      <x:c r="BW200" s="68" t="n">
        <x:f>=BV200/BT200</x:f>
      </x:c>
      <x:c r="BY200" s="68" t="n">
        <x:f>=BO200</x:f>
      </x:c>
      <x:c r="BZ200" s="68" t="n">
        <x:f>=BF200</x:f>
      </x:c>
      <x:c r="CA200" s="68" t="n">
        <x:f>=BG200</x:f>
      </x:c>
      <x:c r="CB200" s="68" t="n">
        <x:f>=1 - BY200</x:f>
      </x:c>
      <x:c r="CD200" s="68" t="n">
        <x:f>=CA200/(1-BZ200)</x:f>
      </x:c>
    </x:row>
    <x:row r="201">
      <x:c r="A201" s="32" t="s">
        <x:v>412</x:v>
      </x:c>
      <x:c r="B201" t="s"/>
      <x:c r="C201" t="s">
        <x:v>413</x:v>
      </x:c>
      <x:c r="D201" t="s">
        <x:v>108</x:v>
      </x:c>
      <x:c r="E201" t="s">
        <x:v>109</x:v>
      </x:c>
      <x:c r="F201" t="n">
        <x:v>1100</x:v>
      </x:c>
      <x:c r="G201" s="33" t="n">
        <x:v>0.0209090909090909090909090909</x:v>
      </x:c>
      <x:c r="H201" s="33" t="n">
        <x:v>0.0454545454545454545454545455</x:v>
      </x:c>
      <x:c r="I201" s="33" t="n">
        <x:v>0.0572727272727272727272727273</x:v>
      </x:c>
      <x:c r="J201" s="33" t="n">
        <x:v>0.0636363636363636363636363636</x:v>
      </x:c>
      <x:c r="K201" s="33" t="n">
        <x:v>0.0627272727272727272727272727</x:v>
      </x:c>
      <x:c r="L201" s="33" t="n">
        <x:v>0.0709090909090909090909090909</x:v>
      </x:c>
      <x:c r="M201" s="33" t="n">
        <x:v>0.0736363636363636363636363636</x:v>
      </x:c>
      <x:c r="N201" s="33" t="n">
        <x:v>0.0772727272727272727272727273</x:v>
      </x:c>
      <x:c r="O201" s="33" t="n">
        <x:v>0.0845454545454545454545454545</x:v>
      </x:c>
      <x:c r="P201" s="33" t="n">
        <x:v>0.0881818181818181818181818182</x:v>
      </x:c>
      <x:c r="Q201" s="33" t="n">
        <x:v>0.0909090909090909090909090909</x:v>
      </x:c>
      <x:c r="R201" s="33" t="n">
        <x:v>0.0981818181818181818181818182</x:v>
      </x:c>
      <x:c r="S201" s="33" t="n">
        <x:v>0.1045454545454545454545454545</x:v>
      </x:c>
      <x:c r="T201" s="33" t="n">
        <x:v>0.1118181818181818181818181818</x:v>
      </x:c>
      <x:c r="U201" s="33" t="n">
        <x:v>0.1336363636363636363636363636</x:v>
      </x:c>
      <x:c r="V201" s="33" t="n">
        <x:v>0.15</x:v>
      </x:c>
      <x:c r="W201" s="33" t="n">
        <x:v>0.1627272727272727272727272727</x:v>
      </x:c>
      <x:c r="X201" s="33" t="n">
        <x:v>0.1727272727272727272727272727</x:v>
      </x:c>
      <x:c r="Y201" s="33" t="n">
        <x:v>0.1790909090909090909090909091</x:v>
      </x:c>
      <x:c r="Z201" s="33" t="n">
        <x:v>0.1845454545454545454545454545</x:v>
      </x:c>
      <x:c r="AA201" s="33" t="n">
        <x:v>0.1881818181818181818181818182</x:v>
      </x:c>
      <x:c r="AB201" s="33" t="n">
        <x:v>0.1890909090909090909090909091</x:v>
      </x:c>
      <x:c r="AC201" s="33" t="n">
        <x:v>0.1918181818181818181818181818</x:v>
      </x:c>
      <x:c r="AD201" s="33" t="n">
        <x:v>0.1972727272727272727272727273</x:v>
      </x:c>
      <x:c r="AE201" s="33" t="n">
        <x:v>0.1990909090909090909090909091</x:v>
      </x:c>
      <x:c r="AF201" s="33" t="n">
        <x:v>0.1990909090909090909090909091</x:v>
      </x:c>
      <x:c r="AG201" s="33" t="n">
        <x:v>0.2</x:v>
      </x:c>
      <x:c r="AH201" s="33" t="n">
        <x:v>0.2</x:v>
      </x:c>
      <x:c r="AI201" s="33" t="n">
        <x:v>0.2018181818181818181818181818</x:v>
      </x:c>
      <x:c r="AJ201" s="33" t="n">
        <x:v>0.2018181818181818181818181818</x:v>
      </x:c>
      <x:c r="AK201" s="33" t="n">
        <x:v>0.2045454545454545454545454545</x:v>
      </x:c>
      <x:c r="AL201" s="23" t="n">
        <x:v>0.21</x:v>
      </x:c>
      <x:c r="BC201" s="34" t="s"/>
      <x:c r="BD201" s="11" t="s">
        <x:v>182</x:v>
      </x:c>
      <x:c r="BE201" s="12" t="n">
        <x:f>=BO201</x:f>
      </x:c>
      <x:c r="BF201" s="12" t="n">
        <x:v>0.2109090909090909090909090909</x:v>
      </x:c>
      <x:c r="BG201" s="12" t="n">
        <x:v>0.7454545454545454545454545455</x:v>
      </x:c>
      <x:c r="BH201" s="12" t="n">
        <x:v>0.0436363636363636363636363636</x:v>
      </x:c>
      <x:c r="BI201" s="12" t="n">
        <x:f>=BN201</x:f>
      </x:c>
      <x:c r="BJ201" s="13" t="n">
        <x:v>0</x:v>
      </x:c>
      <x:c r="BK201" s="31" t="n">
        <x:v>7038.37</x:v>
      </x:c>
      <x:c r="BL201" s="31" t="n">
        <x:v>-9937.02465101500000000000</x:v>
      </x:c>
      <x:c r="BM201" s="31" t="n">
        <x:f>=BK201+BL201</x:f>
      </x:c>
      <x:c r="BN201" s="68" t="n">
        <x:f>=BM201/BK201</x:f>
      </x:c>
      <x:c r="BO201" s="68" t="n">
        <x:v>0.9563636363636363636363636364</x:v>
      </x:c>
      <x:c r="BP201" s="31" t="n">
        <x:v>9949.509949500000000000</x:v>
      </x:c>
      <x:c r="BQ201" s="42" t="n">
        <x:v>48</x:v>
      </x:c>
      <x:c r="BR201" s="31" t="n">
        <x:v>434.160434160000000000</x:v>
      </x:c>
      <x:c r="BT201" s="31" t="n">
        <x:v>11632.245689081250000000000000</x:v>
      </x:c>
      <x:c r="BU201" s="31" t="n">
        <x:v>-9937.02465101500000000000</x:v>
      </x:c>
      <x:c r="BV201" s="31" t="n">
        <x:f>=BT201+BU201</x:f>
      </x:c>
      <x:c r="BW201" s="68" t="n">
        <x:f>=BV201/BT201</x:f>
      </x:c>
      <x:c r="BY201" s="68" t="n">
        <x:f>=BO201</x:f>
      </x:c>
      <x:c r="BZ201" s="68" t="n">
        <x:f>=BF201</x:f>
      </x:c>
      <x:c r="CA201" s="68" t="n">
        <x:f>=BG201</x:f>
      </x:c>
      <x:c r="CB201" s="68" t="n">
        <x:f>=1 - BY201</x:f>
      </x:c>
      <x:c r="CD201" s="68" t="n">
        <x:f>=CA201/(1-BZ201)</x:f>
      </x:c>
    </x:row>
    <x:row r="202">
      <x:c r="A202" s="32" t="s">
        <x:v>414</x:v>
      </x:c>
      <x:c r="B202" t="s"/>
      <x:c r="C202" t="s">
        <x:v>415</x:v>
      </x:c>
      <x:c r="D202" t="s">
        <x:v>125</x:v>
      </x:c>
      <x:c r="E202" t="s">
        <x:v>109</x:v>
      </x:c>
      <x:c r="F202" t="n">
        <x:v>470</x:v>
      </x:c>
      <x:c r="G202" s="33" t="n">
        <x:v>0.0021276595744680851063829787</x:v>
      </x:c>
      <x:c r="H202" s="33" t="n">
        <x:v>0</x:v>
      </x:c>
      <x:c r="I202" s="33" t="n">
        <x:v>0.0021276595744680851063829787</x:v>
      </x:c>
      <x:c r="J202" s="33" t="n">
        <x:v>0.1851063829787234042553191489</x:v>
      </x:c>
      <x:c r="K202" s="33" t="n">
        <x:v>0.1744680851063829787234042553</x:v>
      </x:c>
      <x:c r="L202" s="33" t="n">
        <x:v>0.1893617021276595744680851064</x:v>
      </x:c>
      <x:c r="M202" s="33" t="n">
        <x:v>0.2021276595744680851063829787</x:v>
      </x:c>
      <x:c r="N202" s="33" t="n">
        <x:v>0.2021276595744680851063829787</x:v>
      </x:c>
      <x:c r="O202" s="33" t="n">
        <x:v>0.2276595744680851063829787234</x:v>
      </x:c>
      <x:c r="P202" s="33" t="n">
        <x:v>0.2659574468085106382978723404</x:v>
      </x:c>
      <x:c r="Q202" s="33" t="n">
        <x:v>0.2723404255319148936170212766</x:v>
      </x:c>
      <x:c r="R202" s="33" t="n">
        <x:v>0.3</x:v>
      </x:c>
      <x:c r="S202" s="33" t="n">
        <x:v>0.3085106382978723404255319149</x:v>
      </x:c>
      <x:c r="T202" s="33" t="n">
        <x:v>0.3340425531914893617021276596</x:v>
      </x:c>
      <x:c r="U202" s="33" t="n">
        <x:v>0.3489361702127659574468085106</x:v>
      </x:c>
      <x:c r="V202" s="33" t="n">
        <x:v>0.3638297872340425531914893617</x:v>
      </x:c>
      <x:c r="W202" s="33" t="n">
        <x:v>0.3319148936170212765957446809</x:v>
      </x:c>
      <x:c r="X202" s="33" t="n">
        <x:v>0.3489361702127659574468085106</x:v>
      </x:c>
      <x:c r="Y202" s="33" t="n">
        <x:v>0.3638297872340425531914893617</x:v>
      </x:c>
      <x:c r="Z202" s="33" t="n">
        <x:v>0.3659574468085106382978723404</x:v>
      </x:c>
      <x:c r="AA202" s="33" t="n">
        <x:v>0.3914893617021276595744680851</x:v>
      </x:c>
      <x:c r="AB202" s="33" t="n">
        <x:v>0.4</x:v>
      </x:c>
      <x:c r="AC202" s="33" t="n">
        <x:v>0.3829787234042553191489361702</x:v>
      </x:c>
      <x:c r="AD202" s="33" t="n">
        <x:v>0.3829787234042553191489361702</x:v>
      </x:c>
      <x:c r="AE202" s="33" t="n">
        <x:v>0.3872340425531914893617021277</x:v>
      </x:c>
      <x:c r="AF202" s="33" t="n">
        <x:v>0.3936170212765957446808510638</x:v>
      </x:c>
      <x:c r="AG202" s="33" t="n">
        <x:v>0.4</x:v>
      </x:c>
      <x:c r="AH202" s="33" t="n">
        <x:v>0.4042553191489361702127659574</x:v>
      </x:c>
      <x:c r="AI202" s="33" t="n">
        <x:v>0.4042553191489361702127659574</x:v>
      </x:c>
      <x:c r="AJ202" s="33" t="n">
        <x:v>0.4085106382978723404255319149</x:v>
      </x:c>
      <x:c r="AK202" s="33" t="n">
        <x:v>0.4170212765957446808510638298</x:v>
      </x:c>
      <x:c r="AL202" s="23" t="n">
        <x:v>0.4319148936170212765957446809</x:v>
      </x:c>
      <x:c r="BC202" s="34" t="s"/>
      <x:c r="BD202" s="11" t="s">
        <x:v>182</x:v>
      </x:c>
      <x:c r="BE202" s="12" t="n">
        <x:f>=BO202</x:f>
      </x:c>
      <x:c r="BF202" s="12" t="n">
        <x:v>0.461702127659574468085106383</x:v>
      </x:c>
      <x:c r="BG202" s="12" t="n">
        <x:v>0.2638297872340425531914893617</x:v>
      </x:c>
      <x:c r="BH202" s="12" t="n">
        <x:v>0.2744680851063829787234042553</x:v>
      </x:c>
      <x:c r="BI202" s="12" t="n">
        <x:f>=BN202</x:f>
      </x:c>
      <x:c r="BJ202" s="13" t="n">
        <x:v>0</x:v>
      </x:c>
      <x:c r="BK202" s="31" t="n">
        <x:v>3645.33</x:v>
      </x:c>
      <x:c r="BL202" s="31" t="n">
        <x:v>-4631.2860</x:v>
      </x:c>
      <x:c r="BM202" s="31" t="n">
        <x:f>=BK202+BL202</x:f>
      </x:c>
      <x:c r="BN202" s="68" t="n">
        <x:f>=BM202/BK202</x:f>
      </x:c>
      <x:c r="BO202" s="68" t="n">
        <x:v>0.7255319148936170212765957447</x:v>
      </x:c>
      <x:c r="BP202" s="31" t="n">
        <x:v>4629.50</x:v>
      </x:c>
      <x:c r="BQ202" s="42" t="n">
        <x:v>129</x:v>
      </x:c>
      <x:c r="BR202" s="31" t="n">
        <x:v>1270.65</x:v>
      </x:c>
      <x:c r="BT202" s="31" t="n">
        <x:v>5759.1553170737500000000000000</x:v>
      </x:c>
      <x:c r="BU202" s="31" t="n">
        <x:v>-4631.2860</x:v>
      </x:c>
      <x:c r="BV202" s="31" t="n">
        <x:f>=BT202+BU202</x:f>
      </x:c>
      <x:c r="BW202" s="68" t="n">
        <x:f>=BV202/BT202</x:f>
      </x:c>
      <x:c r="BY202" s="68" t="n">
        <x:f>=BO202</x:f>
      </x:c>
      <x:c r="BZ202" s="68" t="n">
        <x:f>=BF202</x:f>
      </x:c>
      <x:c r="CA202" s="68" t="n">
        <x:f>=BG202</x:f>
      </x:c>
      <x:c r="CB202" s="68" t="n">
        <x:f>=1 - BY202</x:f>
      </x:c>
      <x:c r="CD202" s="68" t="n">
        <x:f>=CA202/(1-BZ202)</x:f>
      </x:c>
    </x:row>
    <x:row r="203">
      <x:c r="A203" s="32" t="s">
        <x:v>416</x:v>
      </x:c>
      <x:c r="B203" t="s"/>
      <x:c r="C203" t="s">
        <x:v>417</x:v>
      </x:c>
      <x:c r="D203" t="s">
        <x:v>125</x:v>
      </x:c>
      <x:c r="E203" t="s">
        <x:v>109</x:v>
      </x:c>
      <x:c r="F203" t="n">
        <x:v>455</x:v>
      </x:c>
      <x:c r="G203" s="33" t="n">
        <x:v>0.0021978021978021978021978022</x:v>
      </x:c>
      <x:c r="H203" s="33" t="n">
        <x:v>0.0021978021978021978021978022</x:v>
      </x:c>
      <x:c r="I203" s="33" t="n">
        <x:v>0.021978021978021978021978022</x:v>
      </x:c>
      <x:c r="J203" s="33" t="n">
        <x:v>0.2021978021978021978021978022</x:v>
      </x:c>
      <x:c r="K203" s="33" t="n">
        <x:v>0.1912087912087912087912087912</x:v>
      </x:c>
      <x:c r="L203" s="33" t="n">
        <x:v>0.221978021978021978021978022</x:v>
      </x:c>
      <x:c r="M203" s="33" t="n">
        <x:v>0.178021978021978021978021978</x:v>
      </x:c>
      <x:c r="N203" s="33" t="n">
        <x:v>0.1736263736263736263736263736</x:v>
      </x:c>
      <x:c r="O203" s="33" t="n">
        <x:v>0.2087912087912087912087912088</x:v>
      </x:c>
      <x:c r="P203" s="33" t="n">
        <x:v>0.2417582417582417582417582418</x:v>
      </x:c>
      <x:c r="Q203" s="33" t="n">
        <x:v>0.2527472527472527472527472527</x:v>
      </x:c>
      <x:c r="R203" s="33" t="n">
        <x:v>0.2813186813186813186813186813</x:v>
      </x:c>
      <x:c r="S203" s="33" t="n">
        <x:v>0.3186813186813186813186813187</x:v>
      </x:c>
      <x:c r="T203" s="33" t="n">
        <x:v>0.356043956043956043956043956</x:v>
      </x:c>
      <x:c r="U203" s="33" t="n">
        <x:v>0.3648351648351648351648351648</x:v>
      </x:c>
      <x:c r="V203" s="33" t="n">
        <x:v>0.3824175824175824175824175824</x:v>
      </x:c>
      <x:c r="W203" s="33" t="n">
        <x:v>0.3934065934065934065934065934</x:v>
      </x:c>
      <x:c r="X203" s="33" t="n">
        <x:v>0.4021978021978021978021978022</x:v>
      </x:c>
      <x:c r="Y203" s="33" t="n">
        <x:v>0.4153846153846153846153846154</x:v>
      </x:c>
      <x:c r="Z203" s="33" t="n">
        <x:v>0.4241758241758241758241758242</x:v>
      </x:c>
      <x:c r="AA203" s="33" t="n">
        <x:v>0.4197802197802197802197802198</x:v>
      </x:c>
      <x:c r="AB203" s="33" t="n">
        <x:v>0.4197802197802197802197802198</x:v>
      </x:c>
      <x:c r="AC203" s="33" t="n">
        <x:v>0.4175824175824175824175824176</x:v>
      </x:c>
      <x:c r="AD203" s="33" t="n">
        <x:v>0.4241758241758241758241758242</x:v>
      </x:c>
      <x:c r="AE203" s="33" t="n">
        <x:v>0.4505494505494505494505494505</x:v>
      </x:c>
      <x:c r="AF203" s="33" t="n">
        <x:v>0.4461538461538461538461538462</x:v>
      </x:c>
      <x:c r="AG203" s="33" t="n">
        <x:v>0.443956043956043956043956044</x:v>
      </x:c>
      <x:c r="AH203" s="33" t="n">
        <x:v>0.4505494505494505494505494505</x:v>
      </x:c>
      <x:c r="AI203" s="33" t="n">
        <x:v>0.4505494505494505494505494505</x:v>
      </x:c>
      <x:c r="AJ203" s="33" t="n">
        <x:v>0.4703296703296703296703296703</x:v>
      </x:c>
      <x:c r="AK203" s="33" t="n">
        <x:v>0.4725274725274725274725274725</x:v>
      </x:c>
      <x:c r="AL203" s="23" t="n">
        <x:v>0.4923076923076923076923076923</x:v>
      </x:c>
      <x:c r="BC203" s="34" t="s"/>
      <x:c r="BD203" s="11" t="s">
        <x:v>182</x:v>
      </x:c>
      <x:c r="BE203" s="12" t="n">
        <x:f>=BO203</x:f>
      </x:c>
      <x:c r="BF203" s="12" t="n">
        <x:v>0.4813186813186813186813186813</x:v>
      </x:c>
      <x:c r="BG203" s="12" t="n">
        <x:v>0.2483516483516483516483516484</x:v>
      </x:c>
      <x:c r="BH203" s="12" t="n">
        <x:v>0.2703296703296703296703296703</x:v>
      </x:c>
      <x:c r="BI203" s="12" t="n">
        <x:f>=BN203</x:f>
      </x:c>
      <x:c r="BJ203" s="13" t="n">
        <x:v>0</x:v>
      </x:c>
      <x:c r="BK203" s="31" t="n">
        <x:v>3803.35</x:v>
      </x:c>
      <x:c r="BL203" s="31" t="n">
        <x:v>-4479.2475</x:v>
      </x:c>
      <x:c r="BM203" s="31" t="n">
        <x:f>=BK203+BL203</x:f>
      </x:c>
      <x:c r="BN203" s="68" t="n">
        <x:f>=BM203/BK203</x:f>
      </x:c>
      <x:c r="BO203" s="68" t="n">
        <x:v>0.7296703296703296703296703297</x:v>
      </x:c>
      <x:c r="BP203" s="31" t="n">
        <x:v>4481.75</x:v>
      </x:c>
      <x:c r="BQ203" s="42" t="n">
        <x:v>123</x:v>
      </x:c>
      <x:c r="BR203" s="31" t="n">
        <x:v>1211.55</x:v>
      </x:c>
      <x:c r="BT203" s="31" t="n">
        <x:v>5849.7128069543750000000000000</x:v>
      </x:c>
      <x:c r="BU203" s="31" t="n">
        <x:v>-4479.2475</x:v>
      </x:c>
      <x:c r="BV203" s="31" t="n">
        <x:f>=BT203+BU203</x:f>
      </x:c>
      <x:c r="BW203" s="68" t="n">
        <x:f>=BV203/BT203</x:f>
      </x:c>
      <x:c r="BY203" s="68" t="n">
        <x:f>=BO203</x:f>
      </x:c>
      <x:c r="BZ203" s="68" t="n">
        <x:f>=BF203</x:f>
      </x:c>
      <x:c r="CA203" s="68" t="n">
        <x:f>=BG203</x:f>
      </x:c>
      <x:c r="CB203" s="68" t="n">
        <x:f>=1 - BY203</x:f>
      </x:c>
      <x:c r="CD203" s="68" t="n">
        <x:f>=CA203/(1-BZ203)</x:f>
      </x:c>
    </x:row>
    <x:row r="204">
      <x:c r="A204" s="32" t="s">
        <x:v>418</x:v>
      </x:c>
      <x:c r="B204" t="s"/>
      <x:c r="C204" t="s">
        <x:v>419</x:v>
      </x:c>
      <x:c r="D204" t="s">
        <x:v>125</x:v>
      </x:c>
      <x:c r="E204" t="s">
        <x:v>109</x:v>
      </x:c>
      <x:c r="F204" t="n">
        <x:v>448</x:v>
      </x:c>
      <x:c r="G204" s="33" t="n">
        <x:v>0.0022321428571428571428571429</x:v>
      </x:c>
      <x:c r="H204" s="33" t="n">
        <x:v>0.0022321428571428571428571429</x:v>
      </x:c>
      <x:c r="I204" s="33" t="n">
        <x:v>0.0022321428571428571428571429</x:v>
      </x:c>
      <x:c r="J204" s="33" t="n">
        <x:v>0.0669642857142857142857142857</x:v>
      </x:c>
      <x:c r="K204" s="33" t="n">
        <x:v>0.0535714285714285714285714286</x:v>
      </x:c>
      <x:c r="L204" s="33" t="n">
        <x:v>0.0669642857142857142857142857</x:v>
      </x:c>
      <x:c r="M204" s="33" t="n">
        <x:v>0.0848214285714285714285714286</x:v>
      </x:c>
      <x:c r="N204" s="33" t="n">
        <x:v>0.0848214285714285714285714286</x:v>
      </x:c>
      <x:c r="O204" s="33" t="n">
        <x:v>0.1004464285714285714285714286</x:v>
      </x:c>
      <x:c r="P204" s="33" t="n">
        <x:v>0.1071428571428571428571428571</x:v>
      </x:c>
      <x:c r="Q204" s="33" t="n">
        <x:v>0.1183035714285714285714285714</x:v>
      </x:c>
      <x:c r="R204" s="33" t="n">
        <x:v>0.1183035714285714285714285714</x:v>
      </x:c>
      <x:c r="S204" s="33" t="n">
        <x:v>0.1517857142857142857142857143</x:v>
      </x:c>
      <x:c r="T204" s="33" t="n">
        <x:v>0.1383928571428571428571428571</x:v>
      </x:c>
      <x:c r="U204" s="33" t="n">
        <x:v>0.1473214285714285714285714286</x:v>
      </x:c>
      <x:c r="V204" s="33" t="n">
        <x:v>0.1361607142857142857142857143</x:v>
      </x:c>
      <x:c r="W204" s="33" t="n">
        <x:v>0.1450892857142857142857142857</x:v>
      </x:c>
      <x:c r="X204" s="33" t="n">
        <x:v>0.1495535714285714285714285714</x:v>
      </x:c>
      <x:c r="Y204" s="33" t="n">
        <x:v>0.1651785714285714285714285714</x:v>
      </x:c>
      <x:c r="Z204" s="33" t="n">
        <x:v>0.1629464285714285714285714286</x:v>
      </x:c>
      <x:c r="AA204" s="33" t="n">
        <x:v>0.1651785714285714285714285714</x:v>
      </x:c>
      <x:c r="AB204" s="33" t="n">
        <x:v>0.1785714285714285714285714286</x:v>
      </x:c>
      <x:c r="AC204" s="33" t="n">
        <x:v>0.1808035714285714285714285714</x:v>
      </x:c>
      <x:c r="AD204" s="33" t="n">
        <x:v>0.1897321428571428571428571429</x:v>
      </x:c>
      <x:c r="AE204" s="33" t="n">
        <x:v>0.1852678571428571428571428571</x:v>
      </x:c>
      <x:c r="AF204" s="33" t="n">
        <x:v>0.1852678571428571428571428571</x:v>
      </x:c>
      <x:c r="AG204" s="33" t="n">
        <x:v>0.1919642857142857142857142857</x:v>
      </x:c>
      <x:c r="AH204" s="33" t="n">
        <x:v>0.1964285714285714285714285714</x:v>
      </x:c>
      <x:c r="AI204" s="33" t="n">
        <x:v>0.2075892857142857142857142857</x:v>
      </x:c>
      <x:c r="AJ204" s="33" t="n">
        <x:v>0.2008928571428571428571428571</x:v>
      </x:c>
      <x:c r="AK204" s="33" t="n">
        <x:v>0.203125</x:v>
      </x:c>
      <x:c r="AL204" s="23" t="n">
        <x:v>0.2924107142857142857142857143</x:v>
      </x:c>
      <x:c r="BC204" s="34" t="s"/>
      <x:c r="BD204" s="11" t="s">
        <x:v>182</x:v>
      </x:c>
      <x:c r="BE204" s="12" t="n">
        <x:f>=BO204</x:f>
      </x:c>
      <x:c r="BF204" s="12" t="n">
        <x:v>0.3705357142857142857142857143</x:v>
      </x:c>
      <x:c r="BG204" s="12" t="n">
        <x:v>0.2790178571428571428571428571</x:v>
      </x:c>
      <x:c r="BH204" s="12" t="n">
        <x:v>0.3504464285714285714285714286</x:v>
      </x:c>
      <x:c r="BI204" s="12" t="n">
        <x:f>=BN204</x:f>
      </x:c>
      <x:c r="BJ204" s="13" t="n">
        <x:v>0</x:v>
      </x:c>
      <x:c r="BK204" s="31" t="n">
        <x:v>2254.69</x:v>
      </x:c>
      <x:c r="BL204" s="31" t="n">
        <x:v>-4410.0672</x:v>
      </x:c>
      <x:c r="BM204" s="31" t="n">
        <x:f>=BK204+BL204</x:f>
      </x:c>
      <x:c r="BN204" s="68" t="n">
        <x:f>=BM204/BK204</x:f>
      </x:c>
      <x:c r="BO204" s="68" t="n">
        <x:v>0.6495535714285714285714285714</x:v>
      </x:c>
      <x:c r="BP204" s="31" t="n">
        <x:v>4412.80</x:v>
      </x:c>
      <x:c r="BQ204" s="42" t="n">
        <x:v>157</x:v>
      </x:c>
      <x:c r="BR204" s="31" t="n">
        <x:v>1546.45</x:v>
      </x:c>
      <x:c r="BT204" s="31" t="n">
        <x:v>4269.5703022320000000000000000</x:v>
      </x:c>
      <x:c r="BU204" s="31" t="n">
        <x:v>-4410.0672</x:v>
      </x:c>
      <x:c r="BV204" s="31" t="n">
        <x:f>=BT204+BU204</x:f>
      </x:c>
      <x:c r="BW204" s="68" t="n">
        <x:f>=BV204/BT204</x:f>
      </x:c>
      <x:c r="BY204" s="68" t="n">
        <x:f>=BO204</x:f>
      </x:c>
      <x:c r="BZ204" s="68" t="n">
        <x:f>=BF204</x:f>
      </x:c>
      <x:c r="CA204" s="68" t="n">
        <x:f>=BG204</x:f>
      </x:c>
      <x:c r="CB204" s="68" t="n">
        <x:f>=1 - BY204</x:f>
      </x:c>
      <x:c r="CD204" s="68" t="n">
        <x:f>=CA204/(1-BZ204)</x:f>
      </x:c>
    </x:row>
    <x:row r="205">
      <x:c r="A205" s="32" t="s">
        <x:v>420</x:v>
      </x:c>
      <x:c r="B205" t="s"/>
      <x:c r="C205" t="s">
        <x:v>421</x:v>
      </x:c>
      <x:c r="D205" t="s">
        <x:v>125</x:v>
      </x:c>
      <x:c r="E205" t="s">
        <x:v>109</x:v>
      </x:c>
      <x:c r="F205" t="n">
        <x:v>920</x:v>
      </x:c>
      <x:c r="G205" s="33" t="n">
        <x:v>0.0673913043478260869565217391</x:v>
      </x:c>
      <x:c r="H205" s="33" t="n">
        <x:v>0.2195652173913043478260869565</x:v>
      </x:c>
      <x:c r="I205" s="33" t="n">
        <x:v>0.2880434782608695652173913043</x:v>
      </x:c>
      <x:c r="J205" s="33" t="n">
        <x:v>0.2152173913043478260869565217</x:v>
      </x:c>
      <x:c r="K205" s="33" t="n">
        <x:v>0.1804347826086956521739130435</x:v>
      </x:c>
      <x:c r="L205" s="33" t="n">
        <x:v>0.1793478260869565217391304348</x:v>
      </x:c>
      <x:c r="M205" s="33" t="n">
        <x:v>0.185869565217391304347826087</x:v>
      </x:c>
      <x:c r="N205" s="33" t="n">
        <x:v>0.1913043478260869565217391304</x:v>
      </x:c>
      <x:c r="O205" s="33" t="n">
        <x:v>0.225</x:v>
      </x:c>
      <x:c r="P205" s="33" t="n">
        <x:v>0.225</x:v>
      </x:c>
      <x:c r="Q205" s="33" t="n">
        <x:v>0.225</x:v>
      </x:c>
      <x:c r="R205" s="33" t="n">
        <x:v>0.235869565217391304347826087</x:v>
      </x:c>
      <x:c r="S205" s="33" t="n">
        <x:v>0.2576086956521739130434782609</x:v>
      </x:c>
      <x:c r="T205" s="33" t="n">
        <x:v>0.2826086956521739130434782609</x:v>
      </x:c>
      <x:c r="U205" s="33" t="n">
        <x:v>0.289130434782608695652173913</x:v>
      </x:c>
      <x:c r="V205" s="33" t="n">
        <x:v>0.289130434782608695652173913</x:v>
      </x:c>
      <x:c r="W205" s="33" t="n">
        <x:v>0.2923913043478260869565217391</x:v>
      </x:c>
      <x:c r="X205" s="33" t="n">
        <x:v>0.2934782608695652173913043478</x:v>
      </x:c>
      <x:c r="Y205" s="33" t="n">
        <x:v>0.3010869565217391304347826087</x:v>
      </x:c>
      <x:c r="Z205" s="33" t="n">
        <x:v>0.3032608695652173913043478261</x:v>
      </x:c>
      <x:c r="AA205" s="33" t="n">
        <x:v>0.3119565217391304347826086957</x:v>
      </x:c>
      <x:c r="AB205" s="33" t="n">
        <x:v>0.3119565217391304347826086957</x:v>
      </x:c>
      <x:c r="AC205" s="33" t="n">
        <x:v>0.3163043478260869565217391304</x:v>
      </x:c>
      <x:c r="AD205" s="33" t="n">
        <x:v>0.3173913043478260869565217391</x:v>
      </x:c>
      <x:c r="AE205" s="33" t="n">
        <x:v>0.3163043478260869565217391304</x:v>
      </x:c>
      <x:c r="AF205" s="33" t="n">
        <x:v>0.3173913043478260869565217391</x:v>
      </x:c>
      <x:c r="AG205" s="33" t="n">
        <x:v>0.3206521739130434782608695652</x:v>
      </x:c>
      <x:c r="AH205" s="33" t="n">
        <x:v>0.3228260869565217391304347826</x:v>
      </x:c>
      <x:c r="AI205" s="33" t="n">
        <x:v>0.3228260869565217391304347826</x:v>
      </x:c>
      <x:c r="AJ205" s="33" t="n">
        <x:v>0.3228260869565217391304347826</x:v>
      </x:c>
      <x:c r="AK205" s="23" t="n">
        <x:v>0.385869565217391304347826087</x:v>
      </x:c>
      <x:c r="BC205" s="34" t="s"/>
      <x:c r="BD205" s="11" t="s">
        <x:v>307</x:v>
      </x:c>
      <x:c r="BE205" s="12" t="n">
        <x:f>=BO205</x:f>
      </x:c>
      <x:c r="BF205" s="12" t="n">
        <x:v>0.439130434782608695652173913</x:v>
      </x:c>
      <x:c r="BG205" s="12" t="n">
        <x:v>0.2782608695652173913043478261</x:v>
      </x:c>
      <x:c r="BH205" s="12" t="n">
        <x:v>0.2826086956521739130434782609</x:v>
      </x:c>
      <x:c r="BI205" s="12" t="n">
        <x:f>=BN205</x:f>
      </x:c>
      <x:c r="BJ205" s="13" t="n">
        <x:v>0</x:v>
      </x:c>
      <x:c r="BK205" s="31" t="n">
        <x:v>5708.52</x:v>
      </x:c>
      <x:c r="BL205" s="31" t="n">
        <x:v>-7449.2400</x:v>
      </x:c>
      <x:c r="BM205" s="31" t="n">
        <x:f>=BK205+BL205</x:f>
      </x:c>
      <x:c r="BN205" s="68" t="n">
        <x:f>=BM205/BK205</x:f>
      </x:c>
      <x:c r="BO205" s="68" t="n">
        <x:v>0.7173913043478260869565217391</x:v>
      </x:c>
      <x:c r="BP205" s="31" t="n">
        <x:v>7452.00</x:v>
      </x:c>
      <x:c r="BQ205" s="42" t="n">
        <x:v>260</x:v>
      </x:c>
      <x:c r="BR205" s="31" t="n">
        <x:v>2106.00</x:v>
      </x:c>
      <x:c r="BT205" s="31" t="n">
        <x:v>9255.1205319900000000000</x:v>
      </x:c>
      <x:c r="BU205" s="31" t="n">
        <x:v>-7449.2400</x:v>
      </x:c>
      <x:c r="BV205" s="31" t="n">
        <x:f>=BT205+BU205</x:f>
      </x:c>
      <x:c r="BW205" s="68" t="n">
        <x:f>=BV205/BT205</x:f>
      </x:c>
      <x:c r="BY205" s="68" t="n">
        <x:f>=BO205</x:f>
      </x:c>
      <x:c r="BZ205" s="68" t="n">
        <x:f>=BF205</x:f>
      </x:c>
      <x:c r="CA205" s="68" t="n">
        <x:f>=BG205</x:f>
      </x:c>
      <x:c r="CB205" s="68" t="n">
        <x:f>=1 - BY205</x:f>
      </x:c>
      <x:c r="CD205" s="68" t="n">
        <x:f>=CA205/(1-BZ205)</x:f>
      </x:c>
    </x:row>
    <x:row r="206">
      <x:c r="A206" s="32" t="s">
        <x:v>422</x:v>
      </x:c>
      <x:c r="B206" t="s"/>
      <x:c r="C206" t="s">
        <x:v>423</x:v>
      </x:c>
      <x:c r="D206" t="s">
        <x:v>259</x:v>
      </x:c>
      <x:c r="E206" t="s">
        <x:v>109</x:v>
      </x:c>
      <x:c r="F206" t="n">
        <x:v>1194</x:v>
      </x:c>
      <x:c r="G206" s="33" t="n">
        <x:v>0.0075376884422110552763819095</x:v>
      </x:c>
      <x:c r="H206" s="33" t="n">
        <x:v>0.0242881072026800670016750419</x:v>
      </x:c>
      <x:c r="I206" s="33" t="n">
        <x:v>0.0577889447236180904522613065</x:v>
      </x:c>
      <x:c r="J206" s="33" t="n">
        <x:v>0.0628140703517587939698492462</x:v>
      </x:c>
      <x:c r="K206" s="33" t="n">
        <x:v>0.072026800670016750418760469</x:v>
      </x:c>
      <x:c r="L206" s="33" t="n">
        <x:v>0.0686767169179229480737018425</x:v>
      </x:c>
      <x:c r="M206" s="33" t="n">
        <x:v>0.0753768844221105527638190955</x:v>
      </x:c>
      <x:c r="N206" s="33" t="n">
        <x:v>0.0946398659966499162479061977</x:v>
      </x:c>
      <x:c r="O206" s="33" t="n">
        <x:v>0.1080402010050251256281407035</x:v>
      </x:c>
      <x:c r="P206" s="33" t="n">
        <x:v>0.1348408710217755443886097152</x:v>
      </x:c>
      <x:c r="Q206" s="33" t="n">
        <x:v>0.1381909547738693467336683417</x:v>
      </x:c>
      <x:c r="R206" s="33" t="n">
        <x:v>0.144053601340033500837520938</x:v>
      </x:c>
      <x:c r="S206" s="33" t="n">
        <x:v>0.1532663316582914572864321608</x:v>
      </x:c>
      <x:c r="T206" s="33" t="n">
        <x:v>0.1658291457286432160804020101</x:v>
      </x:c>
      <x:c r="U206" s="33" t="n">
        <x:v>0.1700167504187604690117252931</x:v>
      </x:c>
      <x:c r="V206" s="33" t="n">
        <x:v>0.1691792294807370184254606365</x:v>
      </x:c>
      <x:c r="W206" s="33" t="n">
        <x:v>0.172529313232830820770519263</x:v>
      </x:c>
      <x:c r="X206" s="33" t="n">
        <x:v>0.1817420435510887772194304858</x:v>
      </x:c>
      <x:c r="Y206" s="33" t="n">
        <x:v>0.1892797319932998324958123953</x:v>
      </x:c>
      <x:c r="Z206" s="33" t="n">
        <x:v>0.1984924623115577889447236181</x:v>
      </x:c>
      <x:c r="AA206" s="33" t="n">
        <x:v>0.2026800670016750418760469012</x:v>
      </x:c>
      <x:c r="AB206" s="33" t="n">
        <x:v>0.1993299832495812395309882747</x:v>
      </x:c>
      <x:c r="AC206" s="33" t="n">
        <x:v>0.2043551088777219430485762144</x:v>
      </x:c>
      <x:c r="AD206" s="33" t="n">
        <x:v>0.2077051926298157453936348409</x:v>
      </x:c>
      <x:c r="AE206" s="33" t="n">
        <x:v>0.2110552763819095477386934673</x:v>
      </x:c>
      <x:c r="AF206" s="33" t="n">
        <x:v>0.2093802345058626465661641541</x:v>
      </x:c>
      <x:c r="AG206" s="33" t="n">
        <x:v>0.2068676716917922948073701843</x:v>
      </x:c>
      <x:c r="AH206" s="33" t="n">
        <x:v>0.2127303182579564489112227806</x:v>
      </x:c>
      <x:c r="AI206" s="33" t="n">
        <x:v>0.2093802345058626465661641541</x:v>
      </x:c>
      <x:c r="AJ206" s="33" t="n">
        <x:v>0.2177554438860971524288107203</x:v>
      </x:c>
      <x:c r="AK206" s="23" t="n">
        <x:v>0.2244556113902847571189279732</x:v>
      </x:c>
      <x:c r="BC206" s="34" t="s"/>
      <x:c r="BD206" s="11" t="s">
        <x:v>307</x:v>
      </x:c>
      <x:c r="BE206" s="12" t="n">
        <x:f>=BO206</x:f>
      </x:c>
      <x:c r="BF206" s="12" t="n">
        <x:v>0.2370184254606365159128978224</x:v>
      </x:c>
      <x:c r="BG206" s="12" t="n">
        <x:v>0.1876046901172529313232830821</x:v>
      </x:c>
      <x:c r="BH206" s="12" t="n">
        <x:v>0.5753768844221105527638190955</x:v>
      </x:c>
      <x:c r="BI206" s="12" t="n">
        <x:f>=BN206</x:f>
      </x:c>
      <x:c r="BJ206" s="13" t="n">
        <x:v>0</x:v>
      </x:c>
      <x:c r="BK206" s="31" t="n">
        <x:v>4431.40</x:v>
      </x:c>
      <x:c r="BL206" s="31" t="n">
        <x:v>-10337.77140</x:v>
      </x:c>
      <x:c r="BM206" s="31" t="n">
        <x:f>=BK206+BL206</x:f>
      </x:c>
      <x:c r="BN206" s="68" t="n">
        <x:f>=BM206/BK206</x:f>
      </x:c>
      <x:c r="BO206" s="68" t="n">
        <x:v>0.4246231155778894472361809045</x:v>
      </x:c>
      <x:c r="BP206" s="31" t="n">
        <x:v>9552.00</x:v>
      </x:c>
      <x:c r="BQ206" s="42" t="n">
        <x:v>687</x:v>
      </x:c>
      <x:c r="BR206" s="31" t="n">
        <x:v>5496.00</x:v>
      </x:c>
      <x:c r="BT206" s="31" t="n">
        <x:v>9034.2706904305000000000</x:v>
      </x:c>
      <x:c r="BU206" s="31" t="n">
        <x:v>-10337.77140</x:v>
      </x:c>
      <x:c r="BV206" s="31" t="n">
        <x:f>=BT206+BU206</x:f>
      </x:c>
      <x:c r="BW206" s="68" t="n">
        <x:f>=BV206/BT206</x:f>
      </x:c>
      <x:c r="BY206" s="68" t="n">
        <x:f>=BO206</x:f>
      </x:c>
      <x:c r="BZ206" s="68" t="n">
        <x:f>=BF206</x:f>
      </x:c>
      <x:c r="CA206" s="68" t="n">
        <x:f>=BG206</x:f>
      </x:c>
      <x:c r="CB206" s="68" t="n">
        <x:f>=1 - BY206</x:f>
      </x:c>
      <x:c r="CD206" s="68" t="n">
        <x:f>=CA206/(1-BZ206)</x:f>
      </x:c>
    </x:row>
    <x:row r="207">
      <x:c r="A207" s="32" t="s">
        <x:v>424</x:v>
      </x:c>
      <x:c r="B207" t="s"/>
      <x:c r="C207" t="s">
        <x:v>425</x:v>
      </x:c>
      <x:c r="D207" t="s">
        <x:v>125</x:v>
      </x:c>
      <x:c r="E207" t="s">
        <x:v>109</x:v>
      </x:c>
      <x:c r="F207" t="n">
        <x:v>1072</x:v>
      </x:c>
      <x:c r="G207" s="33" t="n">
        <x:v>0.0009328358208955223880597015</x:v>
      </x:c>
      <x:c r="H207" s="33" t="n">
        <x:v>0.0811567164179104477611940299</x:v>
      </x:c>
      <x:c r="I207" s="33" t="n">
        <x:v>0.1352611940298507462686567164</x:v>
      </x:c>
      <x:c r="J207" s="33" t="n">
        <x:v>0.1520522388059701492537313433</x:v>
      </x:c>
      <x:c r="K207" s="33" t="n">
        <x:v>0.1436567164179104477611940299</x:v>
      </x:c>
      <x:c r="L207" s="33" t="n">
        <x:v>0.1464552238805970149253731343</x:v>
      </x:c>
      <x:c r="M207" s="33" t="n">
        <x:v>0.1529850746268656716417910448</x:v>
      </x:c>
      <x:c r="N207" s="33" t="n">
        <x:v>0.1688432835820895522388059701</x:v>
      </x:c>
      <x:c r="O207" s="33" t="n">
        <x:v>0.1809701492537313432835820896</x:v>
      </x:c>
      <x:c r="P207" s="33" t="n">
        <x:v>0.1977611940298507462686567164</x:v>
      </x:c>
      <x:c r="Q207" s="33" t="n">
        <x:v>0.191231343283582089552238806</x:v>
      </x:c>
      <x:c r="R207" s="33" t="n">
        <x:v>0.1949626865671641791044776119</x:v>
      </x:c>
      <x:c r="S207" s="33" t="n">
        <x:v>0.2061567164179104477611940299</x:v>
      </x:c>
      <x:c r="T207" s="33" t="n">
        <x:v>0.2042910447761194029850746269</x:v>
      </x:c>
      <x:c r="U207" s="33" t="n">
        <x:v>0.2089552238805970149253731343</x:v>
      </x:c>
      <x:c r="V207" s="33" t="n">
        <x:v>0.2192164179104477611940298507</x:v>
      </x:c>
      <x:c r="W207" s="33" t="n">
        <x:v>0.2192164179104477611940298507</x:v>
      </x:c>
      <x:c r="X207" s="33" t="n">
        <x:v>0.2192164179104477611940298507</x:v>
      </x:c>
      <x:c r="Y207" s="33" t="n">
        <x:v>0.2164179104477611940298507463</x:v>
      </x:c>
      <x:c r="Z207" s="33" t="n">
        <x:v>0.2192164179104477611940298507</x:v>
      </x:c>
      <x:c r="AA207" s="33" t="n">
        <x:v>0.2257462686567164179104477612</x:v>
      </x:c>
      <x:c r="AB207" s="33" t="n">
        <x:v>0.2294776119402985074626865672</x:v>
      </x:c>
      <x:c r="AC207" s="33" t="n">
        <x:v>0.2322761194029850746268656716</x:v>
      </x:c>
      <x:c r="AD207" s="33" t="n">
        <x:v>0.2350746268656716417910447761</x:v>
      </x:c>
      <x:c r="AE207" s="33" t="n">
        <x:v>0.2388059701492537313432835821</x:v>
      </x:c>
      <x:c r="AF207" s="33" t="n">
        <x:v>0.2388059701492537313432835821</x:v>
      </x:c>
      <x:c r="AG207" s="33" t="n">
        <x:v>0.2416044776119402985074626866</x:v>
      </x:c>
      <x:c r="AH207" s="33" t="n">
        <x:v>0.2472014925373134328358208955</x:v>
      </x:c>
      <x:c r="AI207" s="33" t="n">
        <x:v>0.2472014925373134328358208955</x:v>
      </x:c>
      <x:c r="AJ207" s="23" t="n">
        <x:v>0.255597014925373134328358209</x:v>
      </x:c>
      <x:c r="BC207" s="34" t="s"/>
      <x:c r="BD207" s="11" t="s">
        <x:v>185</x:v>
      </x:c>
      <x:c r="BE207" s="12" t="n">
        <x:f>=BO207</x:f>
      </x:c>
      <x:c r="BF207" s="12" t="n">
        <x:v>0.310634328358208955223880597</x:v>
      </x:c>
      <x:c r="BG207" s="12" t="n">
        <x:v>0.4123134328358208955223880597</x:v>
      </x:c>
      <x:c r="BH207" s="12" t="n">
        <x:v>0.2770522388059701492537313433</x:v>
      </x:c>
      <x:c r="BI207" s="12" t="n">
        <x:f>=BN207</x:f>
      </x:c>
      <x:c r="BJ207" s="13" t="n">
        <x:v>0</x:v>
      </x:c>
      <x:c r="BK207" s="31" t="n">
        <x:v>5147.77</x:v>
      </x:c>
      <x:c r="BL207" s="31" t="n">
        <x:v>-7285.6336</x:v>
      </x:c>
      <x:c r="BM207" s="31" t="n">
        <x:f>=BK207+BL207</x:f>
      </x:c>
      <x:c r="BN207" s="68" t="n">
        <x:f>=BM207/BK207</x:f>
      </x:c>
      <x:c r="BO207" s="68" t="n">
        <x:v>0.7229477611940298507462686567</x:v>
      </x:c>
      <x:c r="BP207" s="31" t="n">
        <x:v>7278.88</x:v>
      </x:c>
      <x:c r="BQ207" s="42" t="n">
        <x:v>297</x:v>
      </x:c>
      <x:c r="BR207" s="31" t="n">
        <x:v>2016.63</x:v>
      </x:c>
      <x:c r="BT207" s="31" t="n">
        <x:v>8935.950568227000000000000000</x:v>
      </x:c>
      <x:c r="BU207" s="31" t="n">
        <x:v>-7285.6336</x:v>
      </x:c>
      <x:c r="BV207" s="31" t="n">
        <x:f>=BT207+BU207</x:f>
      </x:c>
      <x:c r="BW207" s="68" t="n">
        <x:f>=BV207/BT207</x:f>
      </x:c>
      <x:c r="BY207" s="68" t="n">
        <x:f>=BO207</x:f>
      </x:c>
      <x:c r="BZ207" s="68" t="n">
        <x:f>=BF207</x:f>
      </x:c>
      <x:c r="CA207" s="68" t="n">
        <x:f>=BG207</x:f>
      </x:c>
      <x:c r="CB207" s="68" t="n">
        <x:f>=1 - BY207</x:f>
      </x:c>
      <x:c r="CD207" s="68" t="n">
        <x:f>=CA207/(1-BZ207)</x:f>
      </x:c>
    </x:row>
    <x:row r="208">
      <x:c r="A208" s="32" t="s">
        <x:v>426</x:v>
      </x:c>
      <x:c r="B208" t="s"/>
      <x:c r="C208" t="s">
        <x:v>427</x:v>
      </x:c>
      <x:c r="D208" t="s">
        <x:v>125</x:v>
      </x:c>
      <x:c r="E208" t="s">
        <x:v>109</x:v>
      </x:c>
      <x:c r="F208" t="n">
        <x:v>945</x:v>
      </x:c>
      <x:c r="G208" s="33" t="n">
        <x:v>0.0010582010582010582010582011</x:v>
      </x:c>
      <x:c r="H208" s="33" t="n">
        <x:v>0.0497354497354497354497354497</x:v>
      </x:c>
      <x:c r="I208" s="33" t="n">
        <x:v>0.1047619047619047619047619048</x:v>
      </x:c>
      <x:c r="J208" s="33" t="n">
        <x:v>0.1121693121693121693121693122</x:v>
      </x:c>
      <x:c r="K208" s="33" t="n">
        <x:v>0.108994708994708994708994709</x:v>
      </x:c>
      <x:c r="L208" s="33" t="n">
        <x:v>0.1153439153439153439153439153</x:v>
      </x:c>
      <x:c r="M208" s="33" t="n">
        <x:v>0.1164021164021164021164021164</x:v>
      </x:c>
      <x:c r="N208" s="33" t="n">
        <x:v>0.1238095238095238095238095238</x:v>
      </x:c>
      <x:c r="O208" s="33" t="n">
        <x:v>0.1238095238095238095238095238</x:v>
      </x:c>
      <x:c r="P208" s="33" t="n">
        <x:v>0.1291005291005291005291005291</x:v>
      </x:c>
      <x:c r="Q208" s="33" t="n">
        <x:v>0.1238095238095238095238095238</x:v>
      </x:c>
      <x:c r="R208" s="33" t="n">
        <x:v>0.128042328042328042328042328</x:v>
      </x:c>
      <x:c r="S208" s="33" t="n">
        <x:v>0.1291005291005291005291005291</x:v>
      </x:c>
      <x:c r="T208" s="33" t="n">
        <x:v>0.126984126984126984126984127</x:v>
      </x:c>
      <x:c r="U208" s="33" t="n">
        <x:v>0.1238095238095238095238095238</x:v>
      </x:c>
      <x:c r="V208" s="33" t="n">
        <x:v>0.126984126984126984126984127</x:v>
      </x:c>
      <x:c r="W208" s="33" t="n">
        <x:v>0.1312169312169312169312169312</x:v>
      </x:c>
      <x:c r="X208" s="33" t="n">
        <x:v>0.1322751322751322751322751323</x:v>
      </x:c>
      <x:c r="Y208" s="33" t="n">
        <x:v>0.1312169312169312169312169312</x:v>
      </x:c>
      <x:c r="Z208" s="33" t="n">
        <x:v>0.1333333333333333333333333333</x:v>
      </x:c>
      <x:c r="AA208" s="33" t="n">
        <x:v>0.1333333333333333333333333333</x:v>
      </x:c>
      <x:c r="AB208" s="33" t="n">
        <x:v>0.1333333333333333333333333333</x:v>
      </x:c>
      <x:c r="AC208" s="33" t="n">
        <x:v>0.1354497354497354497354497354</x:v>
      </x:c>
      <x:c r="AD208" s="33" t="n">
        <x:v>0.1322751322751322751322751323</x:v>
      </x:c>
      <x:c r="AE208" s="33" t="n">
        <x:v>0.1322751322751322751322751323</x:v>
      </x:c>
      <x:c r="AF208" s="33" t="n">
        <x:v>0.1322751322751322751322751323</x:v>
      </x:c>
      <x:c r="AG208" s="33" t="n">
        <x:v>0.1322751322751322751322751323</x:v>
      </x:c>
      <x:c r="AH208" s="33" t="n">
        <x:v>0.1343915343915343915343915344</x:v>
      </x:c>
      <x:c r="AI208" s="23" t="n">
        <x:v>0.1671957671957671957671957672</x:v>
      </x:c>
      <x:c r="BC208" s="34" t="s"/>
      <x:c r="BD208" s="11" t="s">
        <x:v>248</x:v>
      </x:c>
      <x:c r="BE208" s="12" t="n">
        <x:f>=BO208</x:f>
      </x:c>
      <x:c r="BF208" s="12" t="n">
        <x:v>0.1587301587301587301587301587</x:v>
      </x:c>
      <x:c r="BG208" s="12" t="n">
        <x:v>0.4126984126984126984126984127</x:v>
      </x:c>
      <x:c r="BH208" s="12" t="n">
        <x:v>0.4285714285714285714285714286</x:v>
      </x:c>
      <x:c r="BI208" s="12" t="n">
        <x:f>=BN208</x:f>
      </x:c>
      <x:c r="BJ208" s="13" t="n">
        <x:v>0</x:v>
      </x:c>
      <x:c r="BK208" s="31" t="n">
        <x:v>2863.45</x:v>
      </x:c>
      <x:c r="BL208" s="31" t="n">
        <x:v>-7714.9800</x:v>
      </x:c>
      <x:c r="BM208" s="31" t="n">
        <x:f>=BK208+BL208</x:f>
      </x:c>
      <x:c r="BN208" s="68" t="n">
        <x:f>=BM208/BK208</x:f>
      </x:c>
      <x:c r="BO208" s="68" t="n">
        <x:v>0.5714285714285714285714285714</x:v>
      </x:c>
      <x:c r="BP208" s="31" t="n">
        <x:v>7749.00</x:v>
      </x:c>
      <x:c r="BQ208" s="42" t="n">
        <x:v>405</x:v>
      </x:c>
      <x:c r="BR208" s="31" t="n">
        <x:v>3321.00</x:v>
      </x:c>
      <x:c r="BT208" s="31" t="n">
        <x:v>6506.4255464462500000000</x:v>
      </x:c>
      <x:c r="BU208" s="31" t="n">
        <x:v>-7714.9800</x:v>
      </x:c>
      <x:c r="BV208" s="31" t="n">
        <x:f>=BT208+BU208</x:f>
      </x:c>
      <x:c r="BW208" s="68" t="n">
        <x:f>=BV208/BT208</x:f>
      </x:c>
      <x:c r="BY208" s="68" t="n">
        <x:f>=BO208</x:f>
      </x:c>
      <x:c r="BZ208" s="68" t="n">
        <x:f>=BF208</x:f>
      </x:c>
      <x:c r="CA208" s="68" t="n">
        <x:f>=BG208</x:f>
      </x:c>
      <x:c r="CB208" s="68" t="n">
        <x:f>=1 - BY208</x:f>
      </x:c>
      <x:c r="CD208" s="68" t="n">
        <x:f>=CA208/(1-BZ208)</x:f>
      </x:c>
    </x:row>
    <x:row r="209">
      <x:c r="A209" s="32" t="s">
        <x:v>428</x:v>
      </x:c>
      <x:c r="B209" t="s"/>
      <x:c r="C209" t="s">
        <x:v>429</x:v>
      </x:c>
      <x:c r="D209" t="s">
        <x:v>125</x:v>
      </x:c>
      <x:c r="E209" t="s">
        <x:v>109</x:v>
      </x:c>
      <x:c r="F209" t="n">
        <x:v>456</x:v>
      </x:c>
      <x:c r="G209" s="33" t="n">
        <x:v>0.0043859649122807017543859649</x:v>
      </x:c>
      <x:c r="H209" s="33" t="n">
        <x:v>0.0285087719298245614035087719</x:v>
      </x:c>
      <x:c r="I209" s="33" t="n">
        <x:v>0.0592105263157894736842105263</x:v>
      </x:c>
      <x:c r="J209" s="33" t="n">
        <x:v>0.0986842105263157894736842105</x:v>
      </x:c>
      <x:c r="K209" s="33" t="n">
        <x:v>0.1184210526315789473684210526</x:v>
      </x:c>
      <x:c r="L209" s="33" t="n">
        <x:v>0.1557017543859649122807017544</x:v>
      </x:c>
      <x:c r="M209" s="33" t="n">
        <x:v>0.1578947368421052631578947368</x:v>
      </x:c>
      <x:c r="N209" s="33" t="n">
        <x:v>0.1710526315789473684210526316</x:v>
      </x:c>
      <x:c r="O209" s="33" t="n">
        <x:v>0.1973684210526315789473684211</x:v>
      </x:c>
      <x:c r="P209" s="33" t="n">
        <x:v>0.2105263157894736842105263158</x:v>
      </x:c>
      <x:c r="Q209" s="33" t="n">
        <x:v>0.2192982456140350877192982456</x:v>
      </x:c>
      <x:c r="R209" s="33" t="n">
        <x:v>0.225877192982456140350877193</x:v>
      </x:c>
      <x:c r="S209" s="33" t="n">
        <x:v>0.2390350877192982456140350877</x:v>
      </x:c>
      <x:c r="T209" s="33" t="n">
        <x:v>0.2368421052631578947368421053</x:v>
      </x:c>
      <x:c r="U209" s="33" t="n">
        <x:v>0.2434210526315789473684210526</x:v>
      </x:c>
      <x:c r="V209" s="33" t="n">
        <x:v>0.2412280701754385964912280702</x:v>
      </x:c>
      <x:c r="W209" s="33" t="n">
        <x:v>0.2478070175438596491228070175</x:v>
      </x:c>
      <x:c r="X209" s="33" t="n">
        <x:v>0.2456140350877192982456140351</x:v>
      </x:c>
      <x:c r="Y209" s="33" t="n">
        <x:v>0.25</x:v>
      </x:c>
      <x:c r="Z209" s="33" t="n">
        <x:v>0.2675438596491228070175438596</x:v>
      </x:c>
      <x:c r="AA209" s="33" t="n">
        <x:v>0.2763157894736842105263157895</x:v>
      </x:c>
      <x:c r="AB209" s="33" t="n">
        <x:v>0.2763157894736842105263157895</x:v>
      </x:c>
      <x:c r="AC209" s="33" t="n">
        <x:v>0.2763157894736842105263157895</x:v>
      </x:c>
      <x:c r="AD209" s="33" t="n">
        <x:v>0.2850877192982456140350877193</x:v>
      </x:c>
      <x:c r="AE209" s="33" t="n">
        <x:v>0.2872807017543859649122807018</x:v>
      </x:c>
      <x:c r="AF209" s="33" t="n">
        <x:v>0.2894736842105263157894736842</x:v>
      </x:c>
      <x:c r="AG209" s="33" t="n">
        <x:v>0.2872807017543859649122807018</x:v>
      </x:c>
      <x:c r="AH209" s="23" t="n">
        <x:v>0.3574561403508771929824561404</x:v>
      </x:c>
      <x:c r="BC209" s="34" t="s"/>
      <x:c r="BD209" s="11" t="s">
        <x:v>284</x:v>
      </x:c>
      <x:c r="BE209" s="12" t="n">
        <x:f>=BO209</x:f>
      </x:c>
      <x:c r="BF209" s="12" t="n">
        <x:v>0.3092105263157894736842105263</x:v>
      </x:c>
      <x:c r="BG209" s="12" t="n">
        <x:v>0.375</x:v>
      </x:c>
      <x:c r="BH209" s="12" t="n">
        <x:v>0.3157894736842105263157894737</x:v>
      </x:c>
      <x:c r="BI209" s="12" t="n">
        <x:f>=BN209</x:f>
      </x:c>
      <x:c r="BJ209" s="13" t="n">
        <x:v>0</x:v>
      </x:c>
      <x:c r="BK209" s="31" t="n">
        <x:v>1730.27</x:v>
      </x:c>
      <x:c r="BL209" s="31" t="n">
        <x:v>-3474.2640</x:v>
      </x:c>
      <x:c r="BM209" s="31" t="n">
        <x:f>=BK209+BL209</x:f>
      </x:c>
      <x:c r="BN209" s="68" t="n">
        <x:f>=BM209/BK209</x:f>
      </x:c>
      <x:c r="BO209" s="68" t="n">
        <x:v>0.6842105263157894736842105263</x:v>
      </x:c>
      <x:c r="BP209" s="31" t="n">
        <x:v>3511.20</x:v>
      </x:c>
      <x:c r="BQ209" s="42" t="n">
        <x:v>144</x:v>
      </x:c>
      <x:c r="BR209" s="31" t="n">
        <x:v>1108.80</x:v>
      </x:c>
      <x:c r="BT209" s="31" t="n">
        <x:v>3048.6801977615000000000</x:v>
      </x:c>
      <x:c r="BU209" s="31" t="n">
        <x:v>-3474.2640</x:v>
      </x:c>
      <x:c r="BV209" s="31" t="n">
        <x:f>=BT209+BU209</x:f>
      </x:c>
      <x:c r="BW209" s="68" t="n">
        <x:f>=BV209/BT209</x:f>
      </x:c>
      <x:c r="BY209" s="68" t="n">
        <x:f>=BO209</x:f>
      </x:c>
      <x:c r="BZ209" s="68" t="n">
        <x:f>=BF209</x:f>
      </x:c>
      <x:c r="CA209" s="68" t="n">
        <x:f>=BG209</x:f>
      </x:c>
      <x:c r="CB209" s="68" t="n">
        <x:f>=1 - BY209</x:f>
      </x:c>
      <x:c r="CD209" s="68" t="n">
        <x:f>=CA209/(1-BZ209)</x:f>
      </x:c>
    </x:row>
    <x:row r="210">
      <x:c r="A210" s="32" t="s">
        <x:v>430</x:v>
      </x:c>
      <x:c r="B210" t="s"/>
      <x:c r="C210" t="s">
        <x:v>431</x:v>
      </x:c>
      <x:c r="D210" t="s">
        <x:v>125</x:v>
      </x:c>
      <x:c r="E210" t="s">
        <x:v>109</x:v>
      </x:c>
      <x:c r="F210" t="n">
        <x:v>863</x:v>
      </x:c>
      <x:c r="G210" s="33" t="n">
        <x:v>0.0150637311703360370799536501</x:v>
      </x:c>
      <x:c r="H210" s="33" t="n">
        <x:v>0.0903823870220162224797219003</x:v>
      </x:c>
      <x:c r="I210" s="33" t="n">
        <x:v>0.1494785631517960602549246813</x:v>
      </x:c>
      <x:c r="J210" s="33" t="n">
        <x:v>0.1935110081112398609501738123</x:v>
      </x:c>
      <x:c r="K210" s="33" t="n">
        <x:v>0.295480880648899188876013905</x:v>
      </x:c>
      <x:c r="L210" s="33" t="n">
        <x:v>0.2896871378910776361529548088</x:v>
      </x:c>
      <x:c r="M210" s="33" t="n">
        <x:v>0.3012746234067207415990730012</x:v>
      </x:c>
      <x:c r="N210" s="33" t="n">
        <x:v>0.2896871378910776361529548088</x:v>
      </x:c>
      <x:c r="O210" s="33" t="n">
        <x:v>0.3035921205098493626882966396</x:v>
      </x:c>
      <x:c r="P210" s="33" t="n">
        <x:v>0.3406720741599073001158748552</x:v>
      </x:c>
      <x:c r="Q210" s="33" t="n">
        <x:v>0.3209733487833140208574739282</x:v>
      </x:c>
      <x:c r="R210" s="33" t="n">
        <x:v>0.3093858632676709154113557358</x:v>
      </x:c>
      <x:c r="S210" s="33" t="n">
        <x:v>0.3174971031286210892236384705</x:v>
      </x:c>
      <x:c r="T210" s="33" t="n">
        <x:v>0.3198146002317497103128621089</x:v>
      </x:c>
      <x:c r="U210" s="33" t="n">
        <x:v>0.3279258400926998841251448436</x:v>
      </x:c>
      <x:c r="V210" s="33" t="n">
        <x:v>0.330243337195828505214368482</x:v>
      </x:c>
      <x:c r="W210" s="33" t="n">
        <x:v>0.330243337195828505214368482</x:v>
      </x:c>
      <x:c r="X210" s="33" t="n">
        <x:v>0.3360370799536500579374275782</x:v>
      </x:c>
      <x:c r="Y210" s="33" t="n">
        <x:v>0.3371958285052143684820393975</x:v>
      </x:c>
      <x:c r="Z210" s="33" t="n">
        <x:v>0.3429895712630359212050984936</x:v>
      </x:c>
      <x:c r="AA210" s="33" t="n">
        <x:v>0.3441483198146002317497103129</x:v>
      </x:c>
      <x:c r="AB210" s="33" t="n">
        <x:v>0.3418308227114716106604866744</x:v>
      </x:c>
      <x:c r="AC210" s="33" t="n">
        <x:v>0.3418308227114716106604866744</x:v>
      </x:c>
      <x:c r="AD210" s="33" t="n">
        <x:v>0.3441483198146002317497103129</x:v>
      </x:c>
      <x:c r="AE210" s="33" t="n">
        <x:v>0.3441483198146002317497103129</x:v>
      </x:c>
      <x:c r="AF210" s="33" t="n">
        <x:v>0.3383545770567786790266512167</x:v>
      </x:c>
      <x:c r="AG210" s="23" t="n">
        <x:v>0.3731170336037079953650057937</x:v>
      </x:c>
      <x:c r="BC210" s="34" t="s"/>
      <x:c r="BD210" s="11" t="s">
        <x:v>227</x:v>
      </x:c>
      <x:c r="BE210" s="12" t="n">
        <x:f>=BO210</x:f>
      </x:c>
      <x:c r="BF210" s="12" t="n">
        <x:v>0.3650057937427578215527230591</x:v>
      </x:c>
      <x:c r="BG210" s="12" t="n">
        <x:v>0.369640787949015063731170336</x:v>
      </x:c>
      <x:c r="BH210" s="12" t="n">
        <x:v>0.2653534183082271147161066049</x:v>
      </x:c>
      <x:c r="BI210" s="12" t="n">
        <x:f>=BN210</x:f>
      </x:c>
      <x:c r="BJ210" s="13" t="n">
        <x:v>0</x:v>
      </x:c>
      <x:c r="BK210" s="31" t="n">
        <x:v>6719.88</x:v>
      </x:c>
      <x:c r="BL210" s="31" t="n">
        <x:v>-8553.1067</x:v>
      </x:c>
      <x:c r="BM210" s="31" t="n">
        <x:f>=BK210+BL210</x:f>
      </x:c>
      <x:c r="BN210" s="68" t="n">
        <x:f>=BM210/BK210</x:f>
      </x:c>
      <x:c r="BO210" s="68" t="n">
        <x:v>0.7346465816917728852838933951</x:v>
      </x:c>
      <x:c r="BP210" s="31" t="n">
        <x:v>8604.11</x:v>
      </x:c>
      <x:c r="BQ210" s="42" t="n">
        <x:v>229</x:v>
      </x:c>
      <x:c r="BR210" s="31" t="n">
        <x:v>2283.13</x:v>
      </x:c>
      <x:c r="BT210" s="31" t="n">
        <x:v>10601.223082201375000000000000</x:v>
      </x:c>
      <x:c r="BU210" s="31" t="n">
        <x:v>-8553.1067</x:v>
      </x:c>
      <x:c r="BV210" s="31" t="n">
        <x:f>=BT210+BU210</x:f>
      </x:c>
      <x:c r="BW210" s="68" t="n">
        <x:f>=BV210/BT210</x:f>
      </x:c>
      <x:c r="BY210" s="68" t="n">
        <x:f>=BO210</x:f>
      </x:c>
      <x:c r="BZ210" s="68" t="n">
        <x:f>=BF210</x:f>
      </x:c>
      <x:c r="CA210" s="68" t="n">
        <x:f>=BG210</x:f>
      </x:c>
      <x:c r="CB210" s="68" t="n">
        <x:f>=1 - BY210</x:f>
      </x:c>
      <x:c r="CD210" s="68" t="n">
        <x:f>=CA210/(1-BZ210)</x:f>
      </x:c>
    </x:row>
    <x:row r="211">
      <x:c r="A211" s="32" t="s">
        <x:v>432</x:v>
      </x:c>
      <x:c r="B211" t="s"/>
      <x:c r="C211" t="s">
        <x:v>433</x:v>
      </x:c>
      <x:c r="D211" t="s">
        <x:v>434</x:v>
      </x:c>
      <x:c r="E211" t="s">
        <x:v>109</x:v>
      </x:c>
      <x:c r="F211" t="n">
        <x:v>615</x:v>
      </x:c>
      <x:c r="G211" s="33" t="n">
        <x:v>0.0276422764227642276422764228</x:v>
      </x:c>
      <x:c r="H211" s="33" t="n">
        <x:v>0.0260162601626016260162601626</x:v>
      </x:c>
      <x:c r="I211" s="33" t="n">
        <x:v>0.0260162601626016260162601626</x:v>
      </x:c>
      <x:c r="J211" s="33" t="n">
        <x:v>0.0292682926829268292682926829</x:v>
      </x:c>
      <x:c r="K211" s="33" t="n">
        <x:v>0.0276422764227642276422764228</x:v>
      </x:c>
      <x:c r="L211" s="23" t="n">
        <x:v>0.0341463414634146341463414634</x:v>
      </x:c>
      <x:c r="BC211" s="34" t="s"/>
      <x:c r="BD211" s="11" t="s">
        <x:v>213</x:v>
      </x:c>
      <x:c r="BE211" s="12" t="n">
        <x:f>=BO211</x:f>
      </x:c>
      <x:c r="BF211" s="12" t="n">
        <x:v>0.0325203252032520325203252033</x:v>
      </x:c>
      <x:c r="BG211" s="12" t="n">
        <x:v>0.4943089430894308943089430894</x:v>
      </x:c>
      <x:c r="BH211" s="12" t="n">
        <x:v>0.4731707317073170731707317073</x:v>
      </x:c>
      <x:c r="BI211" s="12" t="n">
        <x:f>=BN211</x:f>
      </x:c>
      <x:c r="BJ211" s="13" t="n">
        <x:v>0</x:v>
      </x:c>
      <x:c r="BK211" s="31" t="n">
        <x:v>3616.18</x:v>
      </x:c>
      <x:c r="BL211" s="31" t="n">
        <x:v>-11556.4650</x:v>
      </x:c>
      <x:c r="BM211" s="31" t="n">
        <x:f>=BK211+BL211</x:f>
      </x:c>
      <x:c r="BN211" s="68" t="n">
        <x:f>=BM211/BK211</x:f>
      </x:c>
      <x:c r="BO211" s="68" t="n">
        <x:v>0.5268292682926829268292682927</x:v>
      </x:c>
      <x:c r="BP211" s="31" t="n">
        <x:v>10393.50</x:v>
      </x:c>
      <x:c r="BQ211" s="42" t="n">
        <x:v>291</x:v>
      </x:c>
      <x:c r="BR211" s="31" t="n">
        <x:v>4917.90</x:v>
      </x:c>
      <x:c r="BT211" s="31" t="n">
        <x:v>9049.32143997109375000000</x:v>
      </x:c>
      <x:c r="BU211" s="31" t="n">
        <x:v>-11556.4650</x:v>
      </x:c>
      <x:c r="BV211" s="31" t="n">
        <x:f>=BT211+BU211</x:f>
      </x:c>
      <x:c r="BW211" s="68" t="n">
        <x:f>=BV211/BT211</x:f>
      </x:c>
      <x:c r="BY211" s="68" t="n">
        <x:f>=BO211</x:f>
      </x:c>
      <x:c r="BZ211" s="68" t="n">
        <x:f>=BF211</x:f>
      </x:c>
      <x:c r="CA211" s="68" t="n">
        <x:f>=BG211</x:f>
      </x:c>
      <x:c r="CB211" s="68" t="n">
        <x:f>=1 - BY211</x:f>
      </x:c>
      <x:c r="CD211" s="68" t="n">
        <x:f>=CA211/(1-BZ211)</x:f>
      </x:c>
    </x:row>
    <x:row r="212">
      <x:c r="A212" s="32" t="s">
        <x:v>435</x:v>
      </x:c>
      <x:c r="B212" t="s"/>
      <x:c r="C212" t="s">
        <x:v>436</x:v>
      </x:c>
      <x:c r="D212" t="s">
        <x:v>125</x:v>
      </x:c>
      <x:c r="E212" t="s">
        <x:v>109</x:v>
      </x:c>
      <x:c r="F212" t="n">
        <x:v>2529</x:v>
      </x:c>
      <x:c r="G212" s="33" t="n">
        <x:v>0</x:v>
      </x:c>
      <x:c r="H212" s="33" t="n">
        <x:v>0</x:v>
      </x:c>
      <x:c r="I212" s="33" t="n">
        <x:v>0</x:v>
      </x:c>
      <x:c r="J212" s="33" t="n">
        <x:v>0</x:v>
      </x:c>
      <x:c r="K212" s="33" t="n">
        <x:v>0.0007908264136022143139580862</x:v>
      </x:c>
      <x:c r="L212" s="33" t="n">
        <x:v>0.0106761565836298932384341637</x:v>
      </x:c>
      <x:c r="BC212" s="34" t="s"/>
      <x:c r="BD212" s="11" t="s">
        <x:v>213</x:v>
      </x:c>
      <x:c r="BE212" s="12" t="n">
        <x:f>=BO212</x:f>
      </x:c>
      <x:c r="BF212" s="12" t="n">
        <x:v>0.0858046658758402530644523527</x:v>
      </x:c>
      <x:c r="BG212" s="12" t="n">
        <x:v>0.2348754448398576512455516014</x:v>
      </x:c>
      <x:c r="BH212" s="12" t="n">
        <x:v>0.6793198892843020956899960459</x:v>
      </x:c>
      <x:c r="BI212" s="12" t="n">
        <x:f>=BN212</x:f>
      </x:c>
      <x:c r="BJ212" s="13" t="n">
        <x:v>0</x:v>
      </x:c>
      <x:c r="BK212" s="31" t="n">
        <x:v>5111.28</x:v>
      </x:c>
      <x:c r="BL212" s="31" t="n">
        <x:v>-17616.2553</x:v>
      </x:c>
      <x:c r="BM212" s="31" t="n">
        <x:f>=BK212+BL212</x:f>
      </x:c>
      <x:c r="BN212" s="68" t="n">
        <x:f>=BM212/BK212</x:f>
      </x:c>
      <x:c r="BO212" s="68" t="n">
        <x:v>0.3206801107156979043100039541</x:v>
      </x:c>
      <x:c r="BP212" s="31" t="n">
        <x:v>15401.61</x:v>
      </x:c>
      <x:c r="BQ212" s="42" t="n">
        <x:v>1718</x:v>
      </x:c>
      <x:c r="BR212" s="31" t="n">
        <x:v>10462.62</x:v>
      </x:c>
      <x:c r="BT212" s="31" t="n">
        <x:v>15673.0178342604375000000</x:v>
      </x:c>
      <x:c r="BU212" s="31" t="n">
        <x:v>-17616.2553</x:v>
      </x:c>
      <x:c r="BV212" s="31" t="n">
        <x:f>=BT212+BU212</x:f>
      </x:c>
      <x:c r="BW212" s="68" t="n">
        <x:f>=BV212/BT212</x:f>
      </x:c>
      <x:c r="BY212" s="68" t="n">
        <x:f>=BO212</x:f>
      </x:c>
      <x:c r="BZ212" s="68" t="n">
        <x:f>=BF212</x:f>
      </x:c>
      <x:c r="CA212" s="68" t="n">
        <x:f>=BG212</x:f>
      </x:c>
      <x:c r="CB212" s="68" t="n">
        <x:f>=1 - BY212</x:f>
      </x:c>
      <x:c r="CD212" s="68" t="n">
        <x:f>=CA212/(1-BZ212)</x:f>
      </x:c>
    </x:row>
    <x:row r="213">
      <x:c r="A213" s="35" t="s"/>
      <x:c r="B213" s="6" t="s"/>
      <x:c r="C213" s="6" t="s"/>
      <x:c r="D213" s="6" t="s"/>
      <x:c r="E213" s="6" t="s"/>
      <x:c r="F213" s="6" t="s"/>
      <x:c r="G213" s="6" t="s"/>
      <x:c r="H213" s="6" t="s"/>
      <x:c r="I213" s="6" t="s"/>
      <x:c r="J213" s="6" t="s"/>
      <x:c r="K213" s="6" t="s"/>
      <x:c r="L213" s="6" t="s"/>
      <x:c r="M213" s="6" t="s"/>
      <x:c r="N213" s="6" t="s"/>
      <x:c r="O213" s="6" t="s"/>
      <x:c r="P213" s="6" t="s"/>
      <x:c r="Q213" s="6" t="s"/>
      <x:c r="R213" s="6" t="s"/>
      <x:c r="S213" s="6" t="s"/>
      <x:c r="T213" s="6" t="s"/>
      <x:c r="U213" s="6" t="s"/>
      <x:c r="V213" s="6" t="s"/>
      <x:c r="W213" s="6" t="s"/>
      <x:c r="X213" s="6" t="s"/>
      <x:c r="Y213" s="6" t="s"/>
      <x:c r="Z213" s="6" t="s"/>
      <x:c r="AA213" s="6" t="s"/>
      <x:c r="AB213" s="6" t="s"/>
      <x:c r="AC213" s="6" t="s"/>
      <x:c r="AD213" s="6" t="s"/>
      <x:c r="AE213" s="6" t="s"/>
      <x:c r="AF213" s="6" t="s"/>
      <x:c r="AG213" s="6" t="s"/>
      <x:c r="AH213" s="6" t="s"/>
      <x:c r="AI213" s="6" t="s"/>
      <x:c r="AJ213" s="6" t="s"/>
      <x:c r="AK213" s="6" t="s"/>
      <x:c r="AL213" s="6" t="s"/>
      <x:c r="AM213" s="6" t="s"/>
      <x:c r="AN213" s="6" t="s"/>
      <x:c r="AO213" s="6" t="s"/>
      <x:c r="AP213" s="6" t="s"/>
      <x:c r="AQ213" s="6" t="s"/>
      <x:c r="AR213" s="6" t="s"/>
      <x:c r="AS213" s="6" t="s"/>
      <x:c r="AT213" s="6" t="s"/>
      <x:c r="AU213" s="6" t="s"/>
      <x:c r="AV213" s="6" t="s"/>
      <x:c r="AW213" s="6" t="s"/>
      <x:c r="AX213" s="6" t="s"/>
      <x:c r="AY213" s="6" t="s"/>
      <x:c r="AZ213" s="6" t="s"/>
      <x:c r="BA213" s="6" t="s"/>
      <x:c r="BB213" s="6" t="s"/>
      <x:c r="BC213" s="8" t="s"/>
      <x:c r="BD213" s="14" t="s">
        <x:v>127</x:v>
      </x:c>
      <x:c r="BE213" s="15" t="s"/>
      <x:c r="BF213" s="15" t="s"/>
      <x:c r="BG213" s="15" t="s"/>
      <x:c r="BH213" s="15" t="s"/>
      <x:c r="BI213" s="38">
        <x:f>=BM214/BK214</x:f>
      </x:c>
      <x:c r="BJ213" s="16">
        <x:f>=BR214/BP214</x:f>
      </x:c>
      <x:c r="BK213" s="21" t="n">
        <x:v>239699.95</x:v>
      </x:c>
      <x:c r="BL213" s="21" t="n">
        <x:v>-320955.93825714381787268490</x:v>
      </x:c>
      <x:c r="BM213" s="21" t="n">
        <x:f>=BK213+BL213</x:f>
      </x:c>
      <x:c r="BN213" s="22" t="n">
        <x:v>-0.3389904263940973616084813535</x:v>
      </x:c>
      <x:c r="BP213" s="21" t="n">
        <x:v>-305767.303460973008116170</x:v>
      </x:c>
      <x:c r="BQ213" s="21" t="n">
        <x:v>8923</x:v>
      </x:c>
      <x:c r="BR213" s="21" t="n">
        <x:v>80361.74630444647142707386852</x:v>
      </x:c>
      <x:c r="BT213" s="21" t="n">
        <x:v>392004.11597062146875000000000</x:v>
      </x:c>
      <x:c r="BU213" s="21" t="n">
        <x:v>-320955.93825714381787268490</x:v>
      </x:c>
      <x:c r="BV213" s="21" t="n">
        <x:f>=BT213+BU213</x:f>
      </x:c>
      <x:c r="BW213" s="22" t="n">
        <x:v>0.1812434482672684926249417385</x:v>
      </x:c>
    </x:row>
    <x:row r="214">
      <x:c r="BK214" s="19" t="n">
        <x:v>699931.94</x:v>
      </x:c>
      <x:c r="BL214" s="19" t="n">
        <x:v>-694007.36604865281787268490</x:v>
      </x:c>
      <x:c r="BM214" s="19" t="n">
        <x:f>=BK214+BL214</x:f>
      </x:c>
      <x:c r="BN214" s="20" t="n">
        <x:v>0.0084645000646022556526211677</x:v>
      </x:c>
      <x:c r="BP214" s="19" t="n">
        <x:v>-653153.582400673008116170</x:v>
      </x:c>
      <x:c r="BQ214" s="19" t="n">
        <x:v>15127</x:v>
      </x:c>
      <x:c r="BR214" s="19" t="n">
        <x:v>291015.11710921565178561172247</x:v>
      </x:c>
      <x:c r="BT214" s="19" t="n">
        <x:v>1032935.3998630114868750000000</x:v>
      </x:c>
      <x:c r="BU214" s="19" t="n">
        <x:v>-694007.36604865281787268490</x:v>
      </x:c>
      <x:c r="BV214" s="19" t="n">
        <x:f>=BT214+BU214</x:f>
      </x:c>
      <x:c r="BW214" s="20" t="n">
        <x:v>0.3281212299039296246518424152</x:v>
      </x:c>
    </x:row>
    <x:row r="215">
      <x:c r="A215" s="10" t="s">
        <x:v>437</x:v>
      </x:c>
      <x:c r="B215" s="5" t="s"/>
      <x:c r="C215" s="5" t="s"/>
      <x:c r="D215" s="5" t="s"/>
      <x:c r="E215" s="5" t="s"/>
      <x:c r="F215" s="5" t="s"/>
      <x:c r="G215" s="5" t="s"/>
      <x:c r="H215" s="5" t="s"/>
      <x:c r="I215" s="5" t="s"/>
      <x:c r="J215" s="5" t="s"/>
      <x:c r="K215" s="5" t="s"/>
      <x:c r="L215" s="5" t="s"/>
      <x:c r="M215" s="5" t="s"/>
      <x:c r="N215" s="5" t="s"/>
      <x:c r="O215" s="5" t="s"/>
      <x:c r="P215" s="5" t="s"/>
      <x:c r="Q215" s="5" t="s"/>
      <x:c r="R215" s="5" t="s"/>
      <x:c r="S215" s="5" t="s"/>
      <x:c r="T215" s="5" t="s"/>
      <x:c r="U215" s="5" t="s"/>
      <x:c r="V215" s="5" t="s"/>
      <x:c r="W215" s="5" t="s"/>
      <x:c r="X215" s="5" t="s"/>
      <x:c r="Y215" s="5" t="s"/>
      <x:c r="Z215" s="5" t="s"/>
      <x:c r="AA215" s="5" t="s"/>
      <x:c r="AB215" s="5" t="s"/>
      <x:c r="AC215" s="5" t="s"/>
      <x:c r="AD215" s="5" t="s"/>
      <x:c r="AE215" s="5" t="s"/>
      <x:c r="AF215" s="5" t="s"/>
      <x:c r="AG215" s="5" t="s"/>
      <x:c r="AH215" s="5" t="s"/>
      <x:c r="AI215" s="5" t="s"/>
      <x:c r="AJ215" s="5" t="s"/>
      <x:c r="AK215" s="5" t="s"/>
      <x:c r="AL215" s="5" t="s"/>
      <x:c r="AM215" s="5" t="s"/>
      <x:c r="AN215" s="5" t="s"/>
      <x:c r="AO215" s="5" t="s"/>
      <x:c r="AP215" s="5" t="s"/>
      <x:c r="AQ215" s="5" t="s"/>
      <x:c r="AR215" s="5" t="s"/>
      <x:c r="AS215" s="5" t="s"/>
      <x:c r="AT215" s="5" t="s"/>
      <x:c r="AU215" s="5" t="s"/>
      <x:c r="AV215" s="5" t="s"/>
      <x:c r="AW215" s="5" t="s"/>
      <x:c r="AX215" s="5" t="s"/>
      <x:c r="AY215" s="5" t="s"/>
      <x:c r="AZ215" s="5" t="s"/>
      <x:c r="BA215" s="5" t="s"/>
      <x:c r="BB215" s="5" t="s"/>
      <x:c r="BC215" s="7" t="s"/>
      <x:c r="BD215" s="10" t="s"/>
      <x:c r="BE215" s="5" t="s"/>
      <x:c r="BF215" s="5" t="s"/>
      <x:c r="BG215" s="5" t="s"/>
      <x:c r="BH215" s="5" t="s"/>
      <x:c r="BI215" s="5" t="s"/>
      <x:c r="BJ215" s="7" t="s"/>
      <x:c r="BK215" s="49" t="s">
        <x:v>11</x:v>
      </x:c>
      <x:c r="BL215" s="50"/>
      <x:c r="BM215" s="51"/>
      <x:c r="BN215" s="52"/>
      <x:c r="BO215" s="52"/>
      <x:c r="BP215" s="53"/>
      <x:c r="BQ215" s="54"/>
      <x:c r="BR215" s="53"/>
      <x:c r="BT215" s="59" t="s">
        <x:v>27</x:v>
      </x:c>
      <x:c r="BU215" s="60"/>
      <x:c r="BV215" s="60"/>
      <x:c r="BW215" s="60"/>
      <x:c r="BX215" s="60"/>
      <x:c r="BY215" s="61"/>
      <x:c r="BZ215" s="61"/>
      <x:c r="CA215" s="61"/>
      <x:c r="CB215" s="61"/>
      <x:c r="CC215" s="60"/>
      <x:c r="CD215" s="62"/>
    </x:row>
    <x:row r="216" ht="45.75" customHeight="1">
      <x:c r="A216" s="41" t="s">
        <x:v>30</x:v>
      </x:c>
      <x:c r="B216" s="41" t="s">
        <x:v>31</x:v>
      </x:c>
      <x:c r="C216" s="41" t="s">
        <x:v>32</x:v>
      </x:c>
      <x:c r="D216" s="41" t="s">
        <x:v>33</x:v>
      </x:c>
      <x:c r="E216" s="41" t="s">
        <x:v>34</x:v>
      </x:c>
      <x:c r="F216" s="41" t="s">
        <x:v>83</x:v>
      </x:c>
      <x:c r="G216" s="41" t="s">
        <x:v>35</x:v>
      </x:c>
      <x:c r="H216" s="41" t="s">
        <x:v>36</x:v>
      </x:c>
      <x:c r="I216" s="41" t="s">
        <x:v>37</x:v>
      </x:c>
      <x:c r="J216" s="41" t="s">
        <x:v>38</x:v>
      </x:c>
      <x:c r="K216" s="41" t="s">
        <x:v>39</x:v>
      </x:c>
      <x:c r="L216" s="41" t="s">
        <x:v>40</x:v>
      </x:c>
      <x:c r="M216" s="41" t="s">
        <x:v>41</x:v>
      </x:c>
      <x:c r="N216" s="41" t="s">
        <x:v>42</x:v>
      </x:c>
      <x:c r="O216" s="41" t="s">
        <x:v>43</x:v>
      </x:c>
      <x:c r="P216" s="41" t="s">
        <x:v>44</x:v>
      </x:c>
      <x:c r="Q216" s="41" t="s">
        <x:v>45</x:v>
      </x:c>
      <x:c r="R216" s="41" t="s">
        <x:v>46</x:v>
      </x:c>
      <x:c r="S216" s="41" t="s">
        <x:v>47</x:v>
      </x:c>
      <x:c r="T216" s="41" t="s">
        <x:v>48</x:v>
      </x:c>
      <x:c r="U216" s="41" t="s">
        <x:v>49</x:v>
      </x:c>
      <x:c r="V216" s="41" t="s">
        <x:v>50</x:v>
      </x:c>
      <x:c r="W216" s="41" t="s">
        <x:v>51</x:v>
      </x:c>
      <x:c r="X216" s="41" t="s">
        <x:v>52</x:v>
      </x:c>
      <x:c r="Y216" s="41" t="s">
        <x:v>53</x:v>
      </x:c>
      <x:c r="Z216" s="41" t="s">
        <x:v>54</x:v>
      </x:c>
      <x:c r="AA216" s="41" t="s">
        <x:v>55</x:v>
      </x:c>
      <x:c r="AB216" s="41" t="s">
        <x:v>56</x:v>
      </x:c>
      <x:c r="AC216" s="41" t="s">
        <x:v>57</x:v>
      </x:c>
      <x:c r="AD216" s="41" t="s">
        <x:v>58</x:v>
      </x:c>
      <x:c r="AE216" s="41" t="s">
        <x:v>59</x:v>
      </x:c>
      <x:c r="AF216" s="41" t="s">
        <x:v>60</x:v>
      </x:c>
      <x:c r="AG216" s="41" t="s">
        <x:v>61</x:v>
      </x:c>
      <x:c r="AH216" s="41" t="s">
        <x:v>62</x:v>
      </x:c>
      <x:c r="AI216" s="41" t="s">
        <x:v>63</x:v>
      </x:c>
      <x:c r="AJ216" s="41" t="s">
        <x:v>64</x:v>
      </x:c>
      <x:c r="AK216" s="41" t="s">
        <x:v>65</x:v>
      </x:c>
      <x:c r="AL216" s="41" t="s">
        <x:v>66</x:v>
      </x:c>
      <x:c r="AM216" s="41" t="s">
        <x:v>67</x:v>
      </x:c>
      <x:c r="AN216" s="41" t="s">
        <x:v>68</x:v>
      </x:c>
      <x:c r="AO216" s="41" t="s">
        <x:v>69</x:v>
      </x:c>
      <x:c r="AP216" s="41" t="s">
        <x:v>70</x:v>
      </x:c>
      <x:c r="AQ216" s="41" t="s">
        <x:v>71</x:v>
      </x:c>
      <x:c r="AR216" s="41" t="s">
        <x:v>72</x:v>
      </x:c>
      <x:c r="AS216" s="41" t="s">
        <x:v>73</x:v>
      </x:c>
      <x:c r="AT216" s="41" t="s">
        <x:v>74</x:v>
      </x:c>
      <x:c r="AU216" s="41" t="s">
        <x:v>75</x:v>
      </x:c>
      <x:c r="AV216" s="41" t="s">
        <x:v>76</x:v>
      </x:c>
      <x:c r="AW216" s="41" t="s">
        <x:v>77</x:v>
      </x:c>
      <x:c r="AX216" s="41" t="s">
        <x:v>78</x:v>
      </x:c>
      <x:c r="AY216" s="41" t="s">
        <x:v>79</x:v>
      </x:c>
      <x:c r="AZ216" s="41" t="s">
        <x:v>80</x:v>
      </x:c>
      <x:c r="BA216" s="41" t="s">
        <x:v>81</x:v>
      </x:c>
      <x:c r="BB216" s="41" t="s">
        <x:v>82</x:v>
      </x:c>
      <x:c r="BD216" s="32" t="s">
        <x:v>84</x:v>
      </x:c>
      <x:c r="BE216" s="33" t="s">
        <x:v>85</x:v>
      </x:c>
      <x:c r="BF216" s="33" t="s">
        <x:v>86</x:v>
      </x:c>
      <x:c r="BG216" s="33" t="s">
        <x:v>87</x:v>
      </x:c>
      <x:c r="BH216" s="33" t="s">
        <x:v>88</x:v>
      </x:c>
      <x:c r="BI216" s="33" t="s">
        <x:v>89</x:v>
      </x:c>
      <x:c r="BJ216" s="34" t="s">
        <x:v>90</x:v>
      </x:c>
      <x:c r="BK216" s="55" t="s">
        <x:v>12</x:v>
      </x:c>
      <x:c r="BL216" s="56" t="s">
        <x:v>13</x:v>
      </x:c>
      <x:c r="BM216" s="56" t="s">
        <x:v>14</x:v>
      </x:c>
      <x:c r="BN216" s="57" t="s">
        <x:v>15</x:v>
      </x:c>
      <x:c r="BO216" s="57" t="s">
        <x:v>28</x:v>
      </x:c>
      <x:c r="BP216" s="58" t="s">
        <x:v>16</x:v>
      </x:c>
      <x:c r="BQ216" s="55" t="s">
        <x:v>17</x:v>
      </x:c>
      <x:c r="BR216" s="58" t="s">
        <x:v>18</x:v>
      </x:c>
      <x:c r="BT216" s="63" t="s">
        <x:v>19</x:v>
      </x:c>
      <x:c r="BU216" s="64" t="s">
        <x:v>20</x:v>
      </x:c>
      <x:c r="BV216" s="64" t="s">
        <x:v>21</x:v>
      </x:c>
      <x:c r="BW216" s="64" t="s">
        <x:v>15</x:v>
      </x:c>
      <x:c r="BX216" s="64"/>
      <x:c r="BY216" s="65" t="s">
        <x:v>22</x:v>
      </x:c>
      <x:c r="BZ216" s="65" t="s">
        <x:v>23</x:v>
      </x:c>
      <x:c r="CA216" s="65" t="s">
        <x:v>26</x:v>
      </x:c>
      <x:c r="CB216" s="65" t="s">
        <x:v>24</x:v>
      </x:c>
      <x:c r="CC216" s="64"/>
      <x:c r="CD216" s="66" t="s">
        <x:v>25</x:v>
      </x:c>
    </x:row>
    <x:row r="217">
      <x:c r="BD217" s="32" t="s"/>
      <x:c r="BJ217" s="34" t="s"/>
    </x:row>
    <x:row r="218">
      <x:c r="A218" s="36" t="s">
        <x:v>129</x:v>
      </x:c>
      <x:c r="BC218" s="34" t="s"/>
      <x:c r="BD218" s="11" t="s"/>
      <x:c r="BJ218" s="13" t="s"/>
    </x:row>
    <x:row r="219">
      <x:c r="A219" s="17" t="s">
        <x:v>105</x:v>
      </x:c>
      <x:c r="BC219" s="34" t="s"/>
      <x:c r="BD219" s="11" t="s"/>
      <x:c r="BJ219" s="13" t="s"/>
    </x:row>
    <x:row r="220">
      <x:c r="A220" s="32" t="s">
        <x:v>438</x:v>
      </x:c>
      <x:c r="B220" t="s"/>
      <x:c r="C220" t="s">
        <x:v>439</x:v>
      </x:c>
      <x:c r="D220" t="s">
        <x:v>96</x:v>
      </x:c>
      <x:c r="E220" t="s">
        <x:v>132</x:v>
      </x:c>
      <x:c r="F220" t="n">
        <x:v>4824</x:v>
      </x:c>
      <x:c r="G220" s="33" t="n">
        <x:v>0.0091210613598673300165837479</x:v>
      </x:c>
      <x:c r="H220" s="33" t="n">
        <x:v>0.0766998341625207296849087894</x:v>
      </x:c>
      <x:c r="I220" s="33" t="n">
        <x:v>0.125621890547263681592039801</x:v>
      </x:c>
      <x:c r="J220" s="33" t="n">
        <x:v>0.1643864013266998341625207297</x:v>
      </x:c>
      <x:c r="K220" s="33" t="n">
        <x:v>0.2060530679933665008291873964</x:v>
      </x:c>
      <x:c r="L220" s="33" t="n">
        <x:v>0.246890547263681592039800995</x:v>
      </x:c>
      <x:c r="M220" s="33" t="n">
        <x:v>0.2887645107794361525704809287</x:v>
      </x:c>
      <x:c r="N220" s="33" t="n">
        <x:v>0.3206882255389718076285240464</x:v>
      </x:c>
      <x:c r="O220" s="33" t="n">
        <x:v>0.3503316749585406301824212272</x:v>
      </x:c>
      <x:c r="P220" s="33" t="n">
        <x:v>0.377694859038142620232172471</x:v>
      </x:c>
      <x:c r="Q220" s="33" t="n">
        <x:v>0.4056799336650082918739635158</x:v>
      </x:c>
      <x:c r="R220" s="33" t="n">
        <x:v>0.4257877280265339966832504146</x:v>
      </x:c>
      <x:c r="S220" s="33" t="n">
        <x:v>0.4440298507462686567164179104</x:v>
      </x:c>
      <x:c r="T220" s="33" t="n">
        <x:v>0.4736733001658374792703150912</x:v>
      </x:c>
      <x:c r="U220" s="33" t="n">
        <x:v>0.4935737976782752902155887231</x:v>
      </x:c>
      <x:c r="V220" s="33" t="n">
        <x:v>0.5155472636815920398009950249</x:v>
      </x:c>
      <x:c r="W220" s="33" t="n">
        <x:v>0.5398009950248756218905472637</x:v>
      </x:c>
      <x:c r="X220" s="33" t="n">
        <x:v>0.5570066334991708126036484245</x:v>
      </x:c>
      <x:c r="Y220" s="33" t="n">
        <x:v>0.5762852404643449419568822554</x:v>
      </x:c>
      <x:c r="Z220" s="33" t="n">
        <x:v>0.5957711442786069651741293532</x:v>
      </x:c>
      <x:c r="AA220" s="33" t="n">
        <x:v>0.620646766169154228855721393</x:v>
      </x:c>
      <x:c r="AB220" s="33" t="n">
        <x:v>0.6380597014925373134328358209</x:v>
      </x:c>
      <x:c r="AC220" s="33" t="n">
        <x:v>0.6519485903814262023217247098</x:v>
      </x:c>
      <x:c r="AD220" s="33" t="n">
        <x:v>0.6567164179104477611940298507</x:v>
      </x:c>
      <x:c r="AE220" s="33" t="n">
        <x:v>0.6616915422885572139303482587</x:v>
      </x:c>
      <x:c r="AF220" s="33" t="n">
        <x:v>0.6658374792703150912106135987</x:v>
      </x:c>
      <x:c r="AG220" s="33" t="n">
        <x:v>0.6932006633499170812603648425</x:v>
      </x:c>
      <x:c r="AH220" s="24" t="n">
        <x:v>0.7164179104477611940298507463</x:v>
      </x:c>
      <x:c r="AI220" s="33" t="n">
        <x:v>0.7435737976782752902155887231</x:v>
      </x:c>
      <x:c r="AJ220" s="33" t="n">
        <x:v>0.7761194029850746268656716418</x:v>
      </x:c>
      <x:c r="AK220" s="33" t="n">
        <x:v>0.8076285240464344941956882255</x:v>
      </x:c>
      <x:c r="AL220" s="33" t="n">
        <x:v>0.8314676616915422885572139303</x:v>
      </x:c>
      <x:c r="AM220" s="33" t="n">
        <x:v>0.8466003316749585406301824212</x:v>
      </x:c>
      <x:c r="AN220" s="33" t="n">
        <x:v>0.8604892205638474295190713101</x:v>
      </x:c>
      <x:c r="AO220" s="23" t="n">
        <x:v>0.870439469320066334991708126</x:v>
      </x:c>
      <x:c r="BC220" s="34" t="s"/>
      <x:c r="BD220" s="11" t="s">
        <x:v>363</x:v>
      </x:c>
      <x:c r="BE220" s="12" t="n">
        <x:f>=BO220</x:f>
      </x:c>
      <x:c r="BF220" s="12" t="n">
        <x:v>0.8640132669983416252072968491</x:v>
      </x:c>
      <x:c r="BG220" s="12" t="n">
        <x:v>0.1040630182421227197346600332</x:v>
      </x:c>
      <x:c r="BH220" s="12" t="n">
        <x:v>0.0319237147595356550580431177</x:v>
      </x:c>
      <x:c r="BI220" s="12" t="n">
        <x:f>=BN220</x:f>
      </x:c>
      <x:c r="BJ220" s="13" t="n">
        <x:v>0</x:v>
      </x:c>
      <x:c r="BK220" s="31" t="n">
        <x:v>19260.85</x:v>
      </x:c>
      <x:c r="BL220" s="31" t="n">
        <x:v>-13032.5270</x:v>
      </x:c>
      <x:c r="BM220" s="31" t="n">
        <x:f>=BK220+BL220</x:f>
      </x:c>
      <x:c r="BN220" s="68" t="n">
        <x:f>=BM220/BK220</x:f>
      </x:c>
      <x:c r="BO220" s="68" t="n">
        <x:v>0.9680762852404643449419568823</x:v>
      </x:c>
      <x:c r="BP220" s="31" t="n">
        <x:v>12043.10</x:v>
      </x:c>
      <x:c r="BQ220" s="42" t="n">
        <x:v>154</x:v>
      </x:c>
      <x:c r="BR220" s="31" t="n">
        <x:v>384.46048922056384742951907131</x:v>
      </x:c>
      <x:c r="BT220" s="31" t="n">
        <x:v>25732.43993073834400000000</x:v>
      </x:c>
      <x:c r="BU220" s="31" t="n">
        <x:v>-13032.5270</x:v>
      </x:c>
      <x:c r="BV220" s="31" t="n">
        <x:f>=BT220+BU220</x:f>
      </x:c>
      <x:c r="BW220" s="68" t="n">
        <x:f>=BV220/BT220</x:f>
      </x:c>
      <x:c r="BY220" s="68" t="n">
        <x:f>=BO220</x:f>
      </x:c>
      <x:c r="BZ220" s="68" t="n">
        <x:f>=BF220</x:f>
      </x:c>
      <x:c r="CA220" s="68" t="n">
        <x:f>=BG220</x:f>
      </x:c>
      <x:c r="CB220" s="68" t="n">
        <x:f>=1 - BY220</x:f>
      </x:c>
      <x:c r="CD220" s="68" t="n">
        <x:f>=CA220/(1-BZ220)</x:f>
      </x:c>
    </x:row>
    <x:row r="221">
      <x:c r="A221" s="32" t="s">
        <x:v>440</x:v>
      </x:c>
      <x:c r="B221" t="s"/>
      <x:c r="C221" t="s">
        <x:v>441</x:v>
      </x:c>
      <x:c r="D221" t="s">
        <x:v>96</x:v>
      </x:c>
      <x:c r="E221" t="s">
        <x:v>132</x:v>
      </x:c>
      <x:c r="F221" t="n">
        <x:v>3930</x:v>
      </x:c>
      <x:c r="G221" s="33" t="n">
        <x:v>0.0312977099236641221374045802</x:v>
      </x:c>
      <x:c r="H221" s="33" t="n">
        <x:v>0.1020356234096692111959287532</x:v>
      </x:c>
      <x:c r="I221" s="33" t="n">
        <x:v>0.1684478371501272264631043257</x:v>
      </x:c>
      <x:c r="J221" s="33" t="n">
        <x:v>0.2768447837150127226463104326</x:v>
      </x:c>
      <x:c r="K221" s="33" t="n">
        <x:v>0.3819338422391857506361323155</x:v>
      </x:c>
      <x:c r="L221" s="33" t="n">
        <x:v>0.4274809160305343511450381679</x:v>
      </x:c>
      <x:c r="M221" s="33" t="n">
        <x:v>0.437913486005089058524173028</x:v>
      </x:c>
      <x:c r="N221" s="33" t="n">
        <x:v>0.4435114503816793893129770992</x:v>
      </x:c>
      <x:c r="O221" s="33" t="n">
        <x:v>0.4468193384223918575063613232</x:v>
      </x:c>
      <x:c r="P221" s="33" t="n">
        <x:v>0.4508905852417302798982188295</x:v>
      </x:c>
      <x:c r="Q221" s="33" t="n">
        <x:v>0.4536895674300254452926208651</x:v>
      </x:c>
      <x:c r="R221" s="33" t="n">
        <x:v>0.4567430025445292620865139949</x:v>
      </x:c>
      <x:c r="S221" s="33" t="n">
        <x:v>0.4608142493638676844783715013</x:v>
      </x:c>
      <x:c r="T221" s="33" t="n">
        <x:v>0.4628498727735368956743002545</x:v>
      </x:c>
      <x:c r="U221" s="33" t="n">
        <x:v>0.4659033078880407124681933842</x:v>
      </x:c>
      <x:c r="V221" s="33" t="n">
        <x:v>0.4669211195928753180661577608</x:v>
      </x:c>
      <x:c r="W221" s="33" t="n">
        <x:v>0.4679389312977099236641221374</x:v>
      </x:c>
      <x:c r="X221" s="33" t="n">
        <x:v>0.4704834605597964376590330789</x:v>
      </x:c>
      <x:c r="Y221" s="33" t="n">
        <x:v>0.4811704834605597964376590331</x:v>
      </x:c>
      <x:c r="Z221" s="33" t="n">
        <x:v>0.4905852417302798982188295165</x:v>
      </x:c>
      <x:c r="AA221" s="33" t="n">
        <x:v>0.5091603053435114503816793893</x:v>
      </x:c>
      <x:c r="AB221" s="33" t="n">
        <x:v>0.5295165394402035623409669211</x:v>
      </x:c>
      <x:c r="AC221" s="33" t="n">
        <x:v>0.5511450381679389312977099237</x:v>
      </x:c>
      <x:c r="AD221" s="33" t="n">
        <x:v>0.567175572519083969465648855</x:v>
      </x:c>
      <x:c r="AE221" s="33" t="n">
        <x:v>0.5885496183206106870229007634</x:v>
      </x:c>
      <x:c r="AF221" s="33" t="n">
        <x:v>0.6089058524173027989821882952</x:v>
      </x:c>
      <x:c r="AG221" s="33" t="n">
        <x:v>0.6290076335877862595419847328</x:v>
      </x:c>
      <x:c r="AH221" s="33" t="n">
        <x:v>0.6511450381679389312977099237</x:v>
      </x:c>
      <x:c r="AI221" s="33" t="n">
        <x:v>0.6727735368956743002544529262</x:v>
      </x:c>
      <x:c r="AJ221" s="24" t="n">
        <x:v>0.7058524173027989821882951654</x:v>
      </x:c>
      <x:c r="AK221" s="33" t="n">
        <x:v>0.7366412213740458015267175573</x:v>
      </x:c>
      <x:c r="AL221" s="23" t="n">
        <x:v>0.7847328244274809160305343511</x:v>
      </x:c>
      <x:c r="BC221" s="34" t="s"/>
      <x:c r="BD221" s="11" t="s">
        <x:v>182</x:v>
      </x:c>
      <x:c r="BE221" s="12" t="n">
        <x:f>=BO221</x:f>
      </x:c>
      <x:c r="BF221" s="12" t="n">
        <x:v>0.7554707379134860050890585242</x:v>
      </x:c>
      <x:c r="BG221" s="12" t="n">
        <x:v>0.1875318066157760814249363868</x:v>
      </x:c>
      <x:c r="BH221" s="12" t="n">
        <x:v>0.0569974554707379134860050891</x:v>
      </x:c>
      <x:c r="BI221" s="12" t="n">
        <x:f>=BN221</x:f>
      </x:c>
      <x:c r="BJ221" s="13" t="n">
        <x:v>0</x:v>
      </x:c>
      <x:c r="BK221" s="31" t="n">
        <x:v>13033.43</x:v>
      </x:c>
      <x:c r="BL221" s="31" t="n">
        <x:v>-8445.2050</x:v>
      </x:c>
      <x:c r="BM221" s="31" t="n">
        <x:f>=BK221+BL221</x:f>
      </x:c>
      <x:c r="BN221" s="68" t="n">
        <x:f>=BM221/BK221</x:f>
      </x:c>
      <x:c r="BO221" s="68" t="n">
        <x:v>0.9430025445292620865139949109</x:v>
      </x:c>
      <x:c r="BP221" s="31" t="n">
        <x:v>8360.80</x:v>
      </x:c>
      <x:c r="BQ221" s="42" t="n">
        <x:v>224</x:v>
      </x:c>
      <x:c r="BR221" s="31" t="n">
        <x:v>476.54432569974554707379134860</x:v>
      </x:c>
      <x:c r="BT221" s="31" t="n">
        <x:v>17517.87507266666000000000</x:v>
      </x:c>
      <x:c r="BU221" s="31" t="n">
        <x:v>-8445.2050</x:v>
      </x:c>
      <x:c r="BV221" s="31" t="n">
        <x:f>=BT221+BU221</x:f>
      </x:c>
      <x:c r="BW221" s="68" t="n">
        <x:f>=BV221/BT221</x:f>
      </x:c>
      <x:c r="BY221" s="68" t="n">
        <x:f>=BO221</x:f>
      </x:c>
      <x:c r="BZ221" s="68" t="n">
        <x:f>=BF221</x:f>
      </x:c>
      <x:c r="CA221" s="68" t="n">
        <x:f>=BG221</x:f>
      </x:c>
      <x:c r="CB221" s="68" t="n">
        <x:f>=1 - BY221</x:f>
      </x:c>
      <x:c r="CD221" s="68" t="n">
        <x:f>=CA221/(1-BZ221)</x:f>
      </x:c>
    </x:row>
    <x:row r="222">
      <x:c r="A222" s="32" t="s">
        <x:v>442</x:v>
      </x:c>
      <x:c r="B222" t="s"/>
      <x:c r="C222" t="s">
        <x:v>443</x:v>
      </x:c>
      <x:c r="D222" t="s">
        <x:v>173</x:v>
      </x:c>
      <x:c r="E222" t="s">
        <x:v>132</x:v>
      </x:c>
      <x:c r="F222" t="n">
        <x:v>5263</x:v>
      </x:c>
      <x:c r="G222" s="33" t="n">
        <x:v>0.0053201596047881436443093293</x:v>
      </x:c>
      <x:c r="H222" s="33" t="n">
        <x:v>0.0680220406612198365950978529</x:v>
      </x:c>
      <x:c r="I222" s="33" t="n">
        <x:v>0.1303439103173095192855785674</x:v>
      </x:c>
      <x:c r="J222" s="33" t="n">
        <x:v>0.1797453923617708531255937678</x:v>
      </x:c>
      <x:c r="K222" s="33" t="n">
        <x:v>0.2171765152954588637659129774</x:v>
      </x:c>
      <x:c r="L222" s="33" t="n">
        <x:v>0.2578377351320539616188485655</x:v>
      </x:c>
      <x:c r="M222" s="33" t="n">
        <x:v>0.3144594337830134904047121414</x:v>
      </x:c>
      <x:c r="N222" s="33" t="n">
        <x:v>0.3712711381341440243207296219</x:v>
      </x:c>
      <x:c r="O222" s="33" t="n">
        <x:v>0.4138324149724491734752042561</x:v>
      </x:c>
      <x:c r="P222" s="33" t="n">
        <x:v>0.4596237887136614098422952689</x:v>
      </x:c>
      <x:c r="Q222" s="33" t="n">
        <x:v>0.4845145354360630818924567737</x:v>
      </x:c>
      <x:c r="R222" s="33" t="n">
        <x:v>0.5200456013680410412312369371</x:v>
      </x:c>
      <x:c r="S222" s="33" t="n">
        <x:v>0.5572867186015580467414022421</x:v>
      </x:c>
      <x:c r="T222" s="33" t="n">
        <x:v>0.5797073912217366520995629869</x:v>
      </x:c>
      <x:c r="U222" s="33" t="n">
        <x:v>0.5958578757362720881626448793</x:v>
      </x:c>
      <x:c r="V222" s="33" t="n">
        <x:v>0.6182785483564506935208056242</x:v>
      </x:c>
      <x:c r="W222" s="33" t="n">
        <x:v>0.6513395401862055861675850276</x:v>
      </x:c>
      <x:c r="X222" s="33" t="n">
        <x:v>0.6813604408132243967319019571</x:v>
      </x:c>
      <x:c r="Y222" s="24" t="n">
        <x:v>0.7013110393311799353980619419</x:v>
      </x:c>
      <x:c r="Z222" s="33" t="n">
        <x:v>0.7222116663499904997149914497</x:v>
      </x:c>
      <x:c r="AA222" s="33" t="n">
        <x:v>0.7396921907657229716891506745</x:v>
      </x:c>
      <x:c r="AB222" s="33" t="n">
        <x:v>0.7528025840775223256697700931</x:v>
      </x:c>
      <x:c r="AC222" s="33" t="n">
        <x:v>0.7693330799923997719931597948</x:v>
      </x:c>
      <x:c r="AD222" s="33" t="n">
        <x:v>0.785103553106593197795933878</x:v>
      </x:c>
      <x:c r="AE222" s="33" t="n">
        <x:v>0.8063841915257457723731711951</x:v>
      </x:c>
      <x:c r="AF222" s="33" t="n">
        <x:v>0.8225346760402812084362530876</x:v>
      </x:c>
      <x:c r="AG222" s="23" t="n">
        <x:v>0.8356450693520805624168725062</x:v>
      </x:c>
      <x:c r="BC222" s="34" t="s"/>
      <x:c r="BD222" s="11" t="s">
        <x:v>227</x:v>
      </x:c>
      <x:c r="BE222" s="12" t="n">
        <x:f>=BO222</x:f>
      </x:c>
      <x:c r="BF222" s="12" t="n">
        <x:v>0.8240547216416492494774843245</x:v>
      </x:c>
      <x:c r="BG222" s="12" t="n">
        <x:v>0.2040661219836595097852935588</x:v>
      </x:c>
      <x:c r="BH222" s="12" t="n">
        <x:v>-0.0281208436253087592627778833</x:v>
      </x:c>
      <x:c r="BI222" s="12" t="n">
        <x:f>=BN222</x:f>
      </x:c>
      <x:c r="BJ222" s="13" t="n">
        <x:v>0</x:v>
      </x:c>
      <x:c r="BK222" s="31" t="n">
        <x:v>69211.50</x:v>
      </x:c>
      <x:c r="BL222" s="31" t="n">
        <x:v>-53515.1693</x:v>
      </x:c>
      <x:c r="BM222" s="31" t="n">
        <x:f>=BK222+BL222</x:f>
      </x:c>
      <x:c r="BN222" s="68" t="n">
        <x:f>=BM222/BK222</x:f>
      </x:c>
      <x:c r="BO222" s="68" t="n">
        <x:v>1.0281208436253087592627778833</x:v>
      </x:c>
      <x:c r="BP222" s="31" t="n">
        <x:v>50362.50</x:v>
      </x:c>
      <x:c r="BQ222" s="42" t="n">
        <x:v>-148</x:v>
      </x:c>
      <x:c r="BR222" s="31" t="n">
        <x:v>-1416.2359870796123883716511496</x:v>
      </x:c>
      <x:c r="BT222" s="31" t="n">
        <x:v>91833.58786831267125000000</x:v>
      </x:c>
      <x:c r="BU222" s="31" t="n">
        <x:v>-53515.1693</x:v>
      </x:c>
      <x:c r="BV222" s="31" t="n">
        <x:f>=BT222+BU222</x:f>
      </x:c>
      <x:c r="BW222" s="68" t="n">
        <x:f>=BV222/BT222</x:f>
      </x:c>
      <x:c r="BY222" s="68" t="n">
        <x:f>=BO222</x:f>
      </x:c>
      <x:c r="BZ222" s="68" t="n">
        <x:f>=BF222</x:f>
      </x:c>
      <x:c r="CA222" s="68" t="n">
        <x:f>=BG222</x:f>
      </x:c>
      <x:c r="CB222" s="68" t="n">
        <x:f>=1 - BY222</x:f>
      </x:c>
      <x:c r="CD222" s="68" t="n">
        <x:f>=CA222/(1-BZ222)</x:f>
      </x:c>
    </x:row>
    <x:row r="223">
      <x:c r="A223" s="32" t="s">
        <x:v>444</x:v>
      </x:c>
      <x:c r="B223" t="s"/>
      <x:c r="C223" t="s">
        <x:v>445</x:v>
      </x:c>
      <x:c r="D223" t="s">
        <x:v>144</x:v>
      </x:c>
      <x:c r="E223" t="s">
        <x:v>132</x:v>
      </x:c>
      <x:c r="F223" t="n">
        <x:v>2889</x:v>
      </x:c>
      <x:c r="G223" s="33" t="n">
        <x:v>0.0938040844582900657667012807</x:v>
      </x:c>
      <x:c r="H223" s="33" t="n">
        <x:v>0.1768778123918310834198684666</x:v>
      </x:c>
      <x:c r="I223" s="33" t="n">
        <x:v>0.2554517133956386292834890966</x:v>
      </x:c>
      <x:c r="J223" s="33" t="n">
        <x:v>0.3170647282796815507095880928</x:v>
      </x:c>
      <x:c r="K223" s="33" t="n">
        <x:v>0.3869851159570785739010038075</x:v>
      </x:c>
      <x:c r="L223" s="33" t="n">
        <x:v>0.4461751471097265489788854275</x:v>
      </x:c>
      <x:c r="M223" s="33" t="n">
        <x:v>0.478366216683973693319487712</x:v>
      </x:c>
      <x:c r="N223" s="33" t="n">
        <x:v>0.4804430598823122187608168917</x:v>
      </x:c>
      <x:c r="O223" s="33" t="n">
        <x:v>0.4807892004153686396677050883</x:v>
      </x:c>
      <x:c r="P223" s="33" t="n">
        <x:v>0.4877120110764970578054690204</x:v>
      </x:c>
      <x:c r="Q223" s="33" t="n">
        <x:v>0.5012114918656974731741086881</x:v>
      </x:c>
      <x:c r="R223" s="33" t="n">
        <x:v>0.5140186915887850467289719626</x:v>
      </x:c>
      <x:c r="S223" s="33" t="n">
        <x:v>0.5316718587746625129802699896</x:v>
      </x:c>
      <x:c r="T223" s="33" t="n">
        <x:v>0.5597092419522326064382139148</x:v>
      </x:c>
      <x:c r="U223" s="33" t="n">
        <x:v>0.5912080304603669089650398062</x:v>
      </x:c>
      <x:c r="V223" s="33" t="n">
        <x:v>0.6285912080304603669089650398</x:v>
      </x:c>
      <x:c r="W223" s="33" t="n">
        <x:v>0.6683973693319487712011076497</x:v>
      </x:c>
      <x:c r="X223" s="24" t="n">
        <x:v>0.7088958116995500173070266528</x:v>
      </x:c>
      <x:c r="Y223" s="23" t="n">
        <x:v>0.7736240913811007268951194185</x:v>
      </x:c>
      <x:c r="BC223" s="34" t="s"/>
      <x:c r="BD223" s="11" t="s">
        <x:v>133</x:v>
      </x:c>
      <x:c r="BE223" s="12" t="n">
        <x:f>=BO223</x:f>
      </x:c>
      <x:c r="BF223" s="12" t="n">
        <x:v>0.7327795084804430598823122188</x:v>
      </x:c>
      <x:c r="BG223" s="12" t="n">
        <x:v>0.2274143302180685358255451713</x:v>
      </x:c>
      <x:c r="BH223" s="12" t="n">
        <x:v>0.0398061613014884042921426099</x:v>
      </x:c>
      <x:c r="BI223" s="12" t="n">
        <x:f>=BN223</x:f>
      </x:c>
      <x:c r="BJ223" s="13" t="n">
        <x:v>0</x:v>
      </x:c>
      <x:c r="BK223" s="31" t="n">
        <x:v>13168.73</x:v>
      </x:c>
      <x:c r="BL223" s="31" t="n">
        <x:v>-9444.56190</x:v>
      </x:c>
      <x:c r="BM223" s="31" t="n">
        <x:f>=BK223+BL223</x:f>
      </x:c>
      <x:c r="BN223" s="68" t="n">
        <x:f>=BM223/BK223</x:f>
      </x:c>
      <x:c r="BO223" s="68" t="n">
        <x:v>0.9601938386985115957078573901</x:v>
      </x:c>
      <x:c r="BP223" s="31" t="n">
        <x:v>8361.15</x:v>
      </x:c>
      <x:c r="BQ223" s="42" t="n">
        <x:v>115</x:v>
      </x:c>
      <x:c r="BR223" s="31" t="n">
        <x:v>332.82528556593977154724818276</x:v>
      </x:c>
      <x:c r="BT223" s="31" t="n">
        <x:v>17551.177539867032375000000</x:v>
      </x:c>
      <x:c r="BU223" s="31" t="n">
        <x:v>-9444.56190</x:v>
      </x:c>
      <x:c r="BV223" s="31" t="n">
        <x:f>=BT223+BU223</x:f>
      </x:c>
      <x:c r="BW223" s="68" t="n">
        <x:f>=BV223/BT223</x:f>
      </x:c>
      <x:c r="BY223" s="68" t="n">
        <x:f>=BO223</x:f>
      </x:c>
      <x:c r="BZ223" s="68" t="n">
        <x:f>=BF223</x:f>
      </x:c>
      <x:c r="CA223" s="68" t="n">
        <x:f>=BG223</x:f>
      </x:c>
      <x:c r="CB223" s="68" t="n">
        <x:f>=1 - BY223</x:f>
      </x:c>
      <x:c r="CD223" s="68" t="n">
        <x:f>=CA223/(1-BZ223)</x:f>
      </x:c>
    </x:row>
    <x:row r="224">
      <x:c r="A224" s="32" t="s">
        <x:v>446</x:v>
      </x:c>
      <x:c r="B224" t="s"/>
      <x:c r="C224" t="s">
        <x:v>447</x:v>
      </x:c>
      <x:c r="D224" t="s">
        <x:v>96</x:v>
      </x:c>
      <x:c r="E224" t="s">
        <x:v>132</x:v>
      </x:c>
      <x:c r="F224" t="n">
        <x:v>3040</x:v>
      </x:c>
      <x:c r="G224" s="33" t="n">
        <x:v>0.0006578947368421052631578947</x:v>
      </x:c>
      <x:c r="H224" s="33" t="n">
        <x:v>0.0009868421052631578947368421</x:v>
      </x:c>
      <x:c r="I224" s="33" t="n">
        <x:v>0.0019736842105263157894736842</x:v>
      </x:c>
      <x:c r="J224" s="33" t="n">
        <x:v>0.0029605263157894736842105263</x:v>
      </x:c>
      <x:c r="K224" s="33" t="n">
        <x:v>0.0032894736842105263157894737</x:v>
      </x:c>
      <x:c r="L224" s="33" t="n">
        <x:v>0.0032894736842105263157894737</x:v>
      </x:c>
      <x:c r="M224" s="33" t="n">
        <x:v>0.0039473684210526315789473684</x:v>
      </x:c>
      <x:c r="N224" s="33" t="n">
        <x:v>0.6671052631578947368421052632</x:v>
      </x:c>
      <x:c r="O224" s="24" t="n">
        <x:v>0.7246710526315789473684210526</x:v>
      </x:c>
      <x:c r="P224" s="33" t="n">
        <x:v>0.7585526315789473684210526316</x:v>
      </x:c>
      <x:c r="Q224" s="33" t="n">
        <x:v>0.7904605263157894736842105263</x:v>
      </x:c>
      <x:c r="R224" s="33" t="n">
        <x:v>0.8194078947368421052631578947</x:v>
      </x:c>
      <x:c r="S224" s="33" t="n">
        <x:v>0.8342105263157894736842105263</x:v>
      </x:c>
      <x:c r="T224" s="33" t="n">
        <x:v>0.8516447368421052631578947368</x:v>
      </x:c>
      <x:c r="U224" s="33" t="n">
        <x:v>0.8641447368421052631578947368</x:v>
      </x:c>
      <x:c r="V224" s="33" t="n">
        <x:v>0.8776315789473684210526315789</x:v>
      </x:c>
      <x:c r="W224" s="33" t="n">
        <x:v>0.8947368421052631578947368421</x:v>
      </x:c>
      <x:c r="X224" s="23" t="n">
        <x:v>0.9223684210526315789473684211</x:v>
      </x:c>
      <x:c r="BC224" s="34" t="s"/>
      <x:c r="BD224" s="11" t="s">
        <x:v>138</x:v>
      </x:c>
      <x:c r="BE224" s="12" t="n">
        <x:f>=BO224</x:f>
      </x:c>
      <x:c r="BF224" s="12" t="n">
        <x:v>0.9134868421052631578947368421</x:v>
      </x:c>
      <x:c r="BG224" s="12" t="n">
        <x:v>0.0769736842105263157894736842</x:v>
      </x:c>
      <x:c r="BH224" s="12" t="n">
        <x:v>0.0095394736842105263157894737</x:v>
      </x:c>
      <x:c r="BI224" s="12" t="n">
        <x:f>=BN224</x:f>
      </x:c>
      <x:c r="BJ224" s="13" t="n">
        <x:v>0</x:v>
      </x:c>
      <x:c r="BK224" s="31" t="n">
        <x:v>13605.75</x:v>
      </x:c>
      <x:c r="BL224" s="31" t="n">
        <x:v>-8322.0780</x:v>
      </x:c>
      <x:c r="BM224" s="31" t="n">
        <x:f>=BK224+BL224</x:f>
      </x:c>
      <x:c r="BN224" s="68" t="n">
        <x:f>=BM224/BK224</x:f>
      </x:c>
      <x:c r="BO224" s="68" t="n">
        <x:v>0.9904605263157894736842105263</x:v>
      </x:c>
      <x:c r="BP224" s="31" t="n">
        <x:v>8297.40</x:v>
      </x:c>
      <x:c r="BQ224" s="42" t="n">
        <x:v>29</x:v>
      </x:c>
      <x:c r="BR224" s="31" t="n">
        <x:v>79.152828947368421052631578946</x:v>
      </x:c>
      <x:c r="BT224" s="31" t="n">
        <x:v>17648.87460646860000000000</x:v>
      </x:c>
      <x:c r="BU224" s="31" t="n">
        <x:v>-8322.0780</x:v>
      </x:c>
      <x:c r="BV224" s="31" t="n">
        <x:f>=BT224+BU224</x:f>
      </x:c>
      <x:c r="BW224" s="68" t="n">
        <x:f>=BV224/BT224</x:f>
      </x:c>
      <x:c r="BY224" s="68" t="n">
        <x:f>=BO224</x:f>
      </x:c>
      <x:c r="BZ224" s="68" t="n">
        <x:f>=BF224</x:f>
      </x:c>
      <x:c r="CA224" s="68" t="n">
        <x:f>=BG224</x:f>
      </x:c>
      <x:c r="CB224" s="68" t="n">
        <x:f>=1 - BY224</x:f>
      </x:c>
      <x:c r="CD224" s="68" t="n">
        <x:f>=CA224/(1-BZ224)</x:f>
      </x:c>
    </x:row>
    <x:row r="225">
      <x:c r="A225" s="32" t="s">
        <x:v>448</x:v>
      </x:c>
      <x:c r="B225" t="s"/>
      <x:c r="C225" t="s">
        <x:v>449</x:v>
      </x:c>
      <x:c r="D225" t="s">
        <x:v>96</x:v>
      </x:c>
      <x:c r="E225" t="s">
        <x:v>132</x:v>
      </x:c>
      <x:c r="F225" t="n">
        <x:v>3095</x:v>
      </x:c>
      <x:c r="G225" s="33" t="n">
        <x:v>0.030694668820678513731825525</x:v>
      </x:c>
      <x:c r="H225" s="33" t="n">
        <x:v>0.1812600969305331179321486268</x:v>
      </x:c>
      <x:c r="I225" s="33" t="n">
        <x:v>0.4982229402261712439418416801</x:v>
      </x:c>
      <x:c r="J225" s="24" t="n">
        <x:v>0.8584814216478190630048465267</x:v>
      </x:c>
      <x:c r="K225" s="33" t="n">
        <x:v>0.9434571890145395799676898223</x:v>
      </x:c>
      <x:c r="L225" s="33" t="n">
        <x:v>0.9683360258481421647819063005</x:v>
      </x:c>
      <x:c r="M225" s="33" t="n">
        <x:v>0.9667205169628432956381260097</x:v>
      </x:c>
      <x:c r="N225" s="33" t="n">
        <x:v>0.9741518578352180936995153473</x:v>
      </x:c>
      <x:c r="O225" s="33" t="n">
        <x:v>0.9780290791599353796445880452</x:v>
      </x:c>
      <x:c r="P225" s="33" t="n">
        <x:v>0.9838449111470113085621970921</x:v>
      </x:c>
      <x:c r="Q225" s="33" t="n">
        <x:v>0.9873990306946688206785137318</x:v>
      </x:c>
      <x:c r="R225" s="33" t="n">
        <x:v>0.9886914378029079159935379645</x:v>
      </x:c>
      <x:c r="S225" s="33" t="n">
        <x:v>0.9915993537964458804523424879</x:v>
      </x:c>
      <x:c r="T225" s="33" t="n">
        <x:v>0.9922455573505654281098546042</x:v>
      </x:c>
      <x:c r="U225" s="33" t="n">
        <x:v>0.991922455573505654281098546</x:v>
      </x:c>
      <x:c r="V225" s="33" t="n">
        <x:v>0.9922455573505654281098546042</x:v>
      </x:c>
      <x:c r="W225" s="33" t="n">
        <x:v>0.9922455573505654281098546042</x:v>
      </x:c>
      <x:c r="X225" s="33" t="n">
        <x:v>0.9932148626817447495961227787</x:v>
      </x:c>
      <x:c r="BC225" s="34" t="s"/>
      <x:c r="BD225" s="11" t="s">
        <x:v>138</x:v>
      </x:c>
      <x:c r="BE225" s="12" t="n">
        <x:f>=BO225</x:f>
      </x:c>
      <x:c r="BF225" s="12" t="n">
        <x:v>0.9928917609046849757673667205</x:v>
      </x:c>
      <x:c r="BG225" s="12" t="n">
        <x:v>0.0025848142164781906300484653</x:v>
      </x:c>
      <x:c r="BH225" s="12" t="n">
        <x:v>0.0045234248788368336025848142</x:v>
      </x:c>
      <x:c r="BI225" s="12" t="n">
        <x:f>=BN225</x:f>
      </x:c>
      <x:c r="BJ225" s="13" t="n">
        <x:v>0</x:v>
      </x:c>
      <x:c r="BK225" s="31" t="n">
        <x:v>46441.37</x:v>
      </x:c>
      <x:c r="BL225" s="31" t="n">
        <x:v>-27940.0385</x:v>
      </x:c>
      <x:c r="BM225" s="31" t="n">
        <x:f>=BK225+BL225</x:f>
      </x:c>
      <x:c r="BN225" s="68" t="n">
        <x:f>=BM225/BK225</x:f>
      </x:c>
      <x:c r="BO225" s="68" t="n">
        <x:v>0.9954765751211631663974151858</x:v>
      </x:c>
      <x:c r="BP225" s="31" t="n">
        <x:v>26772.95</x:v>
      </x:c>
      <x:c r="BQ225" s="42" t="n">
        <x:v>14</x:v>
      </x:c>
      <x:c r="BR225" s="31" t="n">
        <x:v>121.10542810985460420032310178</x:v>
      </x:c>
      <x:c r="BT225" s="31" t="n">
        <x:v>60436.69902429903875000000</x:v>
      </x:c>
      <x:c r="BU225" s="31" t="n">
        <x:v>-27940.0385</x:v>
      </x:c>
      <x:c r="BV225" s="31" t="n">
        <x:f>=BT225+BU225</x:f>
      </x:c>
      <x:c r="BW225" s="68" t="n">
        <x:f>=BV225/BT225</x:f>
      </x:c>
      <x:c r="BY225" s="68" t="n">
        <x:f>=BO225</x:f>
      </x:c>
      <x:c r="BZ225" s="68" t="n">
        <x:f>=BF225</x:f>
      </x:c>
      <x:c r="CA225" s="68" t="n">
        <x:f>=BG225</x:f>
      </x:c>
      <x:c r="CB225" s="68" t="n">
        <x:f>=1 - BY225</x:f>
      </x:c>
      <x:c r="CD225" s="68" t="n">
        <x:f>=CA225/(1-BZ225)</x:f>
      </x:c>
    </x:row>
    <x:row r="226">
      <x:c r="A226" s="32" t="s">
        <x:v>450</x:v>
      </x:c>
      <x:c r="B226" t="s"/>
      <x:c r="C226" t="s">
        <x:v>451</x:v>
      </x:c>
      <x:c r="D226" t="s">
        <x:v>125</x:v>
      </x:c>
      <x:c r="E226" t="s">
        <x:v>132</x:v>
      </x:c>
      <x:c r="F226" t="n">
        <x:v>1778</x:v>
      </x:c>
      <x:c r="G226" s="33" t="n">
        <x:v>0.0506186726659167604049493813</x:v>
      </x:c>
      <x:c r="H226" s="33" t="n">
        <x:v>0.1046119235095613048368953881</x:v>
      </x:c>
      <x:c r="I226" s="33" t="n">
        <x:v>0.1535433070866141732283464567</x:v>
      </x:c>
      <x:c r="J226" s="33" t="n">
        <x:v>0.1788526434195725534308211474</x:v>
      </x:c>
      <x:c r="K226" s="33" t="n">
        <x:v>0.1951631046119235095613048369</x:v>
      </x:c>
      <x:c r="L226" s="33" t="n">
        <x:v>0.2109111361079865016872890889</x:v>
      </x:c>
      <x:c r="M226" s="33" t="n">
        <x:v>0.2334083239595050618672665917</x:v>
      </x:c>
      <x:c r="N226" s="33" t="n">
        <x:v>0.2626546681664791901012373453</x:v>
      </x:c>
      <x:c r="O226" s="33" t="n">
        <x:v>0.2868391451068616422947131609</x:v>
      </x:c>
      <x:c r="P226" s="33" t="n">
        <x:v>0.3205849268841394825646794151</x:v>
      </x:c>
      <x:c r="Q226" s="33" t="n">
        <x:v>0.3475815523059617547806524184</x:v>
      </x:c>
      <x:c r="R226" s="33" t="n">
        <x:v>0.3852643419572553430821147357</x:v>
      </x:c>
      <x:c r="S226" s="33" t="n">
        <x:v>0.4071991001124859392575928009</x:v>
      </x:c>
      <x:c r="T226" s="33" t="n">
        <x:v>0.4336332958380202474690663667</x:v>
      </x:c>
      <x:c r="U226" s="33" t="n">
        <x:v>0.4578177727784026996625421822</x:v>
      </x:c>
      <x:c r="V226" s="33" t="n">
        <x:v>0.4814398200224971878515185602</x:v>
      </x:c>
      <x:c r="W226" s="23" t="n">
        <x:v>0.5331833520809898762654668166</x:v>
      </x:c>
      <x:c r="BC226" s="34" t="s"/>
      <x:c r="BD226" s="11" t="s">
        <x:v>98</x:v>
      </x:c>
      <x:c r="BE226" s="12" t="n">
        <x:f>=BO226</x:f>
      </x:c>
      <x:c r="BF226" s="12" t="n">
        <x:v>0.515748031496062992125984252</x:v>
      </x:c>
      <x:c r="BG226" s="12" t="n">
        <x:v>0.272215973003374578177727784</x:v>
      </x:c>
      <x:c r="BH226" s="12" t="n">
        <x:v>0.212035995500562429696287964</x:v>
      </x:c>
      <x:c r="BI226" s="12" t="n">
        <x:f>=BN226</x:f>
      </x:c>
      <x:c r="BJ226" s="13" t="n">
        <x:v>0</x:v>
      </x:c>
      <x:c r="BK226" s="31" t="n">
        <x:v>4657.96</x:v>
      </x:c>
      <x:c r="BL226" s="31" t="n">
        <x:v>-4156.7112</x:v>
      </x:c>
      <x:c r="BM226" s="31" t="n">
        <x:f>=BK226+BL226</x:f>
      </x:c>
      <x:c r="BN226" s="68" t="n">
        <x:f>=BM226/BK226</x:f>
      </x:c>
      <x:c r="BO226" s="68" t="n">
        <x:v>0.787964004499437570303712036</x:v>
      </x:c>
      <x:c r="BP226" s="31" t="n">
        <x:v>4156.96</x:v>
      </x:c>
      <x:c r="BQ226" s="42" t="n">
        <x:v>377</x:v>
      </x:c>
      <x:c r="BR226" s="31" t="n">
        <x:v>881.4251518560179977502812148</x:v>
      </x:c>
      <x:c r="BT226" s="31" t="n">
        <x:v>6700.50892638229300000000</x:v>
      </x:c>
      <x:c r="BU226" s="31" t="n">
        <x:v>-4156.7112</x:v>
      </x:c>
      <x:c r="BV226" s="31" t="n">
        <x:f>=BT226+BU226</x:f>
      </x:c>
      <x:c r="BW226" s="68" t="n">
        <x:f>=BV226/BT226</x:f>
      </x:c>
      <x:c r="BY226" s="68" t="n">
        <x:f>=BO226</x:f>
      </x:c>
      <x:c r="BZ226" s="68" t="n">
        <x:f>=BF226</x:f>
      </x:c>
      <x:c r="CA226" s="68" t="n">
        <x:f>=BG226</x:f>
      </x:c>
      <x:c r="CB226" s="68" t="n">
        <x:f>=1 - BY226</x:f>
      </x:c>
      <x:c r="CD226" s="68" t="n">
        <x:f>=CA226/(1-BZ226)</x:f>
      </x:c>
    </x:row>
    <x:row r="227">
      <x:c r="A227" s="32" t="s">
        <x:v>452</x:v>
      </x:c>
      <x:c r="B227" t="s"/>
      <x:c r="C227" t="s">
        <x:v>453</x:v>
      </x:c>
      <x:c r="D227" t="s">
        <x:v>96</x:v>
      </x:c>
      <x:c r="E227" t="s">
        <x:v>132</x:v>
      </x:c>
      <x:c r="F227" t="n">
        <x:v>4202</x:v>
      </x:c>
      <x:c r="G227" s="33" t="n">
        <x:v>0.0045216563541170871013802951</x:v>
      </x:c>
      <x:c r="H227" s="33" t="n">
        <x:v>0.0309376487386958591147072822</x:v>
      </x:c>
      <x:c r="I227" s="33" t="n">
        <x:v>0.0309376487386958591147072822</x:v>
      </x:c>
      <x:c r="J227" s="33" t="n">
        <x:v>0.18491194669205140409328891</x:v>
      </x:c>
      <x:c r="K227" s="33" t="n">
        <x:v>0.2900999524036173250832936697</x:v>
      </x:c>
      <x:c r="L227" s="33" t="n">
        <x:v>0.4459781056639695383150880533</x:v>
      </x:c>
      <x:c r="M227" s="33" t="n">
        <x:v>0.5780580675868633983817229891</x:v>
      </x:c>
      <x:c r="N227" s="33" t="n">
        <x:v>0.6746787244169443122322703475</x:v>
      </x:c>
      <x:c r="O227" s="24" t="n">
        <x:v>0.7220371251784864350309376487</x:v>
      </x:c>
      <x:c r="P227" s="33" t="n">
        <x:v>0.758448357924797715373631604</x:v>
      </x:c>
      <x:c r="Q227" s="33" t="n">
        <x:v>0.7836744407425035697287006188</x:v>
      </x:c>
      <x:c r="R227" s="33" t="n">
        <x:v>0.7934316991908614945264159924</x:v>
      </x:c>
      <x:c r="S227" s="33" t="n">
        <x:v>0.797715373631603998096144693</x:v>
      </x:c>
      <x:c r="T227" s="33" t="n">
        <x:v>0.7979533555449785816277962875</x:v>
      </x:c>
      <x:c r="U227" s="23" t="n">
        <x:v>0.8098524512137077582103760114</x:v>
      </x:c>
      <x:c r="BC227" s="34" t="s"/>
      <x:c r="BD227" s="11" t="s">
        <x:v>101</x:v>
      </x:c>
      <x:c r="BE227" s="12" t="n">
        <x:f>=BO227</x:f>
      </x:c>
      <x:c r="BF227" s="12" t="n">
        <x:v>0.8103284150404569252736792004</x:v>
      </x:c>
      <x:c r="BG227" s="12" t="n">
        <x:v>0.1059019514516896715849595431</x:v>
      </x:c>
      <x:c r="BH227" s="12" t="n">
        <x:v>0.0837696335078534031413612565</x:v>
      </x:c>
      <x:c r="BI227" s="12" t="n">
        <x:f>=BN227</x:f>
      </x:c>
      <x:c r="BJ227" s="13" t="n">
        <x:v>0</x:v>
      </x:c>
      <x:c r="BK227" s="31" t="n">
        <x:v>15136.55</x:v>
      </x:c>
      <x:c r="BL227" s="31" t="n">
        <x:v>-11050.3457</x:v>
      </x:c>
      <x:c r="BM227" s="31" t="n">
        <x:f>=BK227+BL227</x:f>
      </x:c>
      <x:c r="BN227" s="68" t="n">
        <x:f>=BM227/BK227</x:f>
      </x:c>
      <x:c r="BO227" s="68" t="n">
        <x:v>0.9162303664921465968586387435</x:v>
      </x:c>
      <x:c r="BP227" s="31" t="n">
        <x:v>10905.63</x:v>
      </x:c>
      <x:c r="BQ227" s="42" t="n">
        <x:v>352</x:v>
      </x:c>
      <x:c r="BR227" s="31" t="n">
        <x:v>913.5606282722513089005235602</x:v>
      </x:c>
      <x:c r="BT227" s="31" t="n">
        <x:v>20490.224458051048250000000</x:v>
      </x:c>
      <x:c r="BU227" s="31" t="n">
        <x:v>-11050.3457</x:v>
      </x:c>
      <x:c r="BV227" s="31" t="n">
        <x:f>=BT227+BU227</x:f>
      </x:c>
      <x:c r="BW227" s="68" t="n">
        <x:f>=BV227/BT227</x:f>
      </x:c>
      <x:c r="BY227" s="68" t="n">
        <x:f>=BO227</x:f>
      </x:c>
      <x:c r="BZ227" s="68" t="n">
        <x:f>=BF227</x:f>
      </x:c>
      <x:c r="CA227" s="68" t="n">
        <x:f>=BG227</x:f>
      </x:c>
      <x:c r="CB227" s="68" t="n">
        <x:f>=1 - BY227</x:f>
      </x:c>
      <x:c r="CD227" s="68" t="n">
        <x:f>=CA227/(1-BZ227)</x:f>
      </x:c>
    </x:row>
    <x:row r="228">
      <x:c r="A228" s="32" t="s">
        <x:v>454</x:v>
      </x:c>
      <x:c r="B228" t="s"/>
      <x:c r="C228" t="s">
        <x:v>455</x:v>
      </x:c>
      <x:c r="D228" t="s">
        <x:v>96</x:v>
      </x:c>
      <x:c r="E228" t="s">
        <x:v>132</x:v>
      </x:c>
      <x:c r="F228" t="n">
        <x:v>4202</x:v>
      </x:c>
      <x:c r="G228" s="33" t="n">
        <x:v>0.0097572584483579247977153736</x:v>
      </x:c>
      <x:c r="H228" s="33" t="n">
        <x:v>0.0097572584483579247977153736</x:v>
      </x:c>
      <x:c r="I228" s="33" t="n">
        <x:v>0.1163731556401713469776297001</x:v>
      </x:c>
      <x:c r="J228" s="33" t="n">
        <x:v>0.202284626368396001903855307</x:v>
      </x:c>
      <x:c r="K228" s="33" t="n">
        <x:v>0.3212755830556877677296525464</x:v>
      </x:c>
      <x:c r="L228" s="33" t="n">
        <x:v>0.4336030461684911946692051404</x:v>
      </x:c>
      <x:c r="M228" s="33" t="n">
        <x:v>0.5497382198952879581151832461</x:v>
      </x:c>
      <x:c r="N228" s="33" t="n">
        <x:v>0.6475487862922417896239885769</x:v>
      </x:c>
      <x:c r="O228" s="24" t="n">
        <x:v>0.7084721561161351737267967634</x:v>
      </x:c>
      <x:c r="P228" s="33" t="n">
        <x:v>0.7505949547834364588291289862</x:v>
      </x:c>
      <x:c r="Q228" s="33" t="n">
        <x:v>0.7746311280342693955259400286</x:v>
      </x:c>
      <x:c r="R228" s="33" t="n">
        <x:v>0.7858162779628748215135649691</x:v>
      </x:c>
      <x:c r="S228" s="33" t="n">
        <x:v>0.7889100428367444074250356973</x:v>
      </x:c>
      <x:c r="T228" s="23" t="n">
        <x:v>0.8027129938124702522608281771</x:v>
      </x:c>
      <x:c r="BC228" s="34" t="s"/>
      <x:c r="BD228" s="11" t="s">
        <x:v>118</x:v>
      </x:c>
      <x:c r="BE228" s="12" t="n">
        <x:f>=BO228</x:f>
      </x:c>
      <x:c r="BF228" s="12" t="n">
        <x:v>0.8103284150404569252736792004</x:v>
      </x:c>
      <x:c r="BG228" s="12" t="n">
        <x:v>0.1356496906235126130414088529</x:v>
      </x:c>
      <x:c r="BH228" s="12" t="n">
        <x:v>0.0540218943360304616849119467</x:v>
      </x:c>
      <x:c r="BI228" s="12" t="n">
        <x:f>=BN228</x:f>
      </x:c>
      <x:c r="BJ228" s="13" t="n">
        <x:v>0</x:v>
      </x:c>
      <x:c r="BK228" s="31" t="n">
        <x:v>15236.95</x:v>
      </x:c>
      <x:c r="BL228" s="31" t="n">
        <x:v>-11040.9356</x:v>
      </x:c>
      <x:c r="BM228" s="31" t="n">
        <x:f>=BK228+BL228</x:f>
      </x:c>
      <x:c r="BN228" s="68" t="n">
        <x:f>=BM228/BK228</x:f>
      </x:c>
      <x:c r="BO228" s="68" t="n">
        <x:v>0.9459781056639695383150880533</x:v>
      </x:c>
      <x:c r="BP228" s="31" t="n">
        <x:v>10902.86</x:v>
      </x:c>
      <x:c r="BQ228" s="42" t="n">
        <x:v>227</x:v>
      </x:c>
      <x:c r="BR228" s="31" t="n">
        <x:v>588.99315088053307948595906710</x:v>
      </x:c>
      <x:c r="BT228" s="31" t="n">
        <x:v>20590.624458051048250000000</x:v>
      </x:c>
      <x:c r="BU228" s="31" t="n">
        <x:v>-11040.9356</x:v>
      </x:c>
      <x:c r="BV228" s="31" t="n">
        <x:f>=BT228+BU228</x:f>
      </x:c>
      <x:c r="BW228" s="68" t="n">
        <x:f>=BV228/BT228</x:f>
      </x:c>
      <x:c r="BY228" s="68" t="n">
        <x:f>=BO228</x:f>
      </x:c>
      <x:c r="BZ228" s="68" t="n">
        <x:f>=BF228</x:f>
      </x:c>
      <x:c r="CA228" s="68" t="n">
        <x:f>=BG228</x:f>
      </x:c>
      <x:c r="CB228" s="68" t="n">
        <x:f>=1 - BY228</x:f>
      </x:c>
      <x:c r="CD228" s="68" t="n">
        <x:f>=CA228/(1-BZ228)</x:f>
      </x:c>
    </x:row>
    <x:row r="229">
      <x:c r="A229" s="32" t="s">
        <x:v>456</x:v>
      </x:c>
      <x:c r="B229" t="s"/>
      <x:c r="C229" t="s">
        <x:v>457</x:v>
      </x:c>
      <x:c r="D229" t="s">
        <x:v>96</x:v>
      </x:c>
      <x:c r="E229" t="s">
        <x:v>132</x:v>
      </x:c>
      <x:c r="F229" t="n">
        <x:v>3019</x:v>
      </x:c>
      <x:c r="G229" s="33" t="n">
        <x:v>0.0003312355084465054653858894</x:v>
      </x:c>
      <x:c r="H229" s="33" t="n">
        <x:v>0.009937065253395163961576681</x:v>
      </x:c>
      <x:c r="I229" s="33" t="n">
        <x:v>0.0490228552500828088771116264</x:v>
      </x:c>
      <x:c r="J229" s="33" t="n">
        <x:v>0.1033454786353097052003974826</x:v>
      </x:c>
      <x:c r="K229" s="33" t="n">
        <x:v>0.1520370983769460086121232196</x:v>
      </x:c>
      <x:c r="L229" s="33" t="n">
        <x:v>0.198410069559456773766147731</x:v>
      </x:c>
      <x:c r="M229" s="33" t="n">
        <x:v>0.2510765154024511427625041404</x:v>
      </x:c>
      <x:c r="N229" s="33" t="n">
        <x:v>0.3053991387876780390857899967</x:v>
      </x:c>
      <x:c r="O229" s="33" t="n">
        <x:v>0.3557469360715468698244451805</x:v>
      </x:c>
      <x:c r="P229" s="33" t="n">
        <x:v>0.3945014905597880092745942365</x:v>
      </x:c>
      <x:c r="Q229" s="33" t="n">
        <x:v>0.4150380920834713481285193773</x:v>
      </x:c>
      <x:c r="R229" s="33" t="n">
        <x:v>0.4408744617422987744286187479</x:v>
      </x:c>
      <x:c r="S229" s="33" t="n">
        <x:v>0.46074859224908910235177211</x:v>
      </x:c>
      <x:c r="T229" s="23" t="n">
        <x:v>0.4879099039417025505134150381</x:v>
      </x:c>
      <x:c r="BC229" s="34" t="s"/>
      <x:c r="BD229" s="11" t="s">
        <x:v>118</x:v>
      </x:c>
      <x:c r="BE229" s="12" t="n">
        <x:f>=BO229</x:f>
      </x:c>
      <x:c r="BF229" s="12" t="n">
        <x:v>0.5117588605498509440211990725</x:v>
      </x:c>
      <x:c r="BG229" s="12" t="n">
        <x:v>0.3650215303080490228552500828</x:v>
      </x:c>
      <x:c r="BH229" s="12" t="n">
        <x:v>0.1232196091421000331235508447</x:v>
      </x:c>
      <x:c r="BI229" s="12" t="n">
        <x:f>=BN229</x:f>
      </x:c>
      <x:c r="BJ229" s="13" t="n">
        <x:v>0</x:v>
      </x:c>
      <x:c r="BK229" s="31" t="n">
        <x:v>12078.98</x:v>
      </x:c>
      <x:c r="BL229" s="31" t="n">
        <x:v>-9883.8153</x:v>
      </x:c>
      <x:c r="BM229" s="31" t="n">
        <x:f>=BK229+BL229</x:f>
      </x:c>
      <x:c r="BN229" s="68" t="n">
        <x:f>=BM229/BK229</x:f>
      </x:c>
      <x:c r="BO229" s="68" t="n">
        <x:v>0.8767803908578999668764491553</x:v>
      </x:c>
      <x:c r="BP229" s="31" t="n">
        <x:v>8928.99</x:v>
      </x:c>
      <x:c r="BQ229" s="42" t="n">
        <x:v>372</x:v>
      </x:c>
      <x:c r="BR229" s="31" t="n">
        <x:v>1100.2266578337197747598542564</x:v>
      </x:c>
      <x:c r="BT229" s="31" t="n">
        <x:v>17956.29460659705875000000</x:v>
      </x:c>
      <x:c r="BU229" s="31" t="n">
        <x:v>-9883.8153</x:v>
      </x:c>
      <x:c r="BV229" s="31" t="n">
        <x:f>=BT229+BU229</x:f>
      </x:c>
      <x:c r="BW229" s="68" t="n">
        <x:f>=BV229/BT229</x:f>
      </x:c>
      <x:c r="BY229" s="68" t="n">
        <x:f>=BO229</x:f>
      </x:c>
      <x:c r="BZ229" s="68" t="n">
        <x:f>=BF229</x:f>
      </x:c>
      <x:c r="CA229" s="68" t="n">
        <x:f>=BG229</x:f>
      </x:c>
      <x:c r="CB229" s="68" t="n">
        <x:f>=1 - BY229</x:f>
      </x:c>
      <x:c r="CD229" s="68" t="n">
        <x:f>=CA229/(1-BZ229)</x:f>
      </x:c>
    </x:row>
    <x:row r="230">
      <x:c r="A230" s="32" t="s">
        <x:v>458</x:v>
      </x:c>
      <x:c r="B230" t="s"/>
      <x:c r="C230" t="s">
        <x:v>459</x:v>
      </x:c>
      <x:c r="D230" t="s">
        <x:v>96</x:v>
      </x:c>
      <x:c r="E230" t="s">
        <x:v>132</x:v>
      </x:c>
      <x:c r="F230" t="n">
        <x:v>4231</x:v>
      </x:c>
      <x:c r="G230" s="33" t="n">
        <x:v>0.0158354998818246277475774049</x:v>
      </x:c>
      <x:c r="H230" s="33" t="n">
        <x:v>0.0158354998818246277475774049</x:v>
      </x:c>
      <x:c r="I230" s="33" t="n">
        <x:v>0.1767903568896242023162372961</x:v>
      </x:c>
      <x:c r="J230" s="33" t="n">
        <x:v>0.2869298038288820609784920823</x:v>
      </x:c>
      <x:c r="K230" s="33" t="n">
        <x:v>0.4143228551169936185298983692</x:v>
      </x:c>
      <x:c r="L230" s="33" t="n">
        <x:v>0.5249350035452611675726778539</x:v>
      </x:c>
      <x:c r="M230" s="33" t="n">
        <x:v>0.6291656818718978964783739069</x:v>
      </x:c>
      <x:c r="N230" s="24" t="n">
        <x:v>0.7322146064760103994327582132</x:v>
      </x:c>
      <x:c r="O230" s="33" t="n">
        <x:v>0.7785393523989600567241786812</x:v>
      </x:c>
      <x:c r="P230" s="33" t="n">
        <x:v>0.7998109194043961238477901205</x:v>
      </x:c>
      <x:c r="Q230" s="33" t="n">
        <x:v>0.8184826282202788938785157173</x:v>
      </x:c>
      <x:c r="R230" s="33" t="n">
        <x:v>0.8220278893878515717324509572</x:v>
      </x:c>
      <x:c r="S230" s="33" t="n">
        <x:v>0.8229732923658709524935003545</x:v>
      </x:c>
      <x:c r="T230" s="23" t="n">
        <x:v>0.8336090758685889860553060742</x:v>
      </x:c>
      <x:c r="BC230" s="34" t="s"/>
      <x:c r="BD230" s="11" t="s">
        <x:v>118</x:v>
      </x:c>
      <x:c r="BE230" s="12" t="n">
        <x:f>=BO230</x:f>
      </x:c>
      <x:c r="BF230" s="12" t="n">
        <x:v>0.84211770267076341290475065</x:v>
      </x:c>
      <x:c r="BG230" s="12" t="n">
        <x:v>0.1047033798156464192862207516</x:v>
      </x:c>
      <x:c r="BH230" s="12" t="n">
        <x:v>0.0531789175135901678090285984</x:v>
      </x:c>
      <x:c r="BI230" s="12" t="n">
        <x:f>=BN230</x:f>
      </x:c>
      <x:c r="BJ230" s="13" t="n">
        <x:v>0</x:v>
      </x:c>
      <x:c r="BK230" s="31" t="n">
        <x:v>15736.38</x:v>
      </x:c>
      <x:c r="BL230" s="31" t="n">
        <x:v>-11168.5330</x:v>
      </x:c>
      <x:c r="BM230" s="31" t="n">
        <x:f>=BK230+BL230</x:f>
      </x:c>
      <x:c r="BN230" s="68" t="n">
        <x:f>=BM230/BK230</x:f>
      </x:c>
      <x:c r="BO230" s="68" t="n">
        <x:v>0.9468210824864098321909714016</x:v>
      </x:c>
      <x:c r="BP230" s="31" t="n">
        <x:v>10974.39</x:v>
      </x:c>
      <x:c r="BQ230" s="42" t="n">
        <x:v>225</x:v>
      </x:c>
      <x:c r="BR230" s="31" t="n">
        <x:v>583.60618057196880170172536044</x:v>
      </x:c>
      <x:c r="BT230" s="31" t="n">
        <x:v>21118.84745736999750000000</x:v>
      </x:c>
      <x:c r="BU230" s="31" t="n">
        <x:v>-11168.5330</x:v>
      </x:c>
      <x:c r="BV230" s="31" t="n">
        <x:f>=BT230+BU230</x:f>
      </x:c>
      <x:c r="BW230" s="68" t="n">
        <x:f>=BV230/BT230</x:f>
      </x:c>
      <x:c r="BY230" s="68" t="n">
        <x:f>=BO230</x:f>
      </x:c>
      <x:c r="BZ230" s="68" t="n">
        <x:f>=BF230</x:f>
      </x:c>
      <x:c r="CA230" s="68" t="n">
        <x:f>=BG230</x:f>
      </x:c>
      <x:c r="CB230" s="68" t="n">
        <x:f>=1 - BY230</x:f>
      </x:c>
      <x:c r="CD230" s="68" t="n">
        <x:f>=CA230/(1-BZ230)</x:f>
      </x:c>
    </x:row>
    <x:row r="231">
      <x:c r="A231" s="32" t="s">
        <x:v>460</x:v>
      </x:c>
      <x:c r="B231" t="s"/>
      <x:c r="C231" t="s">
        <x:v>461</x:v>
      </x:c>
      <x:c r="D231" t="s">
        <x:v>96</x:v>
      </x:c>
      <x:c r="E231" t="s">
        <x:v>132</x:v>
      </x:c>
      <x:c r="F231" t="n">
        <x:v>4030</x:v>
      </x:c>
      <x:c r="G231" s="33" t="n">
        <x:v>0.0089330024813895781637717122</x:v>
      </x:c>
      <x:c r="H231" s="33" t="n">
        <x:v>0.0089330024813895781637717122</x:v>
      </x:c>
      <x:c r="I231" s="33" t="n">
        <x:v>0.1312655086848635235732009926</x:v>
      </x:c>
      <x:c r="J231" s="33" t="n">
        <x:v>0.220843672456575682382133995</x:v>
      </x:c>
      <x:c r="K231" s="33" t="n">
        <x:v>0.3414392059553349875930521092</x:v>
      </x:c>
      <x:c r="L231" s="33" t="n">
        <x:v>0.4540942928039702233250620347</x:v>
      </x:c>
      <x:c r="M231" s="33" t="n">
        <x:v>0.562779156327543424317617866</x:v>
      </x:c>
      <x:c r="N231" s="33" t="n">
        <x:v>0.6563275434243176178660049628</x:v>
      </x:c>
      <x:c r="O231" s="24" t="n">
        <x:v>0.7382133995037220843672456576</x:v>
      </x:c>
      <x:c r="P231" s="33" t="n">
        <x:v>0.7875930521091811414392059553</x:v>
      </x:c>
      <x:c r="Q231" s="33" t="n">
        <x:v>0.8106699751861042183622828784</x:v>
      </x:c>
      <x:c r="R231" s="33" t="n">
        <x:v>0.8215880893300248138957816377</x:v>
      </x:c>
      <x:c r="S231" s="33" t="n">
        <x:v>0.8238213399503722084367245658</x:v>
      </x:c>
      <x:c r="T231" s="23" t="n">
        <x:v>0.8334987593052109181141439206</x:v>
      </x:c>
      <x:c r="BC231" s="34" t="s"/>
      <x:c r="BD231" s="11" t="s">
        <x:v>118</x:v>
      </x:c>
      <x:c r="BE231" s="12" t="n">
        <x:f>=BO231</x:f>
      </x:c>
      <x:c r="BF231" s="12" t="n">
        <x:v>0.8478908188585607940446650124</x:v>
      </x:c>
      <x:c r="BG231" s="12" t="n">
        <x:v>0.0910669975186104218362282878</x:v>
      </x:c>
      <x:c r="BH231" s="12" t="n">
        <x:v>0.0610421836228287841191066998</x:v>
      </x:c>
      <x:c r="BI231" s="12" t="n">
        <x:f>=BN231</x:f>
      </x:c>
      <x:c r="BJ231" s="13" t="n">
        <x:v>0</x:v>
      </x:c>
      <x:c r="BK231" s="31" t="n">
        <x:v>12936.47</x:v>
      </x:c>
      <x:c r="BL231" s="31" t="n">
        <x:v>-8247.1304</x:v>
      </x:c>
      <x:c r="BM231" s="31" t="n">
        <x:f>=BK231+BL231</x:f>
      </x:c>
      <x:c r="BN231" s="68" t="n">
        <x:f>=BM231/BK231</x:f>
      </x:c>
      <x:c r="BO231" s="68" t="n">
        <x:v>0.9389578163771712158808933002</x:v>
      </x:c>
      <x:c r="BP231" s="31" t="n">
        <x:v>8102.52</x:v>
      </x:c>
      <x:c r="BQ231" s="42" t="n">
        <x:v>246</x:v>
      </x:c>
      <x:c r="BR231" s="31" t="n">
        <x:v>494.59551364764267990074441688</x:v>
      </x:c>
      <x:c r="BT231" s="31" t="n">
        <x:v>17301.98830482764750000000</x:v>
      </x:c>
      <x:c r="BU231" s="31" t="n">
        <x:v>-8247.1304</x:v>
      </x:c>
      <x:c r="BV231" s="31" t="n">
        <x:f>=BT231+BU231</x:f>
      </x:c>
      <x:c r="BW231" s="68" t="n">
        <x:f>=BV231/BT231</x:f>
      </x:c>
      <x:c r="BY231" s="68" t="n">
        <x:f>=BO231</x:f>
      </x:c>
      <x:c r="BZ231" s="68" t="n">
        <x:f>=BF231</x:f>
      </x:c>
      <x:c r="CA231" s="68" t="n">
        <x:f>=BG231</x:f>
      </x:c>
      <x:c r="CB231" s="68" t="n">
        <x:f>=1 - BY231</x:f>
      </x:c>
      <x:c r="CD231" s="68" t="n">
        <x:f>=CA231/(1-BZ231)</x:f>
      </x:c>
    </x:row>
    <x:row r="232">
      <x:c r="A232" s="32" t="s">
        <x:v>462</x:v>
      </x:c>
      <x:c r="B232" t="s"/>
      <x:c r="C232" t="s">
        <x:v>463</x:v>
      </x:c>
      <x:c r="D232" t="s">
        <x:v>108</x:v>
      </x:c>
      <x:c r="E232" t="s">
        <x:v>132</x:v>
      </x:c>
      <x:c r="F232" t="n">
        <x:v>574</x:v>
      </x:c>
      <x:c r="G232" s="33" t="n">
        <x:v>0.0662020905923344947735191638</x:v>
      </x:c>
      <x:c r="H232" s="33" t="n">
        <x:v>0.0662020905923344947735191638</x:v>
      </x:c>
      <x:c r="I232" s="33" t="n">
        <x:v>0.15679442508710801393728223</x:v>
      </x:c>
      <x:c r="J232" s="33" t="n">
        <x:v>0.1968641114982578397212543554</x:v>
      </x:c>
      <x:c r="K232" s="33" t="n">
        <x:v>0.2351916376306620209059233449</x:v>
      </x:c>
      <x:c r="L232" s="33" t="n">
        <x:v>0.2752613240418118466898954704</x:v>
      </x:c>
      <x:c r="M232" s="33" t="n">
        <x:v>0.3466898954703832752613240418</x:v>
      </x:c>
      <x:c r="N232" s="33" t="n">
        <x:v>0.3797909407665505226480836237</x:v>
      </x:c>
      <x:c r="O232" s="33" t="n">
        <x:v>0.4407665505226480836236933798</x:v>
      </x:c>
      <x:c r="P232" s="33" t="n">
        <x:v>0.531358885017421602787456446</x:v>
      </x:c>
      <x:c r="Q232" s="33" t="n">
        <x:v>0.6167247386759581881533101045</x:v>
      </x:c>
      <x:c r="R232" s="24" t="n">
        <x:v>0.7108013937282229965156794425</x:v>
      </x:c>
      <x:c r="S232" s="33" t="n">
        <x:v>0.7630662020905923344947735192</x:v>
      </x:c>
      <x:c r="T232" s="23" t="n">
        <x:v>0.8222996515679442508710801394</x:v>
      </x:c>
      <x:c r="BC232" s="34" t="s"/>
      <x:c r="BD232" s="11" t="s">
        <x:v>118</x:v>
      </x:c>
      <x:c r="BE232" s="12" t="n">
        <x:f>=BO232</x:f>
      </x:c>
      <x:c r="BF232" s="12" t="n">
        <x:v>0.7909407665505226480836236934</x:v>
      </x:c>
      <x:c r="BG232" s="12" t="n">
        <x:v>0.1236933797909407665505226481</x:v>
      </x:c>
      <x:c r="BH232" s="12" t="n">
        <x:v>0.0853658536585365853658536585</x:v>
      </x:c>
      <x:c r="BI232" s="12" t="n">
        <x:f>=BN232</x:f>
      </x:c>
      <x:c r="BJ232" s="13" t="n">
        <x:v>0</x:v>
      </x:c>
      <x:c r="BK232" s="31" t="n">
        <x:v>5152.68</x:v>
      </x:c>
      <x:c r="BL232" s="31" t="n">
        <x:v>-3902.48607031264033643120</x:v>
      </x:c>
      <x:c r="BM232" s="31" t="n">
        <x:f>=BK232+BL232</x:f>
      </x:c>
      <x:c r="BN232" s="68" t="n">
        <x:f>=BM232/BK232</x:f>
      </x:c>
      <x:c r="BO232" s="68" t="n">
        <x:v>0.9146341463414634146341463415</x:v>
      </x:c>
      <x:c r="BP232" s="31" t="n">
        <x:v>3960.041515786227150960</x:v>
      </x:c>
      <x:c r="BQ232" s="42" t="n">
        <x:v>49</x:v>
      </x:c>
      <x:c r="BR232" s="31" t="n">
        <x:v>338.05232451833646410634146342</x:v>
      </x:c>
      <x:c r="BT232" s="31" t="n">
        <x:v>7023.577315634555250000000</x:v>
      </x:c>
      <x:c r="BU232" s="31" t="n">
        <x:v>-3902.48607031264033643120</x:v>
      </x:c>
      <x:c r="BV232" s="31" t="n">
        <x:f>=BT232+BU232</x:f>
      </x:c>
      <x:c r="BW232" s="68" t="n">
        <x:f>=BV232/BT232</x:f>
      </x:c>
      <x:c r="BY232" s="68" t="n">
        <x:f>=BO232</x:f>
      </x:c>
      <x:c r="BZ232" s="68" t="n">
        <x:f>=BF232</x:f>
      </x:c>
      <x:c r="CA232" s="68" t="n">
        <x:f>=BG232</x:f>
      </x:c>
      <x:c r="CB232" s="68" t="n">
        <x:f>=1 - BY232</x:f>
      </x:c>
      <x:c r="CD232" s="68" t="n">
        <x:f>=CA232/(1-BZ232)</x:f>
      </x:c>
    </x:row>
    <x:row r="233">
      <x:c r="A233" s="32" t="s">
        <x:v>464</x:v>
      </x:c>
      <x:c r="B233" t="s"/>
      <x:c r="C233" t="s">
        <x:v>465</x:v>
      </x:c>
      <x:c r="D233" t="s">
        <x:v>108</x:v>
      </x:c>
      <x:c r="E233" t="s">
        <x:v>132</x:v>
      </x:c>
      <x:c r="F233" t="n">
        <x:v>1036</x:v>
      </x:c>
      <x:c r="G233" s="33" t="n">
        <x:v>0.0685328185328185328185328185</x:v>
      </x:c>
      <x:c r="H233" s="33" t="n">
        <x:v>0.0685328185328185328185328185</x:v>
      </x:c>
      <x:c r="I233" s="33" t="n">
        <x:v>0.1650579150579150579150579151</x:v>
      </x:c>
      <x:c r="J233" s="33" t="n">
        <x:v>0.2200772200772200772200772201</x:v>
      </x:c>
      <x:c r="K233" s="33" t="n">
        <x:v>0.2944015444015444015444015444</x:v>
      </x:c>
      <x:c r="L233" s="33" t="n">
        <x:v>0.361969111969111969111969112</x:v>
      </x:c>
      <x:c r="M233" s="33" t="n">
        <x:v>0.4459459459459459459459459459</x:v>
      </x:c>
      <x:c r="N233" s="33" t="n">
        <x:v>0.5173745173745173745173745174</x:v>
      </x:c>
      <x:c r="O233" s="33" t="n">
        <x:v>0.6061776061776061776061776062</x:v>
      </x:c>
      <x:c r="P233" s="33" t="n">
        <x:v>0.6747104247104247104247104247</x:v>
      </x:c>
      <x:c r="Q233" s="24" t="n">
        <x:v>0.7577220077220077220077220077</x:v>
      </x:c>
      <x:c r="R233" s="33" t="n">
        <x:v>0.8108108108108108108108108108</x:v>
      </x:c>
      <x:c r="S233" s="33" t="n">
        <x:v>0.8445945945945945945945945946</x:v>
      </x:c>
      <x:c r="T233" s="23" t="n">
        <x:v>0.8590733590733590733590733591</x:v>
      </x:c>
      <x:c r="BC233" s="34" t="s"/>
      <x:c r="BD233" s="11" t="s">
        <x:v>118</x:v>
      </x:c>
      <x:c r="BE233" s="12" t="n">
        <x:f>=BO233</x:f>
      </x:c>
      <x:c r="BF233" s="12" t="n">
        <x:v>0.8416988416988416988416988417</x:v>
      </x:c>
      <x:c r="BG233" s="12" t="n">
        <x:v>0.0984555984555984555984555985</x:v>
      </x:c>
      <x:c r="BH233" s="12" t="n">
        <x:v>0.0598455598455598455598455598</x:v>
      </x:c>
      <x:c r="BI233" s="12" t="n">
        <x:f>=BN233</x:f>
      </x:c>
      <x:c r="BJ233" s="13" t="n">
        <x:v>0</x:v>
      </x:c>
      <x:c r="BK233" s="31" t="n">
        <x:v>9751.27</x:v>
      </x:c>
      <x:c r="BL233" s="31" t="n">
        <x:v>-7112.85939780264928941360</x:v>
      </x:c>
      <x:c r="BM233" s="31" t="n">
        <x:f>=BK233+BL233</x:f>
      </x:c>
      <x:c r="BN233" s="68" t="n">
        <x:f>=BM233/BK233</x:f>
      </x:c>
      <x:c r="BO233" s="68" t="n">
        <x:v>0.9401544401544401544401544402</x:v>
      </x:c>
      <x:c r="BP233" s="31" t="n">
        <x:v>7168.473193610978648880</x:v>
      </x:c>
      <x:c r="BQ233" s="42" t="n">
        <x:v>62</x:v>
      </x:c>
      <x:c r="BR233" s="31" t="n">
        <x:v>429.00129150953733226888030888</x:v>
      </x:c>
      <x:c r="BT233" s="31" t="n">
        <x:v>13147.980399506483500000000</x:v>
      </x:c>
      <x:c r="BU233" s="31" t="n">
        <x:v>-7112.85939780264928941360</x:v>
      </x:c>
      <x:c r="BV233" s="31" t="n">
        <x:f>=BT233+BU233</x:f>
      </x:c>
      <x:c r="BW233" s="68" t="n">
        <x:f>=BV233/BT233</x:f>
      </x:c>
      <x:c r="BY233" s="68" t="n">
        <x:f>=BO233</x:f>
      </x:c>
      <x:c r="BZ233" s="68" t="n">
        <x:f>=BF233</x:f>
      </x:c>
      <x:c r="CA233" s="68" t="n">
        <x:f>=BG233</x:f>
      </x:c>
      <x:c r="CB233" s="68" t="n">
        <x:f>=1 - BY233</x:f>
      </x:c>
      <x:c r="CD233" s="68" t="n">
        <x:f>=CA233/(1-BZ233)</x:f>
      </x:c>
    </x:row>
    <x:row r="234">
      <x:c r="A234" s="32" t="s">
        <x:v>466</x:v>
      </x:c>
      <x:c r="B234" t="s"/>
      <x:c r="C234" t="s">
        <x:v>467</x:v>
      </x:c>
      <x:c r="D234" t="s">
        <x:v>259</x:v>
      </x:c>
      <x:c r="E234" t="s">
        <x:v>132</x:v>
      </x:c>
      <x:c r="F234" t="n">
        <x:v>3029</x:v>
      </x:c>
      <x:c r="G234" s="33" t="n">
        <x:v>0.0006602839220864971937933311</x:v>
      </x:c>
      <x:c r="H234" s="33" t="n">
        <x:v>0.0006602839220864971937933311</x:v>
      </x:c>
      <x:c r="I234" s="33" t="n">
        <x:v>0.0013205678441729943875866623</x:v>
      </x:c>
      <x:c r="J234" s="33" t="n">
        <x:v>0.0016507098052162429844833278</x:v>
      </x:c>
      <x:c r="K234" s="33" t="n">
        <x:v>0.0964014526246285902938263453</x:v>
      </x:c>
      <x:c r="L234" s="33" t="n">
        <x:v>0.1564872895344998349290194784</x:v>
      </x:c>
      <x:c r="M234" s="33" t="n">
        <x:v>0.20699900957411687025420931</x:v>
      </x:c>
      <x:c r="N234" s="33" t="n">
        <x:v>0.2674149884450313634862991086</x:v>
      </x:c>
      <x:c r="O234" s="33" t="n">
        <x:v>0.3251898316275998679432155827</x:v>
      </x:c>
      <x:c r="P234" s="33" t="n">
        <x:v>0.376691977550346649059095411</x:v>
      </x:c>
      <x:c r="Q234" s="33" t="n">
        <x:v>0.4090458897325850115549686365</x:v>
      </x:c>
      <x:c r="R234" s="33" t="n">
        <x:v>0.4380983823043908880818752063</x:v>
      </x:c>
      <x:c r="S234" s="33" t="n">
        <x:v>0.4661604489930670188180917795</x:v>
      </x:c>
      <x:c r="T234" s="23" t="n">
        <x:v>0.5117200396170353251898316276</x:v>
      </x:c>
      <x:c r="BC234" s="34" t="s"/>
      <x:c r="BD234" s="11" t="s">
        <x:v>118</x:v>
      </x:c>
      <x:c r="BE234" s="12" t="n">
        <x:f>=BO234</x:f>
      </x:c>
      <x:c r="BF234" s="12" t="n">
        <x:v>0.4922416639154836579729283592</x:v>
      </x:c>
      <x:c r="BG234" s="12" t="n">
        <x:v>0.3799933971607791350280620667</x:v>
      </x:c>
      <x:c r="BH234" s="12" t="n">
        <x:v>0.1277649389237372069990095741</x:v>
      </x:c>
      <x:c r="BI234" s="12" t="n">
        <x:f>=BN234</x:f>
      </x:c>
      <x:c r="BJ234" s="13" t="n">
        <x:v>0</x:v>
      </x:c>
      <x:c r="BK234" s="31" t="n">
        <x:v>25219.54</x:v>
      </x:c>
      <x:c r="BL234" s="31" t="n">
        <x:v>-23056.81170</x:v>
      </x:c>
      <x:c r="BM234" s="31" t="n">
        <x:f>=BK234+BL234</x:f>
      </x:c>
      <x:c r="BN234" s="68" t="n">
        <x:f>=BM234/BK234</x:f>
      </x:c>
      <x:c r="BO234" s="68" t="n">
        <x:v>0.8722350610762627930009904259</x:v>
      </x:c>
      <x:c r="BP234" s="31" t="n">
        <x:v>21106.45</x:v>
      </x:c>
      <x:c r="BQ234" s="42" t="n">
        <x:v>387</x:v>
      </x:c>
      <x:c r="BR234" s="31" t="n">
        <x:v>2696.6642951469131726642456256</x:v>
      </x:c>
      <x:c r="BT234" s="31" t="n">
        <x:v>36592.74003597974950000000</x:v>
      </x:c>
      <x:c r="BU234" s="31" t="n">
        <x:v>-23056.81170</x:v>
      </x:c>
      <x:c r="BV234" s="31" t="n">
        <x:f>=BT234+BU234</x:f>
      </x:c>
      <x:c r="BW234" s="68" t="n">
        <x:f>=BV234/BT234</x:f>
      </x:c>
      <x:c r="BY234" s="68" t="n">
        <x:f>=BO234</x:f>
      </x:c>
      <x:c r="BZ234" s="68" t="n">
        <x:f>=BF234</x:f>
      </x:c>
      <x:c r="CA234" s="68" t="n">
        <x:f>=BG234</x:f>
      </x:c>
      <x:c r="CB234" s="68" t="n">
        <x:f>=1 - BY234</x:f>
      </x:c>
      <x:c r="CD234" s="68" t="n">
        <x:f>=CA234/(1-BZ234)</x:f>
      </x:c>
    </x:row>
    <x:row r="235">
      <x:c r="A235" s="32" t="s">
        <x:v>468</x:v>
      </x:c>
      <x:c r="B235" t="s"/>
      <x:c r="C235" t="s">
        <x:v>469</x:v>
      </x:c>
      <x:c r="D235" t="s">
        <x:v>96</x:v>
      </x:c>
      <x:c r="E235" t="s">
        <x:v>132</x:v>
      </x:c>
      <x:c r="F235" t="n">
        <x:v>2106</x:v>
      </x:c>
      <x:c r="G235" s="33" t="n">
        <x:v>0.0142450142450142450142450142</x:v>
      </x:c>
      <x:c r="H235" s="33" t="n">
        <x:v>0.0778727445394112060778727445</x:v>
      </x:c>
      <x:c r="I235" s="33" t="n">
        <x:v>0.1571699905033238366571699905</x:v>
      </x:c>
      <x:c r="J235" s="33" t="n">
        <x:v>0.2416904083570750237416904084</x:v>
      </x:c>
      <x:c r="K235" s="33" t="n">
        <x:v>0.3238366571699905033238366572</x:v>
      </x:c>
      <x:c r="L235" s="33" t="n">
        <x:v>0.4007597340930674264007597341</x:v>
      </x:c>
      <x:c r="M235" s="33" t="n">
        <x:v>0.4781576448243114909781576448</x:v>
      </x:c>
      <x:c r="N235" s="33" t="n">
        <x:v>0.537037037037037037037037037</x:v>
      </x:c>
      <x:c r="O235" s="33" t="n">
        <x:v>0.5897435897435897435897435897</x:v>
      </x:c>
      <x:c r="P235" s="33" t="n">
        <x:v>0.6258309591642924976258309592</x:v>
      </x:c>
      <x:c r="Q235" s="33" t="n">
        <x:v>0.648622981956315289648622982</x:v>
      </x:c>
      <x:c r="R235" s="23" t="n">
        <x:v>0.6984805318138651471984805318</x:v>
      </x:c>
      <x:c r="BC235" s="34" t="s"/>
      <x:c r="BD235" s="11" t="s">
        <x:v>335</x:v>
      </x:c>
      <x:c r="BE235" s="12" t="n">
        <x:f>=BO235</x:f>
      </x:c>
      <x:c r="BF235" s="12" t="n">
        <x:v>0.6904083570750237416904083571</x:v>
      </x:c>
      <x:c r="BG235" s="12" t="n">
        <x:v>0.230294396961063627730294397</x:v>
      </x:c>
      <x:c r="BH235" s="12" t="n">
        <x:v>0.079297245963912630579297246</x:v>
      </x:c>
      <x:c r="BI235" s="12" t="n">
        <x:f>=BN235</x:f>
      </x:c>
      <x:c r="BJ235" s="13" t="n">
        <x:v>0</x:v>
      </x:c>
      <x:c r="BK235" s="31" t="n">
        <x:v>6159.26</x:v>
      </x:c>
      <x:c r="BL235" s="31" t="n">
        <x:v>-4374.0456</x:v>
      </x:c>
      <x:c r="BM235" s="31" t="n">
        <x:f>=BK235+BL235</x:f>
      </x:c>
      <x:c r="BN235" s="68" t="n">
        <x:f>=BM235/BK235</x:f>
      </x:c>
      <x:c r="BO235" s="68" t="n">
        <x:v>0.920702754036087369420702754</x:v>
      </x:c>
      <x:c r="BP235" s="31" t="n">
        <x:v>4296.12</x:v>
      </x:c>
      <x:c r="BQ235" s="42" t="n">
        <x:v>167</x:v>
      </x:c>
      <x:c r="BR235" s="31" t="n">
        <x:v>340.67048433048433048433048432</x:v>
      </x:c>
      <x:c r="BT235" s="31" t="n">
        <x:v>8469.010581462535250000000</x:v>
      </x:c>
      <x:c r="BU235" s="31" t="n">
        <x:v>-4374.0456</x:v>
      </x:c>
      <x:c r="BV235" s="31" t="n">
        <x:f>=BT235+BU235</x:f>
      </x:c>
      <x:c r="BW235" s="68" t="n">
        <x:f>=BV235/BT235</x:f>
      </x:c>
      <x:c r="BY235" s="68" t="n">
        <x:f>=BO235</x:f>
      </x:c>
      <x:c r="BZ235" s="68" t="n">
        <x:f>=BF235</x:f>
      </x:c>
      <x:c r="CA235" s="68" t="n">
        <x:f>=BG235</x:f>
      </x:c>
      <x:c r="CB235" s="68" t="n">
        <x:f>=1 - BY235</x:f>
      </x:c>
      <x:c r="CD235" s="68" t="n">
        <x:f>=CA235/(1-BZ235)</x:f>
      </x:c>
    </x:row>
    <x:row r="236">
      <x:c r="A236" s="32" t="s">
        <x:v>470</x:v>
      </x:c>
      <x:c r="B236" t="s"/>
      <x:c r="C236" t="s">
        <x:v>471</x:v>
      </x:c>
      <x:c r="D236" t="s">
        <x:v>96</x:v>
      </x:c>
      <x:c r="E236" t="s">
        <x:v>132</x:v>
      </x:c>
      <x:c r="F236" t="n">
        <x:v>999</x:v>
      </x:c>
      <x:c r="G236" s="33" t="n">
        <x:v>0</x:v>
      </x:c>
      <x:c r="H236" s="33" t="n">
        <x:v>0</x:v>
      </x:c>
      <x:c r="I236" s="33" t="n">
        <x:v>0.001001001001001001001001001</x:v>
      </x:c>
      <x:c r="J236" s="33" t="n">
        <x:v>0.001001001001001001001001001</x:v>
      </x:c>
      <x:c r="K236" s="33" t="n">
        <x:v>0.02002002002002002002002002</x:v>
      </x:c>
      <x:c r="L236" s="33" t="n">
        <x:v>0.0800800800800800800800800801</x:v>
      </x:c>
      <x:c r="M236" s="33" t="n">
        <x:v>0.1491491491491491491491491491</x:v>
      </x:c>
      <x:c r="N236" s="33" t="n">
        <x:v>0.2292292292292292292292292292</x:v>
      </x:c>
      <x:c r="O236" s="33" t="n">
        <x:v>0.3123123123123123123123123123</x:v>
      </x:c>
      <x:c r="P236" s="33" t="n">
        <x:v>0.3913913913913913913913913914</x:v>
      </x:c>
      <x:c r="Q236" s="33" t="n">
        <x:v>0.4874874874874874874874874875</x:v>
      </x:c>
      <x:c r="R236" s="33" t="n">
        <x:v>0.5515515515515515515515515516</x:v>
      </x:c>
      <x:c r="BC236" s="34" t="s"/>
      <x:c r="BD236" s="11" t="s">
        <x:v>335</x:v>
      </x:c>
      <x:c r="BE236" s="12" t="n">
        <x:f>=BO236</x:f>
      </x:c>
      <x:c r="BF236" s="12" t="n">
        <x:v>0.6236236236236236236236236236</x:v>
      </x:c>
      <x:c r="BG236" s="12" t="n">
        <x:v>0.2652652652652652652652652653</x:v>
      </x:c>
      <x:c r="BH236" s="12" t="n">
        <x:v>0.1111111111111111111111111111</x:v>
      </x:c>
      <x:c r="BI236" s="12" t="n">
        <x:f>=BN236</x:f>
      </x:c>
      <x:c r="BJ236" s="13" t="n">
        <x:v>0</x:v>
      </x:c>
      <x:c r="BK236" s="31" t="n">
        <x:v>2599.18</x:v>
      </x:c>
      <x:c r="BL236" s="31" t="n">
        <x:v>-2044.5314</x:v>
      </x:c>
      <x:c r="BM236" s="31" t="n">
        <x:f>=BK236+BL236</x:f>
      </x:c>
      <x:c r="BN236" s="68" t="n">
        <x:f>=BM236/BK236</x:f>
      </x:c>
      <x:c r="BO236" s="68" t="n">
        <x:v>0.8888888888888888888888888889</x:v>
      </x:c>
      <x:c r="BP236" s="31" t="n">
        <x:v>1961.21</x:v>
      </x:c>
      <x:c r="BQ236" s="42" t="n">
        <x:v>111</x:v>
      </x:c>
      <x:c r="BR236" s="31" t="n">
        <x:v>217.91222222222222222222222223</x:v>
      </x:c>
      <x:c r="BT236" s="31" t="n">
        <x:v>3679.426334536925875000000</x:v>
      </x:c>
      <x:c r="BU236" s="31" t="n">
        <x:v>-2044.5314</x:v>
      </x:c>
      <x:c r="BV236" s="31" t="n">
        <x:f>=BT236+BU236</x:f>
      </x:c>
      <x:c r="BW236" s="68" t="n">
        <x:f>=BV236/BT236</x:f>
      </x:c>
      <x:c r="BY236" s="68" t="n">
        <x:f>=BO236</x:f>
      </x:c>
      <x:c r="BZ236" s="68" t="n">
        <x:f>=BF236</x:f>
      </x:c>
      <x:c r="CA236" s="68" t="n">
        <x:f>=BG236</x:f>
      </x:c>
      <x:c r="CB236" s="68" t="n">
        <x:f>=1 - BY236</x:f>
      </x:c>
      <x:c r="CD236" s="68" t="n">
        <x:f>=CA236/(1-BZ236)</x:f>
      </x:c>
    </x:row>
    <x:row r="237">
      <x:c r="A237" s="32" t="s">
        <x:v>472</x:v>
      </x:c>
      <x:c r="B237" t="s"/>
      <x:c r="C237" t="s">
        <x:v>473</x:v>
      </x:c>
      <x:c r="D237" t="s">
        <x:v>96</x:v>
      </x:c>
      <x:c r="E237" t="s">
        <x:v>132</x:v>
      </x:c>
      <x:c r="F237" t="n">
        <x:v>4271</x:v>
      </x:c>
      <x:c r="G237" s="33" t="n">
        <x:v>0.0002341372044017794427534535</x:v>
      </x:c>
      <x:c r="H237" s="33" t="n">
        <x:v>0.0007024116132053383282603606</x:v>
      </x:c>
      <x:c r="I237" s="33" t="n">
        <x:v>0.0220088972137672676188246312</x:v>
      </x:c>
      <x:c r="J237" s="33" t="n">
        <x:v>0.0779676890657925544369000234</x:v>
      </x:c>
      <x:c r="K237" s="33" t="n">
        <x:v>0.162725357059236712713650199</x:v>
      </x:c>
      <x:c r="L237" s="33" t="n">
        <x:v>0.2491219854834933270896745493</x:v>
      </x:c>
      <x:c r="M237" s="33" t="n">
        <x:v>0.3334113790681339264809178178</x:v>
      </x:c>
      <x:c r="N237" s="33" t="n">
        <x:v>0.4116132053383282603605712948</x:v>
      </x:c>
      <x:c r="O237" s="33" t="n">
        <x:v>0.4792788574104425193163193631</x:v>
      </x:c>
      <x:c r="P237" s="33" t="n">
        <x:v>0.5200187309763521423554202763</x:v>
      </x:c>
      <x:c r="Q237" s="33" t="n">
        <x:v>0.5474127838913603371575743386</x:v>
      </x:c>
      <x:c r="R237" s="23" t="n">
        <x:v>0.5881526574572699601966752517</x:v>
      </x:c>
      <x:c r="BC237" s="34" t="s"/>
      <x:c r="BD237" s="11" t="s">
        <x:v>335</x:v>
      </x:c>
      <x:c r="BE237" s="12" t="n">
        <x:f>=BO237</x:f>
      </x:c>
      <x:c r="BF237" s="12" t="n">
        <x:v>0.6309997658627955982205572465</x:v>
      </x:c>
      <x:c r="BG237" s="12" t="n">
        <x:v>0.3097635214235542027628190119</x:v>
      </x:c>
      <x:c r="BH237" s="12" t="n">
        <x:v>0.0592367127136501990166237415</x:v>
      </x:c>
      <x:c r="BI237" s="12" t="n">
        <x:f>=BN237</x:f>
      </x:c>
      <x:c r="BJ237" s="13" t="n">
        <x:v>0</x:v>
      </x:c>
      <x:c r="BK237" s="31" t="n">
        <x:v>12737.76</x:v>
      </x:c>
      <x:c r="BL237" s="31" t="n">
        <x:v>-11244.2306</x:v>
      </x:c>
      <x:c r="BM237" s="31" t="n">
        <x:f>=BK237+BL237</x:f>
      </x:c>
      <x:c r="BN237" s="68" t="n">
        <x:f>=BM237/BK237</x:f>
      </x:c>
      <x:c r="BO237" s="68" t="n">
        <x:v>0.9407632872863498009833762585</x:v>
      </x:c>
      <x:c r="BP237" s="31" t="n">
        <x:v>11079.03</x:v>
      </x:c>
      <x:c r="BQ237" s="42" t="n">
        <x:v>253</x:v>
      </x:c>
      <x:c r="BR237" s="31" t="n">
        <x:v>656.28531725591196441114493093</x:v>
      </x:c>
      <x:c r="BT237" s="31" t="n">
        <x:v>18179.345818737750375000000</x:v>
      </x:c>
      <x:c r="BU237" s="31" t="n">
        <x:v>-11244.2306</x:v>
      </x:c>
      <x:c r="BV237" s="31" t="n">
        <x:f>=BT237+BU237</x:f>
      </x:c>
      <x:c r="BW237" s="68" t="n">
        <x:f>=BV237/BT237</x:f>
      </x:c>
      <x:c r="BY237" s="68" t="n">
        <x:f>=BO237</x:f>
      </x:c>
      <x:c r="BZ237" s="68" t="n">
        <x:f>=BF237</x:f>
      </x:c>
      <x:c r="CA237" s="68" t="n">
        <x:f>=BG237</x:f>
      </x:c>
      <x:c r="CB237" s="68" t="n">
        <x:f>=1 - BY237</x:f>
      </x:c>
      <x:c r="CD237" s="68" t="n">
        <x:f>=CA237/(1-BZ237)</x:f>
      </x:c>
    </x:row>
    <x:row r="238">
      <x:c r="A238" s="32" t="s">
        <x:v>474</x:v>
      </x:c>
      <x:c r="B238" t="s"/>
      <x:c r="C238" t="s">
        <x:v>475</x:v>
      </x:c>
      <x:c r="D238" t="s">
        <x:v>96</x:v>
      </x:c>
      <x:c r="E238" t="s">
        <x:v>132</x:v>
      </x:c>
      <x:c r="F238" t="n">
        <x:v>2023</x:v>
      </x:c>
      <x:c r="G238" s="33" t="n">
        <x:v>0.0019772614928324270884824518</x:v>
      </x:c>
      <x:c r="H238" s="33" t="n">
        <x:v>0.0919426594167078596144340089</x:v>
      </x:c>
      <x:c r="I238" s="33" t="n">
        <x:v>0.222441917943648047454275828</x:v>
      </x:c>
      <x:c r="J238" s="33" t="n">
        <x:v>0.3771626297577854671280276817</x:v>
      </x:c>
      <x:c r="K238" s="33" t="n">
        <x:v>0.5239742956005931784478497281</x:v>
      </x:c>
      <x:c r="L238" s="33" t="n">
        <x:v>0.6435986159169550173010380623</x:v>
      </x:c>
      <x:c r="M238" s="24" t="n">
        <x:v>0.7142857142857142857142857143</x:v>
      </x:c>
      <x:c r="N238" s="33" t="n">
        <x:v>0.7666831438457736035590706871</x:v>
      </x:c>
      <x:c r="O238" s="33" t="n">
        <x:v>0.7810182896688086999505684627</x:v>
      </x:c>
      <x:c r="P238" s="33" t="n">
        <x:v>0.8032624814631735046959960455</x:v>
      </x:c>
      <x:c r="Q238" s="23" t="n">
        <x:v>0.8121601581809194265941670786</x:v>
      </x:c>
      <x:c r="BC238" s="34" t="s"/>
      <x:c r="BD238" s="11" t="s">
        <x:v>126</x:v>
      </x:c>
      <x:c r="BE238" s="12" t="n">
        <x:f>=BO238</x:f>
      </x:c>
      <x:c r="BF238" s="12" t="n">
        <x:v>0.8210578348986653484923381117</x:v>
      </x:c>
      <x:c r="BG238" s="12" t="n">
        <x:v>0.0973801285219970341077607514</x:v>
      </x:c>
      <x:c r="BH238" s="12" t="n">
        <x:v>0.0815620365793376173999011369</x:v>
      </x:c>
      <x:c r="BI238" s="12" t="n">
        <x:f>=BN238</x:f>
      </x:c>
      <x:c r="BJ238" s="13" t="n">
        <x:v>0</x:v>
      </x:c>
      <x:c r="BK238" s="31" t="n">
        <x:v>10727.07</x:v>
      </x:c>
      <x:c r="BL238" s="31" t="n">
        <x:v>-8192.6007</x:v>
      </x:c>
      <x:c r="BM238" s="31" t="n">
        <x:f>=BK238+BL238</x:f>
      </x:c>
      <x:c r="BN238" s="68" t="n">
        <x:f>=BM238/BK238</x:f>
      </x:c>
      <x:c r="BO238" s="68" t="n">
        <x:v>0.9184379634206623826000988631</x:v>
      </x:c>
      <x:c r="BP238" s="31" t="n">
        <x:v>8184.45</x:v>
      </x:c>
      <x:c r="BQ238" s="42" t="n">
        <x:v>165</x:v>
      </x:c>
      <x:c r="BR238" s="31" t="n">
        <x:v>667.54041028175976272862086010</x:v>
      </x:c>
      <x:c r="BT238" s="31" t="n">
        <x:v>14509.42309235287875000000</x:v>
      </x:c>
      <x:c r="BU238" s="31" t="n">
        <x:v>-8192.6007</x:v>
      </x:c>
      <x:c r="BV238" s="31" t="n">
        <x:f>=BT238+BU238</x:f>
      </x:c>
      <x:c r="BW238" s="68" t="n">
        <x:f>=BV238/BT238</x:f>
      </x:c>
      <x:c r="BY238" s="68" t="n">
        <x:f>=BO238</x:f>
      </x:c>
      <x:c r="BZ238" s="68" t="n">
        <x:f>=BF238</x:f>
      </x:c>
      <x:c r="CA238" s="68" t="n">
        <x:f>=BG238</x:f>
      </x:c>
      <x:c r="CB238" s="68" t="n">
        <x:f>=1 - BY238</x:f>
      </x:c>
      <x:c r="CD238" s="68" t="n">
        <x:f>=CA238/(1-BZ238)</x:f>
      </x:c>
    </x:row>
    <x:row r="239">
      <x:c r="A239" s="32" t="s">
        <x:v>476</x:v>
      </x:c>
      <x:c r="B239" t="s"/>
      <x:c r="C239" t="s">
        <x:v>477</x:v>
      </x:c>
      <x:c r="D239" t="s">
        <x:v>96</x:v>
      </x:c>
      <x:c r="E239" t="s">
        <x:v>132</x:v>
      </x:c>
      <x:c r="F239" t="n">
        <x:v>1000</x:v>
      </x:c>
      <x:c r="G239" s="33" t="n">
        <x:v>0.034</x:v>
      </x:c>
      <x:c r="H239" s="33" t="n">
        <x:v>0.119</x:v>
      </x:c>
      <x:c r="I239" s="33" t="n">
        <x:v>0.205</x:v>
      </x:c>
      <x:c r="J239" s="33" t="n">
        <x:v>0.315</x:v>
      </x:c>
      <x:c r="K239" s="33" t="n">
        <x:v>0.42</x:v>
      </x:c>
      <x:c r="L239" s="33" t="n">
        <x:v>0.528</x:v>
      </x:c>
      <x:c r="M239" s="33" t="n">
        <x:v>0.667</x:v>
      </x:c>
      <x:c r="N239" s="24" t="n">
        <x:v>0.802</x:v>
      </x:c>
      <x:c r="O239" s="33" t="n">
        <x:v>0.853</x:v>
      </x:c>
      <x:c r="P239" s="23" t="n">
        <x:v>0.872</x:v>
      </x:c>
      <x:c r="BC239" s="34" t="s"/>
      <x:c r="BD239" s="11" t="s">
        <x:v>141</x:v>
      </x:c>
      <x:c r="BE239" s="12" t="n">
        <x:f>=BO239</x:f>
      </x:c>
      <x:c r="BF239" s="12" t="n">
        <x:v>0.864</x:v>
      </x:c>
      <x:c r="BG239" s="12" t="n">
        <x:v>0.115</x:v>
      </x:c>
      <x:c r="BH239" s="12" t="n">
        <x:v>0.021</x:v>
      </x:c>
      <x:c r="BI239" s="12" t="n">
        <x:f>=BN239</x:f>
      </x:c>
      <x:c r="BJ239" s="13" t="n">
        <x:v>0</x:v>
      </x:c>
      <x:c r="BK239" s="31" t="n">
        <x:v>3255.47</x:v>
      </x:c>
      <x:c r="BL239" s="31" t="n">
        <x:v>-2022.2239</x:v>
      </x:c>
      <x:c r="BM239" s="31" t="n">
        <x:f>=BK239+BL239</x:f>
      </x:c>
      <x:c r="BN239" s="68" t="n">
        <x:f>=BM239/BK239</x:f>
      </x:c>
      <x:c r="BO239" s="68" t="n">
        <x:v>0.979</x:v>
      </x:c>
      <x:c r="BP239" s="31" t="n">
        <x:v>1944.87</x:v>
      </x:c>
      <x:c r="BQ239" s="42" t="n">
        <x:v>21</x:v>
      </x:c>
      <x:c r="BR239" s="31" t="n">
        <x:v>40.84227</x:v>
      </x:c>
      <x:c r="BT239" s="31" t="n">
        <x:v>4325.232660464375000000000</x:v>
      </x:c>
      <x:c r="BU239" s="31" t="n">
        <x:v>-2022.2239</x:v>
      </x:c>
      <x:c r="BV239" s="31" t="n">
        <x:f>=BT239+BU239</x:f>
      </x:c>
      <x:c r="BW239" s="68" t="n">
        <x:f>=BV239/BT239</x:f>
      </x:c>
      <x:c r="BY239" s="68" t="n">
        <x:f>=BO239</x:f>
      </x:c>
      <x:c r="BZ239" s="68" t="n">
        <x:f>=BF239</x:f>
      </x:c>
      <x:c r="CA239" s="68" t="n">
        <x:f>=BG239</x:f>
      </x:c>
      <x:c r="CB239" s="68" t="n">
        <x:f>=1 - BY239</x:f>
      </x:c>
      <x:c r="CD239" s="68" t="n">
        <x:f>=CA239/(1-BZ239)</x:f>
      </x:c>
    </x:row>
    <x:row r="240">
      <x:c r="A240" s="32" t="s">
        <x:v>478</x:v>
      </x:c>
      <x:c r="B240" t="s"/>
      <x:c r="C240" t="s">
        <x:v>479</x:v>
      </x:c>
      <x:c r="D240" t="s">
        <x:v>125</x:v>
      </x:c>
      <x:c r="E240" t="s">
        <x:v>132</x:v>
      </x:c>
      <x:c r="F240" t="n">
        <x:v>2194</x:v>
      </x:c>
      <x:c r="G240" s="33" t="n">
        <x:v>0.0227894257064721969006381039</x:v>
      </x:c>
      <x:c r="H240" s="33" t="n">
        <x:v>0.0948040109389243391066545123</x:v>
      </x:c>
      <x:c r="I240" s="33" t="n">
        <x:v>0.1900638103919781221513217867</x:v>
      </x:c>
      <x:c r="J240" s="33" t="n">
        <x:v>0.2926162260711030082041932543</x:v>
      </x:c>
      <x:c r="K240" s="33" t="n">
        <x:v>0.4284412032816773017319963537</x:v>
      </x:c>
      <x:c r="L240" s="33" t="n">
        <x:v>0.5560619872379216043755697356</x:v>
      </x:c>
      <x:c r="M240" s="33" t="n">
        <x:v>0.6791248860528714676390154968</x:v>
      </x:c>
      <x:c r="N240" s="24" t="n">
        <x:v>0.7757520510483135824977210574</x:v>
      </x:c>
      <x:c r="O240" s="33" t="n">
        <x:v>0.8710118505013673655423883318</x:v>
      </x:c>
      <x:c r="P240" s="23" t="n">
        <x:v>0.9229717411121239744758432088</x:v>
      </x:c>
      <x:c r="BC240" s="34" t="s"/>
      <x:c r="BD240" s="11" t="s">
        <x:v>141</x:v>
      </x:c>
      <x:c r="BE240" s="12" t="n">
        <x:f>=BO240</x:f>
      </x:c>
      <x:c r="BF240" s="12" t="n">
        <x:v>0.9074749316317228805834092981</x:v>
      </x:c>
      <x:c r="BG240" s="12" t="n">
        <x:v>0.0592525068368277119416590702</x:v>
      </x:c>
      <x:c r="BH240" s="12" t="n">
        <x:v>0.0332725615314494074749316317</x:v>
      </x:c>
      <x:c r="BI240" s="12" t="n">
        <x:f>=BN240</x:f>
      </x:c>
      <x:c r="BJ240" s="13" t="n">
        <x:v>0</x:v>
      </x:c>
      <x:c r="BK240" s="31" t="n">
        <x:v>7138.66</x:v>
      </x:c>
      <x:c r="BL240" s="31" t="n">
        <x:v>-5298.0916</x:v>
      </x:c>
      <x:c r="BM240" s="31" t="n">
        <x:f>=BK240+BL240</x:f>
      </x:c>
      <x:c r="BN240" s="68" t="n">
        <x:f>=BM240/BK240</x:f>
      </x:c>
      <x:c r="BO240" s="68" t="n">
        <x:v>0.9667274384685505925250683683</x:v>
      </x:c>
      <x:c r="BP240" s="31" t="n">
        <x:v>4922.04</x:v>
      </x:c>
      <x:c r="BQ240" s="42" t="n">
        <x:v>73</x:v>
      </x:c>
      <x:c r="BR240" s="31" t="n">
        <x:v>163.76887876025524156791248860</x:v>
      </x:c>
      <x:c r="BT240" s="31" t="n">
        <x:v>9422.28524254373500000000</x:v>
      </x:c>
      <x:c r="BU240" s="31" t="n">
        <x:v>-5298.0916</x:v>
      </x:c>
      <x:c r="BV240" s="31" t="n">
        <x:f>=BT240+BU240</x:f>
      </x:c>
      <x:c r="BW240" s="68" t="n">
        <x:f>=BV240/BT240</x:f>
      </x:c>
      <x:c r="BY240" s="68" t="n">
        <x:f>=BO240</x:f>
      </x:c>
      <x:c r="BZ240" s="68" t="n">
        <x:f>=BF240</x:f>
      </x:c>
      <x:c r="CA240" s="68" t="n">
        <x:f>=BG240</x:f>
      </x:c>
      <x:c r="CB240" s="68" t="n">
        <x:f>=1 - BY240</x:f>
      </x:c>
      <x:c r="CD240" s="68" t="n">
        <x:f>=CA240/(1-BZ240)</x:f>
      </x:c>
    </x:row>
    <x:row r="241">
      <x:c r="A241" s="32" t="s">
        <x:v>480</x:v>
      </x:c>
      <x:c r="B241" t="s"/>
      <x:c r="C241" t="s">
        <x:v>481</x:v>
      </x:c>
      <x:c r="D241" t="s">
        <x:v>259</x:v>
      </x:c>
      <x:c r="E241" t="s">
        <x:v>132</x:v>
      </x:c>
      <x:c r="F241" t="n">
        <x:v>4935</x:v>
      </x:c>
      <x:c r="G241" s="33" t="n">
        <x:v>0.0006079027355623100303951368</x:v>
      </x:c>
      <x:c r="H241" s="33" t="n">
        <x:v>0.0004052684903748733535967579</x:v>
      </x:c>
      <x:c r="I241" s="33" t="n">
        <x:v>0.0427558257345491388044579534</x:v>
      </x:c>
      <x:c r="J241" s="33" t="n">
        <x:v>0.1213779128672745694022289767</x:v>
      </x:c>
      <x:c r="K241" s="33" t="n">
        <x:v>0.2194528875379939209726443769</x:v>
      </x:c>
      <x:c r="L241" s="23" t="n">
        <x:v>0.2618034447821681864235055724</x:v>
      </x:c>
      <x:c r="BC241" s="34" t="s"/>
      <x:c r="BD241" s="11" t="s">
        <x:v>213</x:v>
      </x:c>
      <x:c r="BE241" s="12" t="n">
        <x:f>=BO241</x:f>
      </x:c>
      <x:c r="BF241" s="12" t="n">
        <x:v>0.5997973657548125633232016211</x:v>
      </x:c>
      <x:c r="BG241" s="12" t="n">
        <x:v>0.2662613981762917933130699088</x:v>
      </x:c>
      <x:c r="BH241" s="12" t="n">
        <x:v>0.1339412360688956433637284701</x:v>
      </x:c>
      <x:c r="BI241" s="12" t="n">
        <x:f>=BN241</x:f>
      </x:c>
      <x:c r="BJ241" s="13" t="n">
        <x:v>0</x:v>
      </x:c>
      <x:c r="BK241" s="31" t="n">
        <x:v>24411.10</x:v>
      </x:c>
      <x:c r="BL241" s="31" t="n">
        <x:v>-21186.02500</x:v>
      </x:c>
      <x:c r="BM241" s="31" t="n">
        <x:f>=BK241+BL241</x:f>
      </x:c>
      <x:c r="BN241" s="68" t="n">
        <x:f>=BM241/BK241</x:f>
      </x:c>
      <x:c r="BO241" s="68" t="n">
        <x:v>0.8660587639311043566362715299</x:v>
      </x:c>
      <x:c r="BP241" s="31" t="n">
        <x:v>19022.50</x:v>
      </x:c>
      <x:c r="BQ241" s="42" t="n">
        <x:v>661</x:v>
      </x:c>
      <x:c r="BR241" s="31" t="n">
        <x:v>2547.8971631205673758865248227</x:v>
      </x:c>
      <x:c r="BT241" s="31" t="n">
        <x:v>34608.19332956377000000000</x:v>
      </x:c>
      <x:c r="BU241" s="31" t="n">
        <x:v>-21186.02500</x:v>
      </x:c>
      <x:c r="BV241" s="31" t="n">
        <x:f>=BT241+BU241</x:f>
      </x:c>
      <x:c r="BW241" s="68" t="n">
        <x:f>=BV241/BT241</x:f>
      </x:c>
      <x:c r="BY241" s="68" t="n">
        <x:f>=BO241</x:f>
      </x:c>
      <x:c r="BZ241" s="68" t="n">
        <x:f>=BF241</x:f>
      </x:c>
      <x:c r="CA241" s="68" t="n">
        <x:f>=BG241</x:f>
      </x:c>
      <x:c r="CB241" s="68" t="n">
        <x:f>=1 - BY241</x:f>
      </x:c>
      <x:c r="CD241" s="68" t="n">
        <x:f>=CA241/(1-BZ241)</x:f>
      </x:c>
    </x:row>
    <x:row r="242">
      <x:c r="A242" s="32" t="s">
        <x:v>482</x:v>
      </x:c>
      <x:c r="B242" t="s"/>
      <x:c r="C242" t="s">
        <x:v>483</x:v>
      </x:c>
      <x:c r="D242" t="s">
        <x:v>96</x:v>
      </x:c>
      <x:c r="E242" t="s">
        <x:v>132</x:v>
      </x:c>
      <x:c r="F242" t="n">
        <x:v>1968</x:v>
      </x:c>
      <x:c r="G242" s="23" t="n">
        <x:v>0.0436991869918699186991869919</x:v>
      </x:c>
      <x:c r="BC242" s="34" t="s"/>
      <x:c r="BD242" s="11" t="s">
        <x:v>281</x:v>
      </x:c>
      <x:c r="BE242" s="12" t="n">
        <x:f>=BO242</x:f>
      </x:c>
      <x:c r="BF242" s="12" t="n">
        <x:v>0.7667682926829268292682926829</x:v>
      </x:c>
      <x:c r="BG242" s="12" t="n">
        <x:v>0.2251016260162601626016260163</x:v>
      </x:c>
      <x:c r="BH242" s="12" t="n">
        <x:v>0.0081300813008130081300813008</x:v>
      </x:c>
      <x:c r="BI242" s="12" t="n">
        <x:f>=BN242</x:f>
      </x:c>
      <x:c r="BJ242" s="13" t="n">
        <x:v>0</x:v>
      </x:c>
      <x:c r="BK242" s="31" t="n">
        <x:v>5473.55</x:v>
      </x:c>
      <x:c r="BL242" s="31" t="n">
        <x:v>-3852.4475</x:v>
      </x:c>
      <x:c r="BM242" s="31" t="n">
        <x:f>=BK242+BL242</x:f>
      </x:c>
      <x:c r="BN242" s="68" t="n">
        <x:f>=BM242/BK242</x:f>
      </x:c>
      <x:c r="BO242" s="68" t="n">
        <x:v>0.9918699186991869918699186992</x:v>
      </x:c>
      <x:c r="BP242" s="31" t="n">
        <x:v>3698.51</x:v>
      </x:c>
      <x:c r="BQ242" s="42" t="n">
        <x:v>16</x:v>
      </x:c>
      <x:c r="BR242" s="31" t="n">
        <x:v>30.069186991869918699186991870</x:v>
      </x:c>
      <x:c r="BT242" s="31" t="n">
        <x:v>7506.76982498292800000000</x:v>
      </x:c>
      <x:c r="BU242" s="31" t="n">
        <x:v>-3852.4475</x:v>
      </x:c>
      <x:c r="BV242" s="31" t="n">
        <x:f>=BT242+BU242</x:f>
      </x:c>
      <x:c r="BW242" s="68" t="n">
        <x:f>=BV242/BT242</x:f>
      </x:c>
      <x:c r="BY242" s="68" t="n">
        <x:f>=BO242</x:f>
      </x:c>
      <x:c r="BZ242" s="68" t="n">
        <x:f>=BF242</x:f>
      </x:c>
      <x:c r="CA242" s="68" t="n">
        <x:f>=BG242</x:f>
      </x:c>
      <x:c r="CB242" s="68" t="n">
        <x:f>=1 - BY242</x:f>
      </x:c>
      <x:c r="CD242" s="68" t="n">
        <x:f>=CA242/(1-BZ242)</x:f>
      </x:c>
    </x:row>
    <x:row r="243">
      <x:c r="A243" s="32" t="s"/>
      <x:c r="BC243" s="34" t="s"/>
      <x:c r="BD243" s="11" t="s"/>
      <x:c r="BJ243" s="13" t="s"/>
    </x:row>
    <x:row r="244">
      <x:c r="A244" s="17" t="s">
        <x:v>92</x:v>
      </x:c>
      <x:c r="BC244" s="34" t="s"/>
      <x:c r="BD244" s="11" t="s"/>
      <x:c r="BJ244" s="13" t="s"/>
    </x:row>
    <x:row r="245">
      <x:c r="A245" s="32" t="s">
        <x:v>484</x:v>
      </x:c>
      <x:c r="B245" t="s"/>
      <x:c r="C245" t="s">
        <x:v>485</x:v>
      </x:c>
      <x:c r="D245" t="s">
        <x:v>96</x:v>
      </x:c>
      <x:c r="E245" t="s">
        <x:v>132</x:v>
      </x:c>
      <x:c r="F245" t="n">
        <x:v>4213</x:v>
      </x:c>
      <x:c r="G245" s="33" t="n">
        <x:v>0.0014241633040588654165677664</x:v>
      </x:c>
      <x:c r="H245" s="33" t="n">
        <x:v>0.0180394018514122952765250415</x:v>
      </x:c>
      <x:c r="I245" s="33" t="n">
        <x:v>0.0351293615001186802753382388</x:v>
      </x:c>
      <x:c r="J245" s="33" t="n">
        <x:v>0.0505577972940897222881557085</x:v>
      </x:c>
      <x:c r="K245" s="33" t="n">
        <x:v>0.0629005459292665558984096843</x:v>
      </x:c>
      <x:c r="L245" s="33" t="n">
        <x:v>0.071682886304296225967244244</x:v>
      </x:c>
      <x:c r="M245" s="33" t="n">
        <x:v>0.0871113220982672679800617137</x:v>
      </x:c>
      <x:c r="N245" s="33" t="n">
        <x:v>0.0968431046760028483266081177</x:v>
      </x:c>
      <x:c r="O245" s="33" t="n">
        <x:v>0.1061001661523854735342985996</x:v>
      </x:c>
      <x:c r="P245" s="33" t="n">
        <x:v>0.1125089010206503679088535485</x:v>
      </x:c>
      <x:c r="Q245" s="33" t="n">
        <x:v>0.1222406835983859482553999525</x:v>
      </x:c>
      <x:c r="R245" s="33" t="n">
        <x:v>0.1305483028720626631853785901</x:v>
      </x:c>
      <x:c r="S245" s="33" t="n">
        <x:v>0.1419416093045335865179207216</x:v>
      </x:c>
      <x:c r="T245" s="33" t="n">
        <x:v>0.1502492285782103014478993591</x:v>
      </x:c>
      <x:c r="U245" s="33" t="n">
        <x:v>0.1559458817944457631141704249</x:v>
      </x:c>
      <x:c r="V245" s="33" t="n">
        <x:v>0.1618798955613577023498694517</x:v>
      </x:c>
      <x:c r="W245" s="33" t="n">
        <x:v>0.1668644671255637313078566342</x:v>
      </x:c>
      <x:c r="X245" s="33" t="n">
        <x:v>0.1713743175884168051269878946</x:v>
      </x:c>
      <x:c r="Y245" s="33" t="n">
        <x:v>0.1739852836458580583906954664</x:v>
      </x:c>
      <x:c r="Z245" s="33" t="n">
        <x:v>0.1768336102539757892238309993</x:v>
      </x:c>
      <x:c r="AA245" s="33" t="n">
        <x:v>0.1815808212675053406123902207</x:v>
      </x:c>
      <x:c r="AB245" s="33" t="n">
        <x:v>0.1998575836695941134583432234</x:v>
      </x:c>
      <x:c r="AC245" s="33" t="n">
        <x:v>0.2038927130310942321386185616</x:v>
      </x:c>
      <x:c r="AD245" s="33" t="n">
        <x:v>0.2062663185378590078328981723</x:v>
      </x:c>
      <x:c r="AE245" s="33" t="n">
        <x:v>0.2100640873486826489437455495</x:v>
      </x:c>
      <x:c r="AF245" s="33" t="n">
        <x:v>0.2169475433183004984571564206</x:v>
      </x:c>
      <x:c r="AG245" s="23" t="n">
        <x:v>0.2321386185615950629005459293</x:v>
      </x:c>
      <x:c r="BC245" s="34" t="s"/>
      <x:c r="BD245" s="11" t="s">
        <x:v>227</x:v>
      </x:c>
      <x:c r="BE245" s="12" t="n">
        <x:f>=BO245</x:f>
      </x:c>
      <x:c r="BF245" s="12" t="n">
        <x:v>0.2264419653453596012342748635</x:v>
      </x:c>
      <x:c r="BG245" s="12" t="n">
        <x:v>0.4467125563731307856634227391</x:v>
      </x:c>
      <x:c r="BH245" s="12" t="n">
        <x:v>0.3268454782815096131023023973</x:v>
      </x:c>
      <x:c r="BI245" s="12" t="n">
        <x:f>=BN245</x:f>
      </x:c>
      <x:c r="BJ245" s="13" t="n">
        <x:v>0</x:v>
      </x:c>
      <x:c r="BK245" s="31" t="n">
        <x:v>9772.69</x:v>
      </x:c>
      <x:c r="BL245" s="31" t="n">
        <x:v>-11993.2377</x:v>
      </x:c>
      <x:c r="BM245" s="31" t="n">
        <x:f>=BK245+BL245</x:f>
      </x:c>
      <x:c r="BN245" s="68" t="n">
        <x:f>=BM245/BK245</x:f>
      </x:c>
      <x:c r="BO245" s="68" t="n">
        <x:v>0.6731545217184903868976976027</x:v>
      </x:c>
      <x:c r="BP245" s="31" t="n">
        <x:v>11763.05</x:v>
      </x:c>
      <x:c r="BQ245" s="42" t="n">
        <x:v>1377</x:v>
      </x:c>
      <x:c r="BR245" s="31" t="n">
        <x:v>3844.6997032993116544030382150</x:v>
      </x:c>
      <x:c r="BT245" s="31" t="n">
        <x:v>17129.91619858376425000000</x:v>
      </x:c>
      <x:c r="BU245" s="31" t="n">
        <x:v>-11993.2377</x:v>
      </x:c>
      <x:c r="BV245" s="31" t="n">
        <x:f>=BT245+BU245</x:f>
      </x:c>
      <x:c r="BW245" s="68" t="n">
        <x:f>=BV245/BT245</x:f>
      </x:c>
      <x:c r="BY245" s="68" t="n">
        <x:f>=BO245</x:f>
      </x:c>
      <x:c r="BZ245" s="68" t="n">
        <x:f>=BF245</x:f>
      </x:c>
      <x:c r="CA245" s="68" t="n">
        <x:f>=BG245</x:f>
      </x:c>
      <x:c r="CB245" s="68" t="n">
        <x:f>=1 - BY245</x:f>
      </x:c>
      <x:c r="CD245" s="68" t="n">
        <x:f>=CA245/(1-BZ245)</x:f>
      </x:c>
    </x:row>
    <x:row r="246">
      <x:c r="A246" s="32" t="s">
        <x:v>486</x:v>
      </x:c>
      <x:c r="B246" t="s"/>
      <x:c r="C246" t="s">
        <x:v>487</x:v>
      </x:c>
      <x:c r="D246" t="s">
        <x:v>125</x:v>
      </x:c>
      <x:c r="E246" t="s">
        <x:v>132</x:v>
      </x:c>
      <x:c r="F246" t="n">
        <x:v>2074</x:v>
      </x:c>
      <x:c r="G246" s="33" t="n">
        <x:v>0.0028929604628736740597878496</x:v>
      </x:c>
      <x:c r="H246" s="33" t="n">
        <x:v>0.0236258437801350048216007715</x:v>
      </x:c>
      <x:c r="I246" s="33" t="n">
        <x:v>0.0568948891031822565091610415</x:v>
      </x:c>
      <x:c r="J246" s="33" t="n">
        <x:v>0.093056894889103182256509161</x:v>
      </x:c>
      <x:c r="K246" s="33" t="n">
        <x:v>0.1282545805207328833172613308</x:v>
      </x:c>
      <x:c r="L246" s="33" t="n">
        <x:v>0.1494696239151398264223722276</x:v>
      </x:c>
      <x:c r="M246" s="33" t="n">
        <x:v>0.1711668273866923818707810993</x:v>
      </x:c>
      <x:c r="N246" s="33" t="n">
        <x:v>0.1885245901639344262295081967</x:v>
      </x:c>
      <x:c r="O246" s="33" t="n">
        <x:v>0.2015429122468659594985535198</x:v>
      </x:c>
      <x:c r="P246" s="33" t="n">
        <x:v>0.2150433944069431051108968177</x:v>
      </x:c>
      <x:c r="Q246" s="33" t="n">
        <x:v>0.2246865959498553519768563163</x:v>
      </x:c>
      <x:c r="R246" s="33" t="n">
        <x:v>0.2290260366441658630665380906</x:v>
      </x:c>
      <x:c r="S246" s="33" t="n">
        <x:v>0.2270973963355834136933461909</x:v>
      </x:c>
      <x:c r="T246" s="33" t="n">
        <x:v>0.2256509161041465766634522662</x:v>
      </x:c>
      <x:c r="U246" s="33" t="n">
        <x:v>0.2324011571841851494696239151</x:v>
      </x:c>
      <x:c r="V246" s="33" t="n">
        <x:v>0.2396335583413693346190935391</x:v>
      </x:c>
      <x:c r="W246" s="33" t="n">
        <x:v>0.2492767598842815814850530376</x:v>
      </x:c>
      <x:c r="X246" s="33" t="n">
        <x:v>0.2632594021215043394406943105</x:v>
      </x:c>
      <x:c r="Y246" s="33" t="n">
        <x:v>0.2709739633558341369334619094</x:v>
      </x:c>
      <x:c r="Z246" s="33" t="n">
        <x:v>0.2830279652844744455159112825</x:v>
      </x:c>
      <x:c r="AA246" s="33" t="n">
        <x:v>0.2878495660559305689488910318</x:v>
      </x:c>
      <x:c r="AB246" s="33" t="n">
        <x:v>0.2926711668273866923818707811</x:v>
      </x:c>
      <x:c r="AC246" s="33" t="n">
        <x:v>0.2979749276759884281581485053</x:v>
      </x:c>
      <x:c r="AD246" s="23" t="n">
        <x:v>0.3432979749276759884281581485</x:v>
      </x:c>
      <x:c r="BC246" s="34" t="s"/>
      <x:c r="BD246" s="11" t="s">
        <x:v>191</x:v>
      </x:c>
      <x:c r="BE246" s="12" t="n">
        <x:f>=BO246</x:f>
      </x:c>
      <x:c r="BF246" s="12" t="n">
        <x:v>0.3172613307618129218900675024</x:v>
      </x:c>
      <x:c r="BG246" s="12" t="n">
        <x:v>0.5670202507232401157184185149</x:v>
      </x:c>
      <x:c r="BH246" s="12" t="n">
        <x:v>0.1157184185149469623915139826</x:v>
      </x:c>
      <x:c r="BI246" s="12" t="n">
        <x:f>=BN246</x:f>
      </x:c>
      <x:c r="BJ246" s="13" t="n">
        <x:v>0</x:v>
      </x:c>
      <x:c r="BK246" s="31" t="n">
        <x:v>4318.62</x:v>
      </x:c>
      <x:c r="BL246" s="31" t="n">
        <x:v>-4835.2367</x:v>
      </x:c>
      <x:c r="BM246" s="31" t="n">
        <x:f>=BK246+BL246</x:f>
      </x:c>
      <x:c r="BN246" s="68" t="n">
        <x:f>=BM246/BK246</x:f>
      </x:c>
      <x:c r="BO246" s="68" t="n">
        <x:v>0.8842815814850530376084860174</x:v>
      </x:c>
      <x:c r="BP246" s="31" t="n">
        <x:v>4835.11</x:v>
      </x:c>
      <x:c r="BQ246" s="42" t="n">
        <x:v>240</x:v>
      </x:c>
      <x:c r="BR246" s="31" t="n">
        <x:v>559.51128254580520732883317262</x:v>
      </x:c>
      <x:c r="BT246" s="31" t="n">
        <x:v>6689.217910589633250000000</x:v>
      </x:c>
      <x:c r="BU246" s="31" t="n">
        <x:v>-4835.2367</x:v>
      </x:c>
      <x:c r="BV246" s="31" t="n">
        <x:f>=BT246+BU246</x:f>
      </x:c>
      <x:c r="BW246" s="68" t="n">
        <x:f>=BV246/BT246</x:f>
      </x:c>
      <x:c r="BY246" s="68" t="n">
        <x:f>=BO246</x:f>
      </x:c>
      <x:c r="BZ246" s="68" t="n">
        <x:f>=BF246</x:f>
      </x:c>
      <x:c r="CA246" s="68" t="n">
        <x:f>=BG246</x:f>
      </x:c>
      <x:c r="CB246" s="68" t="n">
        <x:f>=1 - BY246</x:f>
      </x:c>
      <x:c r="CD246" s="68" t="n">
        <x:f>=CA246/(1-BZ246)</x:f>
      </x:c>
    </x:row>
    <x:row r="247">
      <x:c r="A247" s="32" t="s">
        <x:v>488</x:v>
      </x:c>
      <x:c r="B247" t="s"/>
      <x:c r="C247" t="s">
        <x:v>489</x:v>
      </x:c>
      <x:c r="D247" t="s">
        <x:v>96</x:v>
      </x:c>
      <x:c r="E247" t="s">
        <x:v>132</x:v>
      </x:c>
      <x:c r="F247" t="n">
        <x:v>4199</x:v>
      </x:c>
      <x:c r="G247" s="33" t="n">
        <x:v>0.0061919504643962848297213622</x:v>
      </x:c>
      <x:c r="H247" s="33" t="n">
        <x:v>0.0245296499166468206715884734</x:v>
      </x:c>
      <x:c r="I247" s="33" t="n">
        <x:v>0.0454870207192188616337223148</x:v>
      </x:c>
      <x:c r="J247" s="33" t="n">
        <x:v>0.0588235294117647058823529412</x:v>
      </x:c>
      <x:c r="K247" s="33" t="n">
        <x:v>0.0707311264586806382472017147</x:v>
      </x:c>
      <x:c r="L247" s="33" t="n">
        <x:v>0.080019052155275065491783758</x:v>
      </x:c>
      <x:c r="M247" s="33" t="n">
        <x:v>0.0912121933793760419147416051</x:v>
      </x:c>
      <x:c r="N247" s="33" t="n">
        <x:v>0.1021671826625386996904024768</x:v>
      </x:c>
      <x:c r="O247" s="33" t="n">
        <x:v>0.1150273874732079066444391522</x:v>
      </x:c>
      <x:c r="P247" s="33" t="n">
        <x:v>0.1331269349845201238390092879</x:v>
      </x:c>
      <x:c r="Q247" s="33" t="n">
        <x:v>0.1433674684448678256727792332</x:v>
      </x:c>
      <x:c r="R247" s="33" t="n">
        <x:v>0.1531316980233388902119552274</x:v>
      </x:c>
      <x:c r="S247" s="33" t="n">
        <x:v>0.160514408192426768278161467</x:v>
      </x:c>
      <x:c r="T247" s="33" t="n">
        <x:v>0.1659919028340080971659919028</x:v>
      </x:c>
      <x:c r="U247" s="33" t="n">
        <x:v>0.1714693974755894260538223387</x:v>
      </x:c>
      <x:c r="V247" s="33" t="n">
        <x:v>0.1771850440581090735889497499</x:v>
      </x:c>
      <x:c r="W247" s="33" t="n">
        <x:v>0.1809954751131221719457013575</x:v>
      </x:c>
      <x:c r="X247" s="33" t="n">
        <x:v>0.2048106692069540366753989045</x:v>
      </x:c>
      <x:c r="Y247" s="33" t="n">
        <x:v>0.2083829483210288163848535366</x:v>
      </x:c>
      <x:c r="Z247" s="33" t="n">
        <x:v>0.2110026196713503215051202667</x:v>
      </x:c>
      <x:c r="AA247" s="33" t="n">
        <x:v>0.2129078351988568706834960705</x:v>
      </x:c>
      <x:c r="AB247" s="33" t="n">
        <x:v>0.2145748987854251012145748988</x:v>
      </x:c>
      <x:c r="AC247" s="23" t="n">
        <x:v>0.2405334603477018337699452251</x:v>
      </x:c>
      <x:c r="BC247" s="34" t="s"/>
      <x:c r="BD247" s="11" t="s">
        <x:v>196</x:v>
      </x:c>
      <x:c r="BE247" s="12" t="n">
        <x:f>=BO247</x:f>
      </x:c>
      <x:c r="BF247" s="12" t="n">
        <x:v>0.2257680400095260776375327459</x:v>
      </x:c>
      <x:c r="BG247" s="12" t="n">
        <x:v>0.6256251488449630864491545606</x:v>
      </x:c>
      <x:c r="BH247" s="12" t="n">
        <x:v>0.1486068111455108359133126935</x:v>
      </x:c>
      <x:c r="BI247" s="12" t="n">
        <x:f>=BN247</x:f>
      </x:c>
      <x:c r="BJ247" s="13" t="n">
        <x:v>0</x:v>
      </x:c>
      <x:c r="BK247" s="31" t="n">
        <x:v>11966.49</x:v>
      </x:c>
      <x:c r="BL247" s="31" t="n">
        <x:v>-13727.1442</x:v>
      </x:c>
      <x:c r="BM247" s="31" t="n">
        <x:f>=BK247+BL247</x:f>
      </x:c>
      <x:c r="BN247" s="68" t="n">
        <x:f>=BM247/BK247</x:f>
      </x:c>
      <x:c r="BO247" s="68" t="n">
        <x:v>0.8513931888544891640866873065</x:v>
      </x:c>
      <x:c r="BP247" s="31" t="n">
        <x:v>13678.55</x:v>
      </x:c>
      <x:c r="BQ247" s="42" t="n">
        <x:v>624</x:v>
      </x:c>
      <x:c r="BR247" s="31" t="n">
        <x:v>2032.7256965944272445820433437</x:v>
      </x:c>
      <x:c r="BT247" s="31" t="n">
        <x:v>19736.32076547444000000000</x:v>
      </x:c>
      <x:c r="BU247" s="31" t="n">
        <x:v>-13727.1442</x:v>
      </x:c>
      <x:c r="BV247" s="31" t="n">
        <x:f>=BT247+BU247</x:f>
      </x:c>
      <x:c r="BW247" s="68" t="n">
        <x:f>=BV247/BT247</x:f>
      </x:c>
      <x:c r="BY247" s="68" t="n">
        <x:f>=BO247</x:f>
      </x:c>
      <x:c r="BZ247" s="68" t="n">
        <x:f>=BF247</x:f>
      </x:c>
      <x:c r="CA247" s="68" t="n">
        <x:f>=BG247</x:f>
      </x:c>
      <x:c r="CB247" s="68" t="n">
        <x:f>=1 - BY247</x:f>
      </x:c>
      <x:c r="CD247" s="68" t="n">
        <x:f>=CA247/(1-BZ247)</x:f>
      </x:c>
    </x:row>
    <x:row r="248">
      <x:c r="A248" s="32" t="s">
        <x:v>490</x:v>
      </x:c>
      <x:c r="B248" t="s"/>
      <x:c r="C248" t="s">
        <x:v>491</x:v>
      </x:c>
      <x:c r="D248" t="s">
        <x:v>96</x:v>
      </x:c>
      <x:c r="E248" t="s">
        <x:v>132</x:v>
      </x:c>
      <x:c r="F248" t="n">
        <x:v>3037</x:v>
      </x:c>
      <x:c r="G248" s="33" t="n">
        <x:v>0.0009878169245966414224563714</x:v>
      </x:c>
      <x:c r="H248" s="33" t="n">
        <x:v>0.0148172538689496213368455713</x:v>
      </x:c>
      <x:c r="I248" s="33" t="n">
        <x:v>0.0335857754362858083635166283</x:v>
      </x:c>
      <x:c r="J248" s="33" t="n">
        <x:v>0.0582811985512018439249259137</x:v>
      </x:c>
      <x:c r="K248" s="33" t="n">
        <x:v>0.0750740862693447481066842279</x:v>
      </x:c>
      <x:c r="L248" s="33" t="n">
        <x:v>0.0977938755350675008231807705</x:v>
      </x:c>
      <x:c r="M248" s="33" t="n">
        <x:v>0.1205136648007902535396773131</x:v>
      </x:c>
      <x:c r="N248" s="33" t="n">
        <x:v>0.1379650971353309186697398749</x:v>
      </x:c>
      <x:c r="O248" s="33" t="n">
        <x:v>0.163319064866644715179453408</x:v>
      </x:c>
      <x:c r="P248" s="33" t="n">
        <x:v>0.1834046756667764241027329602</x:v>
      </x:c>
      <x:c r="Q248" s="23" t="n">
        <x:v>0.2021731972341126111294040171</x:v>
      </x:c>
      <x:c r="BC248" s="34" t="s"/>
      <x:c r="BD248" s="11" t="s">
        <x:v>126</x:v>
      </x:c>
      <x:c r="BE248" s="12" t="n">
        <x:f>=BO248</x:f>
      </x:c>
      <x:c r="BF248" s="12" t="n">
        <x:v>0.2667105696410931840632202832</x:v>
      </x:c>
      <x:c r="BG248" s="12" t="n">
        <x:v>0.5462627593019427066183733948</x:v>
      </x:c>
      <x:c r="BH248" s="12" t="n">
        <x:v>0.187026671056964109318406322</x:v>
      </x:c>
      <x:c r="BI248" s="12" t="n">
        <x:f>=BN248</x:f>
      </x:c>
      <x:c r="BJ248" s="13" t="n">
        <x:v>0</x:v>
      </x:c>
      <x:c r="BK248" s="31" t="n">
        <x:v>8303.41</x:v>
      </x:c>
      <x:c r="BL248" s="31" t="n">
        <x:v>-10198.6576</x:v>
      </x:c>
      <x:c r="BM248" s="31" t="n">
        <x:f>=BK248+BL248</x:f>
      </x:c>
      <x:c r="BN248" s="68" t="n">
        <x:f>=BM248/BK248</x:f>
      </x:c>
      <x:c r="BO248" s="68" t="n">
        <x:v>0.812973328943035890681593678</x:v>
      </x:c>
      <x:c r="BP248" s="31" t="n">
        <x:v>10514.08</x:v>
      </x:c>
      <x:c r="BQ248" s="42" t="n">
        <x:v>568</x:v>
      </x:c>
      <x:c r="BR248" s="31" t="n">
        <x:v>1966.4133816266052025024695423</x:v>
      </x:c>
      <x:c r="BT248" s="31" t="n">
        <x:v>14227.47419860949650000000</x:v>
      </x:c>
      <x:c r="BU248" s="31" t="n">
        <x:v>-10198.6576</x:v>
      </x:c>
      <x:c r="BV248" s="31" t="n">
        <x:f>=BT248+BU248</x:f>
      </x:c>
      <x:c r="BW248" s="68" t="n">
        <x:f>=BV248/BT248</x:f>
      </x:c>
      <x:c r="BY248" s="68" t="n">
        <x:f>=BO248</x:f>
      </x:c>
      <x:c r="BZ248" s="68" t="n">
        <x:f>=BF248</x:f>
      </x:c>
      <x:c r="CA248" s="68" t="n">
        <x:f>=BG248</x:f>
      </x:c>
      <x:c r="CB248" s="68" t="n">
        <x:f>=1 - BY248</x:f>
      </x:c>
      <x:c r="CD248" s="68" t="n">
        <x:f>=CA248/(1-BZ248)</x:f>
      </x:c>
    </x:row>
    <x:row r="249">
      <x:c r="A249" s="32" t="s">
        <x:v>492</x:v>
      </x:c>
      <x:c r="B249" t="s"/>
      <x:c r="C249" t="s">
        <x:v>493</x:v>
      </x:c>
      <x:c r="D249" t="s">
        <x:v>125</x:v>
      </x:c>
      <x:c r="E249" t="s">
        <x:v>132</x:v>
      </x:c>
      <x:c r="F249" t="n">
        <x:v>5284</x:v>
      </x:c>
      <x:c r="G249" s="33" t="n">
        <x:v>0.0060560181680545041635124905</x:v>
      </x:c>
      <x:c r="H249" s="33" t="n">
        <x:v>0.0270628311884935654806964421</x:v>
      </x:c>
      <x:c r="I249" s="33" t="n">
        <x:v>0.0529901589704769114307342922</x:v>
      </x:c>
      <x:c r="J249" s="33" t="n">
        <x:v>0.0853520060560181680545041635</x:v>
      </x:c>
      <x:c r="K249" s="33" t="n">
        <x:v>0.1262301286903860711582134746</x:v>
      </x:c>
      <x:c r="L249" s="33" t="n">
        <x:v>0.1826267978803936411809235428</x:v>
      </x:c>
      <x:c r="M249" s="33" t="n">
        <x:v>0.2615442846328538985616956851</x:v>
      </x:c>
      <x:c r="N249" s="23" t="n">
        <x:v>0.3118849356548069644208932627</x:v>
      </x:c>
      <x:c r="BC249" s="34" t="s"/>
      <x:c r="BD249" s="11" t="s">
        <x:v>210</x:v>
      </x:c>
      <x:c r="BE249" s="12" t="n">
        <x:f>=BO249</x:f>
      </x:c>
      <x:c r="BF249" s="12" t="n">
        <x:v>0.4557153671461014383043149129</x:v>
      </x:c>
      <x:c r="BG249" s="12" t="n">
        <x:v>0.4337623012869038607115821347</x:v>
      </x:c>
      <x:c r="BH249" s="12" t="n">
        <x:v>0.1105223315669947009841029523</x:v>
      </x:c>
      <x:c r="BI249" s="12" t="n">
        <x:f>=BN249</x:f>
      </x:c>
      <x:c r="BJ249" s="13" t="n">
        <x:v>0</x:v>
      </x:c>
      <x:c r="BK249" s="31" t="n">
        <x:v>35165.23</x:v>
      </x:c>
      <x:c r="BL249" s="31" t="n">
        <x:v>-35255.2540</x:v>
      </x:c>
      <x:c r="BM249" s="31" t="n">
        <x:f>=BK249+BL249</x:f>
      </x:c>
      <x:c r="BN249" s="68" t="n">
        <x:f>=BM249/BK249</x:f>
      </x:c>
      <x:c r="BO249" s="68" t="n">
        <x:v>0.8894776684330052990158970477</x:v>
      </x:c>
      <x:c r="BP249" s="31" t="n">
        <x:v>33434.52</x:v>
      </x:c>
      <x:c r="BQ249" s="42" t="n">
        <x:v>584</x:v>
      </x:c>
      <x:c r="BR249" s="31" t="n">
        <x:v>3695.2611052233156699470098411</x:v>
      </x:c>
      <x:c r="BT249" s="31" t="n">
        <x:v>52449.024862568840500000000</x:v>
      </x:c>
      <x:c r="BU249" s="31" t="n">
        <x:v>-35255.2540</x:v>
      </x:c>
      <x:c r="BV249" s="31" t="n">
        <x:f>=BT249+BU249</x:f>
      </x:c>
      <x:c r="BW249" s="68" t="n">
        <x:f>=BV249/BT249</x:f>
      </x:c>
      <x:c r="BY249" s="68" t="n">
        <x:f>=BO249</x:f>
      </x:c>
      <x:c r="BZ249" s="68" t="n">
        <x:f>=BF249</x:f>
      </x:c>
      <x:c r="CA249" s="68" t="n">
        <x:f>=BG249</x:f>
      </x:c>
      <x:c r="CB249" s="68" t="n">
        <x:f>=1 - BY249</x:f>
      </x:c>
      <x:c r="CD249" s="68" t="n">
        <x:f>=CA249/(1-BZ249)</x:f>
      </x:c>
    </x:row>
    <x:row r="250">
      <x:c r="BC250" s="34" t="s"/>
      <x:c r="BD250" s="11" t="s"/>
      <x:c r="BJ250" s="13" t="s"/>
      <x:c r="BK250" s="21" t="n">
        <x:v>432656.90</x:v>
      </x:c>
      <x:c r="BL250" s="21" t="n">
        <x:v>-344542.93456811528962584480</x:v>
      </x:c>
      <x:c r="BM250" s="21" t="n">
        <x:f>=BK250+BL250</x:f>
      </x:c>
      <x:c r="BN250" s="22" t="n">
        <x:v>0.2036578301002126867135487727</x:v>
      </x:c>
      <x:c r="BP250" s="21" t="n">
        <x:v>-329738.254709397205799840</x:v>
      </x:c>
      <x:c r="BQ250" s="21" t="n">
        <x:v>7545</x:v>
      </x:c>
      <x:c r="BR250" s="21" t="n">
        <x:v>28450.741972467287069126797415</x:v>
      </x:c>
      <x:c r="BT250" s="21" t="n">
        <x:v>602575.080825223300625000000</x:v>
      </x:c>
      <x:c r="BU250" s="21" t="n">
        <x:v>-344542.93456811528962584480</x:v>
      </x:c>
      <x:c r="BV250" s="21" t="n">
        <x:f>=BT250+BU250</x:f>
      </x:c>
      <x:c r="BW250" s="22" t="n">
        <x:v>0.4282157601069967713633562828</x:v>
      </x:c>
    </x:row>
    <x:row r="251">
      <x:c r="A251" s="36" t="s">
        <x:v>104</x:v>
      </x:c>
      <x:c r="BC251" s="34" t="s"/>
      <x:c r="BD251" s="11" t="s"/>
      <x:c r="BJ251" s="13" t="s"/>
    </x:row>
    <x:row r="252">
      <x:c r="A252" s="17" t="s">
        <x:v>105</x:v>
      </x:c>
      <x:c r="BC252" s="34" t="s"/>
      <x:c r="BD252" s="11" t="s"/>
      <x:c r="BJ252" s="13" t="s"/>
    </x:row>
    <x:row r="253">
      <x:c r="A253" s="32" t="s">
        <x:v>494</x:v>
      </x:c>
      <x:c r="B253" t="s"/>
      <x:c r="C253" t="s">
        <x:v>495</x:v>
      </x:c>
      <x:c r="D253" t="s">
        <x:v>125</x:v>
      </x:c>
      <x:c r="E253" t="s">
        <x:v>109</x:v>
      </x:c>
      <x:c r="F253" t="n">
        <x:v>926</x:v>
      </x:c>
      <x:c r="G253" s="33" t="n">
        <x:v>0</x:v>
      </x:c>
      <x:c r="H253" s="33" t="n">
        <x:v>0.0010799136069114470842332613</x:v>
      </x:c>
      <x:c r="I253" s="33" t="n">
        <x:v>0</x:v>
      </x:c>
      <x:c r="J253" s="33" t="n">
        <x:v>0.0021598272138228941684665227</x:v>
      </x:c>
      <x:c r="K253" s="33" t="n">
        <x:v>0</x:v>
      </x:c>
      <x:c r="L253" s="33" t="n">
        <x:v>0.130669546436285097192224622</x:v>
      </x:c>
      <x:c r="M253" s="33" t="n">
        <x:v>0.1976241900647948164146868251</x:v>
      </x:c>
      <x:c r="N253" s="33" t="n">
        <x:v>0.2224622030237580993520518359</x:v>
      </x:c>
      <x:c r="O253" s="33" t="n">
        <x:v>0.2570194384449244060475161987</x:v>
      </x:c>
      <x:c r="P253" s="33" t="n">
        <x:v>0.2840172786177105831533477322</x:v>
      </x:c>
      <x:c r="Q253" s="33" t="n">
        <x:v>0.3207343412526997840172786177</x:v>
      </x:c>
      <x:c r="R253" s="33" t="n">
        <x:v>0.3488120950323974082073434125</x:v>
      </x:c>
      <x:c r="S253" s="33" t="n">
        <x:v>0.375809935205183585313174946</x:v>
      </x:c>
      <x:c r="T253" s="33" t="n">
        <x:v>0.3876889848812095032397408207</x:v>
      </x:c>
      <x:c r="U253" s="33" t="n">
        <x:v>0.4082073434125269978401727862</x:v>
      </x:c>
      <x:c r="V253" s="33" t="n">
        <x:v>0.4146868250539956803455723542</x:v>
      </x:c>
      <x:c r="W253" s="33" t="n">
        <x:v>0.4017278617710583153347732181</x:v>
      </x:c>
      <x:c r="X253" s="33" t="n">
        <x:v>0.4049676025917926565874730022</x:v>
      </x:c>
      <x:c r="Y253" s="33" t="n">
        <x:v>0.4157667386609071274298056156</x:v>
      </x:c>
      <x:c r="Z253" s="33" t="n">
        <x:v>0.4265658747300215982721382289</x:v>
      </x:c>
      <x:c r="AA253" s="33" t="n">
        <x:v>0.429805615550755939524838013</x:v>
      </x:c>
      <x:c r="AB253" s="33" t="n">
        <x:v>0.4406047516198704103671706263</x:v>
      </x:c>
      <x:c r="AC253" s="33" t="n">
        <x:v>0.4600431965442764578833693305</x:v>
      </x:c>
      <x:c r="AD253" s="33" t="n">
        <x:v>0.4762419006479481641468682505</x:v>
      </x:c>
      <x:c r="AE253" s="33" t="n">
        <x:v>0.5107991360691144708423326134</x:v>
      </x:c>
      <x:c r="AF253" s="33" t="n">
        <x:v>0.5377969762419006479481641469</x:v>
      </x:c>
      <x:c r="AG253" s="33" t="n">
        <x:v>0.557235421166306695464362851</x:v>
      </x:c>
      <x:c r="AH253" s="33" t="n">
        <x:v>0.5734341252699784017278617711</x:v>
      </x:c>
      <x:c r="AI253" s="33" t="n">
        <x:v>0.5647948164146868250539956803</x:v>
      </x:c>
      <x:c r="AJ253" s="33" t="n">
        <x:v>0.5745140388768898488120950324</x:v>
      </x:c>
      <x:c r="AK253" s="33" t="n">
        <x:v>0.5799136069114470842332613391</x:v>
      </x:c>
      <x:c r="AL253" s="33" t="n">
        <x:v>0.5863930885529157667386609071</x:v>
      </x:c>
      <x:c r="AM253" s="33" t="n">
        <x:v>0.6101511879049676025917926566</x:v>
      </x:c>
      <x:c r="AN253" s="33" t="n">
        <x:v>0.6285097192224622030237580994</x:v>
      </x:c>
      <x:c r="AO253" s="33" t="n">
        <x:v>0.6511879049676025917926565875</x:v>
      </x:c>
      <x:c r="AP253" s="33" t="n">
        <x:v>0.6749460043196544276457883369</x:v>
      </x:c>
      <x:c r="AQ253" s="33" t="n">
        <x:v>0.6749460043196544276457883369</x:v>
      </x:c>
      <x:c r="AR253" s="33" t="n">
        <x:v>0.694384449244060475161987041</x:v>
      </x:c>
      <x:c r="AS253" s="24" t="n">
        <x:v>0.7105831533477321814254859611</x:v>
      </x:c>
      <x:c r="AT253" s="33" t="n">
        <x:v>0.7138228941684665226781857451</x:v>
      </x:c>
      <x:c r="BC253" s="34" t="s"/>
      <x:c r="BD253" s="11" t="s">
        <x:v>496</x:v>
      </x:c>
      <x:c r="BE253" s="12" t="n">
        <x:f>=BO253</x:f>
      </x:c>
      <x:c r="BF253" s="12" t="n">
        <x:v>0.6825053995680345572354211663</x:v>
      </x:c>
      <x:c r="BG253" s="12" t="n">
        <x:v>0.1328293736501079913606911447</x:v>
      </x:c>
      <x:c r="BH253" s="12" t="n">
        <x:v>0.184665226781857451403887689</x:v>
      </x:c>
      <x:c r="BI253" s="12" t="n">
        <x:f>=BN253</x:f>
      </x:c>
      <x:c r="BJ253" s="13" t="n">
        <x:v>0</x:v>
      </x:c>
      <x:c r="BK253" s="31" t="n">
        <x:v>7327.09</x:v>
      </x:c>
      <x:c r="BL253" s="31" t="n">
        <x:v>-6331.2472</x:v>
      </x:c>
      <x:c r="BM253" s="31" t="n">
        <x:f>=BK253+BL253</x:f>
      </x:c>
      <x:c r="BN253" s="68" t="n">
        <x:f>=BM253/BK253</x:f>
      </x:c>
      <x:c r="BO253" s="68" t="n">
        <x:v>0.815334773218142548596112311</x:v>
      </x:c>
      <x:c r="BP253" s="31" t="n">
        <x:v>5630.08</x:v>
      </x:c>
      <x:c r="BQ253" s="42" t="n">
        <x:v>171</x:v>
      </x:c>
      <x:c r="BR253" s="31" t="n">
        <x:v>1039.68</x:v>
      </x:c>
      <x:c r="BT253" s="31" t="n">
        <x:v>10301.865446216250000000000000</x:v>
      </x:c>
      <x:c r="BU253" s="31" t="n">
        <x:v>-6331.2472</x:v>
      </x:c>
      <x:c r="BV253" s="31" t="n">
        <x:f>=BT253+BU253</x:f>
      </x:c>
      <x:c r="BW253" s="68" t="n">
        <x:f>=BV253/BT253</x:f>
      </x:c>
      <x:c r="BY253" s="68" t="n">
        <x:f>=BO253</x:f>
      </x:c>
      <x:c r="BZ253" s="68" t="n">
        <x:f>=BF253</x:f>
      </x:c>
      <x:c r="CA253" s="68" t="n">
        <x:f>=BG253</x:f>
      </x:c>
      <x:c r="CB253" s="68" t="n">
        <x:f>=1 - BY253</x:f>
      </x:c>
      <x:c r="CD253" s="68" t="n">
        <x:f>=CA253/(1-BZ253)</x:f>
      </x:c>
    </x:row>
    <x:row r="254">
      <x:c r="A254" s="32" t="s">
        <x:v>497</x:v>
      </x:c>
      <x:c r="B254" t="s"/>
      <x:c r="C254" t="s">
        <x:v>498</x:v>
      </x:c>
      <x:c r="D254" t="s">
        <x:v>125</x:v>
      </x:c>
      <x:c r="E254" t="s">
        <x:v>109</x:v>
      </x:c>
      <x:c r="F254" t="n">
        <x:v>504</x:v>
      </x:c>
      <x:c r="G254" s="33" t="n">
        <x:v>0.001984126984126984126984127</x:v>
      </x:c>
      <x:c r="H254" s="33" t="n">
        <x:v>0</x:v>
      </x:c>
      <x:c r="I254" s="33" t="n">
        <x:v>0.001984126984126984126984127</x:v>
      </x:c>
      <x:c r="J254" s="33" t="n">
        <x:v>0.001984126984126984126984127</x:v>
      </x:c>
      <x:c r="K254" s="33" t="n">
        <x:v>0.380952380952380952380952381</x:v>
      </x:c>
      <x:c r="L254" s="33" t="n">
        <x:v>0.5912698412698412698412698413</x:v>
      </x:c>
      <x:c r="M254" s="33" t="n">
        <x:v>0.5674603174603174603174603175</x:v>
      </x:c>
      <x:c r="N254" s="33" t="n">
        <x:v>0.5396825396825396825396825397</x:v>
      </x:c>
      <x:c r="O254" s="33" t="n">
        <x:v>0.5218253968253968253968253968</x:v>
      </x:c>
      <x:c r="P254" s="33" t="n">
        <x:v>0.5436507936507936507936507937</x:v>
      </x:c>
      <x:c r="Q254" s="33" t="n">
        <x:v>0.5615079365079365079365079365</x:v>
      </x:c>
      <x:c r="R254" s="33" t="n">
        <x:v>0.6111111111111111111111111111</x:v>
      </x:c>
      <x:c r="S254" s="33" t="n">
        <x:v>0.6170634920634920634920634921</x:v>
      </x:c>
      <x:c r="T254" s="33" t="n">
        <x:v>0.623015873015873015873015873</x:v>
      </x:c>
      <x:c r="U254" s="33" t="n">
        <x:v>0.6567460317460317460317460317</x:v>
      </x:c>
      <x:c r="V254" s="33" t="n">
        <x:v>0.6904761904761904761904761905</x:v>
      </x:c>
      <x:c r="W254" s="33" t="n">
        <x:v>0.6924603174603174603174603175</x:v>
      </x:c>
      <x:c r="X254" s="24" t="n">
        <x:v>0.7023809523809523809523809524</x:v>
      </x:c>
      <x:c r="Y254" s="33" t="n">
        <x:v>0.7182539682539682539682539683</x:v>
      </x:c>
      <x:c r="Z254" s="33" t="n">
        <x:v>0.7361111111111111111111111111</x:v>
      </x:c>
      <x:c r="AA254" s="33" t="n">
        <x:v>0.744047619047619047619047619</x:v>
      </x:c>
      <x:c r="AB254" s="33" t="n">
        <x:v>0.7619047619047619047619047619</x:v>
      </x:c>
      <x:c r="AC254" s="33" t="n">
        <x:v>0.7837301587301587301587301587</x:v>
      </x:c>
      <x:c r="AD254" s="33" t="n">
        <x:v>0.7757936507936507936507936508</x:v>
      </x:c>
      <x:c r="AE254" s="33" t="n">
        <x:v>0.7658730158730158730158730159</x:v>
      </x:c>
      <x:c r="AF254" s="33" t="n">
        <x:v>0.7757936507936507936507936508</x:v>
      </x:c>
      <x:c r="AG254" s="33" t="n">
        <x:v>0.7916666666666666666666666667</x:v>
      </x:c>
      <x:c r="AH254" s="33" t="n">
        <x:v>0.7956349206349206349206349206</x:v>
      </x:c>
      <x:c r="AI254" s="23" t="n">
        <x:v>0.7876984126984126984126984127</x:v>
      </x:c>
      <x:c r="BC254" s="34" t="s"/>
      <x:c r="BD254" s="11" t="s">
        <x:v>248</x:v>
      </x:c>
      <x:c r="BE254" s="12" t="n">
        <x:f>=BO254</x:f>
      </x:c>
      <x:c r="BF254" s="12" t="n">
        <x:v>0.7757936507936507936507936508</x:v>
      </x:c>
      <x:c r="BG254" s="12" t="n">
        <x:v>0.0694444444444444444444444444</x:v>
      </x:c>
      <x:c r="BH254" s="12" t="n">
        <x:v>0.1547619047619047619047619048</x:v>
      </x:c>
      <x:c r="BI254" s="12" t="n">
        <x:f>=BN254</x:f>
      </x:c>
      <x:c r="BJ254" s="13" t="n">
        <x:v>0</x:v>
      </x:c>
      <x:c r="BK254" s="31" t="n">
        <x:v>5695.94</x:v>
      </x:c>
      <x:c r="BL254" s="31" t="n">
        <x:v>-4466.4984</x:v>
      </x:c>
      <x:c r="BM254" s="31" t="n">
        <x:f>=BK254+BL254</x:f>
      </x:c>
      <x:c r="BN254" s="68" t="n">
        <x:f>=BM254/BK254</x:f>
      </x:c>
      <x:c r="BO254" s="68" t="n">
        <x:v>0.8452380952380952380952380952</x:v>
      </x:c>
      <x:c r="BP254" s="31" t="n">
        <x:v>4500.72</x:v>
      </x:c>
      <x:c r="BQ254" s="42" t="n">
        <x:v>78</x:v>
      </x:c>
      <x:c r="BR254" s="31" t="n">
        <x:v>696.54</x:v>
      </x:c>
      <x:c r="BT254" s="31" t="n">
        <x:v>7800.7703157245000000000</x:v>
      </x:c>
      <x:c r="BU254" s="31" t="n">
        <x:v>-4466.4984</x:v>
      </x:c>
      <x:c r="BV254" s="31" t="n">
        <x:f>=BT254+BU254</x:f>
      </x:c>
      <x:c r="BW254" s="68" t="n">
        <x:f>=BV254/BT254</x:f>
      </x:c>
      <x:c r="BY254" s="68" t="n">
        <x:f>=BO254</x:f>
      </x:c>
      <x:c r="BZ254" s="68" t="n">
        <x:f>=BF254</x:f>
      </x:c>
      <x:c r="CA254" s="68" t="n">
        <x:f>=BG254</x:f>
      </x:c>
      <x:c r="CB254" s="68" t="n">
        <x:f>=1 - BY254</x:f>
      </x:c>
      <x:c r="CD254" s="68" t="n">
        <x:f>=CA254/(1-BZ254)</x:f>
      </x:c>
    </x:row>
    <x:row r="255">
      <x:c r="A255" s="32" t="s">
        <x:v>499</x:v>
      </x:c>
      <x:c r="B255" t="s"/>
      <x:c r="C255" t="s">
        <x:v>500</x:v>
      </x:c>
      <x:c r="D255" t="s">
        <x:v>173</x:v>
      </x:c>
      <x:c r="E255" t="s">
        <x:v>109</x:v>
      </x:c>
      <x:c r="F255" t="n">
        <x:v>502</x:v>
      </x:c>
      <x:c r="G255" s="33" t="n">
        <x:v>0.0039840637450199203187250996</x:v>
      </x:c>
      <x:c r="H255" s="33" t="n">
        <x:v>0.0079681274900398406374501992</x:v>
      </x:c>
      <x:c r="I255" s="33" t="n">
        <x:v>0.0378486055776892430278884462</x:v>
      </x:c>
      <x:c r="J255" s="33" t="n">
        <x:v>0.0916334661354581673306772908</x:v>
      </x:c>
      <x:c r="K255" s="33" t="n">
        <x:v>0.1115537848605577689243027888</x:v>
      </x:c>
      <x:c r="L255" s="33" t="n">
        <x:v>0.1135458167330677290836653386</x:v>
      </x:c>
      <x:c r="M255" s="33" t="n">
        <x:v>0.1494023904382470119521912351</x:v>
      </x:c>
      <x:c r="N255" s="33" t="n">
        <x:v>0.1553784860557768924302788845</x:v>
      </x:c>
      <x:c r="O255" s="33" t="n">
        <x:v>0.1912350597609561752988047809</x:v>
      </x:c>
      <x:c r="P255" s="33" t="n">
        <x:v>0.2250996015936254980079681275</x:v>
      </x:c>
      <x:c r="Q255" s="33" t="n">
        <x:v>0.2549800796812749003984063745</x:v>
      </x:c>
      <x:c r="R255" s="33" t="n">
        <x:v>0.2848605577689243027888446215</x:v>
      </x:c>
      <x:c r="S255" s="33" t="n">
        <x:v>0.3466135458167330677290836653</x:v>
      </x:c>
      <x:c r="T255" s="33" t="n">
        <x:v>0.4023904382470119521912350598</x:v>
      </x:c>
      <x:c r="U255" s="33" t="n">
        <x:v>0.4282868525896414342629482072</x:v>
      </x:c>
      <x:c r="V255" s="33" t="n">
        <x:v>0.4462151394422310756972111554</x:v>
      </x:c>
      <x:c r="W255" s="33" t="n">
        <x:v>0.5039840637450199203187250996</x:v>
      </x:c>
      <x:c r="X255" s="33" t="n">
        <x:v>0.5278884462151394422310756972</x:v>
      </x:c>
      <x:c r="Y255" s="33" t="n">
        <x:v>0.5737051792828685258964143426</x:v>
      </x:c>
      <x:c r="Z255" s="33" t="n">
        <x:v>0.5936254980079681274900398406</x:v>
      </x:c>
      <x:c r="AA255" s="33" t="n">
        <x:v>0.6115537848605577689243027888</x:v>
      </x:c>
      <x:c r="AB255" s="33" t="n">
        <x:v>0.6155378486055776892430278884</x:v>
      </x:c>
      <x:c r="AC255" s="23" t="n">
        <x:v>0.6553784860557768924302788845</x:v>
      </x:c>
      <x:c r="BC255" s="34" t="s"/>
      <x:c r="BD255" s="11" t="s">
        <x:v>196</x:v>
      </x:c>
      <x:c r="BE255" s="12" t="n">
        <x:f>=BO255</x:f>
      </x:c>
      <x:c r="BF255" s="12" t="n">
        <x:v>0.59960159362549800796812749</x:v>
      </x:c>
      <x:c r="BG255" s="12" t="n">
        <x:v>0.2669322709163346613545816733</x:v>
      </x:c>
      <x:c r="BH255" s="12" t="n">
        <x:v>0.1334661354581673306772908367</x:v>
      </x:c>
      <x:c r="BI255" s="12" t="n">
        <x:f>=BN255</x:f>
      </x:c>
      <x:c r="BJ255" s="13" t="n">
        <x:v>0</x:v>
      </x:c>
      <x:c r="BK255" s="31" t="n">
        <x:v>5387.05</x:v>
      </x:c>
      <x:c r="BL255" s="31" t="n">
        <x:v>-4550.2786</x:v>
      </x:c>
      <x:c r="BM255" s="31" t="n">
        <x:f>=BK255+BL255</x:f>
      </x:c>
      <x:c r="BN255" s="68" t="n">
        <x:f>=BM255/BK255</x:f>
      </x:c>
      <x:c r="BO255" s="68" t="n">
        <x:v>0.8665338645418326693227091633</x:v>
      </x:c>
      <x:c r="BP255" s="31" t="n">
        <x:v>3965.80</x:v>
      </x:c>
      <x:c r="BQ255" s="42" t="n">
        <x:v>67</x:v>
      </x:c>
      <x:c r="BR255" s="31" t="n">
        <x:v>529.30</x:v>
      </x:c>
      <x:c r="BT255" s="31" t="n">
        <x:v>7644.7953386617500000000000000</x:v>
      </x:c>
      <x:c r="BU255" s="31" t="n">
        <x:v>-4550.2786</x:v>
      </x:c>
      <x:c r="BV255" s="31" t="n">
        <x:f>=BT255+BU255</x:f>
      </x:c>
      <x:c r="BW255" s="68" t="n">
        <x:f>=BV255/BT255</x:f>
      </x:c>
      <x:c r="BY255" s="68" t="n">
        <x:f>=BO255</x:f>
      </x:c>
      <x:c r="BZ255" s="68" t="n">
        <x:f>=BF255</x:f>
      </x:c>
      <x:c r="CA255" s="68" t="n">
        <x:f>=BG255</x:f>
      </x:c>
      <x:c r="CB255" s="68" t="n">
        <x:f>=1 - BY255</x:f>
      </x:c>
      <x:c r="CD255" s="68" t="n">
        <x:f>=CA255/(1-BZ255)</x:f>
      </x:c>
    </x:row>
    <x:row r="256">
      <x:c r="A256" s="32" t="s">
        <x:v>501</x:v>
      </x:c>
      <x:c r="B256" t="s"/>
      <x:c r="C256" t="s">
        <x:v>502</x:v>
      </x:c>
      <x:c r="D256" t="s">
        <x:v>125</x:v>
      </x:c>
      <x:c r="E256" t="s">
        <x:v>109</x:v>
      </x:c>
      <x:c r="F256" t="n">
        <x:v>919</x:v>
      </x:c>
      <x:c r="G256" s="33" t="n">
        <x:v>0.0184983677910772578890097933</x:v>
      </x:c>
      <x:c r="H256" s="33" t="n">
        <x:v>0.1501632208922742110990206746</x:v>
      </x:c>
      <x:c r="I256" s="33" t="n">
        <x:v>0.3307943416757344940152339499</x:v>
      </x:c>
      <x:c r="J256" s="33" t="n">
        <x:v>0.5136017410228509249183895539</x:v>
      </x:c>
      <x:c r="K256" s="33" t="n">
        <x:v>0.6496191512513601741022850925</x:v>
      </x:c>
      <x:c r="L256" s="33" t="n">
        <x:v>0.6931447225244831338411316649</x:v>
      </x:c>
      <x:c r="M256" s="33" t="n">
        <x:v>0.6996735582154515778019586507</x:v>
      </x:c>
      <x:c r="N256" s="24" t="n">
        <x:v>0.7421109902067464635473340588</x:v>
      </x:c>
      <x:c r="O256" s="33" t="n">
        <x:v>0.7693144722524483133841131665</x:v>
      </x:c>
      <x:c r="P256" s="33" t="n">
        <x:v>0.7801958650707290533188248096</x:v>
      </x:c>
      <x:c r="Q256" s="33" t="n">
        <x:v>0.7856365614798694232861806311</x:v>
      </x:c>
      <x:c r="R256" s="33" t="n">
        <x:v>0.7725788900979325353645266594</x:v>
      </x:c>
      <x:c r="S256" s="33" t="n">
        <x:v>0.7878128400435255712731229597</x:v>
      </x:c>
      <x:c r="T256" s="23" t="n">
        <x:v>0.7845484221980413492927094668</x:v>
      </x:c>
      <x:c r="BC256" s="34" t="s"/>
      <x:c r="BD256" s="11" t="s">
        <x:v>118</x:v>
      </x:c>
      <x:c r="BE256" s="12" t="n">
        <x:f>=BO256</x:f>
      </x:c>
      <x:c r="BF256" s="12" t="n">
        <x:v>0.7203482045701849836779107726</x:v>
      </x:c>
      <x:c r="BG256" s="12" t="n">
        <x:v>0.13384113166485310119695321</x:v>
      </x:c>
      <x:c r="BH256" s="12" t="n">
        <x:v>0.1458106637649619151251360174</x:v>
      </x:c>
      <x:c r="BI256" s="12" t="n">
        <x:f>=BN256</x:f>
      </x:c>
      <x:c r="BJ256" s="13" t="n">
        <x:v>0</x:v>
      </x:c>
      <x:c r="BK256" s="31" t="n">
        <x:v>13791.51</x:v>
      </x:c>
      <x:c r="BL256" s="31" t="n">
        <x:v>-11577.1944</x:v>
      </x:c>
      <x:c r="BM256" s="31" t="n">
        <x:f>=BK256+BL256</x:f>
      </x:c>
      <x:c r="BN256" s="68" t="n">
        <x:f>=BM256/BK256</x:f>
      </x:c>
      <x:c r="BO256" s="68" t="n">
        <x:v>0.8541893362350380848748639826</x:v>
      </x:c>
      <x:c r="BP256" s="31" t="n">
        <x:v>11303.70</x:v>
      </x:c>
      <x:c r="BQ256" s="42" t="n">
        <x:v>134</x:v>
      </x:c>
      <x:c r="BR256" s="31" t="n">
        <x:v>1648.20</x:v>
      </x:c>
      <x:c r="BT256" s="31" t="n">
        <x:v>19105.6282971176250000000</x:v>
      </x:c>
      <x:c r="BU256" s="31" t="n">
        <x:v>-11577.1944</x:v>
      </x:c>
      <x:c r="BV256" s="31" t="n">
        <x:f>=BT256+BU256</x:f>
      </x:c>
      <x:c r="BW256" s="68" t="n">
        <x:f>=BV256/BT256</x:f>
      </x:c>
      <x:c r="BY256" s="68" t="n">
        <x:f>=BO256</x:f>
      </x:c>
      <x:c r="BZ256" s="68" t="n">
        <x:f>=BF256</x:f>
      </x:c>
      <x:c r="CA256" s="68" t="n">
        <x:f>=BG256</x:f>
      </x:c>
      <x:c r="CB256" s="68" t="n">
        <x:f>=1 - BY256</x:f>
      </x:c>
      <x:c r="CD256" s="68" t="n">
        <x:f>=CA256/(1-BZ256)</x:f>
      </x:c>
    </x:row>
    <x:row r="257">
      <x:c r="A257" s="32" t="s">
        <x:v>503</x:v>
      </x:c>
      <x:c r="B257" t="s">
        <x:v>94</x:v>
      </x:c>
      <x:c r="C257" s="9" t="s">
        <x:v>504</x:v>
      </x:c>
      <x:c r="D257" t="s">
        <x:v>96</x:v>
      </x:c>
      <x:c r="E257" t="s">
        <x:v>109</x:v>
      </x:c>
      <x:c r="F257" t="n">
        <x:v>5252</x:v>
      </x:c>
      <x:c r="G257" s="33" t="n">
        <x:v>0.0015232292460015232292460015</x:v>
      </x:c>
      <x:c r="H257" s="33" t="n">
        <x:v>0.0074257425742574257425742574</x:v>
      </x:c>
      <x:c r="I257" s="33" t="n">
        <x:v>0.0365575019040365575019040366</x:v>
      </x:c>
      <x:c r="J257" s="23" t="n">
        <x:v>0.1041507996953541507996953542</x:v>
      </x:c>
      <x:c r="BC257" s="34" t="s"/>
      <x:c r="BD257" s="11" t="s">
        <x:v>505</x:v>
      </x:c>
      <x:c r="BE257" s="12" t="n">
        <x:f>=BO257</x:f>
      </x:c>
      <x:c r="BF257" s="12" t="n">
        <x:v>0.5306549885757806549885757807</x:v>
      </x:c>
      <x:c r="BG257" s="12" t="n">
        <x:v>0.3313023610053313023610053313</x:v>
      </x:c>
      <x:c r="BH257" s="12" t="n">
        <x:v>0.138042650418888042650418888</x:v>
      </x:c>
      <x:c r="BI257" s="12" t="n">
        <x:f>=BN257</x:f>
      </x:c>
      <x:c r="BJ257" s="13" t="n">
        <x:v>0</x:v>
      </x:c>
      <x:c r="BK257" s="31" t="n">
        <x:v>97619.55</x:v>
      </x:c>
      <x:c r="BL257" s="31" t="n">
        <x:v>-83132.8576</x:v>
      </x:c>
      <x:c r="BM257" s="31" t="n">
        <x:f>=BK257+BL257</x:f>
      </x:c>
      <x:c r="BN257" s="68" t="n">
        <x:f>=BM257/BK257</x:f>
      </x:c>
      <x:c r="BO257" s="68" t="n">
        <x:v>0.861957349581111957349581112</x:v>
      </x:c>
      <x:c r="BP257" s="31" t="n">
        <x:v>77939.68</x:v>
      </x:c>
      <x:c r="BQ257" s="42" t="n">
        <x:v>725</x:v>
      </x:c>
      <x:c r="BR257" s="31" t="n">
        <x:v>10759.00</x:v>
      </x:c>
      <x:c r="BT257" s="31" t="n">
        <x:v>138112.4760739380000000000</x:v>
      </x:c>
      <x:c r="BU257" s="31" t="n">
        <x:v>-83132.8576</x:v>
      </x:c>
      <x:c r="BV257" s="31" t="n">
        <x:f>=BT257+BU257</x:f>
      </x:c>
      <x:c r="BW257" s="68" t="n">
        <x:f>=BV257/BT257</x:f>
      </x:c>
      <x:c r="BY257" s="68" t="n">
        <x:f>=BO257</x:f>
      </x:c>
      <x:c r="BZ257" s="68" t="n">
        <x:f>=BF257</x:f>
      </x:c>
      <x:c r="CA257" s="68" t="n">
        <x:f>=BG257</x:f>
      </x:c>
      <x:c r="CB257" s="68" t="n">
        <x:f>=1 - BY257</x:f>
      </x:c>
      <x:c r="CD257" s="68" t="n">
        <x:f>=CA257/(1-BZ257)</x:f>
      </x:c>
    </x:row>
    <x:row r="258">
      <x:c r="A258" s="32" t="s"/>
      <x:c r="BC258" s="34" t="s"/>
      <x:c r="BD258" s="11" t="s"/>
      <x:c r="BJ258" s="13" t="s"/>
    </x:row>
    <x:row r="259">
      <x:c r="A259" s="17" t="s">
        <x:v>92</x:v>
      </x:c>
      <x:c r="BC259" s="34" t="s"/>
      <x:c r="BD259" s="11" t="s"/>
      <x:c r="BJ259" s="13" t="s"/>
    </x:row>
    <x:row r="260">
      <x:c r="A260" s="32" t="s">
        <x:v>506</x:v>
      </x:c>
      <x:c r="B260" t="s"/>
      <x:c r="C260" t="s">
        <x:v>507</x:v>
      </x:c>
      <x:c r="D260" t="s">
        <x:v>108</x:v>
      </x:c>
      <x:c r="E260" t="s">
        <x:v>109</x:v>
      </x:c>
      <x:c r="F260" t="n">
        <x:v>537</x:v>
      </x:c>
      <x:c r="G260" s="33" t="n">
        <x:v>0.0111731843575418994413407821</x:v>
      </x:c>
      <x:c r="H260" s="33" t="n">
        <x:v>0.0204841713221601489757914339</x:v>
      </x:c>
      <x:c r="I260" s="33" t="n">
        <x:v>0.0242085661080074487895716946</x:v>
      </x:c>
      <x:c r="J260" s="33" t="n">
        <x:v>0.0409683426443202979515828678</x:v>
      </x:c>
      <x:c r="K260" s="33" t="n">
        <x:v>0.0521415270018621973929236499</x:v>
      </x:c>
      <x:c r="L260" s="33" t="n">
        <x:v>0.0744878957169459962756052142</x:v>
      </x:c>
      <x:c r="M260" s="33" t="n">
        <x:v>0.0800744878957169459962756052</x:v>
      </x:c>
      <x:c r="N260" s="33" t="n">
        <x:v>0.094972067039106145251396648</x:v>
      </x:c>
      <x:c r="O260" s="33" t="n">
        <x:v>0.1042830540037243947858472998</x:v>
      </x:c>
      <x:c r="P260" s="33" t="n">
        <x:v>0.1098696461824953445065176909</x:v>
      </x:c>
      <x:c r="Q260" s="33" t="n">
        <x:v>0.1340782122905027932960893855</x:v>
      </x:c>
      <x:c r="R260" s="33" t="n">
        <x:v>0.1489757914338919925512104283</x:v>
      </x:c>
      <x:c r="S260" s="33" t="n">
        <x:v>0.1657355679702048417132216015</x:v>
      </x:c>
      <x:c r="T260" s="33" t="n">
        <x:v>0.1657355679702048417132216015</x:v>
      </x:c>
      <x:c r="U260" s="33" t="n">
        <x:v>0.1657355679702048417132216015</x:v>
      </x:c>
      <x:c r="V260" s="33" t="n">
        <x:v>0.1694599627560521415270018622</x:v>
      </x:c>
      <x:c r="W260" s="33" t="n">
        <x:v>0.1769087523277467411545623836</x:v>
      </x:c>
      <x:c r="X260" s="33" t="n">
        <x:v>0.178770949720670391061452514</x:v>
      </x:c>
      <x:c r="Y260" s="33" t="n">
        <x:v>0.1806331471135940409683426443</x:v>
      </x:c>
      <x:c r="Z260" s="33" t="n">
        <x:v>0.184357541899441340782122905</x:v>
      </x:c>
      <x:c r="AA260" s="33" t="n">
        <x:v>0.184357541899441340782122905</x:v>
      </x:c>
      <x:c r="AB260" s="33" t="n">
        <x:v>0.2048417132216014897579143389</x:v>
      </x:c>
      <x:c r="AC260" s="33" t="n">
        <x:v>0.2290502793296089385474860335</x:v>
      </x:c>
      <x:c r="AD260" s="33" t="n">
        <x:v>0.2607076350093109869646182495</x:v>
      </x:c>
      <x:c r="AE260" s="33" t="n">
        <x:v>0.2849162011173184357541899441</x:v>
      </x:c>
      <x:c r="AF260" s="33" t="n">
        <x:v>0.305400372439478584729981378</x:v>
      </x:c>
      <x:c r="AG260" s="33" t="n">
        <x:v>0.3165735567970204841713221601</x:v>
      </x:c>
      <x:c r="AH260" s="33" t="n">
        <x:v>0.3519553072625698324022346369</x:v>
      </x:c>
      <x:c r="AI260" s="33" t="n">
        <x:v>0.3743016759776536312849162011</x:v>
      </x:c>
      <x:c r="AJ260" s="33" t="n">
        <x:v>0.3780260707635009310986964618</x:v>
      </x:c>
      <x:c r="AK260" s="33" t="n">
        <x:v>0.3985102420856610800744878957</x:v>
      </x:c>
      <x:c r="AL260" s="33" t="n">
        <x:v>0.4022346368715083798882681564</x:v>
      </x:c>
      <x:c r="AM260" s="23" t="n">
        <x:v>0.4320297951582867783985102421</x:v>
      </x:c>
      <x:c r="BC260" s="34" t="s"/>
      <x:c r="BD260" s="11" t="s">
        <x:v>177</x:v>
      </x:c>
      <x:c r="BE260" s="12" t="n">
        <x:f>=BO260</x:f>
      </x:c>
      <x:c r="BF260" s="12" t="n">
        <x:v>0.394785847299813780260707635</x:v>
      </x:c>
      <x:c r="BG260" s="12" t="n">
        <x:v>0.2811918063314711359404096834</x:v>
      </x:c>
      <x:c r="BH260" s="12" t="n">
        <x:v>0.3240223463687150837988826816</x:v>
      </x:c>
      <x:c r="BI260" s="12" t="n">
        <x:f>=BN260</x:f>
      </x:c>
      <x:c r="BJ260" s="13" t="n">
        <x:v>0</x:v>
      </x:c>
      <x:c r="BK260" s="31" t="n">
        <x:v>4081.79</x:v>
      </x:c>
      <x:c r="BL260" s="31" t="n">
        <x:v>-5156.74880830310808745620</x:v>
      </x:c>
      <x:c r="BM260" s="31" t="n">
        <x:f>=BK260+BL260</x:f>
      </x:c>
      <x:c r="BN260" s="68" t="n">
        <x:f>=BM260/BK260</x:f>
      </x:c>
      <x:c r="BO260" s="68" t="n">
        <x:v>0.6759776536312849162011173184</x:v>
      </x:c>
      <x:c r="BP260" s="31" t="n">
        <x:v>5266.355781755781533460</x:v>
      </x:c>
      <x:c r="BQ260" s="42" t="n">
        <x:v>174</x:v>
      </x:c>
      <x:c r="BR260" s="31" t="n">
        <x:v>1706.416957216957144920</x:v>
      </x:c>
      <x:c r="BT260" s="31" t="n">
        <x:v>6496.9478622736250000000</x:v>
      </x:c>
      <x:c r="BU260" s="31" t="n">
        <x:v>-5156.74880830310808745620</x:v>
      </x:c>
      <x:c r="BV260" s="31" t="n">
        <x:f>=BT260+BU260</x:f>
      </x:c>
      <x:c r="BW260" s="68" t="n">
        <x:f>=BV260/BT260</x:f>
      </x:c>
      <x:c r="BY260" s="68" t="n">
        <x:f>=BO260</x:f>
      </x:c>
      <x:c r="BZ260" s="68" t="n">
        <x:f>=BF260</x:f>
      </x:c>
      <x:c r="CA260" s="68" t="n">
        <x:f>=BG260</x:f>
      </x:c>
      <x:c r="CB260" s="68" t="n">
        <x:f>=1 - BY260</x:f>
      </x:c>
      <x:c r="CD260" s="68" t="n">
        <x:f>=CA260/(1-BZ260)</x:f>
      </x:c>
    </x:row>
    <x:row r="261">
      <x:c r="A261" s="32" t="s">
        <x:v>508</x:v>
      </x:c>
      <x:c r="B261" t="s"/>
      <x:c r="C261" t="s">
        <x:v>509</x:v>
      </x:c>
      <x:c r="D261" t="s">
        <x:v>125</x:v>
      </x:c>
      <x:c r="E261" t="s">
        <x:v>109</x:v>
      </x:c>
      <x:c r="F261" t="n">
        <x:v>898</x:v>
      </x:c>
      <x:c r="G261" s="33" t="n">
        <x:v>0.0111358574610244988864142539</x:v>
      </x:c>
      <x:c r="H261" s="33" t="n">
        <x:v>0.1247216035634743875278396437</x:v>
      </x:c>
      <x:c r="I261" s="33" t="n">
        <x:v>0.1648106904231625835189309577</x:v>
      </x:c>
      <x:c r="J261" s="33" t="n">
        <x:v>0.2037861915367483296213808463</x:v>
      </x:c>
      <x:c r="K261" s="33" t="n">
        <x:v>0.2405345211581291759465478842</x:v>
      </x:c>
      <x:c r="L261" s="33" t="n">
        <x:v>0.2561247216035634743875278396</x:v>
      </x:c>
      <x:c r="M261" s="33" t="n">
        <x:v>0.2728285077951002227171492205</x:v>
      </x:c>
      <x:c r="N261" s="33" t="n">
        <x:v>0.2873051224944320712694877506</x:v>
      </x:c>
      <x:c r="O261" s="33" t="n">
        <x:v>0.2839643652561247216035634744</x:v>
      </x:c>
      <x:c r="P261" s="33" t="n">
        <x:v>0.2817371937639198218262806236</x:v>
      </x:c>
      <x:c r="Q261" s="33" t="n">
        <x:v>0.2917594654788418708240534521</x:v>
      </x:c>
      <x:c r="R261" s="33" t="n">
        <x:v>0.2928730512249443207126948775</x:v>
      </x:c>
      <x:c r="S261" s="33" t="n">
        <x:v>0.2906458797327394209354120267</x:v>
      </x:c>
      <x:c r="T261" s="33" t="n">
        <x:v>0.2906458797327394209354120267</x:v>
      </x:c>
      <x:c r="U261" s="33" t="n">
        <x:v>0.2917594654788418708240534521</x:v>
      </x:c>
      <x:c r="V261" s="33" t="n">
        <x:v>0.2917594654788418708240534521</x:v>
      </x:c>
      <x:c r="W261" s="33" t="n">
        <x:v>0.2962138084632516703786191537</x:v>
      </x:c>
      <x:c r="X261" s="33" t="n">
        <x:v>0.2995545657015590200445434298</x:v>
      </x:c>
      <x:c r="Y261" s="33" t="n">
        <x:v>0.302895322939866369710467706</x:v>
      </x:c>
      <x:c r="Z261" s="33" t="n">
        <x:v>0.3118040089086859688195991091</x:v>
      </x:c>
      <x:c r="AA261" s="33" t="n">
        <x:v>0.3173719376391982182628062361</x:v>
      </x:c>
      <x:c r="AB261" s="33" t="n">
        <x:v>0.3240534521158129175946547884</x:v>
      </x:c>
      <x:c r="AC261" s="33" t="n">
        <x:v>0.3262806236080178173719376392</x:v>
      </x:c>
      <x:c r="AD261" s="33" t="n">
        <x:v>0.3296213808463251670378619154</x:v>
      </x:c>
      <x:c r="AE261" s="33" t="n">
        <x:v>0.34298440979955456570155902</x:v>
      </x:c>
      <x:c r="AF261" s="33" t="n">
        <x:v>0.3541202672605790645879732739</x:v>
      </x:c>
      <x:c r="AG261" s="33" t="n">
        <x:v>0.3630289532293986636971046771</x:v>
      </x:c>
      <x:c r="AH261" s="33" t="n">
        <x:v>0.3719376391982182628062360802</x:v>
      </x:c>
      <x:c r="AI261" s="33" t="n">
        <x:v>0.3797327394209354120267260579</x:v>
      </x:c>
      <x:c r="AJ261" s="33" t="n">
        <x:v>0.3819599109131403118040089087</x:v>
      </x:c>
      <x:c r="AK261" s="33" t="n">
        <x:v>0.3908685968819599109131403118</x:v>
      </x:c>
      <x:c r="AL261" s="33" t="n">
        <x:v>0.3975501113585746102449888641</x:v>
      </x:c>
      <x:c r="AM261" s="23" t="n">
        <x:v>0.474387527839643652561247216</x:v>
      </x:c>
      <x:c r="BC261" s="34" t="s"/>
      <x:c r="BD261" s="11" t="s">
        <x:v>177</x:v>
      </x:c>
      <x:c r="BE261" s="12" t="n">
        <x:f>=BO261</x:f>
      </x:c>
      <x:c r="BF261" s="12" t="n">
        <x:v>0.3930957683741648106904231626</x:v>
      </x:c>
      <x:c r="BG261" s="12" t="n">
        <x:v>0.4209354120267260579064587973</x:v>
      </x:c>
      <x:c r="BH261" s="12" t="n">
        <x:v>0.1859688195991091314031180401</x:v>
      </x:c>
      <x:c r="BI261" s="12" t="n">
        <x:f>=BN261</x:f>
      </x:c>
      <x:c r="BJ261" s="13" t="n">
        <x:v>0</x:v>
      </x:c>
      <x:c r="BK261" s="31" t="n">
        <x:v>6358.54</x:v>
      </x:c>
      <x:c r="BL261" s="31" t="n">
        <x:v>-7350.1300</x:v>
      </x:c>
      <x:c r="BM261" s="31" t="n">
        <x:f>=BK261+BL261</x:f>
      </x:c>
      <x:c r="BN261" s="68" t="n">
        <x:f>=BM261/BK261</x:f>
      </x:c>
      <x:c r="BO261" s="68" t="n">
        <x:v>0.8140311804008908685968819599</x:v>
      </x:c>
      <x:c r="BP261" s="31" t="n">
        <x:v>7273.80</x:v>
      </x:c>
      <x:c r="BQ261" s="42" t="n">
        <x:v>167</x:v>
      </x:c>
      <x:c r="BR261" s="31" t="n">
        <x:v>1352.70</x:v>
      </x:c>
      <x:c r="BT261" s="31" t="n">
        <x:v>9820.3305192685000000000</x:v>
      </x:c>
      <x:c r="BU261" s="31" t="n">
        <x:v>-7350.1300</x:v>
      </x:c>
      <x:c r="BV261" s="31" t="n">
        <x:f>=BT261+BU261</x:f>
      </x:c>
      <x:c r="BW261" s="68" t="n">
        <x:f>=BV261/BT261</x:f>
      </x:c>
      <x:c r="BY261" s="68" t="n">
        <x:f>=BO261</x:f>
      </x:c>
      <x:c r="BZ261" s="68" t="n">
        <x:f>=BF261</x:f>
      </x:c>
      <x:c r="CA261" s="68" t="n">
        <x:f>=BG261</x:f>
      </x:c>
      <x:c r="CB261" s="68" t="n">
        <x:f>=1 - BY261</x:f>
      </x:c>
      <x:c r="CD261" s="68" t="n">
        <x:f>=CA261/(1-BZ261)</x:f>
      </x:c>
    </x:row>
    <x:row r="262">
      <x:c r="A262" s="32" t="s">
        <x:v>510</x:v>
      </x:c>
      <x:c r="B262" t="s"/>
      <x:c r="C262" t="s">
        <x:v>511</x:v>
      </x:c>
      <x:c r="D262" t="s">
        <x:v>125</x:v>
      </x:c>
      <x:c r="E262" t="s">
        <x:v>109</x:v>
      </x:c>
      <x:c r="F262" t="n">
        <x:v>460</x:v>
      </x:c>
      <x:c r="G262" s="33" t="n">
        <x:v>0.0065217391304347826086956522</x:v>
      </x:c>
      <x:c r="H262" s="33" t="n">
        <x:v>0.1043478260869565217391304348</x:v>
      </x:c>
      <x:c r="I262" s="33" t="n">
        <x:v>0.1673913043478260869565217391</x:v>
      </x:c>
      <x:c r="J262" s="33" t="n">
        <x:v>0.1695652173913043478260869565</x:v>
      </x:c>
      <x:c r="K262" s="33" t="n">
        <x:v>0.189130434782608695652173913</x:v>
      </x:c>
      <x:c r="L262" s="33" t="n">
        <x:v>0.1869565217391304347826086957</x:v>
      </x:c>
      <x:c r="M262" s="33" t="n">
        <x:v>0.2130434782608695652173913043</x:v>
      </x:c>
      <x:c r="N262" s="33" t="n">
        <x:v>0.2326086956521739130434782609</x:v>
      </x:c>
      <x:c r="O262" s="33" t="n">
        <x:v>0.260869565217391304347826087</x:v>
      </x:c>
      <x:c r="P262" s="33" t="n">
        <x:v>0.2695652173913043478260869565</x:v>
      </x:c>
      <x:c r="Q262" s="33" t="n">
        <x:v>0.2760869565217391304347826087</x:v>
      </x:c>
      <x:c r="R262" s="33" t="n">
        <x:v>0.2695652173913043478260869565</x:v>
      </x:c>
      <x:c r="S262" s="33" t="n">
        <x:v>0.2739130434782608695652173913</x:v>
      </x:c>
      <x:c r="T262" s="33" t="n">
        <x:v>0.2739130434782608695652173913</x:v>
      </x:c>
      <x:c r="U262" s="33" t="n">
        <x:v>0.2826086956521739130434782609</x:v>
      </x:c>
      <x:c r="V262" s="33" t="n">
        <x:v>0.2804347826086956521739130435</x:v>
      </x:c>
      <x:c r="W262" s="33" t="n">
        <x:v>0.2782608695652173913043478261</x:v>
      </x:c>
      <x:c r="X262" s="33" t="n">
        <x:v>0.2847826086956521739130434783</x:v>
      </x:c>
      <x:c r="Y262" s="33" t="n">
        <x:v>0.289130434782608695652173913</x:v>
      </x:c>
      <x:c r="Z262" s="33" t="n">
        <x:v>0.2869565217391304347826086957</x:v>
      </x:c>
      <x:c r="AA262" s="33" t="n">
        <x:v>0.3021739130434782608695652174</x:v>
      </x:c>
      <x:c r="AB262" s="33" t="n">
        <x:v>0.3326086956521739130434782609</x:v>
      </x:c>
      <x:c r="AC262" s="33" t="n">
        <x:v>0.3456521739130434782608695652</x:v>
      </x:c>
      <x:c r="AD262" s="33" t="n">
        <x:v>0.3652173913043478260869565217</x:v>
      </x:c>
      <x:c r="AE262" s="33" t="n">
        <x:v>0.389130434782608695652173913</x:v>
      </x:c>
      <x:c r="AF262" s="33" t="n">
        <x:v>0.4086956521739130434782608696</x:v>
      </x:c>
      <x:c r="AG262" s="33" t="n">
        <x:v>0.4239130434782608695652173913</x:v>
      </x:c>
      <x:c r="AH262" s="33" t="n">
        <x:v>0.4369565217391304347826086957</x:v>
      </x:c>
      <x:c r="AI262" s="33" t="n">
        <x:v>0.4413043478260869565217391304</x:v>
      </x:c>
      <x:c r="AJ262" s="33" t="n">
        <x:v>0.4413043478260869565217391304</x:v>
      </x:c>
      <x:c r="AK262" s="33" t="n">
        <x:v>0.4521739130434782608695652174</x:v>
      </x:c>
      <x:c r="AL262" s="33" t="n">
        <x:v>0.4565217391304347826086956522</x:v>
      </x:c>
      <x:c r="AM262" s="23" t="n">
        <x:v>0.5326086956521739130434782609</x:v>
      </x:c>
      <x:c r="BC262" s="34" t="s"/>
      <x:c r="BD262" s="11" t="s">
        <x:v>177</x:v>
      </x:c>
      <x:c r="BE262" s="12" t="n">
        <x:f>=BO262</x:f>
      </x:c>
      <x:c r="BF262" s="12" t="n">
        <x:v>0.4652173913043478260869565217</x:v>
      </x:c>
      <x:c r="BG262" s="12" t="n">
        <x:v>0.3217391304347826086956521739</x:v>
      </x:c>
      <x:c r="BH262" s="12" t="n">
        <x:v>0.2130434782608695652173913043</x:v>
      </x:c>
      <x:c r="BI262" s="12" t="n">
        <x:f>=BN262</x:f>
      </x:c>
      <x:c r="BJ262" s="13" t="n">
        <x:v>0</x:v>
      </x:c>
      <x:c r="BK262" s="31" t="n">
        <x:v>2578.80</x:v>
      </x:c>
      <x:c r="BL262" s="31" t="n">
        <x:v>-2792.3840</x:v>
      </x:c>
      <x:c r="BM262" s="31" t="n">
        <x:f>=BK262+BL262</x:f>
      </x:c>
      <x:c r="BN262" s="68" t="n">
        <x:f>=BM262/BK262</x:f>
      </x:c>
      <x:c r="BO262" s="68" t="n">
        <x:v>0.7869565217391304347826086957</x:v>
      </x:c>
      <x:c r="BP262" s="31" t="n">
        <x:v>2723.20</x:v>
      </x:c>
      <x:c r="BQ262" s="42" t="n">
        <x:v>98</x:v>
      </x:c>
      <x:c r="BR262" s="31" t="n">
        <x:v>580.16</x:v>
      </x:c>
      <x:c r="BT262" s="31" t="n">
        <x:v>3908.7751994962500000000</x:v>
      </x:c>
      <x:c r="BU262" s="31" t="n">
        <x:v>-2792.3840</x:v>
      </x:c>
      <x:c r="BV262" s="31" t="n">
        <x:f>=BT262+BU262</x:f>
      </x:c>
      <x:c r="BW262" s="68" t="n">
        <x:f>=BV262/BT262</x:f>
      </x:c>
      <x:c r="BY262" s="68" t="n">
        <x:f>=BO262</x:f>
      </x:c>
      <x:c r="BZ262" s="68" t="n">
        <x:f>=BF262</x:f>
      </x:c>
      <x:c r="CA262" s="68" t="n">
        <x:f>=BG262</x:f>
      </x:c>
      <x:c r="CB262" s="68" t="n">
        <x:f>=1 - BY262</x:f>
      </x:c>
      <x:c r="CD262" s="68" t="n">
        <x:f>=CA262/(1-BZ262)</x:f>
      </x:c>
    </x:row>
    <x:row r="263">
      <x:c r="A263" s="32" t="s">
        <x:v>512</x:v>
      </x:c>
      <x:c r="B263" t="s"/>
      <x:c r="C263" t="s">
        <x:v>513</x:v>
      </x:c>
      <x:c r="D263" t="s">
        <x:v>108</x:v>
      </x:c>
      <x:c r="E263" t="s">
        <x:v>109</x:v>
      </x:c>
      <x:c r="F263" t="n">
        <x:v>474</x:v>
      </x:c>
      <x:c r="G263" s="33" t="n">
        <x:v>0.0126582278481012658227848101</x:v>
      </x:c>
      <x:c r="H263" s="33" t="n">
        <x:v>0.0822784810126582278481012658</x:v>
      </x:c>
      <x:c r="I263" s="33" t="n">
        <x:v>0.1118143459915611814345991561</x:v>
      </x:c>
      <x:c r="J263" s="33" t="n">
        <x:v>0.099156118143459915611814346</x:v>
      </x:c>
      <x:c r="K263" s="33" t="n">
        <x:v>0.1118143459915611814345991561</x:v>
      </x:c>
      <x:c r="L263" s="33" t="n">
        <x:v>0.1160337552742616033755274262</x:v>
      </x:c>
      <x:c r="M263" s="33" t="n">
        <x:v>0.1244725738396624472573839662</x:v>
      </x:c>
      <x:c r="N263" s="33" t="n">
        <x:v>0.1329113924050632911392405063</x:v>
      </x:c>
      <x:c r="O263" s="33" t="n">
        <x:v>0.1476793248945147679324894515</x:v>
      </x:c>
      <x:c r="P263" s="33" t="n">
        <x:v>0.1561181434599156118143459916</x:v>
      </x:c>
      <x:c r="Q263" s="33" t="n">
        <x:v>0.1772151898734177215189873418</x:v>
      </x:c>
      <x:c r="R263" s="33" t="n">
        <x:v>0.1919831223628691983122362869</x:v>
      </x:c>
      <x:c r="S263" s="33" t="n">
        <x:v>0.1940928270042194092827004219</x:v>
      </x:c>
      <x:c r="T263" s="33" t="n">
        <x:v>0.200421940928270042194092827</x:v>
      </x:c>
      <x:c r="U263" s="33" t="n">
        <x:v>0.202531645569620253164556962</x:v>
      </x:c>
      <x:c r="V263" s="33" t="n">
        <x:v>0.2067510548523206751054852321</x:v>
      </x:c>
      <x:c r="W263" s="33" t="n">
        <x:v>0.2130801687763713080168776371</x:v>
      </x:c>
      <x:c r="X263" s="33" t="n">
        <x:v>0.2215189873417721518987341772</x:v>
      </x:c>
      <x:c r="Y263" s="33" t="n">
        <x:v>0.2257383966244725738396624473</x:v>
      </x:c>
      <x:c r="Z263" s="33" t="n">
        <x:v>0.2257383966244725738396624473</x:v>
      </x:c>
      <x:c r="AA263" s="33" t="n">
        <x:v>0.2489451476793248945147679325</x:v>
      </x:c>
      <x:c r="AB263" s="33" t="n">
        <x:v>0.2594936708860759493670886076</x:v>
      </x:c>
      <x:c r="AC263" s="33" t="n">
        <x:v>0.2742616033755274261603375527</x:v>
      </x:c>
      <x:c r="AD263" s="33" t="n">
        <x:v>0.2700421940928270042194092827</x:v>
      </x:c>
      <x:c r="AE263" s="33" t="n">
        <x:v>0.297468354430379746835443038</x:v>
      </x:c>
      <x:c r="AF263" s="33" t="n">
        <x:v>0.3333333333333333333333333333</x:v>
      </x:c>
      <x:c r="AG263" s="33" t="n">
        <x:v>0.3375527426160337552742616034</x:v>
      </x:c>
      <x:c r="AH263" s="33" t="n">
        <x:v>0.3523206751054852320675105485</x:v>
      </x:c>
      <x:c r="AI263" s="33" t="n">
        <x:v>0.3691983122362869198312236287</x:v>
      </x:c>
      <x:c r="AJ263" s="33" t="n">
        <x:v>0.3797468354430379746835443038</x:v>
      </x:c>
      <x:c r="AK263" s="33" t="n">
        <x:v>0.3860759493670886075949367089</x:v>
      </x:c>
      <x:c r="AL263" s="23" t="n">
        <x:v>0.4831223628691983122362869198</x:v>
      </x:c>
      <x:c r="BC263" s="34" t="s"/>
      <x:c r="BD263" s="11" t="s">
        <x:v>182</x:v>
      </x:c>
      <x:c r="BE263" s="12" t="n">
        <x:f>=BO263</x:f>
      </x:c>
      <x:c r="BF263" s="12" t="n">
        <x:v>0.3776371308016877637130801688</x:v>
      </x:c>
      <x:c r="BG263" s="12" t="n">
        <x:v>0.3628691983122362869198312236</x:v>
      </x:c>
      <x:c r="BH263" s="12" t="n">
        <x:v>0.2594936708860759493670886076</x:v>
      </x:c>
      <x:c r="BI263" s="12" t="n">
        <x:f>=BN263</x:f>
      </x:c>
      <x:c r="BJ263" s="13" t="n">
        <x:v>0</x:v>
      </x:c>
      <x:c r="BK263" s="31" t="n">
        <x:v>3388.96</x:v>
      </x:c>
      <x:c r="BL263" s="31" t="n">
        <x:v>-4176.77359434090000000000</x:v>
      </x:c>
      <x:c r="BM263" s="31" t="n">
        <x:f>=BK263+BL263</x:f>
      </x:c>
      <x:c r="BN263" s="68" t="n">
        <x:f>=BM263/BK263</x:f>
      </x:c>
      <x:c r="BO263" s="68" t="n">
        <x:v>0.7405063291139240506329113924</x:v>
      </x:c>
      <x:c r="BP263" s="31" t="n">
        <x:v>4220.974220970000000000</x:v>
      </x:c>
      <x:c r="BQ263" s="42" t="n">
        <x:v>123</x:v>
      </x:c>
      <x:c r="BR263" s="31" t="n">
        <x:v>1095.316095315000000000</x:v>
      </x:c>
      <x:c r="BT263" s="31" t="n">
        <x:v>5368.5027969313750000000</x:v>
      </x:c>
      <x:c r="BU263" s="31" t="n">
        <x:v>-4176.77359434090000000000</x:v>
      </x:c>
      <x:c r="BV263" s="31" t="n">
        <x:f>=BT263+BU263</x:f>
      </x:c>
      <x:c r="BW263" s="68" t="n">
        <x:f>=BV263/BT263</x:f>
      </x:c>
      <x:c r="BY263" s="68" t="n">
        <x:f>=BO263</x:f>
      </x:c>
      <x:c r="BZ263" s="68" t="n">
        <x:f>=BF263</x:f>
      </x:c>
      <x:c r="CA263" s="68" t="n">
        <x:f>=BG263</x:f>
      </x:c>
      <x:c r="CB263" s="68" t="n">
        <x:f>=1 - BY263</x:f>
      </x:c>
      <x:c r="CD263" s="68" t="n">
        <x:f>=CA263/(1-BZ263)</x:f>
      </x:c>
    </x:row>
    <x:row r="264">
      <x:c r="A264" s="32" t="s">
        <x:v>514</x:v>
      </x:c>
      <x:c r="B264" t="s"/>
      <x:c r="C264" t="s">
        <x:v>515</x:v>
      </x:c>
      <x:c r="D264" t="s">
        <x:v>125</x:v>
      </x:c>
      <x:c r="E264" t="s">
        <x:v>109</x:v>
      </x:c>
      <x:c r="F264" t="n">
        <x:v>803</x:v>
      </x:c>
      <x:c r="G264" s="33" t="n">
        <x:v>0.0012453300124533001245330012</x:v>
      </x:c>
      <x:c r="H264" s="33" t="n">
        <x:v>0.0024906600249066002490660025</x:v>
      </x:c>
      <x:c r="I264" s="33" t="n">
        <x:v>0.0398505603985056039850560399</x:v>
      </x:c>
      <x:c r="J264" s="33" t="n">
        <x:v>0.0635118306351183063511830635</x:v>
      </x:c>
      <x:c r="K264" s="33" t="n">
        <x:v>0.0684931506849315068493150685</x:v>
      </x:c>
      <x:c r="L264" s="33" t="n">
        <x:v>0.0747198007471980074719800747</x:v>
      </x:c>
      <x:c r="M264" s="33" t="n">
        <x:v>0.0859277708592777085927770859</x:v>
      </x:c>
      <x:c r="N264" s="33" t="n">
        <x:v>0.0834371108343711083437110834</x:v>
      </x:c>
      <x:c r="O264" s="33" t="n">
        <x:v>0.0859277708592777085927770859</x:v>
      </x:c>
      <x:c r="P264" s="33" t="n">
        <x:v>0.0821917808219178082191780822</x:v>
      </x:c>
      <x:c r="Q264" s="33" t="n">
        <x:v>0.0821917808219178082191780822</x:v>
      </x:c>
      <x:c r="R264" s="33" t="n">
        <x:v>0.0896637608966376089663760897</x:v>
      </x:c>
      <x:c r="S264" s="33" t="n">
        <x:v>0.0971357409713574097135740971</x:v>
      </x:c>
      <x:c r="T264" s="33" t="n">
        <x:v>0.0958904109589041095890410959</x:v>
      </x:c>
      <x:c r="U264" s="33" t="n">
        <x:v>0.0909090909090909090909090909</x:v>
      </x:c>
      <x:c r="V264" s="33" t="n">
        <x:v>0.0921544209215442092154420922</x:v>
      </x:c>
      <x:c r="W264" s="33" t="n">
        <x:v>0.0921544209215442092154420922</x:v>
      </x:c>
      <x:c r="X264" s="33" t="n">
        <x:v>0.0933997509339975093399750934</x:v>
      </x:c>
      <x:c r="Y264" s="33" t="n">
        <x:v>0.0909090909090909090909090909</x:v>
      </x:c>
      <x:c r="Z264" s="33" t="n">
        <x:v>0.0933997509339975093399750934</x:v>
      </x:c>
      <x:c r="AA264" s="33" t="n">
        <x:v>0.0996264009962640099626400996</x:v>
      </x:c>
      <x:c r="AB264" s="33" t="n">
        <x:v>0.1021170610211706102117061021</x:v>
      </x:c>
      <x:c r="AC264" s="33" t="n">
        <x:v>0.1046077210460772104607721046</x:v>
      </x:c>
      <x:c r="AD264" s="33" t="n">
        <x:v>0.1108343711083437110834371108</x:v>
      </x:c>
      <x:c r="AE264" s="33" t="n">
        <x:v>0.1183063511830635118306351183</x:v>
      </x:c>
      <x:c r="AF264" s="33" t="n">
        <x:v>0.1195516811955168119551681196</x:v>
      </x:c>
      <x:c r="AG264" s="33" t="n">
        <x:v>0.1195516811955168119551681196</x:v>
      </x:c>
      <x:c r="AH264" s="33" t="n">
        <x:v>0.127023661270236612702366127</x:v>
      </x:c>
      <x:c r="AI264" s="33" t="n">
        <x:v>0.1332503113325031133250311333</x:v>
      </x:c>
      <x:c r="AJ264" s="33" t="n">
        <x:v>0.132004981320049813200498132</x:v>
      </x:c>
      <x:c r="AK264" s="33" t="n">
        <x:v>0.1394769613947696139476961395</x:v>
      </x:c>
      <x:c r="AL264" s="23" t="n">
        <x:v>0.1731008717310087173100871731</x:v>
      </x:c>
      <x:c r="BC264" s="34" t="s"/>
      <x:c r="BD264" s="11" t="s">
        <x:v>182</x:v>
      </x:c>
      <x:c r="BE264" s="12" t="n">
        <x:f>=BO264</x:f>
      </x:c>
      <x:c r="BF264" s="12" t="n">
        <x:v>0.1444582814445828144458281445</x:v>
      </x:c>
      <x:c r="BG264" s="12" t="n">
        <x:v>0.4209215442092154420921544209</x:v>
      </x:c>
      <x:c r="BH264" s="12" t="n">
        <x:v>0.4346201743462017434620174346</x:v>
      </x:c>
      <x:c r="BI264" s="12" t="n">
        <x:f>=BN264</x:f>
      </x:c>
      <x:c r="BJ264" s="13" t="n">
        <x:v>0</x:v>
      </x:c>
      <x:c r="BK264" s="31" t="n">
        <x:v>2707.74</x:v>
      </x:c>
      <x:c r="BL264" s="31" t="n">
        <x:v>-4150.1449</x:v>
      </x:c>
      <x:c r="BM264" s="31" t="n">
        <x:f>=BK264+BL264</x:f>
      </x:c>
      <x:c r="BN264" s="68" t="n">
        <x:f>=BM264/BK264</x:f>
      </x:c>
      <x:c r="BO264" s="68" t="n">
        <x:v>0.5653798256537982565379825654</x:v>
      </x:c>
      <x:c r="BP264" s="31" t="n">
        <x:v>4006.97</x:v>
      </x:c>
      <x:c r="BQ264" s="42" t="n">
        <x:v>349</x:v>
      </x:c>
      <x:c r="BR264" s="31" t="n">
        <x:v>1741.51</x:v>
      </x:c>
      <x:c r="BT264" s="31" t="n">
        <x:v>5545.3416756401875000000000000</x:v>
      </x:c>
      <x:c r="BU264" s="31" t="n">
        <x:v>-4150.1449</x:v>
      </x:c>
      <x:c r="BV264" s="31" t="n">
        <x:f>=BT264+BU264</x:f>
      </x:c>
      <x:c r="BW264" s="68" t="n">
        <x:f>=BV264/BT264</x:f>
      </x:c>
      <x:c r="BY264" s="68" t="n">
        <x:f>=BO264</x:f>
      </x:c>
      <x:c r="BZ264" s="68" t="n">
        <x:f>=BF264</x:f>
      </x:c>
      <x:c r="CA264" s="68" t="n">
        <x:f>=BG264</x:f>
      </x:c>
      <x:c r="CB264" s="68" t="n">
        <x:f>=1 - BY264</x:f>
      </x:c>
      <x:c r="CD264" s="68" t="n">
        <x:f>=CA264/(1-BZ264)</x:f>
      </x:c>
    </x:row>
    <x:row r="265">
      <x:c r="A265" s="32" t="s">
        <x:v>516</x:v>
      </x:c>
      <x:c r="B265" t="s"/>
      <x:c r="C265" t="s">
        <x:v>517</x:v>
      </x:c>
      <x:c r="D265" t="s">
        <x:v>125</x:v>
      </x:c>
      <x:c r="E265" t="s">
        <x:v>109</x:v>
      </x:c>
      <x:c r="F265" t="n">
        <x:v>1003</x:v>
      </x:c>
      <x:c r="G265" s="33" t="n">
        <x:v>0.0139581256231306081754735793</x:v>
      </x:c>
      <x:c r="H265" s="33" t="n">
        <x:v>0.055832502492522432701894317</x:v>
      </x:c>
      <x:c r="I265" s="33" t="n">
        <x:v>0.1146560319042871385842472582</x:v>
      </x:c>
      <x:c r="J265" s="33" t="n">
        <x:v>0.140578265204386839481555334</x:v>
      </x:c>
      <x:c r="K265" s="33" t="n">
        <x:v>0.1545363908275174476570289133</x:v>
      </x:c>
      <x:c r="L265" s="33" t="n">
        <x:v>0.1784646061814556331006979063</x:v>
      </x:c>
      <x:c r="M265" s="33" t="n">
        <x:v>0.1904287138584247258225324028</x:v>
      </x:c>
      <x:c r="N265" s="33" t="n">
        <x:v>0.1794616151545363908275174477</x:v>
      </x:c>
      <x:c r="O265" s="33" t="n">
        <x:v>0.1854436689930209371884346959</x:v>
      </x:c>
      <x:c r="P265" s="33" t="n">
        <x:v>0.1824526420737786640079760718</x:v>
      </x:c>
      <x:c r="Q265" s="33" t="n">
        <x:v>0.18843469591226321036889332</x:v>
      </x:c>
      <x:c r="R265" s="33" t="n">
        <x:v>0.1914257228315054835493519442</x:v>
      </x:c>
      <x:c r="S265" s="33" t="n">
        <x:v>0.1904287138584247258225324028</x:v>
      </x:c>
      <x:c r="T265" s="33" t="n">
        <x:v>0.1974077766699900299102691924</x:v>
      </x:c>
      <x:c r="U265" s="33" t="n">
        <x:v>0.1934197407776669990029910269</x:v>
      </x:c>
      <x:c r="V265" s="33" t="n">
        <x:v>0.1984047856430707876370887338</x:v>
      </x:c>
      <x:c r="W265" s="33" t="n">
        <x:v>0.1974077766699900299102691924</x:v>
      </x:c>
      <x:c r="X265" s="33" t="n">
        <x:v>0.2013958125623130608175473579</x:v>
      </x:c>
      <x:c r="Y265" s="33" t="n">
        <x:v>0.2063808574277168494516450648</x:v>
      </x:c>
      <x:c r="Z265" s="33" t="n">
        <x:v>0.2083748753738783649052841476</x:v>
      </x:c>
      <x:c r="AA265" s="33" t="n">
        <x:v>0.2113659022931206380857427717</x:v>
      </x:c>
      <x:c r="AB265" s="33" t="n">
        <x:v>0.2103688933200398803589232303</x:v>
      </x:c>
      <x:c r="AC265" s="33" t="n">
        <x:v>0.2213359920239282153539381854</x:v>
      </x:c>
      <x:c r="AD265" s="33" t="n">
        <x:v>0.2233300099700897308075772682</x:v>
      </x:c>
      <x:c r="AE265" s="33" t="n">
        <x:v>0.2293120638085742771684945165</x:v>
      </x:c>
      <x:c r="AF265" s="33" t="n">
        <x:v>0.2342971086739780658025922233</x:v>
      </x:c>
      <x:c r="AG265" s="33" t="n">
        <x:v>0.2313060817547357926221335992</x:v>
      </x:c>
      <x:c r="AH265" s="33" t="n">
        <x:v>0.233300099700897308075772682</x:v>
      </x:c>
      <x:c r="AI265" s="33" t="n">
        <x:v>0.2352941176470588235294117647</x:v>
      </x:c>
      <x:c r="AJ265" s="23" t="n">
        <x:v>0.2522432701894317048853439681</x:v>
      </x:c>
      <x:c r="BC265" s="34" t="s"/>
      <x:c r="BD265" s="11" t="s">
        <x:v>185</x:v>
      </x:c>
      <x:c r="BE265" s="12" t="n">
        <x:f>=BO265</x:f>
      </x:c>
      <x:c r="BF265" s="12" t="n">
        <x:v>0.2342971086739780658025922233</x:v>
      </x:c>
      <x:c r="BG265" s="12" t="n">
        <x:v>0.1056829511465603190428713858</x:v>
      </x:c>
      <x:c r="BH265" s="12" t="n">
        <x:v>0.6600199401794616151545363908</x:v>
      </x:c>
      <x:c r="BI265" s="12" t="n">
        <x:f>=BN265</x:f>
      </x:c>
      <x:c r="BJ265" s="13" t="n">
        <x:v>0</x:v>
      </x:c>
      <x:c r="BK265" s="31" t="n">
        <x:v>3174.12</x:v>
      </x:c>
      <x:c r="BL265" s="31" t="n">
        <x:v>-6069.1530</x:v>
      </x:c>
      <x:c r="BM265" s="31" t="n">
        <x:f>=BK265+BL265</x:f>
      </x:c>
      <x:c r="BN265" s="68" t="n">
        <x:f>=BM265/BK265</x:f>
      </x:c>
      <x:c r="BO265" s="68" t="n">
        <x:v>0.3399800598205383848454636092</x:v>
      </x:c>
      <x:c r="BP265" s="31" t="n">
        <x:v>5917.70</x:v>
      </x:c>
      <x:c r="BQ265" s="42" t="n">
        <x:v>662</x:v>
      </x:c>
      <x:c r="BR265" s="31" t="n">
        <x:v>3905.80</x:v>
      </x:c>
      <x:c r="BT265" s="31" t="n">
        <x:v>6718.4717816526875000000000000</x:v>
      </x:c>
      <x:c r="BU265" s="31" t="n">
        <x:v>-6069.1530</x:v>
      </x:c>
      <x:c r="BV265" s="31" t="n">
        <x:f>=BT265+BU265</x:f>
      </x:c>
      <x:c r="BW265" s="68" t="n">
        <x:f>=BV265/BT265</x:f>
      </x:c>
      <x:c r="BY265" s="68" t="n">
        <x:f>=BO265</x:f>
      </x:c>
      <x:c r="BZ265" s="68" t="n">
        <x:f>=BF265</x:f>
      </x:c>
      <x:c r="CA265" s="68" t="n">
        <x:f>=BG265</x:f>
      </x:c>
      <x:c r="CB265" s="68" t="n">
        <x:f>=1 - BY265</x:f>
      </x:c>
      <x:c r="CD265" s="68" t="n">
        <x:f>=CA265/(1-BZ265)</x:f>
      </x:c>
    </x:row>
    <x:row r="266">
      <x:c r="A266" s="32" t="s">
        <x:v>518</x:v>
      </x:c>
      <x:c r="B266" t="s"/>
      <x:c r="C266" t="s">
        <x:v>519</x:v>
      </x:c>
      <x:c r="D266" t="s">
        <x:v>125</x:v>
      </x:c>
      <x:c r="E266" t="s">
        <x:v>109</x:v>
      </x:c>
      <x:c r="F266" t="n">
        <x:v>372</x:v>
      </x:c>
      <x:c r="G266" s="33" t="n">
        <x:v>0.002688172043010752688172043</x:v>
      </x:c>
      <x:c r="H266" s="33" t="n">
        <x:v>0</x:v>
      </x:c>
      <x:c r="I266" s="33" t="n">
        <x:v>0</x:v>
      </x:c>
      <x:c r="J266" s="33" t="n">
        <x:v>0.0268817204301075268817204301</x:v>
      </x:c>
      <x:c r="K266" s="33" t="n">
        <x:v>0.0698924731182795698924731183</x:v>
      </x:c>
      <x:c r="L266" s="33" t="n">
        <x:v>0.0698924731182795698924731183</x:v>
      </x:c>
      <x:c r="M266" s="33" t="n">
        <x:v>0.0672043010752688172043010753</x:v>
      </x:c>
      <x:c r="N266" s="33" t="n">
        <x:v>0.0698924731182795698924731183</x:v>
      </x:c>
      <x:c r="O266" s="33" t="n">
        <x:v>0.0591397849462365591397849462</x:v>
      </x:c>
      <x:c r="P266" s="33" t="n">
        <x:v>0.0618279569892473118279569892</x:v>
      </x:c>
      <x:c r="Q266" s="33" t="n">
        <x:v>0.0698924731182795698924731183</x:v>
      </x:c>
      <x:c r="R266" s="33" t="n">
        <x:v>0.0618279569892473118279569892</x:v>
      </x:c>
      <x:c r="S266" s="33" t="n">
        <x:v>0.0618279569892473118279569892</x:v>
      </x:c>
      <x:c r="T266" s="33" t="n">
        <x:v>0.0591397849462365591397849462</x:v>
      </x:c>
      <x:c r="U266" s="33" t="n">
        <x:v>0.0645161290322580645161290323</x:v>
      </x:c>
      <x:c r="V266" s="33" t="n">
        <x:v>0.0645161290322580645161290323</x:v>
      </x:c>
      <x:c r="W266" s="33" t="n">
        <x:v>0.0698924731182795698924731183</x:v>
      </x:c>
      <x:c r="X266" s="33" t="n">
        <x:v>0.0672043010752688172043010753</x:v>
      </x:c>
      <x:c r="Y266" s="33" t="n">
        <x:v>0.0779569892473118279569892473</x:v>
      </x:c>
      <x:c r="Z266" s="33" t="n">
        <x:v>0.0779569892473118279569892473</x:v>
      </x:c>
      <x:c r="AA266" s="33" t="n">
        <x:v>0.0860215053763440860215053763</x:v>
      </x:c>
      <x:c r="AB266" s="33" t="n">
        <x:v>0.0887096774193548387096774194</x:v>
      </x:c>
      <x:c r="AC266" s="33" t="n">
        <x:v>0.0913978494623655913978494624</x:v>
      </x:c>
      <x:c r="AD266" s="33" t="n">
        <x:v>0.0994623655913978494623655914</x:v>
      </x:c>
      <x:c r="AE266" s="33" t="n">
        <x:v>0.1075268817204301075268817204</x:v>
      </x:c>
      <x:c r="AF266" s="33" t="n">
        <x:v>0.1021505376344086021505376344</x:v>
      </x:c>
      <x:c r="AG266" s="33" t="n">
        <x:v>0.1102150537634408602150537634</x:v>
      </x:c>
      <x:c r="AH266" s="23" t="n">
        <x:v>0.1908602150537634408602150538</x:v>
      </x:c>
      <x:c r="BC266" s="34" t="s"/>
      <x:c r="BD266" s="11" t="s">
        <x:v>284</x:v>
      </x:c>
      <x:c r="BE266" s="12" t="n">
        <x:f>=BO266</x:f>
      </x:c>
      <x:c r="BF266" s="12" t="n">
        <x:v>0.1155913978494623655913978495</x:v>
      </x:c>
      <x:c r="BG266" s="12" t="n">
        <x:v>0.3252688172043010752688172043</x:v>
      </x:c>
      <x:c r="BH266" s="12" t="n">
        <x:v>0.5591397849462365591397849462</x:v>
      </x:c>
      <x:c r="BI266" s="12" t="n">
        <x:f>=BN266</x:f>
      </x:c>
      <x:c r="BJ266" s="13" t="n">
        <x:v>0</x:v>
      </x:c>
      <x:c r="BK266" s="31" t="n">
        <x:v>938.10</x:v>
      </x:c>
      <x:c r="BL266" s="31" t="n">
        <x:v>-2572.1196</x:v>
      </x:c>
      <x:c r="BM266" s="31" t="n">
        <x:f>=BK266+BL266</x:f>
      </x:c>
      <x:c r="BN266" s="68" t="n">
        <x:f>=BM266/BK266</x:f>
      </x:c>
      <x:c r="BO266" s="68" t="n">
        <x:v>0.4408602150537634408602150538</x:v>
      </x:c>
      <x:c r="BP266" s="31" t="n">
        <x:v>2525.88</x:v>
      </x:c>
      <x:c r="BQ266" s="42" t="n">
        <x:v>208</x:v>
      </x:c>
      <x:c r="BR266" s="31" t="n">
        <x:v>1412.32</x:v>
      </x:c>
      <x:c r="BT266" s="31" t="n">
        <x:v>2133.1501792575000000000</x:v>
      </x:c>
      <x:c r="BU266" s="31" t="n">
        <x:v>-2572.1196</x:v>
      </x:c>
      <x:c r="BV266" s="31" t="n">
        <x:f>=BT266+BU266</x:f>
      </x:c>
      <x:c r="BW266" s="68" t="n">
        <x:f>=BV266/BT266</x:f>
      </x:c>
      <x:c r="BY266" s="68" t="n">
        <x:f>=BO266</x:f>
      </x:c>
      <x:c r="BZ266" s="68" t="n">
        <x:f>=BF266</x:f>
      </x:c>
      <x:c r="CA266" s="68" t="n">
        <x:f>=BG266</x:f>
      </x:c>
      <x:c r="CB266" s="68" t="n">
        <x:f>=1 - BY266</x:f>
      </x:c>
      <x:c r="CD266" s="68" t="n">
        <x:f>=CA266/(1-BZ266)</x:f>
      </x:c>
    </x:row>
    <x:row r="267">
      <x:c r="A267" s="32" t="s">
        <x:v>520</x:v>
      </x:c>
      <x:c r="B267" t="s"/>
      <x:c r="C267" t="s">
        <x:v>521</x:v>
      </x:c>
      <x:c r="D267" t="s">
        <x:v>173</x:v>
      </x:c>
      <x:c r="E267" t="s">
        <x:v>109</x:v>
      </x:c>
      <x:c r="F267" t="n">
        <x:v>501</x:v>
      </x:c>
      <x:c r="G267" s="33" t="n">
        <x:v>0.0099800399201596806387225549</x:v>
      </x:c>
      <x:c r="H267" s="33" t="n">
        <x:v>0.0339321357285429141716566866</x:v>
      </x:c>
      <x:c r="I267" s="33" t="n">
        <x:v>0.0578842315369261477045908184</x:v>
      </x:c>
      <x:c r="J267" s="33" t="n">
        <x:v>0.0678642714570858283433133733</x:v>
      </x:c>
      <x:c r="K267" s="33" t="n">
        <x:v>0.0638722554890219560878243513</x:v>
      </x:c>
      <x:c r="L267" s="33" t="n">
        <x:v>0.0678642714570858283433133733</x:v>
      </x:c>
      <x:c r="M267" s="33" t="n">
        <x:v>0.0838323353293413173652694611</x:v>
      </x:c>
      <x:c r="N267" s="33" t="n">
        <x:v>0.0978043912175648702594810379</x:v>
      </x:c>
      <x:c r="O267" s="33" t="n">
        <x:v>0.1097804391217564870259481038</x:v>
      </x:c>
      <x:c r="P267" s="33" t="n">
        <x:v>0.1257485029940119760479041916</x:v>
      </x:c>
      <x:c r="Q267" s="33" t="n">
        <x:v>0.1377245508982035928143712575</x:v>
      </x:c>
      <x:c r="R267" s="33" t="n">
        <x:v>0.1437125748502994011976047904</x:v>
      </x:c>
      <x:c r="S267" s="33" t="n">
        <x:v>0.1457085828343313373253493014</x:v>
      </x:c>
      <x:c r="T267" s="33" t="n">
        <x:v>0.1477045908183632734530938124</x:v>
      </x:c>
      <x:c r="U267" s="33" t="n">
        <x:v>0.1696606786427145708582834331</x:v>
      </x:c>
      <x:c r="V267" s="33" t="n">
        <x:v>0.1996007984031936127744510978</x:v>
      </x:c>
      <x:c r="W267" s="33" t="n">
        <x:v>0.2035928143712574850299401198</x:v>
      </x:c>
      <x:c r="X267" s="33" t="n">
        <x:v>0.1976047904191616766467065868</x:v>
      </x:c>
      <x:c r="Y267" s="33" t="n">
        <x:v>0.2035928143712574850299401198</x:v>
      </x:c>
      <x:c r="Z267" s="33" t="n">
        <x:v>0.2115768463073852295409181637</x:v>
      </x:c>
      <x:c r="AA267" s="33" t="n">
        <x:v>0.2175648702594810379241516966</x:v>
      </x:c>
      <x:c r="AB267" s="33" t="n">
        <x:v>0.2255489021956087824351297405</x:v>
      </x:c>
      <x:c r="AC267" s="23" t="n">
        <x:v>0.3333333333333333333333333333</x:v>
      </x:c>
      <x:c r="BC267" s="34" t="s"/>
      <x:c r="BD267" s="11" t="s">
        <x:v>196</x:v>
      </x:c>
      <x:c r="BE267" s="12" t="n">
        <x:f>=BO267</x:f>
      </x:c>
      <x:c r="BF267" s="12" t="n">
        <x:v>0.2235528942115768463073852295</x:v>
      </x:c>
      <x:c r="BG267" s="12" t="n">
        <x:v>0.5868263473053892215568862275</x:v>
      </x:c>
      <x:c r="BH267" s="12" t="n">
        <x:v>0.1896207584830339321357285429</x:v>
      </x:c>
      <x:c r="BI267" s="12" t="n">
        <x:f>=BN267</x:f>
      </x:c>
      <x:c r="BJ267" s="13" t="n">
        <x:v>0</x:v>
      </x:c>
      <x:c r="BK267" s="31" t="n">
        <x:v>3168.52</x:v>
      </x:c>
      <x:c r="BL267" s="31" t="n">
        <x:v>-3982.7997</x:v>
      </x:c>
      <x:c r="BM267" s="31" t="n">
        <x:f>=BK267+BL267</x:f>
      </x:c>
      <x:c r="BN267" s="68" t="n">
        <x:f>=BM267/BK267</x:f>
      </x:c>
      <x:c r="BO267" s="68" t="n">
        <x:v>0.8103792415169660678642714571</x:v>
      </x:c>
      <x:c r="BP267" s="31" t="n">
        <x:v>3507.00</x:v>
      </x:c>
      <x:c r="BQ267" s="42" t="n">
        <x:v>95</x:v>
      </x:c>
      <x:c r="BR267" s="31" t="n">
        <x:v>665.00</x:v>
      </x:c>
      <x:c r="BT267" s="31" t="n">
        <x:v>5099.8752897032500000000</x:v>
      </x:c>
      <x:c r="BU267" s="31" t="n">
        <x:v>-3982.7997</x:v>
      </x:c>
      <x:c r="BV267" s="31" t="n">
        <x:f>=BT267+BU267</x:f>
      </x:c>
      <x:c r="BW267" s="68" t="n">
        <x:f>=BV267/BT267</x:f>
      </x:c>
      <x:c r="BY267" s="68" t="n">
        <x:f>=BO267</x:f>
      </x:c>
      <x:c r="BZ267" s="68" t="n">
        <x:f>=BF267</x:f>
      </x:c>
      <x:c r="CA267" s="68" t="n">
        <x:f>=BG267</x:f>
      </x:c>
      <x:c r="CB267" s="68" t="n">
        <x:f>=1 - BY267</x:f>
      </x:c>
      <x:c r="CD267" s="68" t="n">
        <x:f>=CA267/(1-BZ267)</x:f>
      </x:c>
    </x:row>
    <x:row r="268">
      <x:c r="A268" s="32" t="s">
        <x:v>522</x:v>
      </x:c>
      <x:c r="B268" t="s"/>
      <x:c r="C268" t="s">
        <x:v>523</x:v>
      </x:c>
      <x:c r="D268" t="s">
        <x:v>173</x:v>
      </x:c>
      <x:c r="E268" t="s">
        <x:v>109</x:v>
      </x:c>
      <x:c r="F268" t="n">
        <x:v>470</x:v>
      </x:c>
      <x:c r="G268" s="33" t="n">
        <x:v>0.0063829787234042553191489362</x:v>
      </x:c>
      <x:c r="H268" s="33" t="n">
        <x:v>0.0276595744680851063829787234</x:v>
      </x:c>
      <x:c r="I268" s="33" t="n">
        <x:v>0.0425531914893617021276595745</x:v>
      </x:c>
      <x:c r="J268" s="33" t="n">
        <x:v>0.0595744680851063829787234043</x:v>
      </x:c>
      <x:c r="K268" s="33" t="n">
        <x:v>0.0638297872340425531914893617</x:v>
      </x:c>
      <x:c r="L268" s="33" t="n">
        <x:v>0.0638297872340425531914893617</x:v>
      </x:c>
      <x:c r="M268" s="33" t="n">
        <x:v>0.0702127659574468085106382979</x:v>
      </x:c>
      <x:c r="N268" s="33" t="n">
        <x:v>0.0872340425531914893617021277</x:v>
      </x:c>
      <x:c r="O268" s="33" t="n">
        <x:v>0.0851063829787234042553191489</x:v>
      </x:c>
      <x:c r="P268" s="33" t="n">
        <x:v>0.0957446808510638297872340426</x:v>
      </x:c>
      <x:c r="Q268" s="33" t="n">
        <x:v>0.1042553191489361702127659574</x:v>
      </x:c>
      <x:c r="R268" s="33" t="n">
        <x:v>0.1085106382978723404255319149</x:v>
      </x:c>
      <x:c r="S268" s="33" t="n">
        <x:v>0.1148936170212765957446808511</x:v>
      </x:c>
      <x:c r="T268" s="33" t="n">
        <x:v>0.1212765957446808510638297872</x:v>
      </x:c>
      <x:c r="U268" s="33" t="n">
        <x:v>0.1297872340425531914893617021</x:v>
      </x:c>
      <x:c r="V268" s="33" t="n">
        <x:v>0.1340425531914893617021276596</x:v>
      </x:c>
      <x:c r="W268" s="33" t="n">
        <x:v>0.1446808510638297872340425532</x:v>
      </x:c>
      <x:c r="X268" s="33" t="n">
        <x:v>0.1425531914893617021276595745</x:v>
      </x:c>
      <x:c r="Y268" s="33" t="n">
        <x:v>0.1595744680851063829787234043</x:v>
      </x:c>
      <x:c r="Z268" s="33" t="n">
        <x:v>0.161702127659574468085106383</x:v>
      </x:c>
      <x:c r="AA268" s="33" t="n">
        <x:v>0.1638297872340425531914893617</x:v>
      </x:c>
      <x:c r="AB268" s="33" t="n">
        <x:v>0.1659574468085106382978723404</x:v>
      </x:c>
      <x:c r="AC268" s="23" t="n">
        <x:v>0.1872340425531914893617021277</x:v>
      </x:c>
      <x:c r="BC268" s="34" t="s"/>
      <x:c r="BD268" s="11" t="s">
        <x:v>196</x:v>
      </x:c>
      <x:c r="BE268" s="12" t="n">
        <x:f>=BO268</x:f>
      </x:c>
      <x:c r="BF268" s="12" t="n">
        <x:v>0.1702127659574468085106382979</x:v>
      </x:c>
      <x:c r="BG268" s="12" t="n">
        <x:v>0.3553191489361702127659574468</x:v>
      </x:c>
      <x:c r="BH268" s="12" t="n">
        <x:v>0.4744680851063829787234042553</x:v>
      </x:c>
      <x:c r="BI268" s="12" t="n">
        <x:f>=BN268</x:f>
      </x:c>
      <x:c r="BJ268" s="13" t="n">
        <x:v>0</x:v>
      </x:c>
      <x:c r="BK268" s="31" t="n">
        <x:v>1557.91</x:v>
      </x:c>
      <x:c r="BL268" s="31" t="n">
        <x:v>-3083.4350</x:v>
      </x:c>
      <x:c r="BM268" s="31" t="n">
        <x:f>=BK268+BL268</x:f>
      </x:c>
      <x:c r="BN268" s="68" t="n">
        <x:f>=BM268/BK268</x:f>
      </x:c>
      <x:c r="BO268" s="68" t="n">
        <x:v>0.5255319148936170212765957447</x:v>
      </x:c>
      <x:c r="BP268" s="31" t="n">
        <x:v>2726.00</x:v>
      </x:c>
      <x:c r="BQ268" s="42" t="n">
        <x:v>223</x:v>
      </x:c>
      <x:c r="BR268" s="31" t="n">
        <x:v>1293.40</x:v>
      </x:c>
      <x:c r="BT268" s="31" t="n">
        <x:v>3067.7852264812500000000000000</x:v>
      </x:c>
      <x:c r="BU268" s="31" t="n">
        <x:v>-3083.4350</x:v>
      </x:c>
      <x:c r="BV268" s="31" t="n">
        <x:f>=BT268+BU268</x:f>
      </x:c>
      <x:c r="BW268" s="68" t="n">
        <x:f>=BV268/BT268</x:f>
      </x:c>
      <x:c r="BY268" s="68" t="n">
        <x:f>=BO268</x:f>
      </x:c>
      <x:c r="BZ268" s="68" t="n">
        <x:f>=BF268</x:f>
      </x:c>
      <x:c r="CA268" s="68" t="n">
        <x:f>=BG268</x:f>
      </x:c>
      <x:c r="CB268" s="68" t="n">
        <x:f>=1 - BY268</x:f>
      </x:c>
      <x:c r="CD268" s="68" t="n">
        <x:f>=CA268/(1-BZ268)</x:f>
      </x:c>
    </x:row>
    <x:row r="269">
      <x:c r="A269" s="32" t="s">
        <x:v>524</x:v>
      </x:c>
      <x:c r="B269" t="s"/>
      <x:c r="C269" t="s">
        <x:v>525</x:v>
      </x:c>
      <x:c r="D269" t="s">
        <x:v>173</x:v>
      </x:c>
      <x:c r="E269" t="s">
        <x:v>109</x:v>
      </x:c>
      <x:c r="F269" t="n">
        <x:v>499</x:v>
      </x:c>
      <x:c r="G269" s="33" t="n">
        <x:v>0.002004008016032064128256513</x:v>
      </x:c>
      <x:c r="H269" s="33" t="n">
        <x:v>0.0260521042084168336673346693</x:v>
      </x:c>
      <x:c r="I269" s="33" t="n">
        <x:v>0.0380761523046092184368737475</x:v>
      </x:c>
      <x:c r="J269" s="33" t="n">
        <x:v>0.0561122244488977955911823647</x:v>
      </x:c>
      <x:c r="K269" s="33" t="n">
        <x:v>0.0641282565130260521042084168</x:v>
      </x:c>
      <x:c r="L269" s="33" t="n">
        <x:v>0.0641282565130260521042084168</x:v>
      </x:c>
      <x:c r="M269" s="33" t="n">
        <x:v>0.0621242484969939879759519038</x:v>
      </x:c>
      <x:c r="N269" s="33" t="n">
        <x:v>0.074148296593186372745490982</x:v>
      </x:c>
      <x:c r="O269" s="33" t="n">
        <x:v>0.074148296593186372745490982</x:v>
      </x:c>
      <x:c r="P269" s="33" t="n">
        <x:v>0.0821643286573146292585170341</x:v>
      </x:c>
      <x:c r="Q269" s="33" t="n">
        <x:v>0.0841683366733466933867735471</x:v>
      </x:c>
      <x:c r="R269" s="33" t="n">
        <x:v>0.0921843687374749498997995992</x:v>
      </x:c>
      <x:c r="S269" s="33" t="n">
        <x:v>0.1042084168336673346693386774</x:v>
      </x:c>
      <x:c r="T269" s="33" t="n">
        <x:v>0.1162324649298597194388777555</x:v>
      </x:c>
      <x:c r="U269" s="33" t="n">
        <x:v>0.1182364729458917835671342685</x:v>
      </x:c>
      <x:c r="V269" s="33" t="n">
        <x:v>0.1282565130260521042084168337</x:v>
      </x:c>
      <x:c r="W269" s="33" t="n">
        <x:v>0.1322645290581162324649298597</x:v>
      </x:c>
      <x:c r="X269" s="33" t="n">
        <x:v>0.1382765531062124248496993988</x:v>
      </x:c>
      <x:c r="Y269" s="33" t="n">
        <x:v>0.1482965931863727454909819639</x:v>
      </x:c>
      <x:c r="Z269" s="33" t="n">
        <x:v>0.1462925851703406813627254509</x:v>
      </x:c>
      <x:c r="AA269" s="33" t="n">
        <x:v>0.150300601202404809619238477</x:v>
      </x:c>
      <x:c r="AB269" s="33" t="n">
        <x:v>0.1623246492985971943887775551</x:v>
      </x:c>
      <x:c r="AC269" s="23" t="n">
        <x:v>0.2024048096192384769539078156</x:v>
      </x:c>
      <x:c r="BC269" s="34" t="s"/>
      <x:c r="BD269" s="11" t="s">
        <x:v>196</x:v>
      </x:c>
      <x:c r="BE269" s="12" t="n">
        <x:f>=BO269</x:f>
      </x:c>
      <x:c r="BF269" s="12" t="n">
        <x:v>0.1663326653306613226452905812</x:v>
      </x:c>
      <x:c r="BG269" s="12" t="n">
        <x:v>0.4789579158316633266533066132</x:v>
      </x:c>
      <x:c r="BH269" s="12" t="n">
        <x:v>0.3547094188376753507014028056</x:v>
      </x:c>
      <x:c r="BI269" s="12" t="n">
        <x:f>=BN269</x:f>
      </x:c>
      <x:c r="BJ269" s="13" t="n">
        <x:v>0</x:v>
      </x:c>
      <x:c r="BK269" s="31" t="n">
        <x:v>1945.20</x:v>
      </x:c>
      <x:c r="BL269" s="31" t="n">
        <x:v>-3587.7102</x:v>
      </x:c>
      <x:c r="BM269" s="31" t="n">
        <x:f>=BK269+BL269</x:f>
      </x:c>
      <x:c r="BN269" s="68" t="n">
        <x:f>=BM269/BK269</x:f>
      </x:c>
      <x:c r="BO269" s="68" t="n">
        <x:v>0.6452905811623246492985971944</x:v>
      </x:c>
      <x:c r="BP269" s="31" t="n">
        <x:v>3188.61</x:v>
      </x:c>
      <x:c r="BQ269" s="42" t="n">
        <x:v>177</x:v>
      </x:c>
      <x:c r="BR269" s="31" t="n">
        <x:v>1131.03</x:v>
      </x:c>
      <x:c r="BT269" s="31" t="n">
        <x:v>3708.5415145011875000000000000</x:v>
      </x:c>
      <x:c r="BU269" s="31" t="n">
        <x:v>-3587.7102</x:v>
      </x:c>
      <x:c r="BV269" s="31" t="n">
        <x:f>=BT269+BU269</x:f>
      </x:c>
      <x:c r="BW269" s="68" t="n">
        <x:f>=BV269/BT269</x:f>
      </x:c>
      <x:c r="BY269" s="68" t="n">
        <x:f>=BO269</x:f>
      </x:c>
      <x:c r="BZ269" s="68" t="n">
        <x:f>=BF269</x:f>
      </x:c>
      <x:c r="CA269" s="68" t="n">
        <x:f>=BG269</x:f>
      </x:c>
      <x:c r="CB269" s="68" t="n">
        <x:f>=1 - BY269</x:f>
      </x:c>
      <x:c r="CD269" s="68" t="n">
        <x:f>=CA269/(1-BZ269)</x:f>
      </x:c>
    </x:row>
    <x:row r="270">
      <x:c r="A270" s="32" t="s">
        <x:v>526</x:v>
      </x:c>
      <x:c r="B270" t="s"/>
      <x:c r="C270" t="s">
        <x:v>527</x:v>
      </x:c>
      <x:c r="D270" t="s">
        <x:v>125</x:v>
      </x:c>
      <x:c r="E270" t="s">
        <x:v>109</x:v>
      </x:c>
      <x:c r="F270" t="n">
        <x:v>1046</x:v>
      </x:c>
      <x:c r="G270" s="33" t="n">
        <x:v>0.0057361376673040152963671128</x:v>
      </x:c>
      <x:c r="H270" s="33" t="n">
        <x:v>0.0191204588910133843212237094</x:v>
      </x:c>
      <x:c r="I270" s="33" t="n">
        <x:v>0.0344168260038240917782026769</x:v>
      </x:c>
      <x:c r="J270" s="33" t="n">
        <x:v>0.0487571701720841300191204589</x:v>
      </x:c>
      <x:c r="K270" s="33" t="n">
        <x:v>0.0850860420650095602294455067</x:v>
      </x:c>
      <x:c r="L270" s="33" t="n">
        <x:v>0.091778202676864244741873805</x:v>
      </x:c>
      <x:c r="M270" s="33" t="n">
        <x:v>0.1252390057361376673040152964</x:v>
      </x:c>
      <x:c r="N270" s="33" t="n">
        <x:v>0.1347992351816443594646271511</x:v>
      </x:c>
      <x:c r="O270" s="33" t="n">
        <x:v>0.1453154875717017208413001912</x:v>
      </x:c>
      <x:c r="P270" s="33" t="n">
        <x:v>0.1405353728489483747609942639</x:v>
      </x:c>
      <x:c r="Q270" s="33" t="n">
        <x:v>0.1434034416826003824091778203</x:v>
      </x:c>
      <x:c r="R270" s="33" t="n">
        <x:v>0.1453154875717017208413001912</x:v>
      </x:c>
      <x:c r="S270" s="33" t="n">
        <x:v>0.1472275334608030592734225621</x:v>
      </x:c>
      <x:c r="T270" s="33" t="n">
        <x:v>0.1663479923518164435946462715</x:v>
      </x:c>
      <x:c r="U270" s="33" t="n">
        <x:v>0.1950286806883365200764818356</x:v>
      </x:c>
      <x:c r="V270" s="33" t="n">
        <x:v>0.2160611854684512428298279159</x:v>
      </x:c>
      <x:c r="W270" s="23" t="n">
        <x:v>0.2638623326959847036328871893</x:v>
      </x:c>
      <x:c r="BC270" s="34" t="s"/>
      <x:c r="BD270" s="11" t="s">
        <x:v>98</x:v>
      </x:c>
      <x:c r="BE270" s="12" t="n">
        <x:f>=BO270</x:f>
      </x:c>
      <x:c r="BF270" s="12" t="n">
        <x:v>0.2237093690248565965583173996</x:v>
      </x:c>
      <x:c r="BG270" s="12" t="n">
        <x:v>0.2485659655831739961759082218</x:v>
      </x:c>
      <x:c r="BH270" s="12" t="n">
        <x:v>0.5277246653919694072657743786</x:v>
      </x:c>
      <x:c r="BI270" s="12" t="n">
        <x:f>=BN270</x:f>
      </x:c>
      <x:c r="BJ270" s="13" t="n">
        <x:v>0</x:v>
      </x:c>
      <x:c r="BK270" s="31" t="n">
        <x:v>8762.13</x:v>
      </x:c>
      <x:c r="BL270" s="31" t="n">
        <x:v>-14838.1376</x:v>
      </x:c>
      <x:c r="BM270" s="31" t="n">
        <x:f>=BK270+BL270</x:f>
      </x:c>
      <x:c r="BN270" s="68" t="n">
        <x:f>=BM270/BK270</x:f>
      </x:c>
      <x:c r="BO270" s="68" t="n">
        <x:v>0.4722753346080305927342256214</x:v>
      </x:c>
      <x:c r="BP270" s="31" t="n">
        <x:v>12970.40</x:v>
      </x:c>
      <x:c r="BQ270" s="42" t="n">
        <x:v>552</x:v>
      </x:c>
      <x:c r="BR270" s="31" t="n">
        <x:v>6844.80</x:v>
      </x:c>
      <x:c r="BT270" s="31" t="n">
        <x:v>15818.7085584866250000000</x:v>
      </x:c>
      <x:c r="BU270" s="31" t="n">
        <x:v>-14838.1376</x:v>
      </x:c>
      <x:c r="BV270" s="31" t="n">
        <x:f>=BT270+BU270</x:f>
      </x:c>
      <x:c r="BW270" s="68" t="n">
        <x:f>=BV270/BT270</x:f>
      </x:c>
      <x:c r="BY270" s="68" t="n">
        <x:f>=BO270</x:f>
      </x:c>
      <x:c r="BZ270" s="68" t="n">
        <x:f>=BF270</x:f>
      </x:c>
      <x:c r="CA270" s="68" t="n">
        <x:f>=BG270</x:f>
      </x:c>
      <x:c r="CB270" s="68" t="n">
        <x:f>=1 - BY270</x:f>
      </x:c>
      <x:c r="CD270" s="68" t="n">
        <x:f>=CA270/(1-BZ270)</x:f>
      </x:c>
    </x:row>
    <x:row r="271">
      <x:c r="A271" s="32" t="s">
        <x:v>528</x:v>
      </x:c>
      <x:c r="B271" t="s"/>
      <x:c r="C271" t="s">
        <x:v>529</x:v>
      </x:c>
      <x:c r="D271" t="s">
        <x:v>125</x:v>
      </x:c>
      <x:c r="E271" t="s">
        <x:v>109</x:v>
      </x:c>
      <x:c r="F271" t="n">
        <x:v>907</x:v>
      </x:c>
      <x:c r="G271" s="33" t="n">
        <x:v>0.1080485115766262403528114664</x:v>
      </x:c>
      <x:c r="H271" s="33" t="n">
        <x:v>0.2249173098125689084895259096</x:v>
      </x:c>
      <x:c r="I271" s="33" t="n">
        <x:v>0.3318632855567805953693495039</x:v>
      </x:c>
      <x:c r="J271" s="33" t="n">
        <x:v>0.4454244762954796030871003308</x:v>
      </x:c>
      <x:c r="K271" s="33" t="n">
        <x:v>0.4917309812568908489525909592</x:v>
      </x:c>
      <x:c r="L271" s="33" t="n">
        <x:v>0.447629547960308710033076075</x:v>
      </x:c>
      <x:c r="M271" s="33" t="n">
        <x:v>0.4090407938257993384785005513</x:v>
      </x:c>
      <x:c r="N271" s="33" t="n">
        <x:v>0.3836824696802646085997794928</x:v>
      </x:c>
      <x:c r="O271" s="33" t="n">
        <x:v>0.405733186328555678059536935</x:v>
      </x:c>
      <x:c r="P271" s="33" t="n">
        <x:v>0.4355016538037486218302094818</x:v>
      </x:c>
      <x:c r="Q271" s="33" t="n">
        <x:v>0.4630650496141124586549062845</x:v>
      </x:c>
      <x:c r="R271" s="23" t="n">
        <x:v>0.5358324145534729878721058434</x:v>
      </x:c>
      <x:c r="BC271" s="34" t="s"/>
      <x:c r="BD271" s="11" t="s">
        <x:v>335</x:v>
      </x:c>
      <x:c r="BE271" s="12" t="n">
        <x:f>=BO271</x:f>
      </x:c>
      <x:c r="BF271" s="12" t="n">
        <x:v>0.4542447629547960308710033076</x:v>
      </x:c>
      <x:c r="BG271" s="12" t="n">
        <x:v>0.2932745314222712238147739802</x:v>
      </x:c>
      <x:c r="BH271" s="12" t="n">
        <x:v>0.2524807056229327453142227122</x:v>
      </x:c>
      <x:c r="BI271" s="12" t="n">
        <x:f>=BN271</x:f>
      </x:c>
      <x:c r="BJ271" s="13" t="n">
        <x:v>0</x:v>
      </x:c>
      <x:c r="BK271" s="31" t="n">
        <x:v>11120.90</x:v>
      </x:c>
      <x:c r="BL271" s="31" t="n">
        <x:v>-13557.4732</x:v>
      </x:c>
      <x:c r="BM271" s="31" t="n">
        <x:f>=BK271+BL271</x:f>
      </x:c>
      <x:c r="BN271" s="68" t="n">
        <x:f>=BM271/BK271</x:f>
      </x:c>
      <x:c r="BO271" s="68" t="n">
        <x:v>0.7475192943770672546857772878</x:v>
      </x:c>
      <x:c r="BP271" s="31" t="n">
        <x:v>13287.55</x:v>
      </x:c>
      <x:c r="BQ271" s="42" t="n">
        <x:v>229</x:v>
      </x:c>
      <x:c r="BR271" s="31" t="n">
        <x:v>3354.85</x:v>
      </x:c>
      <x:c r="BT271" s="31" t="n">
        <x:v>17239.7496678273125000000</x:v>
      </x:c>
      <x:c r="BU271" s="31" t="n">
        <x:v>-13557.4732</x:v>
      </x:c>
      <x:c r="BV271" s="31" t="n">
        <x:f>=BT271+BU271</x:f>
      </x:c>
      <x:c r="BW271" s="68" t="n">
        <x:f>=BV271/BT271</x:f>
      </x:c>
      <x:c r="BY271" s="68" t="n">
        <x:f>=BO271</x:f>
      </x:c>
      <x:c r="BZ271" s="68" t="n">
        <x:f>=BF271</x:f>
      </x:c>
      <x:c r="CA271" s="68" t="n">
        <x:f>=BG271</x:f>
      </x:c>
      <x:c r="CB271" s="68" t="n">
        <x:f>=1 - BY271</x:f>
      </x:c>
      <x:c r="CD271" s="68" t="n">
        <x:f>=CA271/(1-BZ271)</x:f>
      </x:c>
    </x:row>
    <x:row r="272">
      <x:c r="A272" s="32" t="s">
        <x:v>530</x:v>
      </x:c>
      <x:c r="B272" t="s"/>
      <x:c r="C272" t="s">
        <x:v>531</x:v>
      </x:c>
      <x:c r="D272" t="s">
        <x:v>108</x:v>
      </x:c>
      <x:c r="E272" t="s">
        <x:v>109</x:v>
      </x:c>
      <x:c r="F272" t="n">
        <x:v>1028</x:v>
      </x:c>
      <x:c r="G272" s="33" t="n">
        <x:v>0.0097276264591439688715953307</x:v>
      </x:c>
      <x:c r="H272" s="23" t="n">
        <x:v>0.0671206225680933852140077821</x:v>
      </x:c>
      <x:c r="BC272" s="34" t="s"/>
      <x:c r="BD272" s="11" t="s">
        <x:v>278</x:v>
      </x:c>
      <x:c r="BE272" s="12" t="n">
        <x:f>=BO272</x:f>
      </x:c>
      <x:c r="BF272" s="12" t="n">
        <x:v>0.1984435797665369649805447471</x:v>
      </x:c>
      <x:c r="BG272" s="12" t="n">
        <x:v>0.0058365758754863813229571984</x:v>
      </x:c>
      <x:c r="BH272" s="12" t="n">
        <x:v>0.7957198443579766536964980545</x:v>
      </x:c>
      <x:c r="BI272" s="12" t="n">
        <x:f>=BN272</x:f>
      </x:c>
      <x:c r="BJ272" s="13" t="n">
        <x:v>0</x:v>
      </x:c>
      <x:c r="BK272" s="31" t="n">
        <x:v>6377.38</x:v>
      </x:c>
      <x:c r="BL272" s="31" t="n">
        <x:v>-21082.78908626720179461280</x:v>
      </x:c>
      <x:c r="BM272" s="31" t="n">
        <x:f>=BK272+BL272</x:f>
      </x:c>
      <x:c r="BN272" s="68" t="n">
        <x:f>=BM272/BK272</x:f>
      </x:c>
      <x:c r="BO272" s="68" t="n">
        <x:v>0.2042801556420233463035019455</x:v>
      </x:c>
      <x:c r="BP272" s="31" t="n">
        <x:v>21552.761532234228654240</x:v>
      </x:c>
      <x:c r="BQ272" s="42" t="n">
        <x:v>818</x:v>
      </x:c>
      <x:c r="BR272" s="31" t="n">
        <x:v>17149.960051914006847440</x:v>
      </x:c>
      <x:c r="BT272" s="31" t="n">
        <x:v>15954.486436565750000000000000</x:v>
      </x:c>
      <x:c r="BU272" s="31" t="n">
        <x:v>-21082.78908626720179461280</x:v>
      </x:c>
      <x:c r="BV272" s="31" t="n">
        <x:f>=BT272+BU272</x:f>
      </x:c>
      <x:c r="BW272" s="68" t="n">
        <x:f>=BV272/BT272</x:f>
      </x:c>
      <x:c r="BY272" s="68" t="n">
        <x:f>=BO272</x:f>
      </x:c>
      <x:c r="BZ272" s="68" t="n">
        <x:f>=BF272</x:f>
      </x:c>
      <x:c r="CA272" s="68" t="n">
        <x:f>=BG272</x:f>
      </x:c>
      <x:c r="CB272" s="68" t="n">
        <x:f>=1 - BY272</x:f>
      </x:c>
      <x:c r="CD272" s="68" t="n">
        <x:f>=CA272/(1-BZ272)</x:f>
      </x:c>
    </x:row>
    <x:row r="273">
      <x:c r="A273" s="32" t="s">
        <x:v>532</x:v>
      </x:c>
      <x:c r="B273" t="s"/>
      <x:c r="C273" t="s">
        <x:v>533</x:v>
      </x:c>
      <x:c r="D273" t="s">
        <x:v>96</x:v>
      </x:c>
      <x:c r="E273" t="s">
        <x:v>109</x:v>
      </x:c>
      <x:c r="F273" t="n">
        <x:v>3101</x:v>
      </x:c>
      <x:c r="G273" s="23" t="n">
        <x:v>0.0003224766204450177362141245</x:v>
      </x:c>
      <x:c r="BC273" s="34" t="s"/>
      <x:c r="BD273" s="11" t="s">
        <x:v>281</x:v>
      </x:c>
      <x:c r="BE273" s="12" t="n">
        <x:f>=BO273</x:f>
      </x:c>
      <x:c r="BF273" s="12" t="n">
        <x:v>0.248629474363108674621089971</x:v>
      </x:c>
      <x:c r="BG273" s="12" t="n">
        <x:v>0.5549822637858755240245082232</x:v>
      </x:c>
      <x:c r="BH273" s="12" t="n">
        <x:v>0.1963882618510158013544018059</x:v>
      </x:c>
      <x:c r="BI273" s="12" t="n">
        <x:f>=BN273</x:f>
      </x:c>
      <x:c r="BJ273" s="13" t="n">
        <x:v>0</x:v>
      </x:c>
      <x:c r="BK273" s="31" t="n">
        <x:v>28820.26</x:v>
      </x:c>
      <x:c r="BL273" s="31" t="n">
        <x:v>-30573.9994</x:v>
      </x:c>
      <x:c r="BM273" s="31" t="n">
        <x:f>=BK273+BL273</x:f>
      </x:c>
      <x:c r="BN273" s="68" t="n">
        <x:f>=BM273/BK273</x:f>
      </x:c>
      <x:c r="BO273" s="68" t="n">
        <x:v>0.8036117381489841986455981941</x:v>
      </x:c>
      <x:c r="BP273" s="31" t="n">
        <x:v>30389.80</x:v>
      </x:c>
      <x:c r="BQ273" s="42" t="n">
        <x:v>609</x:v>
      </x:c>
      <x:c r="BR273" s="31" t="n">
        <x:v>5968.20</x:v>
      </x:c>
      <x:c r="BT273" s="31" t="n">
        <x:v>44759.402390871000000000000000</x:v>
      </x:c>
      <x:c r="BU273" s="31" t="n">
        <x:v>-30573.9994</x:v>
      </x:c>
      <x:c r="BV273" s="31" t="n">
        <x:f>=BT273+BU273</x:f>
      </x:c>
      <x:c r="BW273" s="68" t="n">
        <x:f>=BV273/BT273</x:f>
      </x:c>
      <x:c r="BY273" s="68" t="n">
        <x:f>=BO273</x:f>
      </x:c>
      <x:c r="BZ273" s="68" t="n">
        <x:f>=BF273</x:f>
      </x:c>
      <x:c r="CA273" s="68" t="n">
        <x:f>=BG273</x:f>
      </x:c>
      <x:c r="CB273" s="68" t="n">
        <x:f>=1 - BY273</x:f>
      </x:c>
      <x:c r="CD273" s="68" t="n">
        <x:f>=CA273/(1-BZ273)</x:f>
      </x:c>
    </x:row>
    <x:row r="274">
      <x:c r="A274" s="35" t="s"/>
      <x:c r="B274" s="6" t="s"/>
      <x:c r="C274" s="6" t="s"/>
      <x:c r="D274" s="6" t="s"/>
      <x:c r="E274" s="6" t="s"/>
      <x:c r="F274" s="6" t="s"/>
      <x:c r="G274" s="6" t="s"/>
      <x:c r="H274" s="6" t="s"/>
      <x:c r="I274" s="6" t="s"/>
      <x:c r="J274" s="6" t="s"/>
      <x:c r="K274" s="6" t="s"/>
      <x:c r="L274" s="6" t="s"/>
      <x:c r="M274" s="6" t="s"/>
      <x:c r="N274" s="6" t="s"/>
      <x:c r="O274" s="6" t="s"/>
      <x:c r="P274" s="6" t="s"/>
      <x:c r="Q274" s="6" t="s"/>
      <x:c r="R274" s="6" t="s"/>
      <x:c r="S274" s="6" t="s"/>
      <x:c r="T274" s="6" t="s"/>
      <x:c r="U274" s="6" t="s"/>
      <x:c r="V274" s="6" t="s"/>
      <x:c r="W274" s="6" t="s"/>
      <x:c r="X274" s="6" t="s"/>
      <x:c r="Y274" s="6" t="s"/>
      <x:c r="Z274" s="6" t="s"/>
      <x:c r="AA274" s="6" t="s"/>
      <x:c r="AB274" s="6" t="s"/>
      <x:c r="AC274" s="6" t="s"/>
      <x:c r="AD274" s="6" t="s"/>
      <x:c r="AE274" s="6" t="s"/>
      <x:c r="AF274" s="6" t="s"/>
      <x:c r="AG274" s="6" t="s"/>
      <x:c r="AH274" s="6" t="s"/>
      <x:c r="AI274" s="6" t="s"/>
      <x:c r="AJ274" s="6" t="s"/>
      <x:c r="AK274" s="6" t="s"/>
      <x:c r="AL274" s="6" t="s"/>
      <x:c r="AM274" s="6" t="s"/>
      <x:c r="AN274" s="6" t="s"/>
      <x:c r="AO274" s="6" t="s"/>
      <x:c r="AP274" s="6" t="s"/>
      <x:c r="AQ274" s="6" t="s"/>
      <x:c r="AR274" s="6" t="s"/>
      <x:c r="AS274" s="6" t="s"/>
      <x:c r="AT274" s="6" t="s"/>
      <x:c r="AU274" s="6" t="s"/>
      <x:c r="AV274" s="6" t="s"/>
      <x:c r="AW274" s="6" t="s"/>
      <x:c r="AX274" s="6" t="s"/>
      <x:c r="AY274" s="6" t="s"/>
      <x:c r="AZ274" s="6" t="s"/>
      <x:c r="BA274" s="6" t="s"/>
      <x:c r="BB274" s="6" t="s"/>
      <x:c r="BC274" s="8" t="s"/>
      <x:c r="BD274" s="14" t="s">
        <x:v>127</x:v>
      </x:c>
      <x:c r="BE274" s="15" t="s"/>
      <x:c r="BF274" s="15" t="s"/>
      <x:c r="BG274" s="15" t="s"/>
      <x:c r="BH274" s="15" t="s"/>
      <x:c r="BI274" s="38">
        <x:f>=BM275/BK275</x:f>
      </x:c>
      <x:c r="BJ274" s="16">
        <x:f>=BR275/BP275</x:f>
      </x:c>
      <x:c r="BK274" s="21" t="n">
        <x:v>214801.49</x:v>
      </x:c>
      <x:c r="BL274" s="21" t="n">
        <x:v>-233031.87428891120988206900</x:v>
      </x:c>
      <x:c r="BM274" s="21" t="n">
        <x:f>=BK274+BL274</x:f>
      </x:c>
      <x:c r="BN274" s="22" t="n">
        <x:v>-0.0848708465146643530362335941</x:v>
      </x:c>
      <x:c r="BP274" s="21" t="n">
        <x:v>-222896.981534960010187700</x:v>
      </x:c>
      <x:c r="BQ274" s="21" t="n">
        <x:v>5659</x:v>
      </x:c>
      <x:c r="BR274" s="21" t="n">
        <x:v>62438.076354140119673903291753</x:v>
      </x:c>
      <x:c r="BT274" s="21" t="n">
        <x:v>328605.60457061462500000000000</x:v>
      </x:c>
      <x:c r="BU274" s="21" t="n">
        <x:v>-233031.87428891120988206900</x:v>
      </x:c>
      <x:c r="BV274" s="21" t="n">
        <x:f>=BT274+BU274</x:f>
      </x:c>
      <x:c r="BW274" s="22" t="n">
        <x:v>0.2908463183596292296783853752</x:v>
      </x:c>
    </x:row>
    <x:row r="275">
      <x:c r="BK275" s="19" t="n">
        <x:v>647458.39</x:v>
      </x:c>
      <x:c r="BL275" s="19" t="n">
        <x:v>-577574.80885702649950791380</x:v>
      </x:c>
      <x:c r="BM275" s="19" t="n">
        <x:f>=BK275+BL275</x:f>
      </x:c>
      <x:c r="BN275" s="20" t="n">
        <x:v>0.1079352468395281749180610664</x:v>
      </x:c>
      <x:c r="BP275" s="19" t="n">
        <x:v>-552635.236244357215987540</x:v>
      </x:c>
      <x:c r="BQ275" s="19" t="n">
        <x:v>13204</x:v>
      </x:c>
      <x:c r="BR275" s="19" t="n">
        <x:v>361201.64634048572814075230967</x:v>
      </x:c>
      <x:c r="BT275" s="19" t="n">
        <x:v>931180.6853958379256250000000</x:v>
      </x:c>
      <x:c r="BU275" s="19" t="n">
        <x:v>-577574.80885702649950791380</x:v>
      </x:c>
      <x:c r="BV275" s="19" t="n">
        <x:f>=BT275+BU275</x:f>
      </x:c>
      <x:c r="BW275" s="20" t="n">
        <x:v>0.3797392730375375215171713476</x:v>
      </x:c>
    </x:row>
    <x:row r="276">
      <x:c r="A276" s="10" t="s">
        <x:v>534</x:v>
      </x:c>
      <x:c r="B276" s="5" t="s"/>
      <x:c r="C276" s="5" t="s"/>
      <x:c r="D276" s="5" t="s"/>
      <x:c r="E276" s="5" t="s"/>
      <x:c r="F276" s="5" t="s"/>
      <x:c r="G276" s="5" t="s"/>
      <x:c r="H276" s="5" t="s"/>
      <x:c r="I276" s="5" t="s"/>
      <x:c r="J276" s="5" t="s"/>
      <x:c r="K276" s="5" t="s"/>
      <x:c r="L276" s="5" t="s"/>
      <x:c r="M276" s="5" t="s"/>
      <x:c r="N276" s="5" t="s"/>
      <x:c r="O276" s="5" t="s"/>
      <x:c r="P276" s="5" t="s"/>
      <x:c r="Q276" s="5" t="s"/>
      <x:c r="R276" s="5" t="s"/>
      <x:c r="S276" s="5" t="s"/>
      <x:c r="T276" s="5" t="s"/>
      <x:c r="U276" s="5" t="s"/>
      <x:c r="V276" s="5" t="s"/>
      <x:c r="W276" s="5" t="s"/>
      <x:c r="X276" s="5" t="s"/>
      <x:c r="Y276" s="5" t="s"/>
      <x:c r="Z276" s="5" t="s"/>
      <x:c r="AA276" s="5" t="s"/>
      <x:c r="AB276" s="5" t="s"/>
      <x:c r="AC276" s="5" t="s"/>
      <x:c r="AD276" s="5" t="s"/>
      <x:c r="AE276" s="5" t="s"/>
      <x:c r="AF276" s="5" t="s"/>
      <x:c r="AG276" s="5" t="s"/>
      <x:c r="AH276" s="5" t="s"/>
      <x:c r="AI276" s="5" t="s"/>
      <x:c r="AJ276" s="5" t="s"/>
      <x:c r="AK276" s="5" t="s"/>
      <x:c r="AL276" s="5" t="s"/>
      <x:c r="AM276" s="5" t="s"/>
      <x:c r="AN276" s="5" t="s"/>
      <x:c r="AO276" s="5" t="s"/>
      <x:c r="AP276" s="5" t="s"/>
      <x:c r="AQ276" s="5" t="s"/>
      <x:c r="AR276" s="5" t="s"/>
      <x:c r="AS276" s="5" t="s"/>
      <x:c r="AT276" s="5" t="s"/>
      <x:c r="AU276" s="5" t="s"/>
      <x:c r="AV276" s="5" t="s"/>
      <x:c r="AW276" s="5" t="s"/>
      <x:c r="AX276" s="5" t="s"/>
      <x:c r="AY276" s="5" t="s"/>
      <x:c r="AZ276" s="5" t="s"/>
      <x:c r="BA276" s="5" t="s"/>
      <x:c r="BB276" s="5" t="s"/>
      <x:c r="BC276" s="7" t="s"/>
      <x:c r="BD276" s="10" t="s"/>
      <x:c r="BE276" s="5" t="s"/>
      <x:c r="BF276" s="5" t="s"/>
      <x:c r="BG276" s="5" t="s"/>
      <x:c r="BH276" s="5" t="s"/>
      <x:c r="BI276" s="5" t="s"/>
      <x:c r="BJ276" s="7" t="s"/>
      <x:c r="BK276" s="49" t="s">
        <x:v>11</x:v>
      </x:c>
      <x:c r="BL276" s="50"/>
      <x:c r="BM276" s="51"/>
      <x:c r="BN276" s="52"/>
      <x:c r="BO276" s="52"/>
      <x:c r="BP276" s="53"/>
      <x:c r="BQ276" s="54"/>
      <x:c r="BR276" s="53"/>
      <x:c r="BT276" s="59" t="s">
        <x:v>27</x:v>
      </x:c>
      <x:c r="BU276" s="60"/>
      <x:c r="BV276" s="60"/>
      <x:c r="BW276" s="60"/>
      <x:c r="BX276" s="60"/>
      <x:c r="BY276" s="61"/>
      <x:c r="BZ276" s="61"/>
      <x:c r="CA276" s="61"/>
      <x:c r="CB276" s="61"/>
      <x:c r="CC276" s="60"/>
      <x:c r="CD276" s="62"/>
    </x:row>
    <x:row r="277" ht="45.75" customHeight="1">
      <x:c r="A277" s="41" t="s">
        <x:v>30</x:v>
      </x:c>
      <x:c r="B277" s="41" t="s">
        <x:v>31</x:v>
      </x:c>
      <x:c r="C277" s="41" t="s">
        <x:v>32</x:v>
      </x:c>
      <x:c r="D277" s="41" t="s">
        <x:v>33</x:v>
      </x:c>
      <x:c r="E277" s="41" t="s">
        <x:v>34</x:v>
      </x:c>
      <x:c r="F277" s="41" t="s">
        <x:v>83</x:v>
      </x:c>
      <x:c r="G277" s="41" t="s">
        <x:v>35</x:v>
      </x:c>
      <x:c r="H277" s="41" t="s">
        <x:v>36</x:v>
      </x:c>
      <x:c r="I277" s="41" t="s">
        <x:v>37</x:v>
      </x:c>
      <x:c r="J277" s="41" t="s">
        <x:v>38</x:v>
      </x:c>
      <x:c r="K277" s="41" t="s">
        <x:v>39</x:v>
      </x:c>
      <x:c r="L277" s="41" t="s">
        <x:v>40</x:v>
      </x:c>
      <x:c r="M277" s="41" t="s">
        <x:v>41</x:v>
      </x:c>
      <x:c r="N277" s="41" t="s">
        <x:v>42</x:v>
      </x:c>
      <x:c r="O277" s="41" t="s">
        <x:v>43</x:v>
      </x:c>
      <x:c r="P277" s="41" t="s">
        <x:v>44</x:v>
      </x:c>
      <x:c r="Q277" s="41" t="s">
        <x:v>45</x:v>
      </x:c>
      <x:c r="R277" s="41" t="s">
        <x:v>46</x:v>
      </x:c>
      <x:c r="S277" s="41" t="s">
        <x:v>47</x:v>
      </x:c>
      <x:c r="T277" s="41" t="s">
        <x:v>48</x:v>
      </x:c>
      <x:c r="U277" s="41" t="s">
        <x:v>49</x:v>
      </x:c>
      <x:c r="V277" s="41" t="s">
        <x:v>50</x:v>
      </x:c>
      <x:c r="W277" s="41" t="s">
        <x:v>51</x:v>
      </x:c>
      <x:c r="X277" s="41" t="s">
        <x:v>52</x:v>
      </x:c>
      <x:c r="Y277" s="41" t="s">
        <x:v>53</x:v>
      </x:c>
      <x:c r="Z277" s="41" t="s">
        <x:v>54</x:v>
      </x:c>
      <x:c r="AA277" s="41" t="s">
        <x:v>55</x:v>
      </x:c>
      <x:c r="AB277" s="41" t="s">
        <x:v>56</x:v>
      </x:c>
      <x:c r="AC277" s="41" t="s">
        <x:v>57</x:v>
      </x:c>
      <x:c r="AD277" s="41" t="s">
        <x:v>58</x:v>
      </x:c>
      <x:c r="AE277" s="41" t="s">
        <x:v>59</x:v>
      </x:c>
      <x:c r="AF277" s="41" t="s">
        <x:v>60</x:v>
      </x:c>
      <x:c r="AG277" s="41" t="s">
        <x:v>61</x:v>
      </x:c>
      <x:c r="AH277" s="41" t="s">
        <x:v>62</x:v>
      </x:c>
      <x:c r="AI277" s="41" t="s">
        <x:v>63</x:v>
      </x:c>
      <x:c r="AJ277" s="41" t="s">
        <x:v>64</x:v>
      </x:c>
      <x:c r="AK277" s="41" t="s">
        <x:v>65</x:v>
      </x:c>
      <x:c r="AL277" s="41" t="s">
        <x:v>66</x:v>
      </x:c>
      <x:c r="AM277" s="41" t="s">
        <x:v>67</x:v>
      </x:c>
      <x:c r="AN277" s="41" t="s">
        <x:v>68</x:v>
      </x:c>
      <x:c r="AO277" s="41" t="s">
        <x:v>69</x:v>
      </x:c>
      <x:c r="AP277" s="41" t="s">
        <x:v>70</x:v>
      </x:c>
      <x:c r="AQ277" s="41" t="s">
        <x:v>71</x:v>
      </x:c>
      <x:c r="AR277" s="41" t="s">
        <x:v>72</x:v>
      </x:c>
      <x:c r="AS277" s="41" t="s">
        <x:v>73</x:v>
      </x:c>
      <x:c r="AT277" s="41" t="s">
        <x:v>74</x:v>
      </x:c>
      <x:c r="AU277" s="41" t="s">
        <x:v>75</x:v>
      </x:c>
      <x:c r="AV277" s="41" t="s">
        <x:v>76</x:v>
      </x:c>
      <x:c r="AW277" s="41" t="s">
        <x:v>77</x:v>
      </x:c>
      <x:c r="AX277" s="41" t="s">
        <x:v>78</x:v>
      </x:c>
      <x:c r="AY277" s="41" t="s">
        <x:v>79</x:v>
      </x:c>
      <x:c r="AZ277" s="41" t="s">
        <x:v>80</x:v>
      </x:c>
      <x:c r="BA277" s="41" t="s">
        <x:v>81</x:v>
      </x:c>
      <x:c r="BB277" s="41" t="s">
        <x:v>82</x:v>
      </x:c>
      <x:c r="BD277" s="32" t="s">
        <x:v>84</x:v>
      </x:c>
      <x:c r="BE277" s="33" t="s">
        <x:v>85</x:v>
      </x:c>
      <x:c r="BF277" s="33" t="s">
        <x:v>86</x:v>
      </x:c>
      <x:c r="BG277" s="33" t="s">
        <x:v>87</x:v>
      </x:c>
      <x:c r="BH277" s="33" t="s">
        <x:v>88</x:v>
      </x:c>
      <x:c r="BI277" s="33" t="s">
        <x:v>89</x:v>
      </x:c>
      <x:c r="BJ277" s="34" t="s">
        <x:v>90</x:v>
      </x:c>
      <x:c r="BK277" s="55" t="s">
        <x:v>12</x:v>
      </x:c>
      <x:c r="BL277" s="56" t="s">
        <x:v>13</x:v>
      </x:c>
      <x:c r="BM277" s="56" t="s">
        <x:v>14</x:v>
      </x:c>
      <x:c r="BN277" s="57" t="s">
        <x:v>15</x:v>
      </x:c>
      <x:c r="BO277" s="57" t="s">
        <x:v>28</x:v>
      </x:c>
      <x:c r="BP277" s="58" t="s">
        <x:v>16</x:v>
      </x:c>
      <x:c r="BQ277" s="55" t="s">
        <x:v>17</x:v>
      </x:c>
      <x:c r="BR277" s="58" t="s">
        <x:v>18</x:v>
      </x:c>
      <x:c r="BT277" s="63" t="s">
        <x:v>19</x:v>
      </x:c>
      <x:c r="BU277" s="64" t="s">
        <x:v>20</x:v>
      </x:c>
      <x:c r="BV277" s="64" t="s">
        <x:v>21</x:v>
      </x:c>
      <x:c r="BW277" s="64" t="s">
        <x:v>15</x:v>
      </x:c>
      <x:c r="BX277" s="64"/>
      <x:c r="BY277" s="65" t="s">
        <x:v>22</x:v>
      </x:c>
      <x:c r="BZ277" s="65" t="s">
        <x:v>23</x:v>
      </x:c>
      <x:c r="CA277" s="65" t="s">
        <x:v>26</x:v>
      </x:c>
      <x:c r="CB277" s="65" t="s">
        <x:v>24</x:v>
      </x:c>
      <x:c r="CC277" s="64"/>
      <x:c r="CD277" s="66" t="s">
        <x:v>25</x:v>
      </x:c>
    </x:row>
    <x:row r="278">
      <x:c r="BD278" s="32" t="s"/>
      <x:c r="BJ278" s="34" t="s"/>
    </x:row>
    <x:row r="279">
      <x:c r="A279" s="36" t="s">
        <x:v>129</x:v>
      </x:c>
      <x:c r="BC279" s="34" t="s"/>
      <x:c r="BD279" s="11" t="s"/>
      <x:c r="BJ279" s="13" t="s"/>
    </x:row>
    <x:row r="280">
      <x:c r="A280" s="17" t="s">
        <x:v>105</x:v>
      </x:c>
      <x:c r="BC280" s="34" t="s"/>
      <x:c r="BD280" s="11" t="s"/>
      <x:c r="BJ280" s="13" t="s"/>
    </x:row>
    <x:row r="281">
      <x:c r="A281" s="32" t="s">
        <x:v>535</x:v>
      </x:c>
      <x:c r="B281" t="s"/>
      <x:c r="C281" t="s">
        <x:v>536</x:v>
      </x:c>
      <x:c r="D281" t="s">
        <x:v>96</x:v>
      </x:c>
      <x:c r="E281" t="s">
        <x:v>132</x:v>
      </x:c>
      <x:c r="F281" t="n">
        <x:v>2103</x:v>
      </x:c>
      <x:c r="G281" s="33" t="n">
        <x:v>0.0014265335235378031383737518</x:v>
      </x:c>
      <x:c r="H281" s="33" t="n">
        <x:v>0.0237755587256300523062291964</x:v>
      </x:c>
      <x:c r="I281" s="33" t="n">
        <x:v>0.0446980504041844983357108892</x:v>
      </x:c>
      <x:c r="J281" s="33" t="n">
        <x:v>0.0665715644317641464574417499</x:v>
      </x:c>
      <x:c r="K281" s="33" t="n">
        <x:v>0.0794103661436043747028055159</x:v>
      </x:c>
      <x:c r="L281" s="33" t="n">
        <x:v>0.0955777460770328102710413695</x:v>
      </x:c>
      <x:c r="M281" s="33" t="n">
        <x:v>0.1041369472182596291012838802</x:v>
      </x:c>
      <x:c r="N281" s="33" t="n">
        <x:v>0.1093675701378982406086543034</x:v>
      </x:c>
      <x:c r="O281" s="33" t="n">
        <x:v>0.1193533048026628625772705659</x:v>
      </x:c>
      <x:c r="P281" s="33" t="n">
        <x:v>0.1293390394674274845458868283</x:v>
      </x:c>
      <x:c r="Q281" s="33" t="n">
        <x:v>0.1426533523537803138373751783</x:v>
      </x:c>
      <x:c r="R281" s="33" t="n">
        <x:v>0.1502615311459819305753685212</x:v>
      </x:c>
      <x:c r="S281" s="33" t="n">
        <x:v>0.1564431764146457441749881122</x:v>
      </x:c>
      <x:c r="T281" s="33" t="n">
        <x:v>0.1688064669519733713742272943</x:v>
      </x:c>
      <x:c r="U281" s="33" t="n">
        <x:v>0.1859248692344270090347123157</x:v>
      </x:c>
      <x:c r="V281" s="33" t="n">
        <x:v>0.1935330480266286257727056586</x:v>
      </x:c>
      <x:c r="W281" s="33" t="n">
        <x:v>0.2116024726581074655254398478</x:v>
      </x:c>
      <x:c r="X281" s="33" t="n">
        <x:v>0.2272943414170233000475511175</x:v>
      </x:c>
      <x:c r="Y281" s="33" t="n">
        <x:v>0.243461721350451735615786971</x:v>
      </x:c>
      <x:c r="Z281" s="33" t="n">
        <x:v>0.2872087494056110318592486923</x:v>
      </x:c>
      <x:c r="AA281" s="33" t="n">
        <x:v>0.3043271516880646695197337137</x:v>
      </x:c>
      <x:c r="AB281" s="33" t="n">
        <x:v>0.3171659533999048977650974798</x:v>
      </x:c>
      <x:c r="AC281" s="33" t="n">
        <x:v>0.3328578221588207322872087494</x:v>
      </x:c>
      <x:c r="AD281" s="33" t="n">
        <x:v>0.3561578697099381835473133619</x:v>
      </x:c>
      <x:c r="AE281" s="33" t="n">
        <x:v>0.3632905373276271992391821208</x:v>
      </x:c>
      <x:c r="AF281" s="33" t="n">
        <x:v>0.3723252496433666191155492154</x:v>
      </x:c>
      <x:c r="AG281" s="33" t="n">
        <x:v>0.3704232049453162149310508797</x:v>
      </x:c>
      <x:c r="AH281" s="33" t="n">
        <x:v>0.3766048502139800285306704708</x:v>
      </x:c>
      <x:c r="AI281" s="33" t="n">
        <x:v>0.3832620066571564431764146457</x:v>
      </x:c>
      <x:c r="AJ281" s="33" t="n">
        <x:v>0.3932477413219210651450309082</x:v>
      </x:c>
      <x:c r="AK281" s="33" t="n">
        <x:v>0.4008559201141226818830242511</x:v>
      </x:c>
      <x:c r="AL281" s="33" t="n">
        <x:v>0.4070375653827864954826438421</x:v>
      </x:c>
      <x:c r="AM281" s="33" t="n">
        <x:v>0.4365192582025677603423680456</x:v>
      </x:c>
      <x:c r="AN281" s="33" t="n">
        <x:v>0.4560152163575844032334759867</x:v>
      </x:c>
      <x:c r="AO281" s="33" t="n">
        <x:v>0.4650499286733238231098430813</x:v>
      </x:c>
      <x:c r="AP281" s="33" t="n">
        <x:v>0.4873989538754160722776985259</x:v>
      </x:c>
      <x:c r="AQ281" s="33" t="n">
        <x:v>0.5106990014265335235378031384</x:v>
      </x:c>
      <x:c r="AR281" s="33" t="n">
        <x:v>0.5449358059914407988587731812</x:v>
      </x:c>
      <x:c r="AS281" s="33" t="n">
        <x:v>0.5739419876367094626723728008</x:v>
      </x:c>
      <x:c r="AT281" s="23" t="n">
        <x:v>0.6348074179743223965763195435</x:v>
      </x:c>
      <x:c r="BC281" s="34" t="s"/>
      <x:c r="BD281" s="11" t="s">
        <x:v>496</x:v>
      </x:c>
      <x:c r="BE281" s="12" t="n">
        <x:f>=BO281</x:f>
      </x:c>
      <x:c r="BF281" s="12" t="n">
        <x:v>0.59201141226818830242510699</x:v>
      </x:c>
      <x:c r="BG281" s="12" t="n">
        <x:v>0.361864003804089396100808369</x:v>
      </x:c>
      <x:c r="BH281" s="12" t="n">
        <x:v>0.046124583927722301474084641</x:v>
      </x:c>
      <x:c r="BI281" s="12" t="n">
        <x:f>=BN281</x:f>
      </x:c>
      <x:c r="BJ281" s="13" t="n">
        <x:v>0</x:v>
      </x:c>
      <x:c r="BK281" s="31" t="n">
        <x:v>8072.58</x:v>
      </x:c>
      <x:c r="BL281" s="31" t="n">
        <x:v>-4475.1638</x:v>
      </x:c>
      <x:c r="BM281" s="31" t="n">
        <x:f>=BK281+BL281</x:f>
      </x:c>
      <x:c r="BN281" s="68" t="n">
        <x:f>=BM281/BK281</x:f>
      </x:c>
      <x:c r="BO281" s="68" t="n">
        <x:v>0.953875416072277698525915359</x:v>
      </x:c>
      <x:c r="BP281" s="31" t="n">
        <x:v>4375.52</x:v>
      </x:c>
      <x:c r="BQ281" s="42" t="n">
        <x:v>97</x:v>
      </x:c>
      <x:c r="BR281" s="31" t="n">
        <x:v>201.81903946742748454588682834</x:v>
      </x:c>
      <x:c r="BT281" s="31" t="n">
        <x:v>11068.140966834077625000000</x:v>
      </x:c>
      <x:c r="BU281" s="31" t="n">
        <x:v>-4475.1638</x:v>
      </x:c>
      <x:c r="BV281" s="31" t="n">
        <x:f>=BT281+BU281</x:f>
      </x:c>
      <x:c r="BW281" s="68" t="n">
        <x:f>=BV281/BT281</x:f>
      </x:c>
      <x:c r="BY281" s="68" t="n">
        <x:f>=BO281</x:f>
      </x:c>
      <x:c r="BZ281" s="68" t="n">
        <x:f>=BF281</x:f>
      </x:c>
      <x:c r="CA281" s="68" t="n">
        <x:f>=BG281</x:f>
      </x:c>
      <x:c r="CB281" s="68" t="n">
        <x:f>=1 - BY281</x:f>
      </x:c>
      <x:c r="CD281" s="68" t="n">
        <x:f>=CA281/(1-BZ281)</x:f>
      </x:c>
    </x:row>
    <x:row r="282">
      <x:c r="A282" s="32" t="s">
        <x:v>537</x:v>
      </x:c>
      <x:c r="B282" t="s"/>
      <x:c r="C282" t="s">
        <x:v>538</x:v>
      </x:c>
      <x:c r="D282" t="s">
        <x:v>96</x:v>
      </x:c>
      <x:c r="E282" t="s">
        <x:v>132</x:v>
      </x:c>
      <x:c r="F282" t="n">
        <x:v>2101</x:v>
      </x:c>
      <x:c r="G282" s="33" t="n">
        <x:v>0.0019038553069966682532127558</x:v>
      </x:c>
      <x:c r="H282" s="33" t="n">
        <x:v>0.0257020466444550214183722037</x:v>
      </x:c>
      <x:c r="I282" s="33" t="n">
        <x:v>0.0490242741551642075202284626</x:v>
      </x:c>
      <x:c r="J282" s="33" t="n">
        <x:v>0.0699666825321275583055687768</x:v>
      </x:c>
      <x:c r="K282" s="33" t="n">
        <x:v>0.1085197524988100904331270823</x:v>
      </x:c>
      <x:c r="L282" s="33" t="n">
        <x:v>0.1261304140885292717753450738</x:v>
      </x:c>
      <x:c r="M282" s="33" t="n">
        <x:v>0.1565920990004759638267491671</x:v>
      </x:c>
      <x:c r="N282" s="33" t="n">
        <x:v>0.1746787244169443122322703475</x:v>
      </x:c>
      <x:c r="O282" s="33" t="n">
        <x:v>0.2065683008091385054735840076</x:v>
      </x:c>
      <x:c r="P282" s="33" t="n">
        <x:v>0.2322703474535935268919562113</x:v>
      </x:c>
      <x:c r="Q282" s="33" t="n">
        <x:v>0.2665397429795335554497858163</x:v>
      </x:c>
      <x:c r="R282" s="33" t="n">
        <x:v>0.2931937172774869109947643979</x:v>
      </x:c>
      <x:c r="S282" s="33" t="n">
        <x:v>0.3055687767729652546406473108</x:v>
      </x:c>
      <x:c r="T282" s="33" t="n">
        <x:v>0.3241313660161827701094716802</x:v>
      </x:c>
      <x:c r="U282" s="33" t="n">
        <x:v>0.3498334126606377915278438839</x:v>
      </x:c>
      <x:c r="V282" s="33" t="n">
        <x:v>0.3750594954783436458829128986</x:v>
      </x:c>
      <x:c r="W282" s="33" t="n">
        <x:v>0.3979057591623036649214659686</x:v>
      </x:c>
      <x:c r="X282" s="33" t="n">
        <x:v>0.4340790099952403617325083294</x:v>
      </x:c>
      <x:c r="Y282" s="33" t="n">
        <x:v>0.460257020466444550214183722</x:v>
      </x:c>
      <x:c r="Z282" s="33" t="n">
        <x:v>0.4911946692051404093288910043</x:v>
      </x:c>
      <x:c r="AA282" s="33" t="n">
        <x:v>0.5235602094240837696335078534</x:v>
      </x:c>
      <x:c r="AB282" s="33" t="n">
        <x:v>0.5473584007615421227986673013</x:v>
      </x:c>
      <x:c r="AC282" s="33" t="n">
        <x:v>0.5663969538315088053307948596</x:v>
      </x:c>
      <x:c r="AD282" s="33" t="n">
        <x:v>0.5811518324607329842931937173</x:v>
      </x:c>
      <x:c r="AE282" s="33" t="n">
        <x:v>0.5930509281294621608757734412</x:v>
      </x:c>
      <x:c r="AF282" s="33" t="n">
        <x:v>0.6049500237981913374583531652</x:v>
      </x:c>
      <x:c r="AG282" s="33" t="n">
        <x:v>0.6044740599714421703950499762</x:v>
      </x:c>
      <x:c r="AH282" s="33" t="n">
        <x:v>0.6144693003331746787244169443</x:v>
      </x:c>
      <x:c r="AI282" s="33" t="n">
        <x:v>0.6187529747739171822941456449</x:v>
      </x:c>
      <x:c r="AJ282" s="33" t="n">
        <x:v>0.6187529747739171822941456449</x:v>
      </x:c>
      <x:c r="AK282" s="33" t="n">
        <x:v>0.6263683960019038553069966683</x:v>
      </x:c>
      <x:c r="AL282" s="33" t="n">
        <x:v>0.6335078534031413612565445026</x:v>
      </x:c>
      <x:c r="AM282" s="33" t="n">
        <x:v>0.6606377915278438838648262732</x:v>
      </x:c>
      <x:c r="AN282" s="33" t="n">
        <x:v>0.6787244169443122322703474536</x:v>
      </x:c>
      <x:c r="AO282" s="33" t="n">
        <x:v>0.6868158019990480723465016659</x:v>
      </x:c>
      <x:c r="AP282" s="24" t="n">
        <x:v>0.7091861018562589243217515469</x:v>
      </x:c>
      <x:c r="AQ282" s="33" t="n">
        <x:v>0.7248929081389814374107567825</x:v>
      </x:c>
      <x:c r="AR282" s="33" t="n">
        <x:v>0.7386958591147072822465492623</x:v>
      </x:c>
      <x:c r="AS282" s="33" t="n">
        <x:v>0.7539267015706806282722513089</x:v>
      </x:c>
      <x:c r="AT282" s="23" t="n">
        <x:v>0.775821037601142313184198001</x:v>
      </x:c>
      <x:c r="BC282" s="34" t="s"/>
      <x:c r="BD282" s="11" t="s">
        <x:v>496</x:v>
      </x:c>
      <x:c r="BE282" s="12" t="n">
        <x:f>=BO282</x:f>
      </x:c>
      <x:c r="BF282" s="12" t="n">
        <x:v>0.7720133269871489766777724893</x:v>
      </x:c>
      <x:c r="BG282" s="12" t="n">
        <x:v>0.2041884816753926701570680628</x:v>
      </x:c>
      <x:c r="BH282" s="12" t="n">
        <x:v>0.0237981913374583531651594479</x:v>
      </x:c>
      <x:c r="BI282" s="12" t="n">
        <x:f>=BN282</x:f>
      </x:c>
      <x:c r="BJ282" s="13" t="n">
        <x:v>0</x:v>
      </x:c>
      <x:c r="BK282" s="31" t="n">
        <x:v>8485.71</x:v>
      </x:c>
      <x:c r="BL282" s="31" t="n">
        <x:v>-4401.0430</x:v>
      </x:c>
      <x:c r="BM282" s="31" t="n">
        <x:f>=BK282+BL282</x:f>
      </x:c>
      <x:c r="BN282" s="68" t="n">
        <x:f>=BM282/BK282</x:f>
      </x:c>
      <x:c r="BO282" s="68" t="n">
        <x:v>0.9762018086625416468348405521</x:v>
      </x:c>
      <x:c r="BP282" s="31" t="n">
        <x:v>4298.90</x:v>
      </x:c>
      <x:c r="BQ282" s="42" t="n">
        <x:v>50</x:v>
      </x:c>
      <x:c r="BR282" s="31" t="n">
        <x:v>102.30604474059971442170395050</x:v>
      </x:c>
      <x:c r="BT282" s="31" t="n">
        <x:v>11352.88210007575050000000</x:v>
      </x:c>
      <x:c r="BU282" s="31" t="n">
        <x:v>-4401.0430</x:v>
      </x:c>
      <x:c r="BV282" s="31" t="n">
        <x:f>=BT282+BU282</x:f>
      </x:c>
      <x:c r="BW282" s="68" t="n">
        <x:f>=BV282/BT282</x:f>
      </x:c>
      <x:c r="BY282" s="68" t="n">
        <x:f>=BO282</x:f>
      </x:c>
      <x:c r="BZ282" s="68" t="n">
        <x:f>=BF282</x:f>
      </x:c>
      <x:c r="CA282" s="68" t="n">
        <x:f>=BG282</x:f>
      </x:c>
      <x:c r="CB282" s="68" t="n">
        <x:f>=1 - BY282</x:f>
      </x:c>
      <x:c r="CD282" s="68" t="n">
        <x:f>=CA282/(1-BZ282)</x:f>
      </x:c>
    </x:row>
    <x:row r="283">
      <x:c r="A283" s="32" t="s">
        <x:v>539</x:v>
      </x:c>
      <x:c r="B283" t="s"/>
      <x:c r="C283" t="s">
        <x:v>540</x:v>
      </x:c>
      <x:c r="D283" t="s">
        <x:v>173</x:v>
      </x:c>
      <x:c r="E283" t="s">
        <x:v>132</x:v>
      </x:c>
      <x:c r="F283" t="n">
        <x:v>2078</x:v>
      </x:c>
      <x:c r="G283" s="33" t="n">
        <x:v>0.028392685274302213666987488</x:v>
      </x:c>
      <x:c r="H283" s="33" t="n">
        <x:v>0.0837343599615014436958614052</x:v>
      </x:c>
      <x:c r="I283" s="33" t="n">
        <x:v>0.1669874879692011549566891242</x:v>
      </x:c>
      <x:c r="J283" s="33" t="n">
        <x:v>0.2151106833493743984600577478</x:v>
      </x:c>
      <x:c r="K283" s="33" t="n">
        <x:v>0.2752646775745909528392685274</x:v>
      </x:c>
      <x:c r="L283" s="33" t="n">
        <x:v>0.3306063522617901828681424447</x:v>
      </x:c>
      <x:c r="M283" s="33" t="n">
        <x:v>0.3710298363811357074109720885</x:v>
      </x:c>
      <x:c r="N283" s="33" t="n">
        <x:v>0.4254090471607314725697786333</x:v>
      </x:c>
      <x:c r="O283" s="33" t="n">
        <x:v>0.4903753609239653512993262753</x:v>
      </x:c>
      <x:c r="P283" s="33" t="n">
        <x:v>0.5519730510105871029836381136</x:v>
      </x:c>
      <x:c r="Q283" s="33" t="n">
        <x:v>0.5899903753609239653512993263</x:v>
      </x:c>
      <x:c r="R283" s="33" t="n">
        <x:v>0.6342637151106833493743984601</x:v>
      </x:c>
      <x:c r="S283" s="33" t="n">
        <x:v>0.6549566891241578440808469682</x:v>
      </x:c>
      <x:c r="T283" s="33" t="n">
        <x:v>0.6746871992300288739172281039</x:v>
      </x:c>
      <x:c r="U283" s="33" t="n">
        <x:v>0.6819056785370548604427333975</x:v>
      </x:c>
      <x:c r="V283" s="33" t="n">
        <x:v>0.6973051010587102983638113571</x:v>
      </x:c>
      <x:c r="W283" s="24" t="n">
        <x:v>0.7179980750721847930702598653</x:v>
      </x:c>
      <x:c r="X283" s="33" t="n">
        <x:v>0.7261790182868142444658325313</x:v>
      </x:c>
      <x:c r="Y283" s="33" t="n">
        <x:v>0.7338787295476419634263715111</x:v>
      </x:c>
      <x:c r="Z283" s="33" t="n">
        <x:v>0.7425409047160731472569778633</x:v>
      </x:c>
      <x:c r="AA283" s="33" t="n">
        <x:v>0.7468719923002887391722810395</x:v>
      </x:c>
      <x:c r="AB283" s="33" t="n">
        <x:v>0.754090471607314725697786333</x:v>
      </x:c>
      <x:c r="AC283" s="33" t="n">
        <x:v>0.7550529355149181905678537055</x:v>
      </x:c>
      <x:c r="AD283" s="33" t="n">
        <x:v>0.7589027911453320500481231954</x:v>
      </x:c>
      <x:c r="AE283" s="33" t="n">
        <x:v>0.7584215591915303176130895091</x:v>
      </x:c>
      <x:c r="AF283" s="33" t="n">
        <x:v>0.7579403272377285851780558229</x:v>
      </x:c>
      <x:c r="AG283" s="33" t="n">
        <x:v>0.7579403272377285851780558229</x:v>
      </x:c>
      <x:c r="AH283" s="33" t="n">
        <x:v>0.7579403272377285851780558229</x:v>
      </x:c>
      <x:c r="AI283" s="33" t="n">
        <x:v>0.7584215591915303176130895091</x:v>
      </x:c>
      <x:c r="AJ283" s="33" t="n">
        <x:v>0.7593840230991337824831568816</x:v>
      </x:c>
      <x:c r="AK283" s="33" t="n">
        <x:v>0.7603464870067372473532242541</x:v>
      </x:c>
      <x:c r="AL283" s="33" t="n">
        <x:v>0.762271414821944177093358999</x:v>
      </x:c>
      <x:c r="AM283" s="33" t="n">
        <x:v>0.762271414821944177093358999</x:v>
      </x:c>
      <x:c r="AN283" s="33" t="n">
        <x:v>0.762271414821944177093358999</x:v>
      </x:c>
      <x:c r="AO283" s="33" t="n">
        <x:v>0.7617901828681424446583253128</x:v>
      </x:c>
      <x:c r="AP283" s="23" t="n">
        <x:v>0.7882579403272377285851780558</x:v>
      </x:c>
      <x:c r="BC283" s="34" t="s"/>
      <x:c r="BD283" s="11" t="s">
        <x:v>360</x:v>
      </x:c>
      <x:c r="BE283" s="12" t="n">
        <x:f>=BO283</x:f>
      </x:c>
      <x:c r="BF283" s="12" t="n">
        <x:v>0.7613089509143407122232916266</x:v>
      </x:c>
      <x:c r="BG283" s="12" t="n">
        <x:v>0.154475457170356111645813282</x:v>
      </x:c>
      <x:c r="BH283" s="12" t="n">
        <x:v>0.0842155919153031761308950914</x:v>
      </x:c>
      <x:c r="BI283" s="12" t="n">
        <x:f>=BN283</x:f>
      </x:c>
      <x:c r="BJ283" s="13" t="n">
        <x:v>0</x:v>
      </x:c>
      <x:c r="BK283" s="31" t="n">
        <x:v>30822.42</x:v>
      </x:c>
      <x:c r="BL283" s="31" t="n">
        <x:v>-23702.7216</x:v>
      </x:c>
      <x:c r="BM283" s="31" t="n">
        <x:f>=BK283+BL283</x:f>
      </x:c>
      <x:c r="BN283" s="68" t="n">
        <x:f>=BM283/BK283</x:f>
      </x:c>
      <x:c r="BO283" s="68" t="n">
        <x:v>0.9157844080846968238691049086</x:v>
      </x:c>
      <x:c r="BP283" s="31" t="n">
        <x:v>23172.50</x:v>
      </x:c>
      <x:c r="BQ283" s="42" t="n">
        <x:v>175</x:v>
      </x:c>
      <x:c r="BR283" s="31" t="n">
        <x:v>1951.4858036573628488931665062</x:v>
      </x:c>
      <x:c r="BT283" s="31" t="n">
        <x:v>41660.88519576953550000000</x:v>
      </x:c>
      <x:c r="BU283" s="31" t="n">
        <x:v>-23702.7216</x:v>
      </x:c>
      <x:c r="BV283" s="31" t="n">
        <x:f>=BT283+BU283</x:f>
      </x:c>
      <x:c r="BW283" s="68" t="n">
        <x:f>=BV283/BT283</x:f>
      </x:c>
      <x:c r="BY283" s="68" t="n">
        <x:f>=BO283</x:f>
      </x:c>
      <x:c r="BZ283" s="68" t="n">
        <x:f>=BF283</x:f>
      </x:c>
      <x:c r="CA283" s="68" t="n">
        <x:f>=BG283</x:f>
      </x:c>
      <x:c r="CB283" s="68" t="n">
        <x:f>=1 - BY283</x:f>
      </x:c>
      <x:c r="CD283" s="68" t="n">
        <x:f>=CA283/(1-BZ283)</x:f>
      </x:c>
    </x:row>
    <x:row r="284">
      <x:c r="A284" s="32" t="s">
        <x:v>541</x:v>
      </x:c>
      <x:c r="B284" t="s"/>
      <x:c r="C284" t="s">
        <x:v>542</x:v>
      </x:c>
      <x:c r="D284" t="s">
        <x:v>108</x:v>
      </x:c>
      <x:c r="E284" t="s">
        <x:v>132</x:v>
      </x:c>
      <x:c r="F284" t="n">
        <x:v>2053</x:v>
      </x:c>
      <x:c r="G284" s="33" t="n">
        <x:v>0.075012177301509985387238188</x:v>
      </x:c>
      <x:c r="H284" s="33" t="n">
        <x:v>0.075012177301509985387238188</x:v>
      </x:c>
      <x:c r="I284" s="33" t="n">
        <x:v>0.1758402338041889917194349732</x:v>
      </x:c>
      <x:c r="J284" s="33" t="n">
        <x:v>0.2474427666829030686799805163</x:v>
      </x:c>
      <x:c r="K284" s="33" t="n">
        <x:v>0.3122260107160253287871407696</x:v>
      </x:c>
      <x:c r="L284" s="33" t="n">
        <x:v>0.3799318071115440818314661471</x:v>
      </x:c>
      <x:c r="M284" s="33" t="n">
        <x:v>0.4320506575742815392109108622</x:v>
      </x:c>
      <x:c r="N284" s="33" t="n">
        <x:v>0.4939113492450073063809059912</x:v>
      </x:c>
      <x:c r="O284" s="33" t="n">
        <x:v>0.5372625426205552849488553337</x:v>
      </x:c>
      <x:c r="P284" s="33" t="n">
        <x:v>0.5728202630297126156843643449</x:v>
      </x:c>
      <x:c r="Q284" s="33" t="n">
        <x:v>0.6103263516804676083779834389</x:v>
      </x:c>
      <x:c r="R284" s="33" t="n">
        <x:v>0.654164637116415002435460302</x:v>
      </x:c>
      <x:c r="S284" s="33" t="n">
        <x:v>0.6950803701899659035557720409</x:v>
      </x:c>
      <x:c r="T284" s="24" t="n">
        <x:v>0.7082318558207501217730150999</x:v>
      </x:c>
      <x:c r="U284" s="33" t="n">
        <x:v>0.72917681441792498782269849</x:v>
      </x:c>
      <x:c r="V284" s="33" t="n">
        <x:v>0.7286897223575255723331709693</x:v>
      </x:c>
      <x:c r="W284" s="33" t="n">
        <x:v>0.7413541159279103750608865075</x:v>
      </x:c>
      <x:c r="X284" s="33" t="n">
        <x:v>0.7525572333170969313200194837</x:v>
      </x:c>
      <x:c r="Y284" s="33" t="n">
        <x:v>0.7730150998538723818801753531</x:v>
      </x:c>
      <x:c r="Z284" s="33" t="n">
        <x:v>0.7959084266926449098879688261</x:v>
      </x:c>
      <x:c r="AA284" s="33" t="n">
        <x:v>0.8168533852898197759376522163</x:v>
      </x:c>
      <x:c r="AB284" s="33" t="n">
        <x:v>0.8377983438869946419873356064</x:v>
      </x:c>
      <x:c r="AC284" s="33" t="n">
        <x:v>0.854846566000974184120798831</x:v>
      </x:c>
      <x:c r="AD284" s="33" t="n">
        <x:v>0.8767657087189478811495372625</x:v>
      </x:c>
      <x:c r="AE284" s="33" t="n">
        <x:v>0.8981977593765221626887481734</x:v>
      </x:c>
      <x:c r="AF284" s="33" t="n">
        <x:v>0.9157330735509011203117389187</x:v>
      </x:c>
      <x:c r="AG284" s="33" t="n">
        <x:v>0.9279103750608865075499269362</x:v>
      </x:c>
      <x:c r="AH284" s="33" t="n">
        <x:v>0.934729663906478324403312226</x:v>
      </x:c>
      <x:c r="AI284" s="23" t="n">
        <x:v>0.9420360448124695567462250365</x:v>
      </x:c>
      <x:c r="BC284" s="34" t="s"/>
      <x:c r="BD284" s="11" t="s">
        <x:v>248</x:v>
      </x:c>
      <x:c r="BE284" s="12" t="n">
        <x:f>=BO284</x:f>
      </x:c>
      <x:c r="BF284" s="12" t="n">
        <x:v>0.934729663906478324403312226</x:v>
      </x:c>
      <x:c r="BG284" s="12" t="n">
        <x:v>0.0379931807111544081831466147</x:v>
      </x:c>
      <x:c r="BH284" s="12" t="n">
        <x:v>0.0272771553823672674135411593</x:v>
      </x:c>
      <x:c r="BI284" s="12" t="n">
        <x:f>=BN284</x:f>
      </x:c>
      <x:c r="BJ284" s="13" t="n">
        <x:v>0</x:v>
      </x:c>
      <x:c r="BK284" s="31" t="n">
        <x:v>13256.83</x:v>
      </x:c>
      <x:c r="BL284" s="31" t="n">
        <x:v>-8670.46619408880612500000</x:v>
      </x:c>
      <x:c r="BM284" s="31" t="n">
        <x:f>=BK284+BL284</x:f>
      </x:c>
      <x:c r="BN284" s="68" t="n">
        <x:f>=BM284/BK284</x:f>
      </x:c>
      <x:c r="BO284" s="68" t="n">
        <x:v>0.9727228446176327325864588407</x:v>
      </x:c>
      <x:c r="BP284" s="31" t="n">
        <x:v>8842.536076380212500000</x:v>
      </x:c>
      <x:c r="BQ284" s="42" t="n">
        <x:v>56</x:v>
      </x:c>
      <x:c r="BR284" s="31" t="n">
        <x:v>241.19923052961125182659522650</x:v>
      </x:c>
      <x:c r="BT284" s="31" t="n">
        <x:v>17388.10304969086450000000</x:v>
      </x:c>
      <x:c r="BU284" s="31" t="n">
        <x:v>-8670.46619408880612500000</x:v>
      </x:c>
      <x:c r="BV284" s="31" t="n">
        <x:f>=BT284+BU284</x:f>
      </x:c>
      <x:c r="BW284" s="68" t="n">
        <x:f>=BV284/BT284</x:f>
      </x:c>
      <x:c r="BY284" s="68" t="n">
        <x:f>=BO284</x:f>
      </x:c>
      <x:c r="BZ284" s="68" t="n">
        <x:f>=BF284</x:f>
      </x:c>
      <x:c r="CA284" s="68" t="n">
        <x:f>=BG284</x:f>
      </x:c>
      <x:c r="CB284" s="68" t="n">
        <x:f>=1 - BY284</x:f>
      </x:c>
      <x:c r="CD284" s="68" t="n">
        <x:f>=CA284/(1-BZ284)</x:f>
      </x:c>
    </x:row>
    <x:row r="285">
      <x:c r="A285" s="32" t="s">
        <x:v>543</x:v>
      </x:c>
      <x:c r="B285" t="s"/>
      <x:c r="C285" t="s">
        <x:v>544</x:v>
      </x:c>
      <x:c r="D285" t="s">
        <x:v>96</x:v>
      </x:c>
      <x:c r="E285" t="s">
        <x:v>132</x:v>
      </x:c>
      <x:c r="F285" t="n">
        <x:v>1013</x:v>
      </x:c>
      <x:c r="G285" s="33" t="n">
        <x:v>0.0157946692991115498519249753</x:v>
      </x:c>
      <x:c r="H285" s="33" t="n">
        <x:v>0.0404738400789733464955577493</x:v>
      </x:c>
      <x:c r="I285" s="33" t="n">
        <x:v>0.0839091806515301085883514314</x:v>
      </x:c>
      <x:c r="J285" s="33" t="n">
        <x:v>0.1431391905231984205330700888</x:v>
      </x:c>
      <x:c r="K285" s="33" t="n">
        <x:v>0.208292201382033563672260612</x:v>
      </x:c>
      <x:c r="L285" s="33" t="n">
        <x:v>0.255676209279368213228035538</x:v>
      </x:c>
      <x:c r="M285" s="33" t="n">
        <x:v>0.2951628825271470878578479763</x:v>
      </x:c>
      <x:c r="N285" s="33" t="n">
        <x:v>0.3524185587364264560710760118</x:v>
      </x:c>
      <x:c r="O285" s="33" t="n">
        <x:v>0.3593287265547877591312931885</x:v>
      </x:c>
      <x:c r="P285" s="33" t="n">
        <x:v>0.4076999012833168805528134255</x:v>
      </x:c>
      <x:c r="Q285" s="33" t="n">
        <x:v>0.4067127344521224086870681145</x:v>
      </x:c>
      <x:c r="R285" s="33" t="n">
        <x:v>0.4136229022704837117472852912</x:v>
      </x:c>
      <x:c r="S285" s="33" t="n">
        <x:v>0.4313919052319842053307008885</x:v>
      </x:c>
      <x:c r="T285" s="33" t="n">
        <x:v>0.4491609081934846989141164857</x:v>
      </x:c>
      <x:c r="U285" s="33" t="n">
        <x:v>0.5182625863770977295162882527</x:v>
      </x:c>
      <x:c r="V285" s="33" t="n">
        <x:v>0.5952615992102665350444225074</x:v>
      </x:c>
      <x:c r="W285" s="33" t="n">
        <x:v>0.6130306021717670286278381046</x:v>
      </x:c>
      <x:c r="X285" s="33" t="n">
        <x:v>0.627838104639684106614017769</x:v>
      </x:c>
      <x:c r="Y285" s="33" t="n">
        <x:v>0.6692991115498519249753208292</x:v>
      </x:c>
      <x:c r="Z285" s="24" t="n">
        <x:v>0.7423494570582428430404738401</x:v>
      </x:c>
      <x:c r="AA285" s="33" t="n">
        <x:v>0.8084896347482724580454096742</x:v>
      </x:c>
      <x:c r="AB285" s="23" t="n">
        <x:v>0.8529121421520236920039486673</x:v>
      </x:c>
      <x:c r="BC285" s="34" t="s"/>
      <x:c r="BD285" s="11" t="s">
        <x:v>199</x:v>
      </x:c>
      <x:c r="BE285" s="12" t="n">
        <x:f>=BO285</x:f>
      </x:c>
      <x:c r="BF285" s="12" t="n">
        <x:v>0.8232971372161895360315893386</x:v>
      </x:c>
      <x:c r="BG285" s="12" t="n">
        <x:v>0.139190523198420533070088845</x:v>
      </x:c>
      <x:c r="BH285" s="12" t="n">
        <x:v>0.0375123395853899308983218164</x:v>
      </x:c>
      <x:c r="BI285" s="12" t="n">
        <x:f>=BN285</x:f>
      </x:c>
      <x:c r="BJ285" s="13" t="n">
        <x:v>0</x:v>
      </x:c>
      <x:c r="BK285" s="31" t="n">
        <x:v>2958.80</x:v>
      </x:c>
      <x:c r="BL285" s="31" t="n">
        <x:v>-1700.3569</x:v>
      </x:c>
      <x:c r="BM285" s="31" t="n">
        <x:f>=BK285+BL285</x:f>
      </x:c>
      <x:c r="BN285" s="68" t="n">
        <x:f>=BM285/BK285</x:f>
      </x:c>
      <x:c r="BO285" s="68" t="n">
        <x:v>0.9624876604146100691016781836</x:v>
      </x:c>
      <x:c r="BP285" s="31" t="n">
        <x:v>1659.06</x:v>
      </x:c>
      <x:c r="BQ285" s="42" t="n">
        <x:v>38</x:v>
      </x:c>
      <x:c r="BR285" s="31" t="n">
        <x:v>62.235222112537018756169792694</x:v>
      </x:c>
      <x:c r="BT285" s="31" t="n">
        <x:v>3923.36354968451075000000</x:v>
      </x:c>
      <x:c r="BU285" s="31" t="n">
        <x:v>-1700.3569</x:v>
      </x:c>
      <x:c r="BV285" s="31" t="n">
        <x:f>=BT285+BU285</x:f>
      </x:c>
      <x:c r="BW285" s="68" t="n">
        <x:f>=BV285/BT285</x:f>
      </x:c>
      <x:c r="BY285" s="68" t="n">
        <x:f>=BO285</x:f>
      </x:c>
      <x:c r="BZ285" s="68" t="n">
        <x:f>=BF285</x:f>
      </x:c>
      <x:c r="CA285" s="68" t="n">
        <x:f>=BG285</x:f>
      </x:c>
      <x:c r="CB285" s="68" t="n">
        <x:f>=1 - BY285</x:f>
      </x:c>
      <x:c r="CD285" s="68" t="n">
        <x:f>=CA285/(1-BZ285)</x:f>
      </x:c>
    </x:row>
    <x:row r="286">
      <x:c r="A286" s="32" t="s">
        <x:v>545</x:v>
      </x:c>
      <x:c r="B286" t="s"/>
      <x:c r="C286" t="s">
        <x:v>546</x:v>
      </x:c>
      <x:c r="D286" t="s">
        <x:v>96</x:v>
      </x:c>
      <x:c r="E286" t="s">
        <x:v>132</x:v>
      </x:c>
      <x:c r="F286" t="n">
        <x:v>1038</x:v>
      </x:c>
      <x:c r="G286" s="33" t="n">
        <x:v>0.0173410404624277456647398844</x:v>
      </x:c>
      <x:c r="H286" s="33" t="n">
        <x:v>0.1377649325626204238921001927</x:v>
      </x:c>
      <x:c r="I286" s="33" t="n">
        <x:v>0.272639691714836223506743738</x:v>
      </x:c>
      <x:c r="J286" s="33" t="n">
        <x:v>0.444123314065510597302504817</x:v>
      </x:c>
      <x:c r="K286" s="33" t="n">
        <x:v>0.6416184971098265895953757225</x:v>
      </x:c>
      <x:c r="L286" s="24" t="n">
        <x:v>0.7485549132947976878612716763</x:v>
      </x:c>
      <x:c r="M286" s="33" t="n">
        <x:v>0.7947976878612716763005780347</x:v>
      </x:c>
      <x:c r="N286" s="33" t="n">
        <x:v>0.8554913294797687861271676301</x:v>
      </x:c>
      <x:c r="O286" s="33" t="n">
        <x:v>0.8545279383429672447013487476</x:v>
      </x:c>
      <x:c r="P286" s="33" t="n">
        <x:v>0.886319845857418111753371869</x:v>
      </x:c>
      <x:c r="Q286" s="33" t="n">
        <x:v>0.8911368015414258188824662813</x:v>
      </x:c>
      <x:c r="R286" s="33" t="n">
        <x:v>0.8959537572254335260115606936</x:v>
      </x:c>
      <x:c r="S286" s="33" t="n">
        <x:v>0.913294797687861271676300578</x:v>
      </x:c>
      <x:c r="T286" s="33" t="n">
        <x:v>0.9335260115606936416184971098</x:v>
      </x:c>
      <x:c r="U286" s="33" t="n">
        <x:v>0.9537572254335260115606936416</x:v>
      </x:c>
      <x:c r="V286" s="33" t="n">
        <x:v>0.9643545279383429672447013487</x:v>
      </x:c>
      <x:c r="W286" s="33" t="n">
        <x:v>0.9662813102119460500963391137</x:v>
      </x:c>
      <x:c r="X286" s="33" t="n">
        <x:v>0.9730250481695568400770712909</x:v>
      </x:c>
      <x:c r="Y286" s="33" t="n">
        <x:v>0.9730250481695568400770712909</x:v>
      </x:c>
      <x:c r="Z286" s="33" t="n">
        <x:v>0.9730250481695568400770712909</x:v>
      </x:c>
      <x:c r="AA286" s="33" t="n">
        <x:v>0.9816955684007707129094412331</x:v>
      </x:c>
      <x:c r="AB286" s="23" t="n">
        <x:v>0.9836223506743737957610789981</x:v>
      </x:c>
      <x:c r="BC286" s="34" t="s"/>
      <x:c r="BD286" s="11" t="s">
        <x:v>199</x:v>
      </x:c>
      <x:c r="BE286" s="12" t="n">
        <x:f>=BO286</x:f>
      </x:c>
      <x:c r="BF286" s="12" t="n">
        <x:v>0.9826589595375722543352601156</x:v>
      </x:c>
      <x:c r="BG286" s="12" t="n">
        <x:v>0.0057803468208092485549132948</x:v>
      </x:c>
      <x:c r="BH286" s="12" t="n">
        <x:v>0.0115606936416184971098265896</x:v>
      </x:c>
      <x:c r="BI286" s="12" t="n">
        <x:f>=BN286</x:f>
      </x:c>
      <x:c r="BJ286" s="13" t="n">
        <x:v>0</x:v>
      </x:c>
      <x:c r="BK286" s="31" t="n">
        <x:v>3156.83</x:v>
      </x:c>
      <x:c r="BL286" s="31" t="n">
        <x:v>-1784.1647</x:v>
      </x:c>
      <x:c r="BM286" s="31" t="n">
        <x:f>=BK286+BL286</x:f>
      </x:c>
      <x:c r="BN286" s="68" t="n">
        <x:f>=BM286/BK286</x:f>
      </x:c>
      <x:c r="BO286" s="68" t="n">
        <x:v>0.9884393063583815028901734104</x:v>
      </x:c>
      <x:c r="BP286" s="31" t="n">
        <x:v>1745.39</x:v>
      </x:c>
      <x:c r="BQ286" s="42" t="n">
        <x:v>12</x:v>
      </x:c>
      <x:c r="BR286" s="31" t="n">
        <x:v>20.177919075144508670520231214</x:v>
      </x:c>
      <x:c r="BT286" s="31" t="n">
        <x:v>4145.19817825520450000000</x:v>
      </x:c>
      <x:c r="BU286" s="31" t="n">
        <x:v>-1784.1647</x:v>
      </x:c>
      <x:c r="BV286" s="31" t="n">
        <x:f>=BT286+BU286</x:f>
      </x:c>
      <x:c r="BW286" s="68" t="n">
        <x:f>=BV286/BT286</x:f>
      </x:c>
      <x:c r="BY286" s="68" t="n">
        <x:f>=BO286</x:f>
      </x:c>
      <x:c r="BZ286" s="68" t="n">
        <x:f>=BF286</x:f>
      </x:c>
      <x:c r="CA286" s="68" t="n">
        <x:f>=BG286</x:f>
      </x:c>
      <x:c r="CB286" s="68" t="n">
        <x:f>=1 - BY286</x:f>
      </x:c>
      <x:c r="CD286" s="68" t="n">
        <x:f>=CA286/(1-BZ286)</x:f>
      </x:c>
    </x:row>
    <x:row r="287">
      <x:c r="A287" s="32" t="s">
        <x:v>547</x:v>
      </x:c>
      <x:c r="B287" t="s"/>
      <x:c r="C287" t="s">
        <x:v>548</x:v>
      </x:c>
      <x:c r="D287" t="s">
        <x:v>96</x:v>
      </x:c>
      <x:c r="E287" t="s">
        <x:v>132</x:v>
      </x:c>
      <x:c r="F287" t="n">
        <x:v>5505</x:v>
      </x:c>
      <x:c r="G287" s="33" t="n">
        <x:v>0.0058128973660308810172570391</x:v>
      </x:c>
      <x:c r="H287" s="33" t="n">
        <x:v>0.0297910990009082652134423252</x:v>
      </x:c>
      <x:c r="I287" s="33" t="n">
        <x:v>0.0733878292461398728428701181</x:v>
      </x:c>
      <x:c r="J287" s="33" t="n">
        <x:v>0.1322434150772025431425976385</x:v>
      </x:c>
      <x:c r="K287" s="33" t="n">
        <x:v>0.1952770208900999091734786558</x:v>
      </x:c>
      <x:c r="L287" s="33" t="n">
        <x:v>0.2557674841053587647593097184</x:v>
      </x:c>
      <x:c r="M287" s="33" t="n">
        <x:v>0.3080835603996366939146230699</x:v>
      </x:c>
      <x:c r="N287" s="33" t="n">
        <x:v>0.3491371480472297910990009083</x:v>
      </x:c>
      <x:c r="O287" s="33" t="n">
        <x:v>0.3878292461398728428701180745</x:v>
      </x:c>
      <x:c r="P287" s="33" t="n">
        <x:v>0.3878292461398728428701180745</x:v>
      </x:c>
      <x:c r="Q287" s="33" t="n">
        <x:v>0.3998183469573115349682107175</x:v>
      </x:c>
      <x:c r="R287" s="33" t="n">
        <x:v>0.4096276112624886466848319709</x:v>
      </x:c>
      <x:c r="S287" s="33" t="n">
        <x:v>0.4138056312443233424159854678</x:v>
      </x:c>
      <x:c r="T287" s="33" t="n">
        <x:v>0.4196185286103542234332425068</x:v>
      </x:c>
      <x:c r="U287" s="33" t="n">
        <x:v>0.4341507720254314259763851045</x:v>
      </x:c>
      <x:c r="V287" s="33" t="n">
        <x:v>0.4857402361489554950045413261</x:v>
      </x:c>
      <x:c r="W287" s="33" t="n">
        <x:v>0.5318801089918256130790190736</x:v>
      </x:c>
      <x:c r="X287" s="33" t="n">
        <x:v>0.5424159854677565849227974569</x:v>
      </x:c>
      <x:c r="Y287" s="33" t="n">
        <x:v>0.5682107175295186194368755677</x:v>
      </x:c>
      <x:c r="Z287" s="33" t="n">
        <x:v>0.5983651226158038147138964578</x:v>
      </x:c>
      <x:c r="AA287" s="23" t="n">
        <x:v>0.6334241598546775658492279746</x:v>
      </x:c>
      <x:c r="BC287" s="34" t="s"/>
      <x:c r="BD287" s="11" t="s">
        <x:v>110</x:v>
      </x:c>
      <x:c r="BE287" s="12" t="n">
        <x:f>=BO287</x:f>
      </x:c>
      <x:c r="BF287" s="12" t="n">
        <x:v>0.8236148955495004541326067212</x:v>
      </x:c>
      <x:c r="BG287" s="12" t="n">
        <x:v>0.1607629427792915531335149864</x:v>
      </x:c>
      <x:c r="BH287" s="12" t="n">
        <x:v>0.0156221616712079927338782925</x:v>
      </x:c>
      <x:c r="BI287" s="12" t="n">
        <x:f>=BN287</x:f>
      </x:c>
      <x:c r="BJ287" s="13" t="n">
        <x:v>0</x:v>
      </x:c>
      <x:c r="BK287" s="31" t="n">
        <x:v>20029.40</x:v>
      </x:c>
      <x:c r="BL287" s="31" t="n">
        <x:v>-14852.0515</x:v>
      </x:c>
      <x:c r="BM287" s="31" t="n">
        <x:f>=BK287+BL287</x:f>
      </x:c>
      <x:c r="BN287" s="68" t="n">
        <x:f>=BM287/BK287</x:f>
      </x:c>
      <x:c r="BO287" s="68" t="n">
        <x:v>0.9843778383287920072661217075</x:v>
      </x:c>
      <x:c r="BP287" s="31" t="n">
        <x:v>14357.95</x:v>
      </x:c>
      <x:c r="BQ287" s="42" t="n">
        <x:v>86</x:v>
      </x:c>
      <x:c r="BR287" s="31" t="n">
        <x:v>224.30221616712079927338782924</x:v>
      </x:c>
      <x:c r="BT287" s="31" t="n">
        <x:v>27361.524362318489375000000</x:v>
      </x:c>
      <x:c r="BU287" s="31" t="n">
        <x:v>-14852.0515</x:v>
      </x:c>
      <x:c r="BV287" s="31" t="n">
        <x:f>=BT287+BU287</x:f>
      </x:c>
      <x:c r="BW287" s="68" t="n">
        <x:f>=BV287/BT287</x:f>
      </x:c>
      <x:c r="BY287" s="68" t="n">
        <x:f>=BO287</x:f>
      </x:c>
      <x:c r="BZ287" s="68" t="n">
        <x:f>=BF287</x:f>
      </x:c>
      <x:c r="CA287" s="68" t="n">
        <x:f>=BG287</x:f>
      </x:c>
      <x:c r="CB287" s="68" t="n">
        <x:f>=1 - BY287</x:f>
      </x:c>
      <x:c r="CD287" s="68" t="n">
        <x:f>=CA287/(1-BZ287)</x:f>
      </x:c>
    </x:row>
    <x:row r="288">
      <x:c r="A288" s="32" t="s">
        <x:v>549</x:v>
      </x:c>
      <x:c r="B288" t="s"/>
      <x:c r="C288" t="s">
        <x:v>550</x:v>
      </x:c>
      <x:c r="D288" t="s">
        <x:v>96</x:v>
      </x:c>
      <x:c r="E288" t="s">
        <x:v>132</x:v>
      </x:c>
      <x:c r="F288" t="n">
        <x:v>4189</x:v>
      </x:c>
      <x:c r="G288" s="33" t="n">
        <x:v>0.0420148006684172833611840535</x:v>
      </x:c>
      <x:c r="H288" s="33" t="n">
        <x:v>0.1269992838386249701599427071</x:v>
      </x:c>
      <x:c r="I288" s="33" t="n">
        <x:v>0.2585342563857722606827405109</x:v>
      </x:c>
      <x:c r="J288" s="33" t="n">
        <x:v>0.3747911195989496299832895679</x:v>
      </x:c>
      <x:c r="K288" s="33" t="n">
        <x:v>0.5142038672714251611363093817</x:v>
      </x:c>
      <x:c r="L288" s="33" t="n">
        <x:v>0.6194795894008116495583671521</x:v>
      </x:c>
      <x:c r="M288" s="33" t="n">
        <x:v>0.6679398424444974934351873956</x:v>
      </x:c>
      <x:c r="N288" s="24" t="n">
        <x:v>0.7080448794461685366435903557</x:v>
      </x:c>
      <x:c r="O288" s="33" t="n">
        <x:v>0.7080448794461685366435903557</x:v>
      </x:c>
      <x:c r="P288" s="33" t="n">
        <x:v>0.7233229887801384578658391024</x:v>
      </x:c>
      <x:c r="Q288" s="33" t="n">
        <x:v>0.7276199570303174982095965624</x:v>
      </x:c>
      <x:c r="R288" s="33" t="n">
        <x:v>0.7333492480305562186679398424</x:v>
      </x:c>
      <x:c r="S288" s="33" t="n">
        <x:v>0.7397947004058247791835760325</x:v>
      </x:c>
      <x:c r="T288" s="33" t="n">
        <x:v>0.7457627118644067796610169492</x:v>
      </x:c>
      <x:c r="U288" s="33" t="n">
        <x:v>0.7715445213654810217235617092</x:v>
      </x:c>
      <x:c r="V288" s="33" t="n">
        <x:v>0.7908808784912867032704702793</x:v>
      </x:c>
      <x:c r="W288" s="33" t="n">
        <x:v>0.794700405824779183576032466</x:v>
      </x:c>
      <x:c r="X288" s="33" t="n">
        <x:v>0.801862019575077584148961566</x:v>
      </x:c>
      <x:c r="Y288" s="33" t="n">
        <x:v>0.812604440200525185008355216</x:v>
      </x:c>
      <x:c r="Z288" s="23" t="n">
        <x:v>0.8684650274528527094772021962</x:v>
      </x:c>
      <x:c r="BC288" s="34" t="s"/>
      <x:c r="BD288" s="11" t="s">
        <x:v>115</x:v>
      </x:c>
      <x:c r="BE288" s="12" t="n">
        <x:f>=BO288</x:f>
      </x:c>
      <x:c r="BF288" s="12" t="n">
        <x:v>0.8885175459536882310814036763</x:v>
      </x:c>
      <x:c r="BG288" s="12" t="n">
        <x:v>0.0945333015039388875626641203</x:v>
      </x:c>
      <x:c r="BH288" s="12" t="n">
        <x:v>0.0169491525423728813559322034</x:v>
      </x:c>
      <x:c r="BI288" s="12" t="n">
        <x:f>=BN288</x:f>
      </x:c>
      <x:c r="BJ288" s="13" t="n">
        <x:v>0</x:v>
      </x:c>
      <x:c r="BK288" s="31" t="n">
        <x:v>11625.38</x:v>
      </x:c>
      <x:c r="BL288" s="31" t="n">
        <x:v>-6860.7323</x:v>
      </x:c>
      <x:c r="BM288" s="31" t="n">
        <x:f>=BK288+BL288</x:f>
      </x:c>
      <x:c r="BN288" s="68" t="n">
        <x:f>=BM288/BK288</x:f>
      </x:c>
      <x:c r="BO288" s="68" t="n">
        <x:v>0.9830508474576271186440677966</x:v>
      </x:c>
      <x:c r="BP288" s="31" t="n">
        <x:v>6791.35</x:v>
      </x:c>
      <x:c r="BQ288" s="42" t="n">
        <x:v>71</x:v>
      </x:c>
      <x:c r="BR288" s="31" t="n">
        <x:v>115.10762711864406779661016949</x:v>
      </x:c>
      <x:c r="BT288" s="31" t="n">
        <x:v>15428.374692949118375000000</x:v>
      </x:c>
      <x:c r="BU288" s="31" t="n">
        <x:v>-6860.7323</x:v>
      </x:c>
      <x:c r="BV288" s="31" t="n">
        <x:f>=BT288+BU288</x:f>
      </x:c>
      <x:c r="BW288" s="68" t="n">
        <x:f>=BV288/BT288</x:f>
      </x:c>
      <x:c r="BY288" s="68" t="n">
        <x:f>=BO288</x:f>
      </x:c>
      <x:c r="BZ288" s="68" t="n">
        <x:f>=BF288</x:f>
      </x:c>
      <x:c r="CA288" s="68" t="n">
        <x:f>=BG288</x:f>
      </x:c>
      <x:c r="CB288" s="68" t="n">
        <x:f>=1 - BY288</x:f>
      </x:c>
      <x:c r="CD288" s="68" t="n">
        <x:f>=CA288/(1-BZ288)</x:f>
      </x:c>
    </x:row>
    <x:row r="289">
      <x:c r="A289" s="32" t="s">
        <x:v>551</x:v>
      </x:c>
      <x:c r="B289" t="s"/>
      <x:c r="C289" t="s">
        <x:v>552</x:v>
      </x:c>
      <x:c r="D289" t="s">
        <x:v>96</x:v>
      </x:c>
      <x:c r="E289" t="s">
        <x:v>132</x:v>
      </x:c>
      <x:c r="F289" t="n">
        <x:v>785</x:v>
      </x:c>
      <x:c r="G289" s="33" t="n">
        <x:v>0.0675159235668789808917197452</x:v>
      </x:c>
      <x:c r="H289" s="33" t="n">
        <x:v>0.1286624203821656050955414013</x:v>
      </x:c>
      <x:c r="I289" s="33" t="n">
        <x:v>0.2038216560509554140127388535</x:v>
      </x:c>
      <x:c r="J289" s="33" t="n">
        <x:v>0.2662420382165605095541401274</x:v>
      </x:c>
      <x:c r="K289" s="33" t="n">
        <x:v>0.3031847133757961783439490446</x:v>
      </x:c>
      <x:c r="L289" s="33" t="n">
        <x:v>0.377070063694267515923566879</x:v>
      </x:c>
      <x:c r="M289" s="33" t="n">
        <x:v>0.3859872611464968152866242038</x:v>
      </x:c>
      <x:c r="N289" s="33" t="n">
        <x:v>0.4216560509554140127388535032</x:v>
      </x:c>
      <x:c r="O289" s="33" t="n">
        <x:v>0.4343949044585987261146496815</x:v>
      </x:c>
      <x:c r="P289" s="33" t="n">
        <x:v>0.445859872611464968152866242</x:v>
      </x:c>
      <x:c r="Q289" s="33" t="n">
        <x:v>0.4611464968152866242038216561</x:v>
      </x:c>
      <x:c r="R289" s="33" t="n">
        <x:v>0.4866242038216560509554140127</x:v>
      </x:c>
      <x:c r="S289" s="33" t="n">
        <x:v>0.5745222929936305732484076433</x:v>
      </x:c>
      <x:c r="T289" s="33" t="n">
        <x:v>0.6929936305732484076433121019</x:v>
      </x:c>
      <x:c r="U289" s="24" t="n">
        <x:v>0.7146496815286624203821656051</x:v>
      </x:c>
      <x:c r="V289" s="33" t="n">
        <x:v>0.7222929936305732484076433121</x:v>
      </x:c>
      <x:c r="W289" s="33" t="n">
        <x:v>0.7668789808917197452229299363</x:v>
      </x:c>
      <x:c r="X289" s="33" t="n">
        <x:v>0.8420382165605095541401273885</x:v>
      </x:c>
      <x:c r="Y289" s="33" t="n">
        <x:v>0.9044585987261146496815286624</x:v>
      </x:c>
      <x:c r="Z289" s="23" t="n">
        <x:v>0.9401273885350318471337579618</x:v>
      </x:c>
      <x:c r="BC289" s="34" t="s"/>
      <x:c r="BD289" s="11" t="s">
        <x:v>115</x:v>
      </x:c>
      <x:c r="BE289" s="12" t="n">
        <x:f>=BO289</x:f>
      </x:c>
      <x:c r="BF289" s="12" t="n">
        <x:v>0.9261146496815286624203821656</x:v>
      </x:c>
      <x:c r="BG289" s="12" t="n">
        <x:v>0.0433121019108280254777070064</x:v>
      </x:c>
      <x:c r="BH289" s="12" t="n">
        <x:v>0.030573248407643312101910828</x:v>
      </x:c>
      <x:c r="BI289" s="12" t="n">
        <x:f>=BN289</x:f>
      </x:c>
      <x:c r="BJ289" s="13" t="n">
        <x:v>0</x:v>
      </x:c>
      <x:c r="BK289" s="31" t="n">
        <x:v>2123.36</x:v>
      </x:c>
      <x:c r="BL289" s="31" t="n">
        <x:v>-1158.8360</x:v>
      </x:c>
      <x:c r="BM289" s="31" t="n">
        <x:f>=BK289+BL289</x:f>
      </x:c>
      <x:c r="BN289" s="68" t="n">
        <x:f>=BM289/BK289</x:f>
      </x:c>
      <x:c r="BO289" s="68" t="n">
        <x:v>0.969426751592356687898089172</x:v>
      </x:c>
      <x:c r="BP289" s="31" t="n">
        <x:v>1100.80</x:v>
      </x:c>
      <x:c r="BQ289" s="42" t="n">
        <x:v>24</x:v>
      </x:c>
      <x:c r="BR289" s="31" t="n">
        <x:v>33.655031847133757961783439490</x:v>
      </x:c>
      <x:c r="BT289" s="31" t="n">
        <x:v>2796.684038498590625000000</x:v>
      </x:c>
      <x:c r="BU289" s="31" t="n">
        <x:v>-1158.8360</x:v>
      </x:c>
      <x:c r="BV289" s="31" t="n">
        <x:f>=BT289+BU289</x:f>
      </x:c>
      <x:c r="BW289" s="68" t="n">
        <x:f>=BV289/BT289</x:f>
      </x:c>
      <x:c r="BY289" s="68" t="n">
        <x:f>=BO289</x:f>
      </x:c>
      <x:c r="BZ289" s="68" t="n">
        <x:f>=BF289</x:f>
      </x:c>
      <x:c r="CA289" s="68" t="n">
        <x:f>=BG289</x:f>
      </x:c>
      <x:c r="CB289" s="68" t="n">
        <x:f>=1 - BY289</x:f>
      </x:c>
      <x:c r="CD289" s="68" t="n">
        <x:f>=CA289/(1-BZ289)</x:f>
      </x:c>
    </x:row>
    <x:row r="290">
      <x:c r="A290" s="32" t="s">
        <x:v>553</x:v>
      </x:c>
      <x:c r="B290" t="s">
        <x:v>94</x:v>
      </x:c>
      <x:c r="C290" s="9" t="s">
        <x:v>554</x:v>
      </x:c>
      <x:c r="D290" t="s">
        <x:v>259</x:v>
      </x:c>
      <x:c r="E290" t="s">
        <x:v>132</x:v>
      </x:c>
      <x:c r="F290" t="n">
        <x:v>2120</x:v>
      </x:c>
      <x:c r="G290" s="33" t="n">
        <x:v>0.0009433962264150943396226415</x:v>
      </x:c>
      <x:c r="H290" s="33" t="n">
        <x:v>0.0797169811320754716981132075</x:v>
      </x:c>
      <x:c r="I290" s="33" t="n">
        <x:v>0.2193396226415094339622641509</x:v>
      </x:c>
      <x:c r="J290" s="33" t="n">
        <x:v>0.4047169811320754716981132075</x:v>
      </x:c>
      <x:c r="K290" s="33" t="n">
        <x:v>0.5872641509433962264150943396</x:v>
      </x:c>
      <x:c r="L290" s="33" t="n">
        <x:v>0.6297169811320754716981132075</x:v>
      </x:c>
      <x:c r="M290" s="33" t="n">
        <x:v>0.6471698113207547169811320755</x:v>
      </x:c>
      <x:c r="N290" s="33" t="n">
        <x:v>0.6650943396226415094339622642</x:v>
      </x:c>
      <x:c r="O290" s="33" t="n">
        <x:v>0.6632075471698113207547169811</x:v>
      </x:c>
      <x:c r="P290" s="33" t="n">
        <x:v>0.6655660377358490566037735849</x:v>
      </x:c>
      <x:c r="Q290" s="33" t="n">
        <x:v>0.6641509433962264150943396226</x:v>
      </x:c>
      <x:c r="R290" s="33" t="n">
        <x:v>0.6726415094339622641509433962</x:v>
      </x:c>
      <x:c r="S290" s="33" t="n">
        <x:v>0.6797169811320754716981132075</x:v>
      </x:c>
      <x:c r="T290" s="33" t="n">
        <x:v>0.6834905660377358490566037736</x:v>
      </x:c>
      <x:c r="U290" s="33" t="n">
        <x:v>0.6825471698113207547169811321</x:v>
      </x:c>
      <x:c r="V290" s="33" t="n">
        <x:v>0.6891509433962264150943396226</x:v>
      </x:c>
      <x:c r="W290" s="24" t="n">
        <x:v>0.7014150943396226415094339623</x:v>
      </x:c>
      <x:c r="X290" s="33" t="n">
        <x:v>0.7254716981132075471698113208</x:v>
      </x:c>
      <x:c r="Y290" s="33" t="n">
        <x:v>0.7358490566037735849056603774</x:v>
      </x:c>
      <x:c r="Z290" s="23" t="n">
        <x:v>0.8141509433962264150943396226</x:v>
      </x:c>
      <x:c r="BC290" s="34" t="s"/>
      <x:c r="BD290" s="11" t="s">
        <x:v>115</x:v>
      </x:c>
      <x:c r="BE290" s="12" t="n">
        <x:f>=BO290</x:f>
      </x:c>
      <x:c r="BF290" s="12" t="n">
        <x:v>0.7391509433962264150943396226</x:v>
      </x:c>
      <x:c r="BG290" s="12" t="n">
        <x:v>0.2386792452830188679245283019</x:v>
      </x:c>
      <x:c r="BH290" s="12" t="n">
        <x:v>0.0221698113207547169811320755</x:v>
      </x:c>
      <x:c r="BI290" s="12" t="n">
        <x:f>=BN290</x:f>
      </x:c>
      <x:c r="BJ290" s="13" t="n">
        <x:v>0</x:v>
      </x:c>
      <x:c r="BK290" s="31" t="n">
        <x:v>16955.18</x:v>
      </x:c>
      <x:c r="BL290" s="31" t="n">
        <x:v>-12257.00520</x:v>
      </x:c>
      <x:c r="BM290" s="31" t="n">
        <x:f>=BK290+BL290</x:f>
      </x:c>
      <x:c r="BN290" s="68" t="n">
        <x:f>=BM290/BK290</x:f>
      </x:c>
      <x:c r="BO290" s="68" t="n">
        <x:v>0.9778301886792452830188679245</x:v>
      </x:c>
      <x:c r="BP290" s="31" t="n">
        <x:v>11132.20</x:v>
      </x:c>
      <x:c r="BQ290" s="42" t="n">
        <x:v>47</x:v>
      </x:c>
      <x:c r="BR290" s="31" t="n">
        <x:v>246.79877358490566037735849057</x:v>
      </x:c>
      <x:c r="BT290" s="31" t="n">
        <x:v>22757.72687038190000000000</x:v>
      </x:c>
      <x:c r="BU290" s="31" t="n">
        <x:v>-12257.00520</x:v>
      </x:c>
      <x:c r="BV290" s="31" t="n">
        <x:f>=BT290+BU290</x:f>
      </x:c>
      <x:c r="BW290" s="68" t="n">
        <x:f>=BV290/BT290</x:f>
      </x:c>
      <x:c r="BY290" s="68" t="n">
        <x:f>=BO290</x:f>
      </x:c>
      <x:c r="BZ290" s="68" t="n">
        <x:f>=BF290</x:f>
      </x:c>
      <x:c r="CA290" s="68" t="n">
        <x:f>=BG290</x:f>
      </x:c>
      <x:c r="CB290" s="68" t="n">
        <x:f>=1 - BY290</x:f>
      </x:c>
      <x:c r="CD290" s="68" t="n">
        <x:f>=CA290/(1-BZ290)</x:f>
      </x:c>
    </x:row>
    <x:row r="291">
      <x:c r="A291" s="32" t="s">
        <x:v>555</x:v>
      </x:c>
      <x:c r="B291" t="s"/>
      <x:c r="C291" t="s">
        <x:v>556</x:v>
      </x:c>
      <x:c r="D291" t="s">
        <x:v>259</x:v>
      </x:c>
      <x:c r="E291" t="s">
        <x:v>132</x:v>
      </x:c>
      <x:c r="F291" t="n">
        <x:v>1256</x:v>
      </x:c>
      <x:c r="G291" s="33" t="n">
        <x:v>0.0023885350318471337579617834</x:v>
      </x:c>
      <x:c r="H291" s="33" t="n">
        <x:v>0.0788216560509554140127388535</x:v>
      </x:c>
      <x:c r="I291" s="33" t="n">
        <x:v>0.1767515923566878980891719745</x:v>
      </x:c>
      <x:c r="J291" s="33" t="n">
        <x:v>0.2547770700636942675159235669</x:v>
      </x:c>
      <x:c r="K291" s="33" t="n">
        <x:v>0.3224522292993630573248407643</x:v>
      </x:c>
      <x:c r="L291" s="33" t="n">
        <x:v>0.3678343949044585987261146497</x:v>
      </x:c>
      <x:c r="M291" s="33" t="n">
        <x:v>0.3566878980891719745222929936</x:v>
      </x:c>
      <x:c r="N291" s="33" t="n">
        <x:v>0.4012738853503184713375796178</x:v>
      </x:c>
      <x:c r="O291" s="33" t="n">
        <x:v>0.4713375796178343949044585987</x:v>
      </x:c>
      <x:c r="P291" s="33" t="n">
        <x:v>0.5437898089171974522292993631</x:v>
      </x:c>
      <x:c r="Q291" s="33" t="n">
        <x:v>0.6234076433121019108280254777</x:v>
      </x:c>
      <x:c r="R291" s="33" t="n">
        <x:v>0.6552547770700636942675159236</x:v>
      </x:c>
      <x:c r="S291" s="33" t="n">
        <x:v>0.6839171974522292993630573248</x:v>
      </x:c>
      <x:c r="T291" s="24" t="n">
        <x:v>0.7078025477707006369426751592</x:v>
      </x:c>
      <x:c r="U291" s="33" t="n">
        <x:v>0.7579617834394904458598726115</x:v>
      </x:c>
      <x:c r="V291" s="33" t="n">
        <x:v>0.8184713375796178343949044586</x:v>
      </x:c>
      <x:c r="W291" s="33" t="n">
        <x:v>0.8550955414012738853503184713</x:v>
      </x:c>
      <x:c r="X291" s="33" t="n">
        <x:v>0.8742038216560509554140127389</x:v>
      </x:c>
      <x:c r="Y291" s="33" t="n">
        <x:v>0.9004777070063694267515923567</x:v>
      </x:c>
      <x:c r="Z291" s="23" t="n">
        <x:v>0.9275477707006369426751592357</x:v>
      </x:c>
      <x:c r="BC291" s="34" t="s"/>
      <x:c r="BD291" s="11" t="s">
        <x:v>115</x:v>
      </x:c>
      <x:c r="BE291" s="12" t="n">
        <x:f>=BO291</x:f>
      </x:c>
      <x:c r="BF291" s="12" t="n">
        <x:v>0.8781847133757961783439490446</x:v>
      </x:c>
      <x:c r="BG291" s="12" t="n">
        <x:v>0.0684713375796178343949044586</x:v>
      </x:c>
      <x:c r="BH291" s="12" t="n">
        <x:v>0.0533439490445859872611464968</x:v>
      </x:c>
      <x:c r="BI291" s="12" t="n">
        <x:f>=BN291</x:f>
      </x:c>
      <x:c r="BJ291" s="13" t="n">
        <x:v>0</x:v>
      </x:c>
      <x:c r="BK291" s="31" t="n">
        <x:v>9920.37</x:v>
      </x:c>
      <x:c r="BL291" s="31" t="n">
        <x:v>-6520.23750</x:v>
      </x:c>
      <x:c r="BM291" s="31" t="n">
        <x:f>=BK291+BL291</x:f>
      </x:c>
      <x:c r="BN291" s="68" t="n">
        <x:f>=BM291/BK291</x:f>
      </x:c>
      <x:c r="BO291" s="68" t="n">
        <x:v>0.9466560509554140127388535032</x:v>
      </x:c>
      <x:c r="BP291" s="31" t="n">
        <x:v>5899.75</x:v>
      </x:c>
      <x:c r="BQ291" s="42" t="n">
        <x:v>67</x:v>
      </x:c>
      <x:c r="BR291" s="31" t="n">
        <x:v>314.71596337579617834394904458</x:v>
      </x:c>
      <x:c r="BT291" s="31" t="n">
        <x:v>13040.962128088749000000000</x:v>
      </x:c>
      <x:c r="BU291" s="31" t="n">
        <x:v>-6520.23750</x:v>
      </x:c>
      <x:c r="BV291" s="31" t="n">
        <x:f>=BT291+BU291</x:f>
      </x:c>
      <x:c r="BW291" s="68" t="n">
        <x:f>=BV291/BT291</x:f>
      </x:c>
      <x:c r="BY291" s="68" t="n">
        <x:f>=BO291</x:f>
      </x:c>
      <x:c r="BZ291" s="68" t="n">
        <x:f>=BF291</x:f>
      </x:c>
      <x:c r="CA291" s="68" t="n">
        <x:f>=BG291</x:f>
      </x:c>
      <x:c r="CB291" s="68" t="n">
        <x:f>=1 - BY291</x:f>
      </x:c>
      <x:c r="CD291" s="68" t="n">
        <x:f>=CA291/(1-BZ291)</x:f>
      </x:c>
    </x:row>
    <x:row r="292">
      <x:c r="A292" s="32" t="s">
        <x:v>557</x:v>
      </x:c>
      <x:c r="B292" t="s"/>
      <x:c r="C292" t="s">
        <x:v>558</x:v>
      </x:c>
      <x:c r="D292" t="s">
        <x:v>108</x:v>
      </x:c>
      <x:c r="E292" t="s">
        <x:v>132</x:v>
      </x:c>
      <x:c r="F292" t="n">
        <x:v>1092</x:v>
      </x:c>
      <x:c r="G292" s="33" t="n">
        <x:v>0.0256410256410256410256410256</x:v>
      </x:c>
      <x:c r="H292" s="33" t="n">
        <x:v>0.0888278388278388278388278388</x:v>
      </x:c>
      <x:c r="I292" s="33" t="n">
        <x:v>0.1730769230769230769230769231</x:v>
      </x:c>
      <x:c r="J292" s="33" t="n">
        <x:v>0.2445054945054945054945054945</x:v>
      </x:c>
      <x:c r="K292" s="33" t="n">
        <x:v>0.3177655677655677655677655678</x:v>
      </x:c>
      <x:c r="L292" s="33" t="n">
        <x:v>0.3131868131868131868131868132</x:v>
      </x:c>
      <x:c r="M292" s="33" t="n">
        <x:v>0.3278388278388278388278388278</x:v>
      </x:c>
      <x:c r="N292" s="33" t="n">
        <x:v>0.4267399267399267399267399267</x:v>
      </x:c>
      <x:c r="O292" s="24" t="n">
        <x:v>0.728021978021978021978021978</x:v>
      </x:c>
      <x:c r="P292" s="33" t="n">
        <x:v>0.9194139194139194139194139194</x:v>
      </x:c>
      <x:c r="Q292" s="33" t="n">
        <x:v>0.9276556776556776556776556777</x:v>
      </x:c>
      <x:c r="R292" s="33" t="n">
        <x:v>0.9404761904761904761904761905</x:v>
      </x:c>
      <x:c r="S292" s="33" t="n">
        <x:v>0.9532967032967032967032967033</x:v>
      </x:c>
      <x:c r="T292" s="33" t="n">
        <x:v>0.9587912087912087912087912088</x:v>
      </x:c>
      <x:c r="U292" s="33" t="n">
        <x:v>0.9615384615384615384615384615</x:v>
      </x:c>
      <x:c r="V292" s="33" t="n">
        <x:v>0.9679487179487179487179487179</x:v>
      </x:c>
      <x:c r="W292" s="33" t="n">
        <x:v>0.9725274725274725274725274725</x:v>
      </x:c>
      <x:c r="X292" s="33" t="n">
        <x:v>0.9716117216117216117216117216</x:v>
      </x:c>
      <x:c r="Y292" s="23" t="n">
        <x:v>0.9844322344322344322344322344</x:v>
      </x:c>
      <x:c r="BC292" s="34" t="s"/>
      <x:c r="BD292" s="11" t="s">
        <x:v>133</x:v>
      </x:c>
      <x:c r="BE292" s="12" t="n">
        <x:f>=BO292</x:f>
      </x:c>
      <x:c r="BF292" s="12" t="n">
        <x:v>0.9761904761904761904761904762</x:v>
      </x:c>
      <x:c r="BG292" s="12" t="n">
        <x:v>0.0173992673992673992673992674</x:v>
      </x:c>
      <x:c r="BH292" s="12" t="n">
        <x:v>0.0064102564102564102564102564</x:v>
      </x:c>
      <x:c r="BI292" s="12" t="n">
        <x:f>=BN292</x:f>
      </x:c>
      <x:c r="BJ292" s="13" t="n">
        <x:v>0</x:v>
      </x:c>
      <x:c r="BK292" s="31" t="n">
        <x:v>7708.89</x:v>
      </x:c>
      <x:c r="BL292" s="31" t="n">
        <x:v>-5112.01846341940000000000</x:v>
      </x:c>
      <x:c r="BM292" s="31" t="n">
        <x:f>=BK292+BL292</x:f>
      </x:c>
      <x:c r="BN292" s="68" t="n">
        <x:f>=BM292/BK292</x:f>
      </x:c>
      <x:c r="BO292" s="68" t="n">
        <x:v>0.9935897435897435897435897436</x:v>
      </x:c>
      <x:c r="BP292" s="31" t="n">
        <x:v>5220.025220020000000000</x:v>
      </x:c>
      <x:c r="BQ292" s="42" t="n">
        <x:v>7</x:v>
      </x:c>
      <x:c r="BR292" s="31" t="n">
        <x:v>33.461700128333333333333333334</x:v>
      </x:c>
      <x:c r="BT292" s="31" t="n">
        <x:v>10116.81588118882800000000</x:v>
      </x:c>
      <x:c r="BU292" s="31" t="n">
        <x:v>-5112.01846341940000000000</x:v>
      </x:c>
      <x:c r="BV292" s="31" t="n">
        <x:f>=BT292+BU292</x:f>
      </x:c>
      <x:c r="BW292" s="68" t="n">
        <x:f>=BV292/BT292</x:f>
      </x:c>
      <x:c r="BY292" s="68" t="n">
        <x:f>=BO292</x:f>
      </x:c>
      <x:c r="BZ292" s="68" t="n">
        <x:f>=BF292</x:f>
      </x:c>
      <x:c r="CA292" s="68" t="n">
        <x:f>=BG292</x:f>
      </x:c>
      <x:c r="CB292" s="68" t="n">
        <x:f>=1 - BY292</x:f>
      </x:c>
      <x:c r="CD292" s="68" t="n">
        <x:f>=CA292/(1-BZ292)</x:f>
      </x:c>
    </x:row>
    <x:row r="293">
      <x:c r="A293" s="32" t="s">
        <x:v>559</x:v>
      </x:c>
      <x:c r="B293" t="s"/>
      <x:c r="C293" t="s">
        <x:v>560</x:v>
      </x:c>
      <x:c r="D293" t="s">
        <x:v>96</x:v>
      </x:c>
      <x:c r="E293" t="s">
        <x:v>132</x:v>
      </x:c>
      <x:c r="F293" t="n">
        <x:v>1999</x:v>
      </x:c>
      <x:c r="G293" s="33" t="n">
        <x:v>0.0180090045022511255627813907</x:v>
      </x:c>
      <x:c r="H293" s="33" t="n">
        <x:v>0.0475237618809404702351175588</x:v>
      </x:c>
      <x:c r="I293" s="33" t="n">
        <x:v>0.0770385192596298149074537269</x:v>
      </x:c>
      <x:c r="J293" s="33" t="n">
        <x:v>0.1065532766383191595797898949</x:v>
      </x:c>
      <x:c r="K293" s="33" t="n">
        <x:v>0.1050525262631315657828914457</x:v>
      </x:c>
      <x:c r="L293" s="33" t="n">
        <x:v>0.1100550275137568784392196098</x:v>
      </x:c>
      <x:c r="M293" s="33" t="n">
        <x:v>0.1770885442721360680340170085</x:v>
      </x:c>
      <x:c r="N293" s="33" t="n">
        <x:v>0.3066533266633316658329164582</x:v>
      </x:c>
      <x:c r="O293" s="33" t="n">
        <x:v>0.4257128564282141070535267634</x:v>
      </x:c>
      <x:c r="P293" s="33" t="n">
        <x:v>0.460730365182591295647823912</x:v>
      </x:c>
      <x:c r="Q293" s="33" t="n">
        <x:v>0.4547273636818409204602301151</x:v>
      </x:c>
      <x:c r="R293" s="33" t="n">
        <x:v>0.4647323661830915457728864432</x:v>
      </x:c>
      <x:c r="S293" s="33" t="n">
        <x:v>0.4872436218109054527263631816</x:v>
      </x:c>
      <x:c r="T293" s="33" t="n">
        <x:v>0.5017508754377188594297148574</x:v>
      </x:c>
      <x:c r="U293" s="33" t="n">
        <x:v>0.525762881440720360180090045</x:v>
      </x:c>
      <x:c r="V293" s="23" t="n">
        <x:v>0.6143071535767883941970985493</x:v>
      </x:c>
      <x:c r="BC293" s="34" t="s"/>
      <x:c r="BD293" s="11" t="s">
        <x:v>160</x:v>
      </x:c>
      <x:c r="BE293" s="12" t="n">
        <x:f>=BO293</x:f>
      </x:c>
      <x:c r="BF293" s="12" t="n">
        <x:v>0.6388194097048524262131065533</x:v>
      </x:c>
      <x:c r="BG293" s="12" t="n">
        <x:v>0.2601300650325162581290645323</x:v>
      </x:c>
      <x:c r="BH293" s="12" t="n">
        <x:v>0.1010505252626313156578289145</x:v>
      </x:c>
      <x:c r="BI293" s="12" t="n">
        <x:f>=BN293</x:f>
      </x:c>
      <x:c r="BJ293" s="13" t="n">
        <x:v>0</x:v>
      </x:c>
      <x:c r="BK293" s="31" t="n">
        <x:v>10899.30</x:v>
      </x:c>
      <x:c r="BL293" s="31" t="n">
        <x:v>-9289.9718</x:v>
      </x:c>
      <x:c r="BM293" s="31" t="n">
        <x:f>=BK293+BL293</x:f>
      </x:c>
      <x:c r="BN293" s="68" t="n">
        <x:f>=BM293/BK293</x:f>
      </x:c>
      <x:c r="BO293" s="68" t="n">
        <x:v>0.8989494747373686843421710855</x:v>
      </x:c>
      <x:c r="BP293" s="31" t="n">
        <x:v>9041.27</x:v>
      </x:c>
      <x:c r="BQ293" s="42" t="n">
        <x:v>202</x:v>
      </x:c>
      <x:c r="BR293" s="31" t="n">
        <x:v>913.6250825412706353176588294</x:v>
      </x:c>
      <x:c r="BT293" s="31" t="n">
        <x:v>15295.656381953358375000000</x:v>
      </x:c>
      <x:c r="BU293" s="31" t="n">
        <x:v>-9289.9718</x:v>
      </x:c>
      <x:c r="BV293" s="31" t="n">
        <x:f>=BT293+BU293</x:f>
      </x:c>
      <x:c r="BW293" s="68" t="n">
        <x:f>=BV293/BT293</x:f>
      </x:c>
      <x:c r="BY293" s="68" t="n">
        <x:f>=BO293</x:f>
      </x:c>
      <x:c r="BZ293" s="68" t="n">
        <x:f>=BF293</x:f>
      </x:c>
      <x:c r="CA293" s="68" t="n">
        <x:f>=BG293</x:f>
      </x:c>
      <x:c r="CB293" s="68" t="n">
        <x:f>=1 - BY293</x:f>
      </x:c>
      <x:c r="CD293" s="68" t="n">
        <x:f>=CA293/(1-BZ293)</x:f>
      </x:c>
    </x:row>
    <x:row r="294">
      <x:c r="A294" s="32" t="s">
        <x:v>561</x:v>
      </x:c>
      <x:c r="B294" t="s"/>
      <x:c r="C294" t="s">
        <x:v>562</x:v>
      </x:c>
      <x:c r="D294" t="s">
        <x:v>96</x:v>
      </x:c>
      <x:c r="E294" t="s">
        <x:v>132</x:v>
      </x:c>
      <x:c r="F294" t="n">
        <x:v>2959</x:v>
      </x:c>
      <x:c r="G294" s="33" t="n">
        <x:v>0.0371747211895910780669144981</x:v>
      </x:c>
      <x:c r="H294" s="33" t="n">
        <x:v>0.0354849611355187563366002028</x:v>
      </x:c>
      <x:c r="I294" s="33" t="n">
        <x:v>0.0327813450490030415680973302</x:v>
      </x:c>
      <x:c r="J294" s="33" t="n">
        <x:v>0.0898952348766475160527205137</x:v>
      </x:c>
      <x:c r="K294" s="33" t="n">
        <x:v>0.1990537343697194998310239946</x:v>
      </x:c>
      <x:c r="L294" s="33" t="n">
        <x:v>0.2666441365326123690435958094</x:v>
      </x:c>
      <x:c r="M294" s="33" t="n">
        <x:v>0.3511321392362284555593105779</x:v>
      </x:c>
      <x:c r="N294" s="33" t="n">
        <x:v>0.4207502534640081108482595471</x:v>
      </x:c>
      <x:c r="O294" s="33" t="n">
        <x:v>0.5549172017573504562352145995</x:v>
      </x:c>
      <x:c r="P294" s="33" t="n">
        <x:v>0.6657654613044947617438323758</x:v>
      </x:c>
      <x:c r="Q294" s="24" t="n">
        <x:v>0.8063534978033119297059817506</x:v>
      </x:c>
      <x:c r="R294" s="33" t="n">
        <x:v>0.8749577559986481919567421426</x:v>
      </x:c>
      <x:c r="S294" s="33" t="n">
        <x:v>0.9111186211557958769854680635</x:v>
      </x:c>
      <x:c r="T294" s="33" t="n">
        <x:v>0.9236228455559310577897938493</x:v>
      </x:c>
      <x:c r="U294" s="23" t="n">
        <x:v>0.9719499831023994592767826969</x:v>
      </x:c>
      <x:c r="BC294" s="34" t="s"/>
      <x:c r="BD294" s="11" t="s">
        <x:v>101</x:v>
      </x:c>
      <x:c r="BE294" s="12" t="n">
        <x:f>=BO294</x:f>
      </x:c>
      <x:c r="BF294" s="12" t="n">
        <x:v>0.931733693815478202095302467</x:v>
      </x:c>
      <x:c r="BG294" s="12" t="n">
        <x:v>0.0561000337952010814464346063</x:v>
      </x:c>
      <x:c r="BH294" s="12" t="n">
        <x:v>0.0121662723893207164582629267</x:v>
      </x:c>
      <x:c r="BI294" s="12" t="n">
        <x:f>=BN294</x:f>
      </x:c>
      <x:c r="BJ294" s="13" t="n">
        <x:v>0</x:v>
      </x:c>
      <x:c r="BK294" s="31" t="n">
        <x:v>35294.19</x:v>
      </x:c>
      <x:c r="BL294" s="31" t="n">
        <x:v>-20297.9166</x:v>
      </x:c>
      <x:c r="BM294" s="31" t="n">
        <x:f>=BK294+BL294</x:f>
      </x:c>
      <x:c r="BN294" s="68" t="n">
        <x:f>=BM294/BK294</x:f>
      </x:c>
      <x:c r="BO294" s="68" t="n">
        <x:v>0.9878337276106792835417370733</x:v>
      </x:c>
      <x:c r="BP294" s="31" t="n">
        <x:v>20379.95</x:v>
      </x:c>
      <x:c r="BQ294" s="42" t="n">
        <x:v>36</x:v>
      </x:c>
      <x:c r="BR294" s="31" t="n">
        <x:v>247.94802298073673538357553227</x:v>
      </x:c>
      <x:c r="BT294" s="31" t="n">
        <x:v>46530.03251037612375000000</x:v>
      </x:c>
      <x:c r="BU294" s="31" t="n">
        <x:v>-20297.9166</x:v>
      </x:c>
      <x:c r="BV294" s="31" t="n">
        <x:f>=BT294+BU294</x:f>
      </x:c>
      <x:c r="BW294" s="68" t="n">
        <x:f>=BV294/BT294</x:f>
      </x:c>
      <x:c r="BY294" s="68" t="n">
        <x:f>=BO294</x:f>
      </x:c>
      <x:c r="BZ294" s="68" t="n">
        <x:f>=BF294</x:f>
      </x:c>
      <x:c r="CA294" s="68" t="n">
        <x:f>=BG294</x:f>
      </x:c>
      <x:c r="CB294" s="68" t="n">
        <x:f>=1 - BY294</x:f>
      </x:c>
      <x:c r="CD294" s="68" t="n">
        <x:f>=CA294/(1-BZ294)</x:f>
      </x:c>
    </x:row>
    <x:row r="295">
      <x:c r="A295" s="32" t="s">
        <x:v>563</x:v>
      </x:c>
      <x:c r="B295" t="s"/>
      <x:c r="C295" t="s">
        <x:v>564</x:v>
      </x:c>
      <x:c r="D295" t="s">
        <x:v>259</x:v>
      </x:c>
      <x:c r="E295" t="s">
        <x:v>132</x:v>
      </x:c>
      <x:c r="F295" t="n">
        <x:v>3091</x:v>
      </x:c>
      <x:c r="G295" s="33" t="n">
        <x:v>0.0359107085085732772565512779</x:v>
      </x:c>
      <x:c r="H295" s="33" t="n">
        <x:v>0.0339695891297314784859268845</x:v>
      </x:c>
      <x:c r="I295" s="33" t="n">
        <x:v>0.0304108702685215140731154966</x:v>
      </x:c>
      <x:c r="J295" s="33" t="n">
        <x:v>0.0501455839534131349077968295</x:v>
      </x:c>
      <x:c r="K295" s="33" t="n">
        <x:v>0.0598511808476221287609187965</x:v>
      </x:c>
      <x:c r="L295" s="33" t="n">
        <x:v>0.0896150113231963765771594953</x:v>
      </x:c>
      <x:c r="M295" s="33" t="n">
        <x:v>0.152054351342607570365577483</x:v>
      </x:c>
      <x:c r="N295" s="33" t="n">
        <x:v>0.2164348107408605629246198641</x:v>
      </x:c>
      <x:c r="O295" s="33" t="n">
        <x:v>0.2659333549013264315755418958</x:v>
      </x:c>
      <x:c r="P295" s="33" t="n">
        <x:v>0.2960207052733743125202199935</x:v>
      </x:c>
      <x:c r="Q295" s="33" t="n">
        <x:v>0.3193141378194758977677127143</x:v>
      </x:c>
      <x:c r="R295" s="33" t="n">
        <x:v>0.3701067615658362989323843416</x:v>
      </x:c>
      <x:c r="S295" s="33" t="n">
        <x:v>0.4348107408605629246198641216</x:v>
      </x:c>
      <x:c r="T295" s="33" t="n">
        <x:v>0.4684568100938207699773536072</x:v>
      </x:c>
      <x:c r="U295" s="24" t="n">
        <x:v>0.7114202523455192494338401812</x:v>
      </x:c>
      <x:c r="BC295" s="34" t="s"/>
      <x:c r="BD295" s="11" t="s">
        <x:v>101</x:v>
      </x:c>
      <x:c r="BE295" s="12" t="n">
        <x:f>=BO295</x:f>
      </x:c>
      <x:c r="BF295" s="12" t="n">
        <x:v>0.4419281785829828534454868974</x:v>
      </x:c>
      <x:c r="BG295" s="12" t="n">
        <x:v>0.436751860239404723390488515</x:v>
      </x:c>
      <x:c r="BH295" s="12" t="n">
        <x:v>0.1213199611776124231640245875</x:v>
      </x:c>
      <x:c r="BI295" s="12" t="n">
        <x:f>=BN295</x:f>
      </x:c>
      <x:c r="BJ295" s="13" t="n">
        <x:v>0</x:v>
      </x:c>
      <x:c r="BK295" s="31" t="n">
        <x:v>31395.45</x:v>
      </x:c>
      <x:c r="BL295" s="31" t="n">
        <x:v>-26841.64650</x:v>
      </x:c>
      <x:c r="BM295" s="31" t="n">
        <x:f>=BK295+BL295</x:f>
      </x:c>
      <x:c r="BN295" s="68" t="n">
        <x:f>=BM295/BK295</x:f>
      </x:c>
      <x:c r="BO295" s="68" t="n">
        <x:v>0.8786800388223875768359754125</x:v>
      </x:c>
      <x:c r="BP295" s="31" t="n">
        <x:v>24646.25</x:v>
      </x:c>
      <x:c r="BQ295" s="42" t="n">
        <x:v>375</x:v>
      </x:c>
      <x:c r="BR295" s="31" t="n">
        <x:v>2990.0820931737301844063409900</x:v>
      </x:c>
      <x:c r="BT295" s="31" t="n">
        <x:v>44193.02648963618550000000</x:v>
      </x:c>
      <x:c r="BU295" s="31" t="n">
        <x:v>-26841.64650</x:v>
      </x:c>
      <x:c r="BV295" s="31" t="n">
        <x:f>=BT295+BU295</x:f>
      </x:c>
      <x:c r="BW295" s="68" t="n">
        <x:f>=BV295/BT295</x:f>
      </x:c>
      <x:c r="BY295" s="68" t="n">
        <x:f>=BO295</x:f>
      </x:c>
      <x:c r="BZ295" s="68" t="n">
        <x:f>=BF295</x:f>
      </x:c>
      <x:c r="CA295" s="68" t="n">
        <x:f>=BG295</x:f>
      </x:c>
      <x:c r="CB295" s="68" t="n">
        <x:f>=1 - BY295</x:f>
      </x:c>
      <x:c r="CD295" s="68" t="n">
        <x:f>=CA295/(1-BZ295)</x:f>
      </x:c>
    </x:row>
    <x:row r="296">
      <x:c r="A296" s="32" t="s">
        <x:v>565</x:v>
      </x:c>
      <x:c r="B296" t="s"/>
      <x:c r="C296" t="s">
        <x:v>566</x:v>
      </x:c>
      <x:c r="D296" t="s">
        <x:v>125</x:v>
      </x:c>
      <x:c r="E296" t="s">
        <x:v>132</x:v>
      </x:c>
      <x:c r="F296" t="n">
        <x:v>3078</x:v>
      </x:c>
      <x:c r="G296" s="33" t="n">
        <x:v>0.0272904483430799220272904483</x:v>
      </x:c>
      <x:c r="H296" s="33" t="n">
        <x:v>0.0847953216374269005847953216</x:v>
      </x:c>
      <x:c r="I296" s="33" t="n">
        <x:v>0.1254061078622482131254061079</x:v>
      </x:c>
      <x:c r="J296" s="33" t="n">
        <x:v>0.1276803118908382066276803119</x:v>
      </x:c>
      <x:c r="K296" s="33" t="n">
        <x:v>0.1653671215074723846653671215</x:v>
      </x:c>
      <x:c r="L296" s="33" t="n">
        <x:v>0.1920077972709551656920077973</x:v>
      </x:c>
      <x:c r="M296" s="33" t="n">
        <x:v>0.1907082521117608836907082521</x:v>
      </x:c>
      <x:c r="N296" s="33" t="n">
        <x:v>0.1926575698505523066926575699</x:v>
      </x:c>
      <x:c r="O296" s="33" t="n">
        <x:v>0.2050032488628979857050032489</x:v>
      </x:c>
      <x:c r="P296" s="23" t="n">
        <x:v>0.2706302794022092267706302794</x:v>
      </x:c>
      <x:c r="BC296" s="34" t="s"/>
      <x:c r="BD296" s="11" t="s">
        <x:v>141</x:v>
      </x:c>
      <x:c r="BE296" s="12" t="n">
        <x:f>=BO296</x:f>
      </x:c>
      <x:c r="BF296" s="12" t="n">
        <x:v>0.6198830409356725146198830409</x:v>
      </x:c>
      <x:c r="BG296" s="12" t="n">
        <x:v>0.2761533463287849252761533463</x:v>
      </x:c>
      <x:c r="BH296" s="12" t="n">
        <x:v>0.1039636127355425601039636127</x:v>
      </x:c>
      <x:c r="BI296" s="12" t="n">
        <x:f>=BN296</x:f>
      </x:c>
      <x:c r="BJ296" s="13" t="n">
        <x:v>0</x:v>
      </x:c>
      <x:c r="BK296" s="31" t="n">
        <x:v>9995.85</x:v>
      </x:c>
      <x:c r="BL296" s="31" t="n">
        <x:v>-7775.6192</x:v>
      </x:c>
      <x:c r="BM296" s="31" t="n">
        <x:f>=BK296+BL296</x:f>
      </x:c>
      <x:c r="BN296" s="68" t="n">
        <x:f>=BM296/BK296</x:f>
      </x:c>
      <x:c r="BO296" s="68" t="n">
        <x:v>0.8960363872644574398960363873</x:v>
      </x:c>
      <x:c r="BP296" s="31" t="n">
        <x:v>7248.05</x:v>
      </x:c>
      <x:c r="BQ296" s="42" t="n">
        <x:v>320</x:v>
      </x:c>
      <x:c r="BR296" s="31" t="n">
        <x:v>753.53346328784925276153346330</x:v>
      </x:c>
      <x:c r="BT296" s="31" t="n">
        <x:v>13502.161920946709250000000</x:v>
      </x:c>
      <x:c r="BU296" s="31" t="n">
        <x:v>-7775.6192</x:v>
      </x:c>
      <x:c r="BV296" s="31" t="n">
        <x:f>=BT296+BU296</x:f>
      </x:c>
      <x:c r="BW296" s="68" t="n">
        <x:f>=BV296/BT296</x:f>
      </x:c>
      <x:c r="BY296" s="68" t="n">
        <x:f>=BO296</x:f>
      </x:c>
      <x:c r="BZ296" s="68" t="n">
        <x:f>=BF296</x:f>
      </x:c>
      <x:c r="CA296" s="68" t="n">
        <x:f>=BG296</x:f>
      </x:c>
      <x:c r="CB296" s="68" t="n">
        <x:f>=1 - BY296</x:f>
      </x:c>
      <x:c r="CD296" s="68" t="n">
        <x:f>=CA296/(1-BZ296)</x:f>
      </x:c>
    </x:row>
    <x:row r="297">
      <x:c r="A297" s="32" t="s">
        <x:v>567</x:v>
      </x:c>
      <x:c r="B297" t="s"/>
      <x:c r="C297" t="s">
        <x:v>568</x:v>
      </x:c>
      <x:c r="D297" t="s">
        <x:v>259</x:v>
      </x:c>
      <x:c r="E297" t="s">
        <x:v>132</x:v>
      </x:c>
      <x:c r="F297" t="n">
        <x:v>3145</x:v>
      </x:c>
      <x:c r="G297" s="33" t="n">
        <x:v>0.0060413354531001589825119237</x:v>
      </x:c>
      <x:c r="H297" s="33" t="n">
        <x:v>0.0327503974562798092209856916</x:v>
      </x:c>
      <x:c r="I297" s="33" t="n">
        <x:v>0.092209856915739268680445151</x:v>
      </x:c>
      <x:c r="J297" s="33" t="n">
        <x:v>0.1688394276629570747217806041</x:v>
      </x:c>
      <x:c r="K297" s="33" t="n">
        <x:v>0.2483306836248012718600953895</x:v>
      </x:c>
      <x:c r="L297" s="33" t="n">
        <x:v>0.3386327503974562798092209857</x:v>
      </x:c>
      <x:c r="M297" s="33" t="n">
        <x:v>0.4387917329093799682034976153</x:v>
      </x:c>
      <x:c r="N297" s="33" t="n">
        <x:v>0.5249602543720190779014308426</x:v>
      </x:c>
      <x:c r="O297" s="33" t="n">
        <x:v>0.5949125596184419713831478537</x:v>
      </x:c>
      <x:c r="P297" s="23" t="n">
        <x:v>0.6410174880763116057233704293</x:v>
      </x:c>
      <x:c r="BC297" s="34" t="s"/>
      <x:c r="BD297" s="11" t="s">
        <x:v>141</x:v>
      </x:c>
      <x:c r="BE297" s="12" t="n">
        <x:f>=BO297</x:f>
      </x:c>
      <x:c r="BF297" s="12" t="n">
        <x:v>0.6979332273449920508744038156</x:v>
      </x:c>
      <x:c r="BG297" s="12" t="n">
        <x:v>0.2499205087440381558028616852</x:v>
      </x:c>
      <x:c r="BH297" s="12" t="n">
        <x:v>0.0521462639109697933227344992</x:v>
      </x:c>
      <x:c r="BI297" s="12" t="n">
        <x:f>=BN297</x:f>
      </x:c>
      <x:c r="BJ297" s="13" t="n">
        <x:v>0</x:v>
      </x:c>
      <x:c r="BK297" s="31" t="n">
        <x:v>27344.72</x:v>
      </x:c>
      <x:c r="BL297" s="31" t="n">
        <x:v>-20775.27590</x:v>
      </x:c>
      <x:c r="BM297" s="31" t="n">
        <x:f>=BK297+BL297</x:f>
      </x:c>
      <x:c r="BN297" s="68" t="n">
        <x:f>=BM297/BK297</x:f>
      </x:c>
      <x:c r="BO297" s="68" t="n">
        <x:v>0.9478537360890302066772655008</x:v>
      </x:c>
      <x:c r="BP297" s="31" t="n">
        <x:v>18946.15</x:v>
      </x:c>
      <x:c r="BQ297" s="42" t="n">
        <x:v>164</x:v>
      </x:c>
      <x:c r="BR297" s="31" t="n">
        <x:v>987.9709379968203497615262321</x:v>
      </x:c>
      <x:c r="BT297" s="31" t="n">
        <x:v>37165.14122306296250000000</x:v>
      </x:c>
      <x:c r="BU297" s="31" t="n">
        <x:v>-20775.27590</x:v>
      </x:c>
      <x:c r="BV297" s="31" t="n">
        <x:f>=BT297+BU297</x:f>
      </x:c>
      <x:c r="BW297" s="68" t="n">
        <x:f>=BV297/BT297</x:f>
      </x:c>
      <x:c r="BY297" s="68" t="n">
        <x:f>=BO297</x:f>
      </x:c>
      <x:c r="BZ297" s="68" t="n">
        <x:f>=BF297</x:f>
      </x:c>
      <x:c r="CA297" s="68" t="n">
        <x:f>=BG297</x:f>
      </x:c>
      <x:c r="CB297" s="68" t="n">
        <x:f>=1 - BY297</x:f>
      </x:c>
      <x:c r="CD297" s="68" t="n">
        <x:f>=CA297/(1-BZ297)</x:f>
      </x:c>
    </x:row>
    <x:row r="298">
      <x:c r="BC298" s="34" t="s"/>
      <x:c r="BD298" s="11" t="s"/>
      <x:c r="BJ298" s="13" t="s"/>
    </x:row>
    <x:row r="299">
      <x:c r="A299" s="36" t="s">
        <x:v>104</x:v>
      </x:c>
      <x:c r="BC299" s="34" t="s"/>
      <x:c r="BD299" s="11" t="s"/>
      <x:c r="BJ299" s="13" t="s"/>
    </x:row>
    <x:row r="300">
      <x:c r="A300" s="17" t="s">
        <x:v>105</x:v>
      </x:c>
      <x:c r="BC300" s="34" t="s"/>
      <x:c r="BD300" s="11" t="s"/>
      <x:c r="BJ300" s="13" t="s"/>
    </x:row>
    <x:row r="301">
      <x:c r="A301" s="32" t="s">
        <x:v>569</x:v>
      </x:c>
      <x:c r="B301" t="s"/>
      <x:c r="C301" t="s">
        <x:v>570</x:v>
      </x:c>
      <x:c r="D301" t="s">
        <x:v>125</x:v>
      </x:c>
      <x:c r="E301" t="s">
        <x:v>109</x:v>
      </x:c>
      <x:c r="F301" t="n">
        <x:v>327</x:v>
      </x:c>
      <x:c r="G301" s="33" t="n">
        <x:v>0.0030581039755351681957186544</x:v>
      </x:c>
      <x:c r="H301" s="33" t="n">
        <x:v>0.0030581039755351681957186544</x:v>
      </x:c>
      <x:c r="I301" s="33" t="n">
        <x:v>0.1100917431192660550458715596</x:v>
      </x:c>
      <x:c r="J301" s="33" t="n">
        <x:v>0.140672782874617737003058104</x:v>
      </x:c>
      <x:c r="K301" s="33" t="n">
        <x:v>0.1590214067278287461773700306</x:v>
      </x:c>
      <x:c r="L301" s="33" t="n">
        <x:v>0.1773700305810397553516819572</x:v>
      </x:c>
      <x:c r="M301" s="33" t="n">
        <x:v>0.1987767584097859327217125382</x:v>
      </x:c>
      <x:c r="N301" s="33" t="n">
        <x:v>0.2232415902140672782874617737</x:v>
      </x:c>
      <x:c r="O301" s="33" t="n">
        <x:v>0.2018348623853211009174311927</x:v>
      </x:c>
      <x:c r="P301" s="33" t="n">
        <x:v>0.2079510703363914373088685015</x:v>
      </x:c>
      <x:c r="Q301" s="33" t="n">
        <x:v>0.2232415902140672782874617737</x:v>
      </x:c>
      <x:c r="R301" s="33" t="n">
        <x:v>0.2232415902140672782874617737</x:v>
      </x:c>
      <x:c r="S301" s="33" t="n">
        <x:v>0.2354740061162079510703363914</x:v>
      </x:c>
      <x:c r="T301" s="33" t="n">
        <x:v>0.2507645259938837920489296636</x:v>
      </x:c>
      <x:c r="U301" s="33" t="n">
        <x:v>0.2477064220183486238532110092</x:v>
      </x:c>
      <x:c r="V301" s="33" t="n">
        <x:v>0.253822629969418960244648318</x:v>
      </x:c>
      <x:c r="W301" s="33" t="n">
        <x:v>0.2691131498470948012232415902</x:v>
      </x:c>
      <x:c r="X301" s="33" t="n">
        <x:v>0.2905198776758409785932721713</x:v>
      </x:c>
      <x:c r="Y301" s="33" t="n">
        <x:v>0.3302752293577981651376146789</x:v>
      </x:c>
      <x:c r="Z301" s="33" t="n">
        <x:v>0.3639143730886850152905198777</x:v>
      </x:c>
      <x:c r="AA301" s="33" t="n">
        <x:v>0.4006116207951070336391437309</x:v>
      </x:c>
      <x:c r="AB301" s="33" t="n">
        <x:v>0.4159021406727828746177370031</x:v>
      </x:c>
      <x:c r="AC301" s="33" t="n">
        <x:v>0.4220183486238532110091743119</x:v>
      </x:c>
      <x:c r="AD301" s="33" t="n">
        <x:v>0.4373088685015290519877675841</x:v>
      </x:c>
      <x:c r="AE301" s="33" t="n">
        <x:v>0.4525993883792048929663608563</x:v>
      </x:c>
      <x:c r="AF301" s="33" t="n">
        <x:v>0.4801223241590214067278287462</x:v>
      </x:c>
      <x:c r="AG301" s="33" t="n">
        <x:v>0.4770642201834862385321100917</x:v>
      </x:c>
      <x:c r="AH301" s="33" t="n">
        <x:v>0.4740061162079510703363914373</x:v>
      </x:c>
      <x:c r="AI301" s="33" t="n">
        <x:v>0.4740061162079510703363914373</x:v>
      </x:c>
      <x:c r="AJ301" s="33" t="n">
        <x:v>0.4740061162079510703363914373</x:v>
      </x:c>
      <x:c r="AK301" s="33" t="n">
        <x:v>0.4740061162079510703363914373</x:v>
      </x:c>
      <x:c r="AL301" s="33" t="n">
        <x:v>0.4740061162079510703363914373</x:v>
      </x:c>
      <x:c r="AM301" s="33" t="n">
        <x:v>0.4709480122324159021406727829</x:v>
      </x:c>
      <x:c r="AN301" s="33" t="n">
        <x:v>0.4709480122324159021406727829</x:v>
      </x:c>
      <x:c r="AO301" s="33" t="n">
        <x:v>0.4709480122324159021406727829</x:v>
      </x:c>
      <x:c r="AP301" s="33" t="n">
        <x:v>0.4709480122324159021406727829</x:v>
      </x:c>
      <x:c r="AQ301" s="33" t="n">
        <x:v>0.4831804281345565749235474006</x:v>
      </x:c>
      <x:c r="AR301" s="33" t="n">
        <x:v>0.4892966360856269113149847095</x:v>
      </x:c>
      <x:c r="AS301" s="33" t="n">
        <x:v>0.4892966360856269113149847095</x:v>
      </x:c>
      <x:c r="AT301" s="33" t="n">
        <x:v>0.5076452599388379204892966361</x:v>
      </x:c>
      <x:c r="AU301" s="33" t="n">
        <x:v>0.5107033639143730886850152905</x:v>
      </x:c>
      <x:c r="AV301" s="23" t="n">
        <x:v>0.5198776758409785932721712538</x:v>
      </x:c>
      <x:c r="BC301" s="34" t="s"/>
      <x:c r="BD301" s="11" t="s">
        <x:v>571</x:v>
      </x:c>
      <x:c r="BE301" s="12" t="n">
        <x:f>=BO301</x:f>
      </x:c>
      <x:c r="BF301" s="12" t="n">
        <x:v>0.5045871559633027522935779817</x:v>
      </x:c>
      <x:c r="BG301" s="12" t="n">
        <x:v>0.2018348623853211009174311927</x:v>
      </x:c>
      <x:c r="BH301" s="12" t="n">
        <x:v>0.2935779816513761467889908257</x:v>
      </x:c>
      <x:c r="BI301" s="12" t="n">
        <x:f>=BN301</x:f>
      </x:c>
      <x:c r="BJ301" s="13" t="n">
        <x:v>0</x:v>
      </x:c>
      <x:c r="BK301" s="31" t="n">
        <x:v>2062.46</x:v>
      </x:c>
      <x:c r="BL301" s="31" t="n">
        <x:v>-1861.3167</x:v>
      </x:c>
      <x:c r="BM301" s="31" t="n">
        <x:f>=BK301+BL301</x:f>
      </x:c>
      <x:c r="BN301" s="68" t="n">
        <x:f>=BM301/BK301</x:f>
      </x:c>
      <x:c r="BO301" s="68" t="n">
        <x:v>0.7064220183486238532110091743</x:v>
      </x:c>
      <x:c r="BP301" s="31" t="n">
        <x:v>1808.31</x:v>
      </x:c>
      <x:c r="BQ301" s="42" t="n">
        <x:v>96</x:v>
      </x:c>
      <x:c r="BR301" s="31" t="n">
        <x:v>530.88</x:v>
      </x:c>
      <x:c r="BT301" s="31" t="n">
        <x:v>3112.9476575731250000000</x:v>
      </x:c>
      <x:c r="BU301" s="31" t="n">
        <x:v>-1861.3167</x:v>
      </x:c>
      <x:c r="BV301" s="31" t="n">
        <x:f>=BT301+BU301</x:f>
      </x:c>
      <x:c r="BW301" s="68" t="n">
        <x:f>=BV301/BT301</x:f>
      </x:c>
      <x:c r="BY301" s="68" t="n">
        <x:f>=BO301</x:f>
      </x:c>
      <x:c r="BZ301" s="68" t="n">
        <x:f>=BF301</x:f>
      </x:c>
      <x:c r="CA301" s="68" t="n">
        <x:f>=BG301</x:f>
      </x:c>
      <x:c r="CB301" s="68" t="n">
        <x:f>=1 - BY301</x:f>
      </x:c>
      <x:c r="CD301" s="68" t="n">
        <x:f>=CA301/(1-BZ301)</x:f>
      </x:c>
    </x:row>
    <x:row r="302">
      <x:c r="A302" s="32" t="s">
        <x:v>572</x:v>
      </x:c>
      <x:c r="B302" t="s"/>
      <x:c r="C302" t="s">
        <x:v>573</x:v>
      </x:c>
      <x:c r="D302" t="s">
        <x:v>125</x:v>
      </x:c>
      <x:c r="E302" t="s">
        <x:v>109</x:v>
      </x:c>
      <x:c r="F302" t="n">
        <x:v>2726</x:v>
      </x:c>
      <x:c r="G302" s="33" t="n">
        <x:v>0.0818048422597212032281731475</x:v>
      </x:c>
      <x:c r="H302" s="33" t="n">
        <x:v>0.2190022010271460014673514307</x:v>
      </x:c>
      <x:c r="I302" s="33" t="n">
        <x:v>0.2410124724871606749816581071</x:v>
      </x:c>
      <x:c r="J302" s="33" t="n">
        <x:v>0.2564196625091709464416727806</x:v>
      </x:c>
      <x:c r="K302" s="33" t="n">
        <x:v>0.2498165810711665443873807777</x:v>
      </x:c>
      <x:c r="L302" s="33" t="n">
        <x:v>0.2589875275128393250183418929</x:v>
      </x:c>
      <x:c r="M302" s="33" t="n">
        <x:v>0.2597212032281731474688187821</x:v>
      </x:c>
      <x:c r="N302" s="33" t="n">
        <x:v>0.2622890682318415260454878944</x:v>
      </x:c>
      <x:c r="O302" s="33" t="n">
        <x:v>0.2586206896551724137931034483</x:v>
      </x:c>
      <x:c r="P302" s="33" t="n">
        <x:v>0.2593543653705062362435803375</x:v>
      </x:c>
      <x:c r="Q302" s="33" t="n">
        <x:v>0.2648569332355099046221570066</x:v>
      </x:c>
      <x:c r="R302" s="33" t="n">
        <x:v>0.2721936903888481291269258988</x:v>
      </x:c>
      <x:c r="S302" s="33" t="n">
        <x:v>0.2817314746881878209831254585</x:v>
      </x:c>
      <x:c r="T302" s="33" t="n">
        <x:v>0.2912692589875275128393250183</x:v>
      </x:c>
      <x:c r="U302" s="33" t="n">
        <x:v>0.301907556859867938371239912</x:v>
      </x:c>
      <x:c r="V302" s="33" t="n">
        <x:v>0.3147468818782098312545854732</x:v>
      </x:c>
      <x:c r="W302" s="33" t="n">
        <x:v>0.3268525311812179016874541453</x:v>
      </x:c>
      <x:c r="X302" s="33" t="n">
        <x:v>0.3312545854732208363903154806</x:v>
      </x:c>
      <x:c r="Y302" s="33" t="n">
        <x:v>0.3444607483492296404988994864</x:v>
      </x:c>
      <x:c r="Z302" s="33" t="n">
        <x:v>0.3609684519442406456346294938</x:v>
      </x:c>
      <x:c r="AA302" s="33" t="n">
        <x:v>0.3675715333822450476889214967</x:v>
      </x:c>
      <x:c r="AB302" s="33" t="n">
        <x:v>0.3745414526779163609684519442</x:v>
      </x:c>
      <x:c r="AC302" s="33" t="n">
        <x:v>0.3851797505502567865003668379</x:v>
      </x:c>
      <x:c r="AD302" s="33" t="n">
        <x:v>0.4108584005869405722670579604</x:v>
      </x:c>
      <x:c r="AE302" s="33" t="n">
        <x:v>0.4229640498899486426999266324</x:v>
      </x:c>
      <x:c r="AF302" s="33" t="n">
        <x:v>0.4350696991929567131327953045</x:v>
      </x:c>
      <x:c r="AG302" s="33" t="n">
        <x:v>0.4405722670579603815113719736</x:v>
      </x:c>
      <x:c r="AH302" s="33" t="n">
        <x:v>0.4581804842259721203228173147</x:v>
      </x:c>
      <x:c r="AI302" s="33" t="n">
        <x:v>0.4515774027879677182685253118</x:v>
      </x:c>
      <x:c r="AJ302" s="33" t="n">
        <x:v>0.452311078503301540719002201</x:v>
      </x:c>
      <x:c r="BC302" s="34" t="s"/>
      <x:c r="BD302" s="11" t="s">
        <x:v>185</x:v>
      </x:c>
      <x:c r="BE302" s="12" t="n">
        <x:f>=BO302</x:f>
      </x:c>
      <x:c r="BF302" s="12" t="n">
        <x:v>0.4970652971386647101980924431</x:v>
      </x:c>
      <x:c r="BG302" s="12" t="n">
        <x:v>0.2883345561261922230374174615</x:v>
      </x:c>
      <x:c r="BH302" s="12" t="n">
        <x:v>0.2146001467351430667644900954</x:v>
      </x:c>
      <x:c r="BI302" s="12" t="n">
        <x:f>=BN302</x:f>
      </x:c>
      <x:c r="BJ302" s="13" t="n">
        <x:v>0</x:v>
      </x:c>
      <x:c r="BK302" s="31" t="n">
        <x:v>26579.26</x:v>
      </x:c>
      <x:c r="BL302" s="31" t="n">
        <x:v>-25569.8800</x:v>
      </x:c>
      <x:c r="BM302" s="31" t="n">
        <x:f>=BK302+BL302</x:f>
      </x:c>
      <x:c r="BN302" s="68" t="n">
        <x:f>=BM302/BK302</x:f>
      </x:c>
      <x:c r="BO302" s="68" t="n">
        <x:v>0.7853998532648569332355099046</x:v>
      </x:c>
      <x:c r="BP302" s="31" t="n">
        <x:v>23498.12</x:v>
      </x:c>
      <x:c r="BQ302" s="42" t="n">
        <x:v>585</x:v>
      </x:c>
      <x:c r="BR302" s="31" t="n">
        <x:v>5042.70</x:v>
      </x:c>
      <x:c r="BT302" s="31" t="n">
        <x:v>38839.446839027750000000000000</x:v>
      </x:c>
      <x:c r="BU302" s="31" t="n">
        <x:v>-25569.8800</x:v>
      </x:c>
      <x:c r="BV302" s="31" t="n">
        <x:f>=BT302+BU302</x:f>
      </x:c>
      <x:c r="BW302" s="68" t="n">
        <x:f>=BV302/BT302</x:f>
      </x:c>
      <x:c r="BY302" s="68" t="n">
        <x:f>=BO302</x:f>
      </x:c>
      <x:c r="BZ302" s="68" t="n">
        <x:f>=BF302</x:f>
      </x:c>
      <x:c r="CA302" s="68" t="n">
        <x:f>=BG302</x:f>
      </x:c>
      <x:c r="CB302" s="68" t="n">
        <x:f>=1 - BY302</x:f>
      </x:c>
      <x:c r="CD302" s="68" t="n">
        <x:f>=CA302/(1-BZ302)</x:f>
      </x:c>
    </x:row>
    <x:row r="303">
      <x:c r="A303" s="32" t="s">
        <x:v>574</x:v>
      </x:c>
      <x:c r="B303" t="s"/>
      <x:c r="C303" t="s">
        <x:v>575</x:v>
      </x:c>
      <x:c r="D303" t="s">
        <x:v>259</x:v>
      </x:c>
      <x:c r="E303" t="s">
        <x:v>109</x:v>
      </x:c>
      <x:c r="F303" t="n">
        <x:v>547</x:v>
      </x:c>
      <x:c r="G303" s="33" t="n">
        <x:v>0.1096892138939670932358318099</x:v>
      </x:c>
      <x:c r="H303" s="33" t="n">
        <x:v>0.1407678244972577696526508227</x:v>
      </x:c>
      <x:c r="I303" s="33" t="n">
        <x:v>0.144424131627056672760511883</x:v>
      </x:c>
      <x:c r="J303" s="33" t="n">
        <x:v>0.1700182815356489945155393053</x:v>
      </x:c>
      <x:c r="K303" s="33" t="n">
        <x:v>0.2029250457038391224862888483</x:v>
      </x:c>
      <x:c r="L303" s="33" t="n">
        <x:v>0.2047531992687385740402193784</x:v>
      </x:c>
      <x:c r="M303" s="33" t="n">
        <x:v>0.2212065813528336380255941499</x:v>
      </x:c>
      <x:c r="N303" s="33" t="n">
        <x:v>0.2340036563071297989031078611</x:v>
      </x:c>
      <x:c r="O303" s="33" t="n">
        <x:v>0.2266910420475319926873857404</x:v>
      </x:c>
      <x:c r="P303" s="33" t="n">
        <x:v>0.2321755027422303473491773309</x:v>
      </x:c>
      <x:c r="Q303" s="33" t="n">
        <x:v>0.2413162705667276051188299817</x:v>
      </x:c>
      <x:c r="R303" s="33" t="n">
        <x:v>0.2632541133455210237659963437</x:v>
      </x:c>
      <x:c r="S303" s="33" t="n">
        <x:v>0.288848263254113345521023766</x:v>
      </x:c>
      <x:c r="T303" s="33" t="n">
        <x:v>0.2961608775137111517367458867</x:v>
      </x:c>
      <x:c r="U303" s="33" t="n">
        <x:v>0.3180987202925045703839122486</x:v>
      </x:c>
      <x:c r="V303" s="33" t="n">
        <x:v>0.3327239488117001828153564899</x:v>
      </x:c>
      <x:c r="W303" s="33" t="n">
        <x:v>0.3327239488117001828153564899</x:v>
      </x:c>
      <x:c r="X303" s="33" t="n">
        <x:v>0.3272394881170018281535648995</x:v>
      </x:c>
      <x:c r="Y303" s="33" t="n">
        <x:v>0.3345521023765996343692870201</x:v>
      </x:c>
      <x:c r="Z303" s="33" t="n">
        <x:v>0.3382084095063985374771480804</x:v>
      </x:c>
      <x:c r="AA303" s="33" t="n">
        <x:v>0.3601462522851919561243144424</x:v>
      </x:c>
      <x:c r="AB303" s="33" t="n">
        <x:v>0.400365630712979890310786106</x:v>
      </x:c>
      <x:c r="AC303" s="33" t="n">
        <x:v>0.4424131627056672760511882998</x:v>
      </x:c>
      <x:c r="AD303" s="33" t="n">
        <x:v>0.4625228519195612431444241316</x:v>
      </x:c>
      <x:c r="AE303" s="33" t="n">
        <x:v>0.4990859232175502742230347349</x:v>
      </x:c>
      <x:c r="AF303" s="33" t="n">
        <x:v>0.5319926873857404021937842779</x:v>
      </x:c>
      <x:c r="AG303" s="33" t="n">
        <x:v>0.5575868372943327239488117002</x:v>
      </x:c>
      <x:c r="AH303" s="33" t="n">
        <x:v>0.5904936014625228519195612431</x:v>
      </x:c>
      <x:c r="AI303" s="33" t="n">
        <x:v>0.6435100548446069469835466179</x:v>
      </x:c>
      <x:c r="AJ303" s="24" t="n">
        <x:v>0.7276051188299817184643510055</x:v>
      </x:c>
      <x:c r="BC303" s="34" t="s"/>
      <x:c r="BD303" s="11" t="s">
        <x:v>185</x:v>
      </x:c>
      <x:c r="BE303" s="12" t="n">
        <x:f>=BO303</x:f>
      </x:c>
      <x:c r="BF303" s="12" t="n">
        <x:v>0.6672760511882998171846435101</x:v>
      </x:c>
      <x:c r="BG303" s="12" t="n">
        <x:v>0.1681901279707495429616087751</x:v>
      </x:c>
      <x:c r="BH303" s="12" t="n">
        <x:v>0.1645338208409506398537477148</x:v>
      </x:c>
      <x:c r="BI303" s="12" t="n">
        <x:f>=BN303</x:f>
      </x:c>
      <x:c r="BJ303" s="13" t="n">
        <x:v>0</x:v>
      </x:c>
      <x:c r="BK303" s="31" t="n">
        <x:v>10713.87</x:v>
      </x:c>
      <x:c r="BL303" s="31" t="n">
        <x:v>-8963.79840</x:v>
      </x:c>
      <x:c r="BM303" s="31" t="n">
        <x:f>=BK303+BL303</x:f>
      </x:c>
      <x:c r="BN303" s="68" t="n">
        <x:f>=BM303/BK303</x:f>
      </x:c>
      <x:c r="BO303" s="68" t="n">
        <x:v>0.8354661791590493601462522852</x:v>
      </x:c>
      <x:c r="BP303" s="31" t="n">
        <x:v>8314.40</x:v>
      </x:c>
      <x:c r="BQ303" s="42" t="n">
        <x:v>90</x:v>
      </x:c>
      <x:c r="BR303" s="31" t="n">
        <x:v>1368.00</x:v>
      </x:c>
      <x:c r="BT303" s="31" t="n">
        <x:v>14931.2406326055000000000</x:v>
      </x:c>
      <x:c r="BU303" s="31" t="n">
        <x:v>-8963.79840</x:v>
      </x:c>
      <x:c r="BV303" s="31" t="n">
        <x:f>=BT303+BU303</x:f>
      </x:c>
      <x:c r="BW303" s="68" t="n">
        <x:f>=BV303/BT303</x:f>
      </x:c>
      <x:c r="BY303" s="68" t="n">
        <x:f>=BO303</x:f>
      </x:c>
      <x:c r="BZ303" s="68" t="n">
        <x:f>=BF303</x:f>
      </x:c>
      <x:c r="CA303" s="68" t="n">
        <x:f>=BG303</x:f>
      </x:c>
      <x:c r="CB303" s="68" t="n">
        <x:f>=1 - BY303</x:f>
      </x:c>
      <x:c r="CD303" s="68" t="n">
        <x:f>=CA303/(1-BZ303)</x:f>
      </x:c>
    </x:row>
    <x:row r="304">
      <x:c r="A304" s="32" t="s">
        <x:v>576</x:v>
      </x:c>
      <x:c r="B304" t="s"/>
      <x:c r="C304" t="s">
        <x:v>577</x:v>
      </x:c>
      <x:c r="D304" t="s">
        <x:v>96</x:v>
      </x:c>
      <x:c r="E304" t="s">
        <x:v>109</x:v>
      </x:c>
      <x:c r="F304" t="n">
        <x:v>550</x:v>
      </x:c>
      <x:c r="G304" s="33" t="n">
        <x:v>0.0018181818181818181818181818</x:v>
      </x:c>
      <x:c r="H304" s="33" t="n">
        <x:v>0.0036363636363636363636363636</x:v>
      </x:c>
      <x:c r="I304" s="33" t="n">
        <x:v>0.0054545454545454545454545455</x:v>
      </x:c>
      <x:c r="J304" s="33" t="n">
        <x:v>0.0727272727272727272727272727</x:v>
      </x:c>
      <x:c r="K304" s="33" t="n">
        <x:v>0.1672727272727272727272727273</x:v>
      </x:c>
      <x:c r="L304" s="33" t="n">
        <x:v>0.3327272727272727272727272727</x:v>
      </x:c>
      <x:c r="M304" s="33" t="n">
        <x:v>0.4127272727272727272727272727</x:v>
      </x:c>
      <x:c r="N304" s="33" t="n">
        <x:v>0.4090909090909090909090909091</x:v>
      </x:c>
      <x:c r="O304" s="33" t="n">
        <x:v>0.4090909090909090909090909091</x:v>
      </x:c>
      <x:c r="P304" s="33" t="n">
        <x:v>0.4145454545454545454545454545</x:v>
      </x:c>
      <x:c r="Q304" s="33" t="n">
        <x:v>0.42</x:v>
      </x:c>
      <x:c r="R304" s="33" t="n">
        <x:v>0.4454545454545454545454545455</x:v>
      </x:c>
      <x:c r="S304" s="33" t="n">
        <x:v>0.4454545454545454545454545455</x:v>
      </x:c>
      <x:c r="T304" s="33" t="n">
        <x:v>0.4309090909090909090909090909</x:v>
      </x:c>
      <x:c r="U304" s="33" t="n">
        <x:v>0.4381818181818181818181818182</x:v>
      </x:c>
      <x:c r="V304" s="33" t="n">
        <x:v>0.4381818181818181818181818182</x:v>
      </x:c>
      <x:c r="W304" s="33" t="n">
        <x:v>0.4381818181818181818181818182</x:v>
      </x:c>
      <x:c r="X304" s="33" t="n">
        <x:v>0.4381818181818181818181818182</x:v>
      </x:c>
      <x:c r="Y304" s="33" t="n">
        <x:v>0.4436363636363636363636363636</x:v>
      </x:c>
      <x:c r="Z304" s="33" t="n">
        <x:v>0.46</x:v>
      </x:c>
      <x:c r="AA304" s="33" t="n">
        <x:v>0.4818181818181818181818181818</x:v>
      </x:c>
      <x:c r="AB304" s="33" t="n">
        <x:v>0.5090909090909090909090909091</x:v>
      </x:c>
      <x:c r="AC304" s="33" t="n">
        <x:v>0.5236363636363636363636363636</x:v>
      </x:c>
      <x:c r="AD304" s="33" t="n">
        <x:v>0.5581818181818181818181818182</x:v>
      </x:c>
      <x:c r="AE304" s="33" t="n">
        <x:v>0.6236363636363636363636363636</x:v>
      </x:c>
      <x:c r="AF304" s="33" t="n">
        <x:v>0.6381818181818181818181818182</x:v>
      </x:c>
      <x:c r="AG304" s="33" t="n">
        <x:v>0.6363636363636363636363636364</x:v>
      </x:c>
      <x:c r="AH304" s="33" t="n">
        <x:v>0.6781818181818181818181818182</x:v>
      </x:c>
      <x:c r="AI304" s="24" t="n">
        <x:v>0.7036363636363636363636363636</x:v>
      </x:c>
      <x:c r="BC304" s="34" t="s"/>
      <x:c r="BD304" s="11" t="s">
        <x:v>248</x:v>
      </x:c>
      <x:c r="BE304" s="12" t="n">
        <x:f>=BO304</x:f>
      </x:c>
      <x:c r="BF304" s="12" t="n">
        <x:v>0.62</x:v>
      </x:c>
      <x:c r="BG304" s="12" t="n">
        <x:v>0.1963636363636363636363636364</x:v>
      </x:c>
      <x:c r="BH304" s="12" t="n">
        <x:v>0.1836363636363636363636363636</x:v>
      </x:c>
      <x:c r="BI304" s="12" t="n">
        <x:f>=BN304</x:f>
      </x:c>
      <x:c r="BJ304" s="13" t="n">
        <x:v>0</x:v>
      </x:c>
      <x:c r="BK304" s="31" t="n">
        <x:v>5427.70</x:v>
      </x:c>
      <x:c r="BL304" s="31" t="n">
        <x:v>-4854.6850</x:v>
      </x:c>
      <x:c r="BM304" s="31" t="n">
        <x:f>=BK304+BL304</x:f>
      </x:c>
      <x:c r="BN304" s="68" t="n">
        <x:f>=BM304/BK304</x:f>
      </x:c>
      <x:c r="BO304" s="68" t="n">
        <x:v>0.8163636363636363636363636364</x:v>
      </x:c>
      <x:c r="BP304" s="31" t="n">
        <x:v>4785.00</x:v>
      </x:c>
      <x:c r="BQ304" s="42" t="n">
        <x:v>101</x:v>
      </x:c>
      <x:c r="BR304" s="31" t="n">
        <x:v>878.70</x:v>
      </x:c>
      <x:c r="BT304" s="31" t="n">
        <x:v>7724.6378445406250000000000000</x:v>
      </x:c>
      <x:c r="BU304" s="31" t="n">
        <x:v>-4854.6850</x:v>
      </x:c>
      <x:c r="BV304" s="31" t="n">
        <x:f>=BT304+BU304</x:f>
      </x:c>
      <x:c r="BW304" s="68" t="n">
        <x:f>=BV304/BT304</x:f>
      </x:c>
      <x:c r="BY304" s="68" t="n">
        <x:f>=BO304</x:f>
      </x:c>
      <x:c r="BZ304" s="68" t="n">
        <x:f>=BF304</x:f>
      </x:c>
      <x:c r="CA304" s="68" t="n">
        <x:f>=BG304</x:f>
      </x:c>
      <x:c r="CB304" s="68" t="n">
        <x:f>=1 - BY304</x:f>
      </x:c>
      <x:c r="CD304" s="68" t="n">
        <x:f>=CA304/(1-BZ304)</x:f>
      </x:c>
    </x:row>
    <x:row r="305">
      <x:c r="A305" s="32" t="s">
        <x:v>578</x:v>
      </x:c>
      <x:c r="B305" t="s"/>
      <x:c r="C305" t="s">
        <x:v>579</x:v>
      </x:c>
      <x:c r="D305" t="s">
        <x:v>125</x:v>
      </x:c>
      <x:c r="E305" t="s">
        <x:v>109</x:v>
      </x:c>
      <x:c r="F305" t="n">
        <x:v>3231</x:v>
      </x:c>
      <x:c r="G305" s="33" t="n">
        <x:v>0.0114515629835964097802537914</x:v>
      </x:c>
      <x:c r="H305" s="33" t="n">
        <x:v>0.0374497059733828536056948313</x:v>
      </x:c>
      <x:c r="I305" s="33" t="n">
        <x:v>0.0810894459919529557412565769</x:v>
      </x:c>
      <x:c r="J305" s="33" t="n">
        <x:v>0.112349117920148560817084494</x:v>
      </x:c>
      <x:c r="K305" s="33" t="n">
        <x:v>0.1355617455896007428040854225</x:v>
      </x:c>
      <x:c r="L305" s="33" t="n">
        <x:v>0.1519653358093469514082327453</x:v>
      </x:c>
      <x:c r="M305" s="33" t="n">
        <x:v>0.1590838749613122872175796967</x:v>
      </x:c>
      <x:c r="N305" s="33" t="n">
        <x:v>0.1621788919839059114825131538</x:v>
      </x:c>
      <x:c r="O305" s="33" t="n">
        <x:v>0.1649644073042401733209532652</x:v>
      </x:c>
      <x:c r="P305" s="33" t="n">
        <x:v>0.1757969668833178582482203652</x:v>
      </x:c>
      <x:c r="Q305" s="33" t="n">
        <x:v>0.1795109873104302073661405138</x:v>
      </x:c>
      <x:c r="R305" s="33" t="n">
        <x:v>0.187867533271432992881460848</x:v>
      </x:c>
      <x:c r="S305" s="33" t="n">
        <x:v>0.2033426183844011142061281337</x:v>
      </x:c>
      <x:c r="T305" s="33" t="n">
        <x:v>0.2166511915815536985453419994</x:v>
      </x:c>
      <x:c r="U305" s="33" t="n">
        <x:v>0.2228412256267409470752089136</x:v>
      </x:c>
      <x:c r="V305" s="33" t="n">
        <x:v>0.2265552460538532961931290622</x:v>
      </x:c>
      <x:c r="W305" s="33" t="n">
        <x:v>0.2324357783967811822965026308</x:v>
      </x:c>
      <x:c r="X305" s="33" t="n">
        <x:v>0.2370783039306716186939028165</x:v>
      </x:c>
      <x:c r="Y305" s="33" t="n">
        <x:v>0.2401733209532652429588362736</x:v>
      </x:c>
      <x:c r="Z305" s="33" t="n">
        <x:v>0.2370783039306716186939028165</x:v>
      </x:c>
      <x:c r="AA305" s="33" t="n">
        <x:v>0.2376973073351903435468895079</x:v>
      </x:c>
      <x:c r="AB305" s="33" t="n">
        <x:v>0.2373878056329309811203961622</x:v>
      </x:c>
      <x:c r="AC305" s="33" t="n">
        <x:v>0.2376973073351903435468895079</x:v>
      </x:c>
      <x:c r="AD305" s="33" t="n">
        <x:v>0.2401733209532652429588362736</x:v>
      </x:c>
      <x:c r="AE305" s="33" t="n">
        <x:v>0.2401733209532652429588362736</x:v>
      </x:c>
      <x:c r="AF305" s="33" t="n">
        <x:v>0.2401733209532652429588362736</x:v>
      </x:c>
      <x:c r="AG305" s="33" t="n">
        <x:v>0.2423398328690807799442896936</x:v>
      </x:c>
      <x:c r="AH305" s="33" t="n">
        <x:v>0.2463633549984524914887031879</x:v>
      </x:c>
      <x:c r="BC305" s="34" t="s"/>
      <x:c r="BD305" s="11" t="s">
        <x:v>284</x:v>
      </x:c>
      <x:c r="BE305" s="12" t="n">
        <x:f>=BO305</x:f>
      </x:c>
      <x:c r="BF305" s="12" t="n">
        <x:v>0.7746827607551841535128443206</x:v>
      </x:c>
      <x:c r="BG305" s="12" t="n">
        <x:v>0.1467038068709377901578458682</x:v>
      </x:c>
      <x:c r="BH305" s="12" t="n">
        <x:v>0.0786134323738780563293098112</x:v>
      </x:c>
      <x:c r="BI305" s="12" t="n">
        <x:f>=BN305</x:f>
      </x:c>
      <x:c r="BJ305" s="13" t="n">
        <x:v>0</x:v>
      </x:c>
      <x:c r="BK305" s="31" t="n">
        <x:v>26651.99</x:v>
      </x:c>
      <x:c r="BL305" s="31" t="n">
        <x:v>-18933.6600</x:v>
      </x:c>
      <x:c r="BM305" s="31" t="n">
        <x:f>=BK305+BL305</x:f>
      </x:c>
      <x:c r="BN305" s="68" t="n">
        <x:f>=BM305/BK305</x:f>
      </x:c>
      <x:c r="BO305" s="68" t="n">
        <x:v>0.9213865676261219436706901888</x:v>
      </x:c>
      <x:c r="BP305" s="31" t="n">
        <x:v>16962.75</x:v>
      </x:c>
      <x:c r="BQ305" s="42" t="n">
        <x:v>254</x:v>
      </x:c>
      <x:c r="BR305" s="31" t="n">
        <x:v>1333.50</x:v>
      </x:c>
      <x:c r="BT305" s="31" t="n">
        <x:v>35993.6201512443125000000</x:v>
      </x:c>
      <x:c r="BU305" s="31" t="n">
        <x:v>-18933.6600</x:v>
      </x:c>
      <x:c r="BV305" s="31" t="n">
        <x:f>=BT305+BU305</x:f>
      </x:c>
      <x:c r="BW305" s="68" t="n">
        <x:f>=BV305/BT305</x:f>
      </x:c>
      <x:c r="BY305" s="68" t="n">
        <x:f>=BO305</x:f>
      </x:c>
      <x:c r="BZ305" s="68" t="n">
        <x:f>=BF305</x:f>
      </x:c>
      <x:c r="CA305" s="68" t="n">
        <x:f>=BG305</x:f>
      </x:c>
      <x:c r="CB305" s="68" t="n">
        <x:f>=1 - BY305</x:f>
      </x:c>
      <x:c r="CD305" s="68" t="n">
        <x:f>=CA305/(1-BZ305)</x:f>
      </x:c>
    </x:row>
    <x:row r="306">
      <x:c r="A306" s="32" t="s">
        <x:v>580</x:v>
      </x:c>
      <x:c r="B306" t="s"/>
      <x:c r="C306" t="s">
        <x:v>581</x:v>
      </x:c>
      <x:c r="D306" t="s">
        <x:v>96</x:v>
      </x:c>
      <x:c r="E306" t="s">
        <x:v>109</x:v>
      </x:c>
      <x:c r="F306" t="n">
        <x:v>490</x:v>
      </x:c>
      <x:c r="G306" s="33" t="n">
        <x:v>0.1346938775510204081632653061</x:v>
      </x:c>
      <x:c r="H306" s="33" t="n">
        <x:v>0.4857142857142857142857142857</x:v>
      </x:c>
      <x:c r="I306" s="24" t="n">
        <x:v>0.7632653061224489795918367347</x:v>
      </x:c>
      <x:c r="J306" s="33" t="n">
        <x:v>0.8326530612244897959183673469</x:v>
      </x:c>
      <x:c r="K306" s="33" t="n">
        <x:v>0.8836734693877551020408163265</x:v>
      </x:c>
      <x:c r="L306" s="33" t="n">
        <x:v>0.8938775510204081632653061224</x:v>
      </x:c>
      <x:c r="M306" s="33" t="n">
        <x:v>0.9183673469387755102040816327</x:v>
      </x:c>
      <x:c r="N306" s="33" t="n">
        <x:v>0.9244897959183673469387755102</x:v>
      </x:c>
      <x:c r="O306" s="33" t="n">
        <x:v>0.9265306122448979591836734694</x:v>
      </x:c>
      <x:c r="P306" s="33" t="n">
        <x:v>0.9163265306122448979591836735</x:v>
      </x:c>
      <x:c r="Q306" s="33" t="n">
        <x:v>0.9367346938775510204081632653</x:v>
      </x:c>
      <x:c r="R306" s="33" t="n">
        <x:v>0.9387755102040816326530612245</x:v>
      </x:c>
      <x:c r="S306" s="33" t="n">
        <x:v>0.9387755102040816326530612245</x:v>
      </x:c>
      <x:c r="T306" s="33" t="n">
        <x:v>0.944897959183673469387755102</x:v>
      </x:c>
      <x:c r="U306" s="33" t="n">
        <x:v>0.9469387755102040816326530612</x:v>
      </x:c>
      <x:c r="V306" s="33" t="n">
        <x:v>0.944897959183673469387755102</x:v>
      </x:c>
      <x:c r="W306" s="33" t="n">
        <x:v>0.9428571428571428571428571429</x:v>
      </x:c>
      <x:c r="X306" s="33" t="n">
        <x:v>0.9469387755102040816326530612</x:v>
      </x:c>
      <x:c r="Y306" s="33" t="n">
        <x:v>0.9489795918367346938775510204</x:v>
      </x:c>
      <x:c r="Z306" s="33" t="n">
        <x:v>0.9489795918367346938775510204</x:v>
      </x:c>
      <x:c r="AA306" s="33" t="n">
        <x:v>0.9510204081632653061224489796</x:v>
      </x:c>
      <x:c r="AB306" s="33" t="n">
        <x:v>0.955102040816326530612244898</x:v>
      </x:c>
      <x:c r="AC306" s="33" t="n">
        <x:v>0.9571428571428571428571428571</x:v>
      </x:c>
      <x:c r="AD306" s="33" t="n">
        <x:v>0.9571428571428571428571428571</x:v>
      </x:c>
      <x:c r="AE306" s="33" t="n">
        <x:v>0.9510204081632653061224489796</x:v>
      </x:c>
      <x:c r="AF306" s="23" t="n">
        <x:v>0.9530612244897959183673469388</x:v>
      </x:c>
      <x:c r="BC306" s="34" t="s"/>
      <x:c r="BD306" s="11" t="s">
        <x:v>147</x:v>
      </x:c>
      <x:c r="BE306" s="12" t="n">
        <x:f>=BO306</x:f>
      </x:c>
      <x:c r="BF306" s="12" t="n">
        <x:v>0.9510204081632653061224489796</x:v>
      </x:c>
      <x:c r="BG306" s="12" t="n">
        <x:v>0.0081632653061224489795918367</x:v>
      </x:c>
      <x:c r="BH306" s="12" t="n">
        <x:v>0.0408163265306122448979591837</x:v>
      </x:c>
      <x:c r="BI306" s="12" t="n">
        <x:f>=BN306</x:f>
      </x:c>
      <x:c r="BJ306" s="13" t="n">
        <x:v>0</x:v>
      </x:c>
      <x:c r="BK306" s="31" t="n">
        <x:v>5209.22</x:v>
      </x:c>
      <x:c r="BL306" s="31" t="n">
        <x:v>-3498.7960</x:v>
      </x:c>
      <x:c r="BM306" s="31" t="n">
        <x:f>=BK306+BL306</x:f>
      </x:c>
      <x:c r="BN306" s="68" t="n">
        <x:f>=BM306/BK306</x:f>
      </x:c>
      <x:c r="BO306" s="68" t="n">
        <x:v>0.9591836734693877551020408163</x:v>
      </x:c>
      <x:c r="BP306" s="31" t="n">
        <x:v>3332.00</x:v>
      </x:c>
      <x:c r="BQ306" s="42" t="n">
        <x:v>20</x:v>
      </x:c>
      <x:c r="BR306" s="31" t="n">
        <x:v>136.00</x:v>
      </x:c>
      <x:c r="BT306" s="31" t="n">
        <x:v>6940.7577597306250000000000000</x:v>
      </x:c>
      <x:c r="BU306" s="31" t="n">
        <x:v>-3498.7960</x:v>
      </x:c>
      <x:c r="BV306" s="31" t="n">
        <x:f>=BT306+BU306</x:f>
      </x:c>
      <x:c r="BW306" s="68" t="n">
        <x:f>=BV306/BT306</x:f>
      </x:c>
      <x:c r="BY306" s="68" t="n">
        <x:f>=BO306</x:f>
      </x:c>
      <x:c r="BZ306" s="68" t="n">
        <x:f>=BF306</x:f>
      </x:c>
      <x:c r="CA306" s="68" t="n">
        <x:f>=BG306</x:f>
      </x:c>
      <x:c r="CB306" s="68" t="n">
        <x:f>=1 - BY306</x:f>
      </x:c>
      <x:c r="CD306" s="68" t="n">
        <x:f>=CA306/(1-BZ306)</x:f>
      </x:c>
    </x:row>
    <x:row r="307">
      <x:c r="A307" s="32" t="s">
        <x:v>582</x:v>
      </x:c>
      <x:c r="B307" t="s"/>
      <x:c r="C307" t="s">
        <x:v>583</x:v>
      </x:c>
      <x:c r="D307" t="s">
        <x:v>125</x:v>
      </x:c>
      <x:c r="E307" t="s">
        <x:v>109</x:v>
      </x:c>
      <x:c r="F307" t="n">
        <x:v>1013</x:v>
      </x:c>
      <x:c r="G307" s="33" t="n">
        <x:v>0.0019743336623889437314906219</x:v>
      </x:c>
      <x:c r="H307" s="33" t="n">
        <x:v>0.0957551826258637709772951629</x:v>
      </x:c>
      <x:c r="I307" s="33" t="n">
        <x:v>0.1924975320829220138203356367</x:v>
      </x:c>
      <x:c r="J307" s="33" t="n">
        <x:v>0.2369200394866732477788746298</x:v>
      </x:c>
      <x:c r="K307" s="33" t="n">
        <x:v>0.2458045409674234945705824284</x:v>
      </x:c>
      <x:c r="L307" s="33" t="n">
        <x:v>0.2606120434353405725567620928</x:v>
      </x:c>
      <x:c r="M307" s="33" t="n">
        <x:v>0.2675222112537018756169792695</x:v>
      </x:c>
      <x:c r="N307" s="33" t="n">
        <x:v>0.2843040473840078973346495558</x:v>
      </x:c>
      <x:c r="O307" s="33" t="n">
        <x:v>0.2941757156959526159921026654</x:v>
      </x:c>
      <x:c r="P307" s="33" t="n">
        <x:v>0.3070088845014807502467917078</x:v>
      </x:c>
      <x:c r="Q307" s="33" t="n">
        <x:v>0.3139190523198420533070088845</x:v>
      </x:c>
      <x:c r="R307" s="33" t="n">
        <x:v>0.3228035538005923000987166831</x:v>
      </x:c>
      <x:c r="S307" s="33" t="n">
        <x:v>0.3316880552813425468904244817</x:v>
      </x:c>
      <x:c r="T307" s="33" t="n">
        <x:v>0.3395853899308983218163869694</x:v>
      </x:c>
      <x:c r="U307" s="33" t="n">
        <x:v>0.349457058242843040473840079</x:v>
      </x:c>
      <x:c r="V307" s="33" t="n">
        <x:v>0.3543928923988153998025666338</x:v>
      </x:c>
      <x:c r="W307" s="33" t="n">
        <x:v>0.3543928923988153998025666338</x:v>
      </x:c>
      <x:c r="X307" s="33" t="n">
        <x:v>0.3692003948667324777887462981</x:v>
      </x:c>
      <x:c r="Y307" s="33" t="n">
        <x:v>0.3761105626850937808489634748</x:v>
      </x:c>
      <x:c r="Z307" s="33" t="n">
        <x:v>0.3869693978282329713721618954</x:v>
      </x:c>
      <x:c r="AA307" s="33" t="n">
        <x:v>0.3998025666337611056268509378</x:v>
      </x:c>
      <x:c r="AB307" s="33" t="n">
        <x:v>0.4155972359328726554787759131</x:v>
      </x:c>
      <x:c r="AC307" s="33" t="n">
        <x:v>0.4205330700888450148075024679</x:v>
      </x:c>
      <x:c r="AD307" s="33" t="n">
        <x:v>0.4274432379072063178677196446</x:v>
      </x:c>
      <x:c r="AE307" s="33" t="n">
        <x:v>0.4373149062191510365251727542</x:v>
      </x:c>
      <x:c r="AF307" s="23" t="n">
        <x:v>0.4619940769990128331688055281</x:v>
      </x:c>
      <x:c r="BC307" s="34" t="s"/>
      <x:c r="BD307" s="11" t="s">
        <x:v>147</x:v>
      </x:c>
      <x:c r="BE307" s="12" t="n">
        <x:f>=BO307</x:f>
      </x:c>
      <x:c r="BF307" s="12" t="n">
        <x:v>0.5745310957551826258637709773</x:v>
      </x:c>
      <x:c r="BG307" s="12" t="n">
        <x:v>0.2418558736426456071076011846</x:v>
      </x:c>
      <x:c r="BH307" s="12" t="n">
        <x:v>0.1836130306021717670286278381</x:v>
      </x:c>
      <x:c r="BI307" s="12" t="n">
        <x:f>=BN307</x:f>
      </x:c>
      <x:c r="BJ307" s="13" t="n">
        <x:v>0</x:v>
      </x:c>
      <x:c r="BK307" s="31" t="n">
        <x:v>10483.45</x:v>
      </x:c>
      <x:c r="BL307" s="31" t="n">
        <x:v>-9371.8708</x:v>
      </x:c>
      <x:c r="BM307" s="31" t="n">
        <x:f>=BK307+BL307</x:f>
      </x:c>
      <x:c r="BN307" s="68" t="n">
        <x:f>=BM307/BK307</x:f>
      </x:c>
      <x:c r="BO307" s="68" t="n">
        <x:v>0.8163869693978282329713721619</x:v>
      </x:c>
      <x:c r="BP307" s="31" t="n">
        <x:v>9319.60</x:v>
      </x:c>
      <x:c r="BQ307" s="42" t="n">
        <x:v>186</x:v>
      </x:c>
      <x:c r="BR307" s="31" t="n">
        <x:v>1711.20</x:v>
      </x:c>
      <x:c r="BT307" s="31" t="n">
        <x:v>15039.418183395125000000000000</x:v>
      </x:c>
      <x:c r="BU307" s="31" t="n">
        <x:v>-9371.8708</x:v>
      </x:c>
      <x:c r="BV307" s="31" t="n">
        <x:f>=BT307+BU307</x:f>
      </x:c>
      <x:c r="BW307" s="68" t="n">
        <x:f>=BV307/BT307</x:f>
      </x:c>
      <x:c r="BY307" s="68" t="n">
        <x:f>=BO307</x:f>
      </x:c>
      <x:c r="BZ307" s="68" t="n">
        <x:f>=BF307</x:f>
      </x:c>
      <x:c r="CA307" s="68" t="n">
        <x:f>=BG307</x:f>
      </x:c>
      <x:c r="CB307" s="68" t="n">
        <x:f>=1 - BY307</x:f>
      </x:c>
      <x:c r="CD307" s="68" t="n">
        <x:f>=CA307/(1-BZ307)</x:f>
      </x:c>
    </x:row>
    <x:row r="308">
      <x:c r="A308" s="32" t="s">
        <x:v>584</x:v>
      </x:c>
      <x:c r="B308" t="s"/>
      <x:c r="C308" t="s">
        <x:v>585</x:v>
      </x:c>
      <x:c r="D308" t="s">
        <x:v>96</x:v>
      </x:c>
      <x:c r="E308" t="s">
        <x:v>109</x:v>
      </x:c>
      <x:c r="F308" t="n">
        <x:v>2462</x:v>
      </x:c>
      <x:c r="G308" s="33" t="n">
        <x:v>0.0052802599512591389114541024</x:v>
      </x:c>
      <x:c r="H308" s="33" t="n">
        <x:v>0.0909829406986190089358245329</x:v>
      </x:c>
      <x:c r="I308" s="33" t="n">
        <x:v>0.2416734362307067424857839155</x:v>
      </x:c>
      <x:c r="J308" s="33" t="n">
        <x:v>0.3740861088545897644191714054</x:v>
      </x:c>
      <x:c r="K308" s="33" t="n">
        <x:v>0.4569455727051177904142973193</x:v>
      </x:c>
      <x:c r="L308" s="33" t="n">
        <x:v>0.5369618196588139723801787165</x:v>
      </x:c>
      <x:c r="M308" s="33" t="n">
        <x:v>0.5808285946385052802599512591</x:v>
      </x:c>
      <x:c r="N308" s="33" t="n">
        <x:v>0.6181965881397238017871649066</x:v>
      </x:c>
      <x:c r="O308" s="33" t="n">
        <x:v>0.6515028432168968318440292445</x:v>
      </x:c>
      <x:c r="P308" s="33" t="n">
        <x:v>0.6665312753858651502843216897</x:v>
      </x:c>
      <x:c r="Q308" s="33" t="n">
        <x:v>0.6754670999187652315190901706</x:v>
      </x:c>
      <x:c r="R308" s="33" t="n">
        <x:v>0.6795288383428107229894394801</x:v>
      </x:c>
      <x:c r="S308" s="33" t="n">
        <x:v>0.6856214459788789601949634444</x:v>
      </x:c>
      <x:c r="T308" s="33" t="n">
        <x:v>0.6852152721364744110479285134</x:v>
      </x:c>
      <x:c r="U308" s="33" t="n">
        <x:v>0.6852152721364744110479285134</x:v>
      </x:c>
      <x:c r="V308" s="33" t="n">
        <x:v>0.6835905767668562144597887896</x:v>
      </x:c>
      <x:c r="W308" s="33" t="n">
        <x:v>0.6872461413484971567831031682</x:v>
      </x:c>
      <x:c r="X308" s="33" t="n">
        <x:v>0.6949634443541835905767668562</x:v>
      </x:c>
      <x:c r="Y308" s="33" t="n">
        <x:v>0.6982128350934199837530463038</x:v>
      </x:c>
      <x:c r="Z308" s="24" t="n">
        <x:v>0.7026807473598700243704305443</x:v>
      </x:c>
      <x:c r="AA308" s="33" t="n">
        <x:v>0.7071486596263200649878147847</x:v>
      </x:c>
      <x:c r="AB308" s="33" t="n">
        <x:v>0.7083671811535337124289195776</x:v>
      </x:c>
      <x:c r="AC308" s="33" t="n">
        <x:v>0.7108042242079610073111291633</x:v>
      </x:c>
      <x:c r="AD308" s="33" t="n">
        <x:v>0.7136474411047928513403736799</x:v>
      </x:c>
      <x:c r="AE308" s="23" t="n">
        <x:v>0.7217709179528838342810722989</x:v>
      </x:c>
      <x:c r="BC308" s="34" t="s"/>
      <x:c r="BD308" s="11" t="s">
        <x:v>188</x:v>
      </x:c>
      <x:c r="BE308" s="12" t="n">
        <x:f>=BO308</x:f>
      </x:c>
      <x:c r="BF308" s="12" t="n">
        <x:v>0.7351746547522339561332250203</x:v>
      </x:c>
      <x:c r="BG308" s="12" t="n">
        <x:v>0.1730300568643379366368805849</x:v>
      </x:c>
      <x:c r="BH308" s="12" t="n">
        <x:v>0.0917952883834281072298943948</x:v>
      </x:c>
      <x:c r="BI308" s="12" t="n">
        <x:f>=BN308</x:f>
      </x:c>
      <x:c r="BJ308" s="13" t="n">
        <x:v>0</x:v>
      </x:c>
      <x:c r="BK308" s="31" t="n">
        <x:v>24023.64</x:v>
      </x:c>
      <x:c r="BL308" s="31" t="n">
        <x:v>-17493.0024</x:v>
      </x:c>
      <x:c r="BM308" s="31" t="n">
        <x:f>=BK308+BL308</x:f>
      </x:c>
      <x:c r="BN308" s="68" t="n">
        <x:f>=BM308/BK308</x:f>
      </x:c>
      <x:c r="BO308" s="68" t="n">
        <x:v>0.9082047116165718927701056052</x:v>
      </x:c>
      <x:c r="BP308" s="31" t="n">
        <x:v>16741.60</x:v>
      </x:c>
      <x:c r="BQ308" s="42" t="n">
        <x:v>226</x:v>
      </x:c>
      <x:c r="BR308" s="31" t="n">
        <x:v>1536.80</x:v>
      </x:c>
      <x:c r="BT308" s="31" t="n">
        <x:v>32723.733805013875000000000000</x:v>
      </x:c>
      <x:c r="BU308" s="31" t="n">
        <x:v>-17493.0024</x:v>
      </x:c>
      <x:c r="BV308" s="31" t="n">
        <x:f>=BT308+BU308</x:f>
      </x:c>
      <x:c r="BW308" s="68" t="n">
        <x:f>=BV308/BT308</x:f>
      </x:c>
      <x:c r="BY308" s="68" t="n">
        <x:f>=BO308</x:f>
      </x:c>
      <x:c r="BZ308" s="68" t="n">
        <x:f>=BF308</x:f>
      </x:c>
      <x:c r="CA308" s="68" t="n">
        <x:f>=BG308</x:f>
      </x:c>
      <x:c r="CB308" s="68" t="n">
        <x:f>=1 - BY308</x:f>
      </x:c>
      <x:c r="CD308" s="68" t="n">
        <x:f>=CA308/(1-BZ308)</x:f>
      </x:c>
    </x:row>
    <x:row r="309">
      <x:c r="A309" s="32" t="s">
        <x:v>586</x:v>
      </x:c>
      <x:c r="B309" t="s"/>
      <x:c r="C309" t="s">
        <x:v>587</x:v>
      </x:c>
      <x:c r="D309" t="s">
        <x:v>125</x:v>
      </x:c>
      <x:c r="E309" t="s">
        <x:v>109</x:v>
      </x:c>
      <x:c r="F309" t="n">
        <x:v>459</x:v>
      </x:c>
      <x:c r="G309" s="33" t="n">
        <x:v>0.0566448801742919389978213508</x:v>
      </x:c>
      <x:c r="H309" s="33" t="n">
        <x:v>0.3028322440087145969498910675</x:v>
      </x:c>
      <x:c r="I309" s="33" t="n">
        <x:v>0.4618736383442265795206971678</x:v>
      </x:c>
      <x:c r="J309" s="33" t="n">
        <x:v>0.5729847494553376906318082789</x:v>
      </x:c>
      <x:c r="K309" s="33" t="n">
        <x:v>0.6514161220043572984749455338</x:v>
      </x:c>
      <x:c r="L309" s="24" t="n">
        <x:v>0.7254901960784313725490196078</x:v>
      </x:c>
      <x:c r="M309" s="33" t="n">
        <x:v>0.7690631808278867102396514161</x:v>
      </x:c>
      <x:c r="N309" s="33" t="n">
        <x:v>0.7712418300653594771241830065</x:v>
      </x:c>
      <x:c r="O309" s="33" t="n">
        <x:v>0.7363834422657952069716775599</x:v>
      </x:c>
      <x:c r="P309" s="33" t="n">
        <x:v>0.721132897603485838779956427</x:v>
      </x:c>
      <x:c r="Q309" s="33" t="n">
        <x:v>0.694989106753812636165577342</x:v>
      </x:c>
      <x:c r="R309" s="33" t="n">
        <x:v>0.6993464052287581699346405229</x:v>
      </x:c>
      <x:c r="S309" s="33" t="n">
        <x:v>0.721132897603485838779956427</x:v>
      </x:c>
      <x:c r="T309" s="33" t="n">
        <x:v>0.7581699346405228758169934641</x:v>
      </x:c>
      <x:c r="U309" s="33" t="n">
        <x:v>0.7276688453159041394335511983</x:v>
      </x:c>
      <x:c r="V309" s="33" t="n">
        <x:v>0.7450980392156862745098039216</x:v>
      </x:c>
      <x:c r="W309" s="33" t="n">
        <x:v>0.7734204793028322440087145969</x:v>
      </x:c>
      <x:c r="X309" s="33" t="n">
        <x:v>0.7821350762527233115468409586</x:v>
      </x:c>
      <x:c r="Y309" s="33" t="n">
        <x:v>0.7995642701525054466230936819</x:v>
      </x:c>
      <x:c r="Z309" s="33" t="n">
        <x:v>0.8017429193899782135076252723</x:v>
      </x:c>
      <x:c r="AA309" s="33" t="n">
        <x:v>0.8017429193899782135076252723</x:v>
      </x:c>
      <x:c r="AB309" s="33" t="n">
        <x:v>0.8213507625272331154684095861</x:v>
      </x:c>
      <x:c r="AC309" s="33" t="n">
        <x:v>0.8409586056644880174291938998</x:v>
      </x:c>
      <x:c r="AD309" s="23" t="n">
        <x:v>0.8453159041394335511982570806</x:v>
      </x:c>
      <x:c r="BC309" s="34" t="s"/>
      <x:c r="BD309" s="11" t="s">
        <x:v>191</x:v>
      </x:c>
      <x:c r="BE309" s="12" t="n">
        <x:f>=BO309</x:f>
      </x:c>
      <x:c r="BF309" s="12" t="n">
        <x:v>0.8126361655773420479302832244</x:v>
      </x:c>
      <x:c r="BG309" s="12" t="n">
        <x:v>0.100217864923747276688453159</x:v>
      </x:c>
      <x:c r="BH309" s="12" t="n">
        <x:v>0.0871459694989106753812636166</x:v>
      </x:c>
      <x:c r="BI309" s="12" t="n">
        <x:f>=BN309</x:f>
      </x:c>
      <x:c r="BJ309" s="13" t="n">
        <x:v>0</x:v>
      </x:c>
      <x:c r="BK309" s="31" t="n">
        <x:v>6314.56</x:v>
      </x:c>
      <x:c r="BL309" s="31" t="n">
        <x:v>-4093.1784</x:v>
      </x:c>
      <x:c r="BM309" s="31" t="n">
        <x:f>=BK309+BL309</x:f>
      </x:c>
      <x:c r="BN309" s="68" t="n">
        <x:f>=BM309/BK309</x:f>
      </x:c>
      <x:c r="BO309" s="68" t="n">
        <x:v>0.9128540305010893246187363834</x:v>
      </x:c>
      <x:c r="BP309" s="31" t="n">
        <x:v>3956.58</x:v>
      </x:c>
      <x:c r="BQ309" s="42" t="n">
        <x:v>40</x:v>
      </x:c>
      <x:c r="BR309" s="31" t="n">
        <x:v>344.80</x:v>
      </x:c>
      <x:c r="BT309" s="31" t="n">
        <x:v>8378.9128096528750000000</x:v>
      </x:c>
      <x:c r="BU309" s="31" t="n">
        <x:v>-4093.1784</x:v>
      </x:c>
      <x:c r="BV309" s="31" t="n">
        <x:f>=BT309+BU309</x:f>
      </x:c>
      <x:c r="BW309" s="68" t="n">
        <x:f>=BV309/BT309</x:f>
      </x:c>
      <x:c r="BY309" s="68" t="n">
        <x:f>=BO309</x:f>
      </x:c>
      <x:c r="BZ309" s="68" t="n">
        <x:f>=BF309</x:f>
      </x:c>
      <x:c r="CA309" s="68" t="n">
        <x:f>=BG309</x:f>
      </x:c>
      <x:c r="CB309" s="68" t="n">
        <x:f>=1 - BY309</x:f>
      </x:c>
      <x:c r="CD309" s="68" t="n">
        <x:f>=CA309/(1-BZ309)</x:f>
      </x:c>
    </x:row>
    <x:row r="310">
      <x:c r="A310" s="32" t="s">
        <x:v>588</x:v>
      </x:c>
      <x:c r="B310" t="s"/>
      <x:c r="C310" t="s">
        <x:v>589</x:v>
      </x:c>
      <x:c r="D310" t="s">
        <x:v>108</x:v>
      </x:c>
      <x:c r="E310" t="s">
        <x:v>109</x:v>
      </x:c>
      <x:c r="F310" t="n">
        <x:v>270</x:v>
      </x:c>
      <x:c r="G310" s="33" t="n">
        <x:v>0.1148148148148148148148148148</x:v>
      </x:c>
      <x:c r="H310" s="33" t="n">
        <x:v>0.2037037037037037037037037037</x:v>
      </x:c>
      <x:c r="I310" s="33" t="n">
        <x:v>0.3185185185185185185185185185</x:v>
      </x:c>
      <x:c r="J310" s="33" t="n">
        <x:v>0.4111111111111111111111111111</x:v>
      </x:c>
      <x:c r="K310" s="33" t="n">
        <x:v>0.5</x:v>
      </x:c>
      <x:c r="L310" s="33" t="n">
        <x:v>0.5777777777777777777777777778</x:v>
      </x:c>
      <x:c r="M310" s="33" t="n">
        <x:v>0.662962962962962962962962963</x:v>
      </x:c>
      <x:c r="N310" s="24" t="n">
        <x:v>0.7185185185185185185185185185</x:v>
      </x:c>
      <x:c r="O310" s="33" t="n">
        <x:v>0.8481481481481481481481481481</x:v>
      </x:c>
      <x:c r="P310" s="33" t="n">
        <x:v>0.8333333333333333333333333333</x:v>
      </x:c>
      <x:c r="Q310" s="33" t="n">
        <x:v>0.8296296296296296296296296296</x:v>
      </x:c>
      <x:c r="R310" s="33" t="n">
        <x:v>0.8518518518518518518518518519</x:v>
      </x:c>
      <x:c r="S310" s="33" t="n">
        <x:v>0.8740740740740740740740740741</x:v>
      </x:c>
      <x:c r="T310" s="33" t="n">
        <x:v>0.8666666666666666666666666667</x:v>
      </x:c>
      <x:c r="U310" s="33" t="n">
        <x:v>0.8518518518518518518518518519</x:v>
      </x:c>
      <x:c r="V310" s="33" t="n">
        <x:v>0.8555555555555555555555555556</x:v>
      </x:c>
      <x:c r="W310" s="33" t="n">
        <x:v>0.8592592592592592592592592593</x:v>
      </x:c>
      <x:c r="X310" s="33" t="n">
        <x:v>0.8925925925925925925925925926</x:v>
      </x:c>
      <x:c r="Y310" s="33" t="n">
        <x:v>0.9074074074074074074074074074</x:v>
      </x:c>
      <x:c r="Z310" s="33" t="n">
        <x:v>0.9111111111111111111111111111</x:v>
      </x:c>
      <x:c r="AA310" s="33" t="n">
        <x:v>0.9185185185185185185185185185</x:v>
      </x:c>
      <x:c r="AB310" s="33" t="n">
        <x:v>0.9333333333333333333333333333</x:v>
      </x:c>
      <x:c r="AC310" s="33" t="n">
        <x:v>0.9259259259259259259259259259</x:v>
      </x:c>
      <x:c r="BC310" s="34" t="s"/>
      <x:c r="BD310" s="11" t="s">
        <x:v>196</x:v>
      </x:c>
      <x:c r="BE310" s="12" t="n">
        <x:f>=BO310</x:f>
      </x:c>
      <x:c r="BF310" s="12" t="n">
        <x:v>0.9185185185185185185185185185</x:v>
      </x:c>
      <x:c r="BG310" s="12" t="n">
        <x:v>0.0148148148148148148148148148</x:v>
      </x:c>
      <x:c r="BH310" s="12" t="n">
        <x:v>0.0666666666666666666666666667</x:v>
      </x:c>
      <x:c r="BI310" s="12" t="n">
        <x:f>=BN310</x:f>
      </x:c>
      <x:c r="BJ310" s="13" t="n">
        <x:v>0</x:v>
      </x:c>
      <x:c r="BK310" s="31" t="n">
        <x:v>3662.49</x:v>
      </x:c>
      <x:c r="BL310" s="31" t="n">
        <x:v>-2435.83914959972230894200</x:v>
      </x:c>
      <x:c r="BM310" s="31" t="n">
        <x:f>=BK310+BL310</x:f>
      </x:c>
      <x:c r="BN310" s="68" t="n">
        <x:f>=BM310/BK310</x:f>
      </x:c>
      <x:c r="BO310" s="68" t="n">
        <x:v>0.9333333333333333333333333333</x:v>
      </x:c>
      <x:c r="BP310" s="31" t="n">
        <x:v>2465.163040824455988600</x:v>
      </x:c>
      <x:c r="BQ310" s="42" t="n">
        <x:v>18</x:v>
      </x:c>
      <x:c r="BR310" s="31" t="n">
        <x:v>164.344202721630399240</x:v>
      </x:c>
      <x:c r="BT310" s="31" t="n">
        <x:v>4876.8151821487500000000</x:v>
      </x:c>
      <x:c r="BU310" s="31" t="n">
        <x:v>-2435.83914959972230894200</x:v>
      </x:c>
      <x:c r="BV310" s="31" t="n">
        <x:f>=BT310+BU310</x:f>
      </x:c>
      <x:c r="BW310" s="68" t="n">
        <x:f>=BV310/BT310</x:f>
      </x:c>
      <x:c r="BY310" s="68" t="n">
        <x:f>=BO310</x:f>
      </x:c>
      <x:c r="BZ310" s="68" t="n">
        <x:f>=BF310</x:f>
      </x:c>
      <x:c r="CA310" s="68" t="n">
        <x:f>=BG310</x:f>
      </x:c>
      <x:c r="CB310" s="68" t="n">
        <x:f>=1 - BY310</x:f>
      </x:c>
      <x:c r="CD310" s="68" t="n">
        <x:f>=CA310/(1-BZ310)</x:f>
      </x:c>
    </x:row>
    <x:row r="311">
      <x:c r="A311" s="32" t="s">
        <x:v>590</x:v>
      </x:c>
      <x:c r="B311" t="s"/>
      <x:c r="C311" t="s">
        <x:v>591</x:v>
      </x:c>
      <x:c r="D311" t="s">
        <x:v>108</x:v>
      </x:c>
      <x:c r="E311" t="s">
        <x:v>109</x:v>
      </x:c>
      <x:c r="F311" t="n">
        <x:v>277</x:v>
      </x:c>
      <x:c r="G311" s="33" t="n">
        <x:v>0.1913357400722021660649819495</x:v>
      </x:c>
      <x:c r="H311" s="33" t="n">
        <x:v>0.3537906137184115523465703971</x:v>
      </x:c>
      <x:c r="I311" s="33" t="n">
        <x:v>0.6642599277978339350180505415</x:v>
      </x:c>
      <x:c r="J311" s="24" t="n">
        <x:v>0.776173285198555956678700361</x:v>
      </x:c>
      <x:c r="K311" s="33" t="n">
        <x:v>0.8303249097472924187725631769</x:v>
      </x:c>
      <x:c r="L311" s="33" t="n">
        <x:v>0.8592057761732851985559566787</x:v>
      </x:c>
      <x:c r="M311" s="33" t="n">
        <x:v>0.8231046931407942238267148014</x:v>
      </x:c>
      <x:c r="N311" s="33" t="n">
        <x:v>0.8880866425992779783393501805</x:v>
      </x:c>
      <x:c r="O311" s="33" t="n">
        <x:v>0.9241877256317689530685920578</x:v>
      </x:c>
      <x:c r="P311" s="33" t="n">
        <x:v>0.9133574007220216606498194946</x:v>
      </x:c>
      <x:c r="Q311" s="33" t="n">
        <x:v>0.9097472924187725631768953069</x:v>
      </x:c>
      <x:c r="R311" s="33" t="n">
        <x:v>0.9133574007220216606498194946</x:v>
      </x:c>
      <x:c r="S311" s="33" t="n">
        <x:v>0.9133574007220216606498194946</x:v>
      </x:c>
      <x:c r="T311" s="33" t="n">
        <x:v>0.9061371841155234657039711191</x:v>
      </x:c>
      <x:c r="U311" s="33" t="n">
        <x:v>0.9097472924187725631768953069</x:v>
      </x:c>
      <x:c r="V311" s="33" t="n">
        <x:v>0.9025270758122743682310469314</x:v>
      </x:c>
      <x:c r="W311" s="33" t="n">
        <x:v>0.92057761732851985559566787</x:v>
      </x:c>
      <x:c r="X311" s="33" t="n">
        <x:v>0.9314079422382671480144404332</x:v>
      </x:c>
      <x:c r="Y311" s="33" t="n">
        <x:v>0.9386281588447653429602888087</x:v>
      </x:c>
      <x:c r="Z311" s="33" t="n">
        <x:v>0.9386281588447653429602888087</x:v>
      </x:c>
      <x:c r="AA311" s="33" t="n">
        <x:v>0.9494584837545126353790613718</x:v>
      </x:c>
      <x:c r="AB311" s="33" t="n">
        <x:v>0.9566787003610108303249097473</x:v>
      </x:c>
      <x:c r="AC311" s="23" t="n">
        <x:v>0.9783393501805054151624548736</x:v>
      </x:c>
      <x:c r="BC311" s="34" t="s"/>
      <x:c r="BD311" s="11" t="s">
        <x:v>196</x:v>
      </x:c>
      <x:c r="BE311" s="12" t="n">
        <x:f>=BO311</x:f>
      </x:c>
      <x:c r="BF311" s="12" t="n">
        <x:v>0.9566787003610108303249097473</x:v>
      </x:c>
      <x:c r="BG311" s="12" t="n">
        <x:v>0.0288808664259927797833935018</x:v>
      </x:c>
      <x:c r="BH311" s="12" t="n">
        <x:v>0.0144404332129963898916967509</x:v>
      </x:c>
      <x:c r="BI311" s="12" t="n">
        <x:f>=BN311</x:f>
      </x:c>
      <x:c r="BJ311" s="13" t="n">
        <x:v>0</x:v>
      </x:c>
      <x:c r="BK311" s="31" t="n">
        <x:v>4014.96</x:v>
      </x:c>
      <x:c r="BL311" s="31" t="n">
        <x:v>-2497.82713495971510954420</x:v>
      </x:c>
      <x:c r="BM311" s="31" t="n">
        <x:f>=BK311+BL311</x:f>
      </x:c>
      <x:c r="BN311" s="68" t="n">
        <x:f>=BM311/BK311</x:f>
      </x:c>
      <x:c r="BO311" s="68" t="n">
        <x:v>0.9855595667870036101083032491</x:v>
      </x:c>
      <x:c r="BP311" s="31" t="n">
        <x:v>2529.074675216201143860</x:v>
      </x:c>
      <x:c r="BQ311" s="42" t="n">
        <x:v>4</x:v>
      </x:c>
      <x:c r="BR311" s="31" t="n">
        <x:v>36.520933938140088720</x:v>
      </x:c>
      <x:c r="BT311" s="31" t="n">
        <x:v>5260.7676868711250000000000000</x:v>
      </x:c>
      <x:c r="BU311" s="31" t="n">
        <x:v>-2497.82713495971510954420</x:v>
      </x:c>
      <x:c r="BV311" s="31" t="n">
        <x:f>=BT311+BU311</x:f>
      </x:c>
      <x:c r="BW311" s="68" t="n">
        <x:f>=BV311/BT311</x:f>
      </x:c>
      <x:c r="BY311" s="68" t="n">
        <x:f>=BO311</x:f>
      </x:c>
      <x:c r="BZ311" s="68" t="n">
        <x:f>=BF311</x:f>
      </x:c>
      <x:c r="CA311" s="68" t="n">
        <x:f>=BG311</x:f>
      </x:c>
      <x:c r="CB311" s="68" t="n">
        <x:f>=1 - BY311</x:f>
      </x:c>
      <x:c r="CD311" s="68" t="n">
        <x:f>=CA311/(1-BZ311)</x:f>
      </x:c>
    </x:row>
    <x:row r="312">
      <x:c r="A312" s="32" t="s">
        <x:v>592</x:v>
      </x:c>
      <x:c r="B312" t="s"/>
      <x:c r="C312" t="s">
        <x:v>593</x:v>
      </x:c>
      <x:c r="D312" t="s">
        <x:v>259</x:v>
      </x:c>
      <x:c r="E312" t="s">
        <x:v>109</x:v>
      </x:c>
      <x:c r="F312" t="n">
        <x:v>2044</x:v>
      </x:c>
      <x:c r="G312" s="33" t="n">
        <x:v>0</x:v>
      </x:c>
      <x:c r="H312" s="33" t="n">
        <x:v>0</x:v>
      </x:c>
      <x:c r="I312" s="33" t="n">
        <x:v>0</x:v>
      </x:c>
      <x:c r="J312" s="33" t="n">
        <x:v>0</x:v>
      </x:c>
      <x:c r="K312" s="33" t="n">
        <x:v>0.023972602739726027397260274</x:v>
      </x:c>
      <x:c r="L312" s="33" t="n">
        <x:v>0.0973581213307240704500978474</x:v>
      </x:c>
      <x:c r="M312" s="33" t="n">
        <x:v>0.1898238747553816046966731898</x:v>
      </x:c>
      <x:c r="N312" s="33" t="n">
        <x:v>0.2871819960861056751467710372</x:v>
      </x:c>
      <x:c r="O312" s="33" t="n">
        <x:v>0.3742661448140900195694716243</x:v>
      </x:c>
      <x:c r="P312" s="33" t="n">
        <x:v>0.4481409001956947162426614481</x:v>
      </x:c>
      <x:c r="Q312" s="33" t="n">
        <x:v>0.4975538160469667318982387476</x:v>
      </x:c>
      <x:c r="R312" s="33" t="n">
        <x:v>0.5288649706457925636007827789</x:v>
      </x:c>
      <x:c r="S312" s="33" t="n">
        <x:v>0.5567514677103718199608610568</x:v>
      </x:c>
      <x:c r="T312" s="33" t="n">
        <x:v>0.5406066536203522504892367906</x:v>
      </x:c>
      <x:c r="U312" s="33" t="n">
        <x:v>0.546966731898238747553816047</x:v>
      </x:c>
      <x:c r="V312" s="33" t="n">
        <x:v>0.5425636007827788649706457926</x:v>
      </x:c>
      <x:c r="W312" s="33" t="n">
        <x:v>0.5410958904109589041095890411</x:v>
      </x:c>
      <x:c r="X312" s="33" t="n">
        <x:v>0.544031311154598825831702544</x:v>
      </x:c>
      <x:c r="Y312" s="33" t="n">
        <x:v>0.5494129158512720156555772994</x:v>
      </x:c>
      <x:c r="Z312" s="33" t="n">
        <x:v>0.5567514677103718199608610568</x:v>
      </x:c>
      <x:c r="AA312" s="33" t="n">
        <x:v>0.566046966731898238747553816</x:v>
      </x:c>
      <x:c r="AB312" s="33" t="n">
        <x:v>0.5782778864970645792563600783</x:v>
      </x:c>
      <x:c r="AC312" s="33" t="n">
        <x:v>0.5924657534246575342465753425</x:v>
      </x:c>
      <x:c r="BC312" s="34" t="s"/>
      <x:c r="BD312" s="11" t="s">
        <x:v>196</x:v>
      </x:c>
      <x:c r="BE312" s="12" t="n">
        <x:f>=BO312</x:f>
      </x:c>
      <x:c r="BF312" s="12" t="n">
        <x:v>0.6272015655577299412915851272</x:v>
      </x:c>
      <x:c r="BG312" s="12" t="n">
        <x:v>0.1164383561643835616438356164</x:v>
      </x:c>
      <x:c r="BH312" s="12" t="n">
        <x:v>0.2563600782778864970645792564</x:v>
      </x:c>
      <x:c r="BI312" s="12" t="n">
        <x:f>=BN312</x:f>
      </x:c>
      <x:c r="BJ312" s="13" t="n">
        <x:v>0</x:v>
      </x:c>
      <x:c r="BK312" s="31" t="n">
        <x:v>25589.99</x:v>
      </x:c>
      <x:c r="BL312" s="31" t="n">
        <x:v>-23581.42360</x:v>
      </x:c>
      <x:c r="BM312" s="31" t="n">
        <x:f>=BK312+BL312</x:f>
      </x:c>
      <x:c r="BN312" s="68" t="n">
        <x:f>=BM312/BK312</x:f>
      </x:c>
      <x:c r="BO312" s="68" t="n">
        <x:v>0.7436399217221135029354207436</x:v>
      </x:c>
      <x:c r="BP312" s="31" t="n">
        <x:v>21768.60</x:v>
      </x:c>
      <x:c r="BQ312" s="42" t="n">
        <x:v>524</x:v>
      </x:c>
      <x:c r="BR312" s="31" t="n">
        <x:v>5580.60</x:v>
      </x:c>
      <x:c r="BT312" s="31" t="n">
        <x:v>36752.786674419250000000000000</x:v>
      </x:c>
      <x:c r="BU312" s="31" t="n">
        <x:v>-23581.42360</x:v>
      </x:c>
      <x:c r="BV312" s="31" t="n">
        <x:f>=BT312+BU312</x:f>
      </x:c>
      <x:c r="BW312" s="68" t="n">
        <x:f>=BV312/BT312</x:f>
      </x:c>
      <x:c r="BY312" s="68" t="n">
        <x:f>=BO312</x:f>
      </x:c>
      <x:c r="BZ312" s="68" t="n">
        <x:f>=BF312</x:f>
      </x:c>
      <x:c r="CA312" s="68" t="n">
        <x:f>=BG312</x:f>
      </x:c>
      <x:c r="CB312" s="68" t="n">
        <x:f>=1 - BY312</x:f>
      </x:c>
      <x:c r="CD312" s="68" t="n">
        <x:f>=CA312/(1-BZ312)</x:f>
      </x:c>
    </x:row>
    <x:row r="313">
      <x:c r="A313" s="32" t="s">
        <x:v>594</x:v>
      </x:c>
      <x:c r="B313" t="s"/>
      <x:c r="C313" t="s">
        <x:v>595</x:v>
      </x:c>
      <x:c r="D313" t="s">
        <x:v>125</x:v>
      </x:c>
      <x:c r="E313" t="s">
        <x:v>109</x:v>
      </x:c>
      <x:c r="F313" t="n">
        <x:v>1012</x:v>
      </x:c>
      <x:c r="G313" s="33" t="n">
        <x:v>0.0069169960474308300395256917</x:v>
      </x:c>
      <x:c r="H313" s="33" t="n">
        <x:v>0.1264822134387351778656126482</x:v>
      </x:c>
      <x:c r="I313" s="33" t="n">
        <x:v>0.1956521739130434782608695652</x:v>
      </x:c>
      <x:c r="J313" s="33" t="n">
        <x:v>0.2697628458498023715415019763</x:v>
      </x:c>
      <x:c r="K313" s="33" t="n">
        <x:v>0.4140316205533596837944664032</x:v>
      </x:c>
      <x:c r="L313" s="33" t="n">
        <x:v>0.4535573122529644268774703557</x:v>
      </x:c>
      <x:c r="M313" s="33" t="n">
        <x:v>0.4960474308300395256916996047</x:v>
      </x:c>
      <x:c r="N313" s="33" t="n">
        <x:v>0.5385375494071146245059288538</x:v>
      </x:c>
      <x:c r="O313" s="33" t="n">
        <x:v>0.5938735177865612648221343874</x:v>
      </x:c>
      <x:c r="P313" s="33" t="n">
        <x:v>0.6086956521739130434782608696</x:v>
      </x:c>
      <x:c r="Q313" s="33" t="n">
        <x:v>0.595849802371541501976284585</x:v>
      </x:c>
      <x:c r="R313" s="33" t="n">
        <x:v>0.611660079051383399209486166</x:v>
      </x:c>
      <x:c r="S313" s="33" t="n">
        <x:v>0.6017786561264822134387351779</x:v>
      </x:c>
      <x:c r="T313" s="33" t="n">
        <x:v>0.5750988142292490118577075099</x:v>
      </x:c>
      <x:c r="U313" s="33" t="n">
        <x:v>0.5909090909090909090909090909</x:v>
      </x:c>
      <x:c r="V313" s="33" t="n">
        <x:v>0.5830039525691699604743083004</x:v>
      </x:c>
      <x:c r="W313" s="33" t="n">
        <x:v>0.584980237154150197628458498</x:v>
      </x:c>
      <x:c r="X313" s="33" t="n">
        <x:v>0.5869565217391304347826086957</x:v>
      </x:c>
      <x:c r="Y313" s="33" t="n">
        <x:v>0.5859683794466403162055335968</x:v>
      </x:c>
      <x:c r="Z313" s="33" t="n">
        <x:v>0.5859683794466403162055335968</x:v>
      </x:c>
      <x:c r="AA313" s="33" t="n">
        <x:v>0.595849802371541501976284585</x:v>
      </x:c>
      <x:c r="AB313" s="33" t="n">
        <x:v>0.6047430830039525691699604743</x:v>
      </x:c>
      <x:c r="BC313" s="34" t="s"/>
      <x:c r="BD313" s="11" t="s">
        <x:v>199</x:v>
      </x:c>
      <x:c r="BE313" s="12" t="n">
        <x:f>=BO313</x:f>
      </x:c>
      <x:c r="BF313" s="12" t="n">
        <x:v>0.6660079051383399209486166008</x:v>
      </x:c>
      <x:c r="BG313" s="12" t="n">
        <x:v>0.1739130434782608695652173913</x:v>
      </x:c>
      <x:c r="BH313" s="12" t="n">
        <x:v>0.1600790513833992094861660079</x:v>
      </x:c>
      <x:c r="BI313" s="12" t="n">
        <x:f>=BN313</x:f>
      </x:c>
      <x:c r="BJ313" s="13" t="n">
        <x:v>0</x:v>
      </x:c>
      <x:c r="BK313" s="31" t="n">
        <x:v>14958.07</x:v>
      </x:c>
      <x:c r="BL313" s="31" t="n">
        <x:v>-12627.3312</x:v>
      </x:c>
      <x:c r="BM313" s="31" t="n">
        <x:f>=BK313+BL313</x:f>
      </x:c>
      <x:c r="BN313" s="68" t="n">
        <x:f>=BM313/BK313</x:f>
      </x:c>
      <x:c r="BO313" s="68" t="n">
        <x:v>0.8399209486166007905138339921</x:v>
      </x:c>
      <x:c r="BP313" s="31" t="n">
        <x:v>12326.16</x:v>
      </x:c>
      <x:c r="BQ313" s="42" t="n">
        <x:v>162</x:v>
      </x:c>
      <x:c r="BR313" s="31" t="n">
        <x:v>1973.16</x:v>
      </x:c>
      <x:c r="BT313" s="31" t="n">
        <x:v>20809.9608777835000000000</x:v>
      </x:c>
      <x:c r="BU313" s="31" t="n">
        <x:v>-12627.3312</x:v>
      </x:c>
      <x:c r="BV313" s="31" t="n">
        <x:f>=BT313+BU313</x:f>
      </x:c>
      <x:c r="BW313" s="68" t="n">
        <x:f>=BV313/BT313</x:f>
      </x:c>
      <x:c r="BY313" s="68" t="n">
        <x:f>=BO313</x:f>
      </x:c>
      <x:c r="BZ313" s="68" t="n">
        <x:f>=BF313</x:f>
      </x:c>
      <x:c r="CA313" s="68" t="n">
        <x:f>=BG313</x:f>
      </x:c>
      <x:c r="CB313" s="68" t="n">
        <x:f>=1 - BY313</x:f>
      </x:c>
      <x:c r="CD313" s="68" t="n">
        <x:f>=CA313/(1-BZ313)</x:f>
      </x:c>
    </x:row>
    <x:row r="314">
      <x:c r="A314" s="32" t="s">
        <x:v>596</x:v>
      </x:c>
      <x:c r="B314" t="s"/>
      <x:c r="C314" t="s">
        <x:v>597</x:v>
      </x:c>
      <x:c r="D314" t="s">
        <x:v>108</x:v>
      </x:c>
      <x:c r="E314" t="s">
        <x:v>109</x:v>
      </x:c>
      <x:c r="F314" t="n">
        <x:v>318</x:v>
      </x:c>
      <x:c r="G314" s="33" t="n">
        <x:v>0.0125786163522012578616352201</x:v>
      </x:c>
      <x:c r="H314" s="33" t="n">
        <x:v>0.1132075471698113207547169811</x:v>
      </x:c>
      <x:c r="I314" s="33" t="n">
        <x:v>0.1635220125786163522012578616</x:v>
      </x:c>
      <x:c r="J314" s="33" t="n">
        <x:v>0.2327044025157232704402515723</x:v>
      </x:c>
      <x:c r="K314" s="33" t="n">
        <x:v>0.3616352201257861635220125786</x:v>
      </x:c>
      <x:c r="L314" s="33" t="n">
        <x:v>0.4088050314465408805031446541</x:v>
      </x:c>
      <x:c r="M314" s="33" t="n">
        <x:v>0.4088050314465408805031446541</x:v>
      </x:c>
      <x:c r="N314" s="33" t="n">
        <x:v>0.4088050314465408805031446541</x:v>
      </x:c>
      <x:c r="O314" s="33" t="n">
        <x:v>0.4056603773584905660377358491</x:v>
      </x:c>
      <x:c r="P314" s="33" t="n">
        <x:v>0.402515723270440251572327044</x:v>
      </x:c>
      <x:c r="Q314" s="33" t="n">
        <x:v>0.402515723270440251572327044</x:v>
      </x:c>
      <x:c r="R314" s="33" t="n">
        <x:v>0.4056603773584905660377358491</x:v>
      </x:c>
      <x:c r="S314" s="33" t="n">
        <x:v>0.4213836477987421383647798742</x:v>
      </x:c>
      <x:c r="T314" s="33" t="n">
        <x:v>0.4276729559748427672955974843</x:v>
      </x:c>
      <x:c r="U314" s="33" t="n">
        <x:v>0.4339622641509433962264150943</x:v>
      </x:c>
      <x:c r="V314" s="33" t="n">
        <x:v>0.4433962264150943396226415094</x:v>
      </x:c>
      <x:c r="W314" s="33" t="n">
        <x:v>0.4779874213836477987421383648</x:v>
      </x:c>
      <x:c r="X314" s="33" t="n">
        <x:v>0.4905660377358490566037735849</x:v>
      </x:c>
      <x:c r="Y314" s="33" t="n">
        <x:v>0.5</x:v>
      </x:c>
      <x:c r="Z314" s="23" t="n">
        <x:v>0.5408805031446540880503144654</x:v>
      </x:c>
      <x:c r="BC314" s="34" t="s"/>
      <x:c r="BD314" s="11" t="s">
        <x:v>115</x:v>
      </x:c>
      <x:c r="BE314" s="12" t="n">
        <x:f>=BO314</x:f>
      </x:c>
      <x:c r="BF314" s="12" t="n">
        <x:v>0.5</x:v>
      </x:c>
      <x:c r="BG314" s="12" t="n">
        <x:v>0.4528301886792452830188679245</x:v>
      </x:c>
      <x:c r="BH314" s="12" t="n">
        <x:v>0.0471698113207547169811320755</x:v>
      </x:c>
      <x:c r="BI314" s="12" t="n">
        <x:f>=BN314</x:f>
      </x:c>
      <x:c r="BJ314" s="13" t="n">
        <x:v>0</x:v>
      </x:c>
      <x:c r="BK314" s="31" t="n">
        <x:v>372.45</x:v>
      </x:c>
      <x:c r="BL314" s="31" t="n">
        <x:v>-277.29158842985220000000</x:v>
      </x:c>
      <x:c r="BM314" s="31" t="n">
        <x:f>=BK314+BL314</x:f>
      </x:c>
      <x:c r="BN314" s="68" t="n">
        <x:f>=BM314/BK314</x:f>
      </x:c>
      <x:c r="BO314" s="68" t="n">
        <x:v>0.9528301886792452830188679245</x:v>
      </x:c>
      <x:c r="BP314" s="31" t="n">
        <x:v>277.868441680260000000</x:v>
      </x:c>
      <x:c r="BQ314" s="42" t="n">
        <x:v>15</x:v>
      </x:c>
      <x:c r="BR314" s="31" t="n">
        <x:v>13.107001966050000000</x:v>
      </x:c>
      <x:c r="BT314" s="31" t="n">
        <x:v>525.6862729854375000000</x:v>
      </x:c>
      <x:c r="BU314" s="31" t="n">
        <x:v>-277.29158842985220000000</x:v>
      </x:c>
      <x:c r="BV314" s="31" t="n">
        <x:f>=BT314+BU314</x:f>
      </x:c>
      <x:c r="BW314" s="68" t="n">
        <x:f>=BV314/BT314</x:f>
      </x:c>
      <x:c r="BY314" s="68" t="n">
        <x:f>=BO314</x:f>
      </x:c>
      <x:c r="BZ314" s="68" t="n">
        <x:f>=BF314</x:f>
      </x:c>
      <x:c r="CA314" s="68" t="n">
        <x:f>=BG314</x:f>
      </x:c>
      <x:c r="CB314" s="68" t="n">
        <x:f>=1 - BY314</x:f>
      </x:c>
      <x:c r="CD314" s="68" t="n">
        <x:f>=CA314/(1-BZ314)</x:f>
      </x:c>
    </x:row>
    <x:row r="315">
      <x:c r="A315" s="32" t="s">
        <x:v>598</x:v>
      </x:c>
      <x:c r="B315" t="s">
        <x:v>94</x:v>
      </x:c>
      <x:c r="C315" s="9" t="s">
        <x:v>599</x:v>
      </x:c>
      <x:c r="D315" t="s">
        <x:v>108</x:v>
      </x:c>
      <x:c r="E315" t="s">
        <x:v>109</x:v>
      </x:c>
      <x:c r="F315" t="n">
        <x:v>537</x:v>
      </x:c>
      <x:c r="G315" s="33" t="n">
        <x:v>0.0204841713221601489757914339</x:v>
      </x:c>
      <x:c r="H315" s="33" t="n">
        <x:v>0.063314711359404096834264432</x:v>
      </x:c>
      <x:c r="I315" s="33" t="n">
        <x:v>0.0986964618249534450651769088</x:v>
      </x:c>
      <x:c r="J315" s="33" t="n">
        <x:v>0.1378026070763500931098696462</x:v>
      </x:c>
      <x:c r="K315" s="33" t="n">
        <x:v>0.1284916201117318435754189944</x:v>
      </x:c>
      <x:c r="L315" s="33" t="n">
        <x:v>0.1359404096834264432029795158</x:v>
      </x:c>
      <x:c r="M315" s="33" t="n">
        <x:v>0.152700186219739292364990689</x:v>
      </x:c>
      <x:c r="N315" s="33" t="n">
        <x:v>0.2364990689013035381750465549</x:v>
      </x:c>
      <x:c r="O315" s="33" t="n">
        <x:v>0.3109869646182495344506517691</x:v>
      </x:c>
      <x:c r="P315" s="33" t="n">
        <x:v>0.3743016759776536312849162011</x:v>
      </x:c>
      <x:c r="Q315" s="33" t="n">
        <x:v>0.4022346368715083798882681564</x:v>
      </x:c>
      <x:c r="R315" s="33" t="n">
        <x:v>0.4376163873370577281191806331</x:v>
      </x:c>
      <x:c r="S315" s="33" t="n">
        <x:v>0.452513966480446927374301676</x:v>
      </x:c>
      <x:c r="T315" s="33" t="n">
        <x:v>0.4692737430167597765363128492</x:v>
      </x:c>
      <x:c r="U315" s="33" t="n">
        <x:v>0.515828677839851024208566108</x:v>
      </x:c>
      <x:c r="V315" s="33" t="n">
        <x:v>0.5865921787709497206703910615</x:v>
      </x:c>
      <x:c r="W315" s="33" t="n">
        <x:v>0.6070763500931098696461824953</x:v>
      </x:c>
      <x:c r="X315" s="23" t="n">
        <x:v>0.6983240223463687150837988827</x:v>
      </x:c>
      <x:c r="BC315" s="34" t="s"/>
      <x:c r="BD315" s="11" t="s">
        <x:v>138</x:v>
      </x:c>
      <x:c r="BE315" s="12" t="n">
        <x:f>=BO315</x:f>
      </x:c>
      <x:c r="BF315" s="12" t="n">
        <x:v>0.5977653631284916201117318436</x:v>
      </x:c>
      <x:c r="BG315" s="12" t="n">
        <x:v>0.3202979515828677839851024209</x:v>
      </x:c>
      <x:c r="BH315" s="12" t="n">
        <x:v>0.0819366852886405959031657356</x:v>
      </x:c>
      <x:c r="BI315" s="12" t="n">
        <x:f>=BN315</x:f>
      </x:c>
      <x:c r="BJ315" s="13" t="n">
        <x:v>0</x:v>
      </x:c>
      <x:c r="BK315" s="31" t="n">
        <x:v>5336.19</x:v>
      </x:c>
      <x:c r="BL315" s="31" t="n">
        <x:v>-4322.57623978617573630240</x:v>
      </x:c>
      <x:c r="BM315" s="31" t="n">
        <x:f>=BK315+BL315</x:f>
      </x:c>
      <x:c r="BN315" s="68" t="n">
        <x:f>=BM315/BK315</x:f>
      </x:c>
      <x:c r="BO315" s="68" t="n">
        <x:v>0.9180633147113594040968342644</x:v>
      </x:c>
      <x:c r="BP315" s="31" t="n">
        <x:v>4358.164783284717253920</x:v>
      </x:c>
      <x:c r="BQ315" s="42" t="n">
        <x:v>44</x:v>
      </x:c>
      <x:c r="BR315" s="31" t="n">
        <x:v>357.093576284036423040</x:v>
      </x:c>
      <x:c r="BT315" s="31" t="n">
        <x:v>7406.3253105202500000000</x:v>
      </x:c>
      <x:c r="BU315" s="31" t="n">
        <x:v>-4322.57623978617573630240</x:v>
      </x:c>
      <x:c r="BV315" s="31" t="n">
        <x:f>=BT315+BU315</x:f>
      </x:c>
      <x:c r="BW315" s="68" t="n">
        <x:f>=BV315/BT315</x:f>
      </x:c>
      <x:c r="BY315" s="68" t="n">
        <x:f>=BO315</x:f>
      </x:c>
      <x:c r="BZ315" s="68" t="n">
        <x:f>=BF315</x:f>
      </x:c>
      <x:c r="CA315" s="68" t="n">
        <x:f>=BG315</x:f>
      </x:c>
      <x:c r="CB315" s="68" t="n">
        <x:f>=1 - BY315</x:f>
      </x:c>
      <x:c r="CD315" s="68" t="n">
        <x:f>=CA315/(1-BZ315)</x:f>
      </x:c>
    </x:row>
    <x:row r="316">
      <x:c r="A316" s="32" t="s">
        <x:v>600</x:v>
      </x:c>
      <x:c r="B316" t="s"/>
      <x:c r="C316" t="s">
        <x:v>601</x:v>
      </x:c>
      <x:c r="D316" t="s">
        <x:v>125</x:v>
      </x:c>
      <x:c r="E316" t="s">
        <x:v>109</x:v>
      </x:c>
      <x:c r="F316" t="n">
        <x:v>2084</x:v>
      </x:c>
      <x:c r="G316" s="33" t="n">
        <x:v>0</x:v>
      </x:c>
      <x:c r="H316" s="33" t="n">
        <x:v>0</x:v>
      </x:c>
      <x:c r="I316" s="33" t="n">
        <x:v>0.0004798464491362763915547025</x:v>
      </x:c>
      <x:c r="J316" s="33" t="n">
        <x:v>0.000959692898272552783109405</x:v>
      </x:c>
      <x:c r="K316" s="33" t="n">
        <x:v>0.0115163147792706333973128599</x:v>
      </x:c>
      <x:c r="L316" s="33" t="n">
        <x:v>0.049424184261036468330134357</x:v>
      </x:c>
      <x:c r="M316" s="33" t="n">
        <x:v>0.0772552783109404990403071017</x:v>
      </x:c>
      <x:c r="N316" s="33" t="n">
        <x:v>0.0964491362763915547024952015</x:v>
      </x:c>
      <x:c r="O316" s="33" t="n">
        <x:v>0.1070057581573896353166986564</x:v>
      </x:c>
      <x:c r="P316" s="33" t="n">
        <x:v>0.1170825335892514395393474088</x:v>
      </x:c>
      <x:c r="Q316" s="33" t="n">
        <x:v>0.1242802303262955854126679463</x:v>
      </x:c>
      <x:c r="R316" s="33" t="n">
        <x:v>0.1381957773512476007677543186</x:v>
      </x:c>
      <x:c r="S316" s="33" t="n">
        <x:v>0.1468330134357005758157389635</x:v>
      </x:c>
      <x:c r="T316" s="33" t="n">
        <x:v>0.1645873320537428023032629559</x:v>
      </x:c>
      <x:c r="U316" s="33" t="n">
        <x:v>0.1804222648752399232245681382</x:v>
      </x:c>
      <x:c r="V316" s="33" t="n">
        <x:v>0.1876199616122840690978886756</x:v>
      </x:c>
      <x:c r="W316" s="33" t="n">
        <x:v>0.1952975047984644913627639155</x:v>
      </x:c>
      <x:c r="X316" s="33" t="n">
        <x:v>0.198656429942418426103646833</x:v>
      </x:c>
      <x:c r="BC316" s="34" t="s"/>
      <x:c r="BD316" s="11" t="s">
        <x:v>138</x:v>
      </x:c>
      <x:c r="BE316" s="12" t="n">
        <x:f>=BO316</x:f>
      </x:c>
      <x:c r="BF316" s="12" t="n">
        <x:v>0.5911708253358925143953934741</x:v>
      </x:c>
      <x:c r="BG316" s="12" t="n">
        <x:v>0.2629558541266794625719769674</x:v>
      </x:c>
      <x:c r="BH316" s="12" t="n">
        <x:v>0.1458733205374280230326295585</x:v>
      </x:c>
      <x:c r="BI316" s="12" t="n">
        <x:f>=BN316</x:f>
      </x:c>
      <x:c r="BJ316" s="13" t="n">
        <x:v>0</x:v>
      </x:c>
      <x:c r="BK316" s="31" t="n">
        <x:v>14701.05</x:v>
      </x:c>
      <x:c r="BL316" s="31" t="n">
        <x:v>-12253.9200</x:v>
      </x:c>
      <x:c r="BM316" s="31" t="n">
        <x:f>=BK316+BL316</x:f>
      </x:c>
      <x:c r="BN316" s="68" t="n">
        <x:f>=BM316/BK316</x:f>
      </x:c>
      <x:c r="BO316" s="68" t="n">
        <x:v>0.8541266794625719769673704415</x:v>
      </x:c>
      <x:c r="BP316" s="31" t="n">
        <x:v>10941.00</x:v>
      </x:c>
      <x:c r="BQ316" s="42" t="n">
        <x:v>304</x:v>
      </x:c>
      <x:c r="BR316" s="31" t="n">
        <x:v>1596.00</x:v>
      </x:c>
      <x:c r="BT316" s="31" t="n">
        <x:v>21395.901004227500000000000000</x:v>
      </x:c>
      <x:c r="BU316" s="31" t="n">
        <x:v>-12253.9200</x:v>
      </x:c>
      <x:c r="BV316" s="31" t="n">
        <x:f>=BT316+BU316</x:f>
      </x:c>
      <x:c r="BW316" s="68" t="n">
        <x:f>=BV316/BT316</x:f>
      </x:c>
      <x:c r="BY316" s="68" t="n">
        <x:f>=BO316</x:f>
      </x:c>
      <x:c r="BZ316" s="68" t="n">
        <x:f>=BF316</x:f>
      </x:c>
      <x:c r="CA316" s="68" t="n">
        <x:f>=BG316</x:f>
      </x:c>
      <x:c r="CB316" s="68" t="n">
        <x:f>=1 - BY316</x:f>
      </x:c>
      <x:c r="CD316" s="68" t="n">
        <x:f>=CA316/(1-BZ316)</x:f>
      </x:c>
    </x:row>
    <x:row r="317">
      <x:c r="A317" s="32" t="s">
        <x:v>602</x:v>
      </x:c>
      <x:c r="B317" t="s"/>
      <x:c r="C317" t="s">
        <x:v>603</x:v>
      </x:c>
      <x:c r="D317" t="s">
        <x:v>125</x:v>
      </x:c>
      <x:c r="E317" t="s">
        <x:v>109</x:v>
      </x:c>
      <x:c r="F317" t="n">
        <x:v>3510</x:v>
      </x:c>
      <x:c r="G317" s="33" t="n">
        <x:v>0.0002849002849002849002849003</x:v>
      </x:c>
      <x:c r="H317" s="33" t="n">
        <x:v>0.0071225071225071225071225071</x:v>
      </x:c>
      <x:c r="I317" s="33" t="n">
        <x:v>0.0145299145299145299145299145</x:v>
      </x:c>
      <x:c r="J317" s="33" t="n">
        <x:v>0.0321937321937321937321937322</x:v>
      </x:c>
      <x:c r="K317" s="33" t="n">
        <x:v>0.0404558404558404558404558405</x:v>
      </x:c>
      <x:c r="L317" s="33" t="n">
        <x:v>0.0555555555555555555555555556</x:v>
      </x:c>
      <x:c r="M317" s="33" t="n">
        <x:v>0.0581196581196581196581196581</x:v>
      </x:c>
      <x:c r="N317" s="33" t="n">
        <x:v>0.0612535612535612535612535613</x:v>
      </x:c>
      <x:c r="O317" s="33" t="n">
        <x:v>0.0686609686609686609686609687</x:v>
      </x:c>
      <x:c r="P317" s="33" t="n">
        <x:v>0.0829059829059829059829059829</x:v>
      </x:c>
      <x:c r="Q317" s="33" t="n">
        <x:v>0.0937321937321937321937321937</x:v>
      </x:c>
      <x:c r="R317" s="33" t="n">
        <x:v>0.1150997150997150997150997151</x:v>
      </x:c>
      <x:c r="S317" s="33" t="n">
        <x:v>0.1427350427350427350427350427</x:v>
      </x:c>
      <x:c r="T317" s="33" t="n">
        <x:v>0.1575498575498575498575498575</x:v>
      </x:c>
      <x:c r="U317" s="33" t="n">
        <x:v>0.1749287749287749287749287749</x:v>
      </x:c>
      <x:c r="V317" s="33" t="n">
        <x:v>0.1931623931623931623931623932</x:v>
      </x:c>
      <x:c r="W317" s="23" t="n">
        <x:v>0.2096866096866096866096866097</x:v>
      </x:c>
      <x:c r="BC317" s="34" t="s"/>
      <x:c r="BD317" s="11" t="s">
        <x:v>98</x:v>
      </x:c>
      <x:c r="BE317" s="12" t="n">
        <x:f>=BO317</x:f>
      </x:c>
      <x:c r="BF317" s="12" t="n">
        <x:v>0.6279202279202279202279202279</x:v>
      </x:c>
      <x:c r="BG317" s="12" t="n">
        <x:v>0.1903133903133903133903133903</x:v>
      </x:c>
      <x:c r="BH317" s="12" t="n">
        <x:v>0.1817663817663817663817663818</x:v>
      </x:c>
      <x:c r="BI317" s="12" t="n">
        <x:f>=BN317</x:f>
      </x:c>
      <x:c r="BJ317" s="13" t="n">
        <x:v>0</x:v>
      </x:c>
      <x:c r="BK317" s="31" t="n">
        <x:v>36196.37</x:v>
      </x:c>
      <x:c r="BL317" s="31" t="n">
        <x:v>-24449.6070</x:v>
      </x:c>
      <x:c r="BM317" s="31" t="n">
        <x:f>=BK317+BL317</x:f>
      </x:c>
      <x:c r="BN317" s="68" t="n">
        <x:f>=BM317/BK317</x:f>
      </x:c>
      <x:c r="BO317" s="68" t="n">
        <x:v>0.8182336182336182336182336182</x:v>
      </x:c>
      <x:c r="BP317" s="31" t="n">
        <x:v>21375.90</x:v>
      </x:c>
      <x:c r="BQ317" s="42" t="n">
        <x:v>638</x:v>
      </x:c>
      <x:c r="BR317" s="31" t="n">
        <x:v>3885.42</x:v>
      </x:c>
      <x:c r="BT317" s="31" t="n">
        <x:v>50855.0096987956250000000</x:v>
      </x:c>
      <x:c r="BU317" s="31" t="n">
        <x:v>-24449.6070</x:v>
      </x:c>
      <x:c r="BV317" s="31" t="n">
        <x:f>=BT317+BU317</x:f>
      </x:c>
      <x:c r="BW317" s="68" t="n">
        <x:f>=BV317/BT317</x:f>
      </x:c>
      <x:c r="BY317" s="68" t="n">
        <x:f>=BO317</x:f>
      </x:c>
      <x:c r="BZ317" s="68" t="n">
        <x:f>=BF317</x:f>
      </x:c>
      <x:c r="CA317" s="68" t="n">
        <x:f>=BG317</x:f>
      </x:c>
      <x:c r="CB317" s="68" t="n">
        <x:f>=1 - BY317</x:f>
      </x:c>
      <x:c r="CD317" s="68" t="n">
        <x:f>=CA317/(1-BZ317)</x:f>
      </x:c>
    </x:row>
    <x:row r="318">
      <x:c r="A318" s="32" t="s"/>
      <x:c r="BC318" s="34" t="s"/>
      <x:c r="BD318" s="11" t="s"/>
      <x:c r="BJ318" s="13" t="s"/>
    </x:row>
    <x:row r="319">
      <x:c r="A319" s="17" t="s">
        <x:v>92</x:v>
      </x:c>
      <x:c r="BC319" s="34" t="s"/>
      <x:c r="BD319" s="11" t="s"/>
      <x:c r="BJ319" s="13" t="s"/>
    </x:row>
    <x:row r="320">
      <x:c r="A320" s="32" t="s">
        <x:v>604</x:v>
      </x:c>
      <x:c r="B320" t="s"/>
      <x:c r="C320" t="s">
        <x:v>605</x:v>
      </x:c>
      <x:c r="D320" t="s">
        <x:v>125</x:v>
      </x:c>
      <x:c r="E320" t="s">
        <x:v>109</x:v>
      </x:c>
      <x:c r="F320" t="n">
        <x:v>895</x:v>
      </x:c>
      <x:c r="G320" s="33" t="n">
        <x:v>0.0178770949720670391061452514</x:v>
      </x:c>
      <x:c r="H320" s="33" t="n">
        <x:v>0.0782122905027932960893854749</x:v>
      </x:c>
      <x:c r="I320" s="33" t="n">
        <x:v>0.147486033519553072625698324</x:v>
      </x:c>
      <x:c r="J320" s="33" t="n">
        <x:v>0.1821229050279329608938547486</x:v>
      </x:c>
      <x:c r="K320" s="33" t="n">
        <x:v>0.2011173184357541899441340782</x:v>
      </x:c>
      <x:c r="L320" s="33" t="n">
        <x:v>0.2111731843575418994413407821</x:v>
      </x:c>
      <x:c r="M320" s="33" t="n">
        <x:v>0.2379888268156424581005586592</x:v>
      </x:c>
      <x:c r="N320" s="33" t="n">
        <x:v>0.2357541899441340782122905028</x:v>
      </x:c>
      <x:c r="O320" s="33" t="n">
        <x:v>0.2301675977653631284916201117</x:v>
      </x:c>
      <x:c r="P320" s="33" t="n">
        <x:v>0.2201117318435754189944134078</x:v>
      </x:c>
      <x:c r="Q320" s="33" t="n">
        <x:v>0.2134078212290502793296089385</x:v>
      </x:c>
      <x:c r="R320" s="33" t="n">
        <x:v>0.2145251396648044692737430168</x:v>
      </x:c>
      <x:c r="S320" s="33" t="n">
        <x:v>0.2100558659217877094972067039</x:v>
      </x:c>
      <x:c r="T320" s="33" t="n">
        <x:v>0.2089385474860335195530726257</x:v>
      </x:c>
      <x:c r="U320" s="33" t="n">
        <x:v>0.2089385474860335195530726257</x:v>
      </x:c>
      <x:c r="V320" s="33" t="n">
        <x:v>0.2100558659217877094972067039</x:v>
      </x:c>
      <x:c r="W320" s="33" t="n">
        <x:v>0.2100558659217877094972067039</x:v>
      </x:c>
      <x:c r="X320" s="33" t="n">
        <x:v>0.2044692737430167597765363128</x:v>
      </x:c>
      <x:c r="Y320" s="33" t="n">
        <x:v>0.2089385474860335195530726257</x:v>
      </x:c>
      <x:c r="Z320" s="33" t="n">
        <x:v>0.2078212290502793296089385475</x:v>
      </x:c>
      <x:c r="AA320" s="33" t="n">
        <x:v>0.2067039106145251396648044693</x:v>
      </x:c>
      <x:c r="AB320" s="33" t="n">
        <x:v>0.2055865921787709497206703911</x:v>
      </x:c>
      <x:c r="AC320" s="33" t="n">
        <x:v>0.2055865921787709497206703911</x:v>
      </x:c>
      <x:c r="AD320" s="33" t="n">
        <x:v>0.2022346368715083798882681564</x:v>
      </x:c>
      <x:c r="AE320" s="33" t="n">
        <x:v>0.2</x:v>
      </x:c>
      <x:c r="AF320" s="33" t="n">
        <x:v>0.2</x:v>
      </x:c>
      <x:c r="AG320" s="33" t="n">
        <x:v>0.2</x:v>
      </x:c>
      <x:c r="AH320" s="23" t="n">
        <x:v>0.2279329608938547486033519553</x:v>
      </x:c>
      <x:c r="BC320" s="34" t="s"/>
      <x:c r="BD320" s="11" t="s">
        <x:v>284</x:v>
      </x:c>
      <x:c r="BE320" s="12" t="n">
        <x:f>=BO320</x:f>
      </x:c>
      <x:c r="BF320" s="12" t="n">
        <x:v>0.2201117318435754189944134078</x:v>
      </x:c>
      <x:c r="BG320" s="12" t="n">
        <x:v>0.184357541899441340782122905</x:v>
      </x:c>
      <x:c r="BH320" s="12" t="n">
        <x:v>0.5955307262569832402234636872</x:v>
      </x:c>
      <x:c r="BI320" s="12" t="n">
        <x:f>=BN320</x:f>
      </x:c>
      <x:c r="BJ320" s="13" t="n">
        <x:v>0</x:v>
      </x:c>
      <x:c r="BK320" s="31" t="n">
        <x:v>5351.35</x:v>
      </x:c>
      <x:c r="BL320" s="31" t="n">
        <x:v>-11167.4520</x:v>
      </x:c>
      <x:c r="BM320" s="31" t="n">
        <x:f>=BK320+BL320</x:f>
      </x:c>
      <x:c r="BN320" s="68" t="n">
        <x:f>=BM320/BK320</x:f>
      </x:c>
      <x:c r="BO320" s="68" t="n">
        <x:v>0.4044692737430167597765363128</x:v>
      </x:c>
      <x:c r="BP320" s="31" t="n">
        <x:v>10901.10</x:v>
      </x:c>
      <x:c r="BQ320" s="42" t="n">
        <x:v>533</x:v>
      </x:c>
      <x:c r="BR320" s="31" t="n">
        <x:v>6491.94</x:v>
      </x:c>
      <x:c r="BT320" s="31" t="n">
        <x:v>10526.6882763006250000000</x:v>
      </x:c>
      <x:c r="BU320" s="31" t="n">
        <x:v>-11167.4520</x:v>
      </x:c>
      <x:c r="BV320" s="31" t="n">
        <x:f>=BT320+BU320</x:f>
      </x:c>
      <x:c r="BW320" s="68" t="n">
        <x:f>=BV320/BT320</x:f>
      </x:c>
      <x:c r="BY320" s="68" t="n">
        <x:f>=BO320</x:f>
      </x:c>
      <x:c r="BZ320" s="68" t="n">
        <x:f>=BF320</x:f>
      </x:c>
      <x:c r="CA320" s="68" t="n">
        <x:f>=BG320</x:f>
      </x:c>
      <x:c r="CB320" s="68" t="n">
        <x:f>=1 - BY320</x:f>
      </x:c>
      <x:c r="CD320" s="68" t="n">
        <x:f>=CA320/(1-BZ320)</x:f>
      </x:c>
    </x:row>
    <x:row r="321">
      <x:c r="A321" s="32" t="s">
        <x:v>606</x:v>
      </x:c>
      <x:c r="B321" t="s"/>
      <x:c r="C321" t="s">
        <x:v>607</x:v>
      </x:c>
      <x:c r="D321" t="s">
        <x:v>125</x:v>
      </x:c>
      <x:c r="E321" t="s">
        <x:v>109</x:v>
      </x:c>
      <x:c r="F321" t="n">
        <x:v>834</x:v>
      </x:c>
      <x:c r="G321" s="33" t="n">
        <x:v>0.003597122302158273381294964</x:v>
      </x:c>
      <x:c r="H321" s="33" t="n">
        <x:v>0.045563549160671462829736211</x:v>
      </x:c>
      <x:c r="I321" s="33" t="n">
        <x:v>0.0731414868105515587529976019</x:v>
      </x:c>
      <x:c r="J321" s="33" t="n">
        <x:v>0.1366906474820143884892086331</x:v>
      </x:c>
      <x:c r="K321" s="33" t="n">
        <x:v>0.1175059952038369304556354916</x:v>
      </x:c>
      <x:c r="L321" s="33" t="n">
        <x:v>0.1270983213429256594724220624</x:v>
      </x:c>
      <x:c r="M321" s="33" t="n">
        <x:v>0.1354916067146282973621103118</x:v>
      </x:c>
      <x:c r="N321" s="33" t="n">
        <x:v>0.1438848920863309352517985612</x:v>
      </x:c>
      <x:c r="O321" s="33" t="n">
        <x:v>0.164268585131894484412470024</x:v>
      </x:c>
      <x:c r="P321" s="33" t="n">
        <x:v>0.1654676258992805755395683453</x:v>
      </x:c>
      <x:c r="Q321" s="33" t="n">
        <x:v>0.1594724220623501199040767386</x:v>
      </x:c>
      <x:c r="R321" s="33" t="n">
        <x:v>0.1546762589928057553956834532</x:v>
      </x:c>
      <x:c r="S321" s="33" t="n">
        <x:v>0.1486810551558752997601918465</x:v>
      </x:c>
      <x:c r="T321" s="33" t="n">
        <x:v>0.1486810551558752997601918465</x:v>
      </x:c>
      <x:c r="U321" s="33" t="n">
        <x:v>0.1510791366906474820143884892</x:v>
      </x:c>
      <x:c r="V321" s="33" t="n">
        <x:v>0.1510791366906474820143884892</x:v>
      </x:c>
      <x:c r="W321" s="33" t="n">
        <x:v>0.1546762589928057553956834532</x:v>
      </x:c>
      <x:c r="X321" s="33" t="n">
        <x:v>0.1558752997601918465227817746</x:v>
      </x:c>
      <x:c r="Y321" s="33" t="n">
        <x:v>0.1582733812949640287769784173</x:v>
      </x:c>
      <x:c r="Z321" s="33" t="n">
        <x:v>0.1630695443645083932853717026</x:v>
      </x:c>
      <x:c r="AA321" s="33" t="n">
        <x:v>0.1666666666666666666666666667</x:v>
      </x:c>
      <x:c r="AB321" s="33" t="n">
        <x:v>0.1798561151079136690647482014</x:v>
      </x:c>
      <x:c r="AC321" s="33" t="n">
        <x:v>0.1810551558752997601918465228</x:v>
      </x:c>
      <x:c r="AD321" s="33" t="n">
        <x:v>0.1882494004796163069544364508</x:v>
      </x:c>
      <x:c r="AE321" s="33" t="n">
        <x:v>0.1930455635491606714628297362</x:v>
      </x:c>
      <x:c r="AF321" s="23" t="n">
        <x:v>0.202637889688249400479616307</x:v>
      </x:c>
      <x:c r="BC321" s="34" t="s"/>
      <x:c r="BD321" s="11" t="s">
        <x:v>147</x:v>
      </x:c>
      <x:c r="BE321" s="12" t="n">
        <x:f>=BO321</x:f>
      </x:c>
      <x:c r="BF321" s="12" t="n">
        <x:v>0.1966426858513189448441247002</x:v>
      </x:c>
      <x:c r="BG321" s="12" t="n">
        <x:v>0.1127098321342925659472422062</x:v>
      </x:c>
      <x:c r="BH321" s="12" t="n">
        <x:v>0.6906474820143884892086330935</x:v>
      </x:c>
      <x:c r="BI321" s="12" t="n">
        <x:f>=BN321</x:f>
      </x:c>
      <x:c r="BJ321" s="13" t="n">
        <x:v>0</x:v>
      </x:c>
      <x:c r="BK321" s="31" t="n">
        <x:v>4220.13</x:v>
      </x:c>
      <x:c r="BL321" s="31" t="n">
        <x:v>-10406.3184</x:v>
      </x:c>
      <x:c r="BM321" s="31" t="n">
        <x:f>=BK321+BL321</x:f>
      </x:c>
      <x:c r="BN321" s="68" t="n">
        <x:f>=BM321/BK321</x:f>
      </x:c>
      <x:c r="BO321" s="68" t="n">
        <x:v>0.3093525179856115107913669065</x:v>
      </x:c>
      <x:c r="BP321" s="31" t="n">
        <x:v>10158.12</x:v>
      </x:c>
      <x:c r="BQ321" s="42" t="n">
        <x:v>576</x:v>
      </x:c>
      <x:c r="BR321" s="31" t="n">
        <x:v>7015.68</x:v>
      </x:c>
      <x:c r="BT321" s="31" t="n">
        <x:v>9042.7357233907500000000</x:v>
      </x:c>
      <x:c r="BU321" s="31" t="n">
        <x:v>-10406.3184</x:v>
      </x:c>
      <x:c r="BV321" s="31" t="n">
        <x:f>=BT321+BU321</x:f>
      </x:c>
      <x:c r="BW321" s="68" t="n">
        <x:f>=BV321/BT321</x:f>
      </x:c>
      <x:c r="BY321" s="68" t="n">
        <x:f>=BO321</x:f>
      </x:c>
      <x:c r="BZ321" s="68" t="n">
        <x:f>=BF321</x:f>
      </x:c>
      <x:c r="CA321" s="68" t="n">
        <x:f>=BG321</x:f>
      </x:c>
      <x:c r="CB321" s="68" t="n">
        <x:f>=1 - BY321</x:f>
      </x:c>
      <x:c r="CD321" s="68" t="n">
        <x:f>=CA321/(1-BZ321)</x:f>
      </x:c>
    </x:row>
    <x:row r="322">
      <x:c r="A322" s="32" t="s">
        <x:v>608</x:v>
      </x:c>
      <x:c r="B322" t="s"/>
      <x:c r="C322" t="s">
        <x:v>609</x:v>
      </x:c>
      <x:c r="D322" t="s">
        <x:v>259</x:v>
      </x:c>
      <x:c r="E322" t="s">
        <x:v>109</x:v>
      </x:c>
      <x:c r="F322" t="n">
        <x:v>4194</x:v>
      </x:c>
      <x:c r="G322" s="33" t="n">
        <x:v>0.0131139723414401525989508822</x:v>
      </x:c>
      <x:c r="H322" s="33" t="n">
        <x:v>0.0214592274678111587982832618</x:v>
      </x:c>
      <x:c r="I322" s="33" t="n">
        <x:v>0.0734382451120648545541249404</x:v>
      </x:c>
      <x:c r="J322" s="33" t="n">
        <x:v>0.1213638531235097758702908918</x:v>
      </x:c>
      <x:c r="K322" s="33" t="n">
        <x:v>0.1704816404387219837863614688</x:v>
      </x:c>
      <x:c r="L322" s="33" t="n">
        <x:v>0.2255603242727706247019551741</x:v>
      </x:c>
      <x:c r="M322" s="23" t="n">
        <x:v>0.2780162136385312350977587029</x:v>
      </x:c>
      <x:c r="BC322" s="34" t="s"/>
      <x:c r="BD322" s="11" t="s">
        <x:v>610</x:v>
      </x:c>
      <x:c r="BE322" s="12" t="n">
        <x:f>=BO322</x:f>
      </x:c>
      <x:c r="BF322" s="12" t="n">
        <x:v>0.525512637100619933237958989</x:v>
      </x:c>
      <x:c r="BG322" s="12" t="n">
        <x:v>0.0076299475441106342393896042</x:v>
      </x:c>
      <x:c r="BH322" s="12" t="n">
        <x:v>0.4668574153552694325226514068</x:v>
      </x:c>
      <x:c r="BI322" s="12" t="n">
        <x:f>=BN322</x:f>
      </x:c>
      <x:c r="BJ322" s="13" t="n">
        <x:v>0</x:v>
      </x:c>
      <x:c r="BK322" s="31" t="n">
        <x:v>40349.13</x:v>
      </x:c>
      <x:c r="BL322" s="31" t="n">
        <x:v>-48385.75860</x:v>
      </x:c>
      <x:c r="BM322" s="31" t="n">
        <x:f>=BK322+BL322</x:f>
      </x:c>
      <x:c r="BN322" s="68" t="n">
        <x:f>=BM322/BK322</x:f>
      </x:c>
      <x:c r="BO322" s="68" t="n">
        <x:v>0.5331425846447305674773485932</x:v>
      </x:c>
      <x:c r="BP322" s="31" t="n">
        <x:v>44666.10</x:v>
      </x:c>
      <x:c r="BQ322" s="42" t="n">
        <x:v>1958</x:v>
      </x:c>
      <x:c r="BR322" s="31" t="n">
        <x:v>20852.70</x:v>
      </x:c>
      <x:c r="BT322" s="31" t="n">
        <x:v>63253.6159356723750000000</x:v>
      </x:c>
      <x:c r="BU322" s="31" t="n">
        <x:v>-48385.75860</x:v>
      </x:c>
      <x:c r="BV322" s="31" t="n">
        <x:f>=BT322+BU322</x:f>
      </x:c>
      <x:c r="BW322" s="68" t="n">
        <x:f>=BV322/BT322</x:f>
      </x:c>
      <x:c r="BY322" s="68" t="n">
        <x:f>=BO322</x:f>
      </x:c>
      <x:c r="BZ322" s="68" t="n">
        <x:f>=BF322</x:f>
      </x:c>
      <x:c r="CA322" s="68" t="n">
        <x:f>=BG322</x:f>
      </x:c>
      <x:c r="CB322" s="68" t="n">
        <x:f>=1 - BY322</x:f>
      </x:c>
      <x:c r="CD322" s="68" t="n">
        <x:f>=CA322/(1-BZ322)</x:f>
      </x:c>
    </x:row>
    <x:row r="323">
      <x:c r="A323" s="35" t="s"/>
      <x:c r="B323" s="6" t="s"/>
      <x:c r="C323" s="6" t="s"/>
      <x:c r="D323" s="6" t="s"/>
      <x:c r="E323" s="6" t="s"/>
      <x:c r="F323" s="6" t="s"/>
      <x:c r="G323" s="6" t="s"/>
      <x:c r="H323" s="6" t="s"/>
      <x:c r="I323" s="6" t="s"/>
      <x:c r="J323" s="6" t="s"/>
      <x:c r="K323" s="6" t="s"/>
      <x:c r="L323" s="6" t="s"/>
      <x:c r="M323" s="6" t="s"/>
      <x:c r="N323" s="6" t="s"/>
      <x:c r="O323" s="6" t="s"/>
      <x:c r="P323" s="6" t="s"/>
      <x:c r="Q323" s="6" t="s"/>
      <x:c r="R323" s="6" t="s"/>
      <x:c r="S323" s="6" t="s"/>
      <x:c r="T323" s="6" t="s"/>
      <x:c r="U323" s="6" t="s"/>
      <x:c r="V323" s="6" t="s"/>
      <x:c r="W323" s="6" t="s"/>
      <x:c r="X323" s="6" t="s"/>
      <x:c r="Y323" s="6" t="s"/>
      <x:c r="Z323" s="6" t="s"/>
      <x:c r="AA323" s="6" t="s"/>
      <x:c r="AB323" s="6" t="s"/>
      <x:c r="AC323" s="6" t="s"/>
      <x:c r="AD323" s="6" t="s"/>
      <x:c r="AE323" s="6" t="s"/>
      <x:c r="AF323" s="6" t="s"/>
      <x:c r="AG323" s="6" t="s"/>
      <x:c r="AH323" s="6" t="s"/>
      <x:c r="AI323" s="6" t="s"/>
      <x:c r="AJ323" s="6" t="s"/>
      <x:c r="AK323" s="6" t="s"/>
      <x:c r="AL323" s="6" t="s"/>
      <x:c r="AM323" s="6" t="s"/>
      <x:c r="AN323" s="6" t="s"/>
      <x:c r="AO323" s="6" t="s"/>
      <x:c r="AP323" s="6" t="s"/>
      <x:c r="AQ323" s="6" t="s"/>
      <x:c r="AR323" s="6" t="s"/>
      <x:c r="AS323" s="6" t="s"/>
      <x:c r="AT323" s="6" t="s"/>
      <x:c r="AU323" s="6" t="s"/>
      <x:c r="AV323" s="6" t="s"/>
      <x:c r="AW323" s="6" t="s"/>
      <x:c r="AX323" s="6" t="s"/>
      <x:c r="AY323" s="6" t="s"/>
      <x:c r="AZ323" s="6" t="s"/>
      <x:c r="BA323" s="6" t="s"/>
      <x:c r="BB323" s="6" t="s"/>
      <x:c r="BC323" s="8" t="s"/>
      <x:c r="BD323" s="14" t="s">
        <x:v>127</x:v>
      </x:c>
      <x:c r="BE323" s="15" t="s"/>
      <x:c r="BF323" s="15" t="s"/>
      <x:c r="BG323" s="15" t="s"/>
      <x:c r="BH323" s="15" t="s"/>
      <x:c r="BI323" s="38">
        <x:f>=BM324/BK324</x:f>
      </x:c>
      <x:c r="BJ323" s="16">
        <x:f>=BR324/BP324</x:f>
      </x:c>
      <x:c r="BK323" s="21" t="n">
        <x:v>522263.59</x:v>
      </x:c>
      <x:c r="BL323" s="21" t="n">
        <x:v>-423520.75977028367147978860</x:v>
      </x:c>
      <x:c r="BM323" s="21" t="n">
        <x:f>=BK323+BL323</x:f>
      </x:c>
      <x:c r="BN323" s="22" t="n">
        <x:v>0.1890670384081653643904439136</x:v>
      </x:c>
      <x:c r="BP323" s="21" t="n">
        <x:v>-399343.262237405846886380</x:v>
      </x:c>
      <x:c r="BQ323" s="21" t="n">
        <x:v>8201</x:v>
      </x:c>
      <x:c r="BR323" s="21" t="n">
        <x:v>48601.529919254512878462601173</x:v>
      </x:c>
      <x:c r="BT323" s="21" t="n">
        <x:v>732117.68786560995812500000000</x:v>
      </x:c>
      <x:c r="BU323" s="21" t="n">
        <x:v>-423520.75977028367147978860</x:v>
      </x:c>
      <x:c r="BV323" s="21" t="n">
        <x:f>=BT323+BU323</x:f>
      </x:c>
      <x:c r="BW323" s="22" t="n">
        <x:v>0.4215127338269873908511085781</x:v>
      </x:c>
    </x:row>
    <x:row r="324">
      <x:c r="BK324" s="19" t="n">
        <x:v>522263.59</x:v>
      </x:c>
      <x:c r="BL324" s="19" t="n">
        <x:v>-423520.75977028367147978860</x:v>
      </x:c>
      <x:c r="BM324" s="19" t="n">
        <x:f>=BK324+BL324</x:f>
      </x:c>
      <x:c r="BN324" s="20" t="n">
        <x:v>0.1890670384081653643904439136</x:v>
      </x:c>
      <x:c r="BP324" s="19" t="n">
        <x:v>-399343.262237405846886380</x:v>
      </x:c>
      <x:c r="BQ324" s="19" t="n">
        <x:v>8201</x:v>
      </x:c>
      <x:c r="BR324" s="19" t="n">
        <x:v>48601.529919254512878462601173</x:v>
      </x:c>
      <x:c r="BT324" s="19" t="n">
        <x:v>732117.68786560995812500000000</x:v>
      </x:c>
      <x:c r="BU324" s="19" t="n">
        <x:v>-423520.75977028367147978860</x:v>
      </x:c>
      <x:c r="BV324" s="19" t="n">
        <x:f>=BT324+BU324</x:f>
      </x:c>
      <x:c r="BW324" s="20" t="n">
        <x:v>0.4215127338269873908511085781</x:v>
      </x:c>
    </x:row>
    <x:row r="325">
      <x:c r="A325" s="10" t="s">
        <x:v>611</x:v>
      </x:c>
      <x:c r="B325" s="5" t="s"/>
      <x:c r="C325" s="5" t="s"/>
      <x:c r="D325" s="5" t="s"/>
      <x:c r="E325" s="5" t="s"/>
      <x:c r="F325" s="5" t="s"/>
      <x:c r="G325" s="5" t="s"/>
      <x:c r="H325" s="5" t="s"/>
      <x:c r="I325" s="5" t="s"/>
      <x:c r="J325" s="5" t="s"/>
      <x:c r="K325" s="5" t="s"/>
      <x:c r="L325" s="5" t="s"/>
      <x:c r="M325" s="5" t="s"/>
      <x:c r="N325" s="5" t="s"/>
      <x:c r="O325" s="5" t="s"/>
      <x:c r="P325" s="5" t="s"/>
      <x:c r="Q325" s="5" t="s"/>
      <x:c r="R325" s="5" t="s"/>
      <x:c r="S325" s="5" t="s"/>
      <x:c r="T325" s="5" t="s"/>
      <x:c r="U325" s="5" t="s"/>
      <x:c r="V325" s="5" t="s"/>
      <x:c r="W325" s="5" t="s"/>
      <x:c r="X325" s="5" t="s"/>
      <x:c r="Y325" s="5" t="s"/>
      <x:c r="Z325" s="5" t="s"/>
      <x:c r="AA325" s="5" t="s"/>
      <x:c r="AB325" s="5" t="s"/>
      <x:c r="AC325" s="5" t="s"/>
      <x:c r="AD325" s="5" t="s"/>
      <x:c r="AE325" s="5" t="s"/>
      <x:c r="AF325" s="5" t="s"/>
      <x:c r="AG325" s="5" t="s"/>
      <x:c r="AH325" s="5" t="s"/>
      <x:c r="AI325" s="5" t="s"/>
      <x:c r="AJ325" s="5" t="s"/>
      <x:c r="AK325" s="5" t="s"/>
      <x:c r="AL325" s="5" t="s"/>
      <x:c r="AM325" s="5" t="s"/>
      <x:c r="AN325" s="5" t="s"/>
      <x:c r="AO325" s="5" t="s"/>
      <x:c r="AP325" s="5" t="s"/>
      <x:c r="AQ325" s="5" t="s"/>
      <x:c r="AR325" s="5" t="s"/>
      <x:c r="AS325" s="5" t="s"/>
      <x:c r="AT325" s="5" t="s"/>
      <x:c r="AU325" s="5" t="s"/>
      <x:c r="AV325" s="5" t="s"/>
      <x:c r="AW325" s="5" t="s"/>
      <x:c r="AX325" s="5" t="s"/>
      <x:c r="AY325" s="5" t="s"/>
      <x:c r="AZ325" s="5" t="s"/>
      <x:c r="BA325" s="5" t="s"/>
      <x:c r="BB325" s="5" t="s"/>
      <x:c r="BC325" s="7" t="s"/>
      <x:c r="BD325" s="10" t="s"/>
      <x:c r="BE325" s="5" t="s"/>
      <x:c r="BF325" s="5" t="s"/>
      <x:c r="BG325" s="5" t="s"/>
      <x:c r="BH325" s="5" t="s"/>
      <x:c r="BI325" s="5" t="s"/>
      <x:c r="BJ325" s="7" t="s"/>
      <x:c r="BK325" s="49" t="s">
        <x:v>11</x:v>
      </x:c>
      <x:c r="BL325" s="50"/>
      <x:c r="BM325" s="51"/>
      <x:c r="BN325" s="52"/>
      <x:c r="BO325" s="52"/>
      <x:c r="BP325" s="53"/>
      <x:c r="BQ325" s="54"/>
      <x:c r="BR325" s="53"/>
      <x:c r="BT325" s="59" t="s">
        <x:v>27</x:v>
      </x:c>
      <x:c r="BU325" s="60"/>
      <x:c r="BV325" s="60"/>
      <x:c r="BW325" s="60"/>
      <x:c r="BX325" s="60"/>
      <x:c r="BY325" s="61"/>
      <x:c r="BZ325" s="61"/>
      <x:c r="CA325" s="61"/>
      <x:c r="CB325" s="61"/>
      <x:c r="CC325" s="60"/>
      <x:c r="CD325" s="62"/>
    </x:row>
    <x:row r="326" ht="45.75" customHeight="1">
      <x:c r="A326" s="41" t="s">
        <x:v>30</x:v>
      </x:c>
      <x:c r="B326" s="41" t="s">
        <x:v>31</x:v>
      </x:c>
      <x:c r="C326" s="41" t="s">
        <x:v>32</x:v>
      </x:c>
      <x:c r="D326" s="41" t="s">
        <x:v>33</x:v>
      </x:c>
      <x:c r="E326" s="41" t="s">
        <x:v>34</x:v>
      </x:c>
      <x:c r="F326" s="41" t="s">
        <x:v>83</x:v>
      </x:c>
      <x:c r="G326" s="41" t="s">
        <x:v>35</x:v>
      </x:c>
      <x:c r="H326" s="41" t="s">
        <x:v>36</x:v>
      </x:c>
      <x:c r="I326" s="41" t="s">
        <x:v>37</x:v>
      </x:c>
      <x:c r="J326" s="41" t="s">
        <x:v>38</x:v>
      </x:c>
      <x:c r="K326" s="41" t="s">
        <x:v>39</x:v>
      </x:c>
      <x:c r="L326" s="41" t="s">
        <x:v>40</x:v>
      </x:c>
      <x:c r="M326" s="41" t="s">
        <x:v>41</x:v>
      </x:c>
      <x:c r="N326" s="41" t="s">
        <x:v>42</x:v>
      </x:c>
      <x:c r="O326" s="41" t="s">
        <x:v>43</x:v>
      </x:c>
      <x:c r="P326" s="41" t="s">
        <x:v>44</x:v>
      </x:c>
      <x:c r="Q326" s="41" t="s">
        <x:v>45</x:v>
      </x:c>
      <x:c r="R326" s="41" t="s">
        <x:v>46</x:v>
      </x:c>
      <x:c r="S326" s="41" t="s">
        <x:v>47</x:v>
      </x:c>
      <x:c r="T326" s="41" t="s">
        <x:v>48</x:v>
      </x:c>
      <x:c r="U326" s="41" t="s">
        <x:v>49</x:v>
      </x:c>
      <x:c r="V326" s="41" t="s">
        <x:v>50</x:v>
      </x:c>
      <x:c r="W326" s="41" t="s">
        <x:v>51</x:v>
      </x:c>
      <x:c r="X326" s="41" t="s">
        <x:v>52</x:v>
      </x:c>
      <x:c r="Y326" s="41" t="s">
        <x:v>53</x:v>
      </x:c>
      <x:c r="Z326" s="41" t="s">
        <x:v>54</x:v>
      </x:c>
      <x:c r="AA326" s="41" t="s">
        <x:v>55</x:v>
      </x:c>
      <x:c r="AB326" s="41" t="s">
        <x:v>56</x:v>
      </x:c>
      <x:c r="AC326" s="41" t="s">
        <x:v>57</x:v>
      </x:c>
      <x:c r="AD326" s="41" t="s">
        <x:v>58</x:v>
      </x:c>
      <x:c r="AE326" s="41" t="s">
        <x:v>59</x:v>
      </x:c>
      <x:c r="AF326" s="41" t="s">
        <x:v>60</x:v>
      </x:c>
      <x:c r="AG326" s="41" t="s">
        <x:v>61</x:v>
      </x:c>
      <x:c r="AH326" s="41" t="s">
        <x:v>62</x:v>
      </x:c>
      <x:c r="AI326" s="41" t="s">
        <x:v>63</x:v>
      </x:c>
      <x:c r="AJ326" s="41" t="s">
        <x:v>64</x:v>
      </x:c>
      <x:c r="AK326" s="41" t="s">
        <x:v>65</x:v>
      </x:c>
      <x:c r="AL326" s="41" t="s">
        <x:v>66</x:v>
      </x:c>
      <x:c r="AM326" s="41" t="s">
        <x:v>67</x:v>
      </x:c>
      <x:c r="AN326" s="41" t="s">
        <x:v>68</x:v>
      </x:c>
      <x:c r="AO326" s="41" t="s">
        <x:v>69</x:v>
      </x:c>
      <x:c r="AP326" s="41" t="s">
        <x:v>70</x:v>
      </x:c>
      <x:c r="AQ326" s="41" t="s">
        <x:v>71</x:v>
      </x:c>
      <x:c r="AR326" s="41" t="s">
        <x:v>72</x:v>
      </x:c>
      <x:c r="AS326" s="41" t="s">
        <x:v>73</x:v>
      </x:c>
      <x:c r="AT326" s="41" t="s">
        <x:v>74</x:v>
      </x:c>
      <x:c r="AU326" s="41" t="s">
        <x:v>75</x:v>
      </x:c>
      <x:c r="AV326" s="41" t="s">
        <x:v>76</x:v>
      </x:c>
      <x:c r="AW326" s="41" t="s">
        <x:v>77</x:v>
      </x:c>
      <x:c r="AX326" s="41" t="s">
        <x:v>78</x:v>
      </x:c>
      <x:c r="AY326" s="41" t="s">
        <x:v>79</x:v>
      </x:c>
      <x:c r="AZ326" s="41" t="s">
        <x:v>80</x:v>
      </x:c>
      <x:c r="BA326" s="41" t="s">
        <x:v>81</x:v>
      </x:c>
      <x:c r="BB326" s="41" t="s">
        <x:v>82</x:v>
      </x:c>
      <x:c r="BD326" s="32" t="s">
        <x:v>84</x:v>
      </x:c>
      <x:c r="BE326" s="33" t="s">
        <x:v>85</x:v>
      </x:c>
      <x:c r="BF326" s="33" t="s">
        <x:v>86</x:v>
      </x:c>
      <x:c r="BG326" s="33" t="s">
        <x:v>87</x:v>
      </x:c>
      <x:c r="BH326" s="33" t="s">
        <x:v>88</x:v>
      </x:c>
      <x:c r="BI326" s="33" t="s">
        <x:v>89</x:v>
      </x:c>
      <x:c r="BJ326" s="34" t="s">
        <x:v>90</x:v>
      </x:c>
      <x:c r="BK326" s="55" t="s">
        <x:v>12</x:v>
      </x:c>
      <x:c r="BL326" s="56" t="s">
        <x:v>13</x:v>
      </x:c>
      <x:c r="BM326" s="56" t="s">
        <x:v>14</x:v>
      </x:c>
      <x:c r="BN326" s="57" t="s">
        <x:v>15</x:v>
      </x:c>
      <x:c r="BO326" s="57" t="s">
        <x:v>28</x:v>
      </x:c>
      <x:c r="BP326" s="58" t="s">
        <x:v>16</x:v>
      </x:c>
      <x:c r="BQ326" s="55" t="s">
        <x:v>17</x:v>
      </x:c>
      <x:c r="BR326" s="58" t="s">
        <x:v>18</x:v>
      </x:c>
      <x:c r="BT326" s="63" t="s">
        <x:v>19</x:v>
      </x:c>
      <x:c r="BU326" s="64" t="s">
        <x:v>20</x:v>
      </x:c>
      <x:c r="BV326" s="64" t="s">
        <x:v>21</x:v>
      </x:c>
      <x:c r="BW326" s="64" t="s">
        <x:v>15</x:v>
      </x:c>
      <x:c r="BX326" s="64"/>
      <x:c r="BY326" s="65" t="s">
        <x:v>22</x:v>
      </x:c>
      <x:c r="BZ326" s="65" t="s">
        <x:v>23</x:v>
      </x:c>
      <x:c r="CA326" s="65" t="s">
        <x:v>26</x:v>
      </x:c>
      <x:c r="CB326" s="65" t="s">
        <x:v>24</x:v>
      </x:c>
      <x:c r="CC326" s="64"/>
      <x:c r="CD326" s="66" t="s">
        <x:v>25</x:v>
      </x:c>
    </x:row>
    <x:row r="327">
      <x:c r="BD327" s="32" t="s"/>
      <x:c r="BJ327" s="34" t="s"/>
    </x:row>
    <x:row r="328">
      <x:c r="A328" s="36" t="s">
        <x:v>129</x:v>
      </x:c>
      <x:c r="BC328" s="34" t="s"/>
      <x:c r="BD328" s="11" t="s"/>
      <x:c r="BJ328" s="13" t="s"/>
    </x:row>
    <x:row r="329">
      <x:c r="A329" s="17" t="s">
        <x:v>105</x:v>
      </x:c>
      <x:c r="BC329" s="34" t="s"/>
      <x:c r="BD329" s="11" t="s"/>
      <x:c r="BJ329" s="13" t="s"/>
    </x:row>
    <x:row r="330">
      <x:c r="A330" s="32" t="s">
        <x:v>612</x:v>
      </x:c>
      <x:c r="B330" t="s"/>
      <x:c r="C330" t="s">
        <x:v>613</x:v>
      </x:c>
      <x:c r="D330" t="s">
        <x:v>259</x:v>
      </x:c>
      <x:c r="E330" t="s">
        <x:v>132</x:v>
      </x:c>
      <x:c r="F330" t="n">
        <x:v>2959</x:v>
      </x:c>
      <x:c r="G330" s="33" t="n">
        <x:v>0.0101385603244339303818857722</x:v>
      </x:c>
      <x:c r="H330" s="33" t="n">
        <x:v>0.0375126732004055424129773572</x:v>
      </x:c>
      <x:c r="I330" s="33" t="n">
        <x:v>0.0665765461304494761743832376</x:v>
      </x:c>
      <x:c r="J330" s="33" t="n">
        <x:v>0.077728962487326799594457587</x:v>
      </x:c>
      <x:c r="K330" s="33" t="n">
        <x:v>0.0763771544440689422102061507</x:v>
      </x:c>
      <x:c r="L330" s="33" t="n">
        <x:v>0.0787428185197701926326461642</x:v>
      </x:c>
      <x:c r="M330" s="33" t="n">
        <x:v>0.0834741466711726934775261913</x:v>
      </x:c>
      <x:c r="N330" s="33" t="n">
        <x:v>0.0875295708009462656302805002</x:v>
      </x:c>
      <x:c r="O330" s="33" t="n">
        <x:v>0.0936127069956066238594119635</x:v>
      </x:c>
      <x:c r="P330" s="33" t="n">
        <x:v>0.1155795876985468063534978033</x:v>
      </x:c>
      <x:c r="Q330" s="33" t="n">
        <x:v>0.1443055086177762757688408246</x:v>
      </x:c>
      <x:c r="R330" s="33" t="n">
        <x:v>0.1716796214937478877999324096</x:v>
      </x:c>
      <x:c r="S330" s="33" t="n">
        <x:v>0.196350118283203785062521122</x:v>
      </x:c>
      <x:c r="T330" s="33" t="n">
        <x:v>0.2348766475160527205136870564</x:v>
      </x:c>
      <x:c r="U330" s="33" t="n">
        <x:v>0.2717134166948293342345386955</x:v>
      </x:c>
      <x:c r="V330" s="33" t="n">
        <x:v>0.3159851301115241635687732342</x:v>
      </x:c>
      <x:c r="W330" s="33" t="n">
        <x:v>0.3511321392362284555593105779</x:v>
      </x:c>
      <x:c r="X330" s="33" t="n">
        <x:v>0.4085839810746873943899966205</x:v>
      </x:c>
      <x:c r="Y330" s="33" t="n">
        <x:v>0.479553903345724907063197026</x:v>
      </x:c>
      <x:c r="BC330" s="34" t="s"/>
      <x:c r="BD330" s="11" t="s">
        <x:v>133</x:v>
      </x:c>
      <x:c r="BE330" s="12" t="n">
        <x:f>=BO330</x:f>
      </x:c>
      <x:c r="BF330" s="12" t="n">
        <x:v>0.6410949645150388644812436634</x:v>
      </x:c>
      <x:c r="BG330" s="12" t="n">
        <x:v>-0.0003379520108144643460628591</x:v>
      </x:c>
      <x:c r="BH330" s="12" t="n">
        <x:v>0.3592429874957755998648191957</x:v>
      </x:c>
      <x:c r="BI330" s="12" t="n">
        <x:f>=BN330</x:f>
      </x:c>
      <x:c r="BJ330" s="13" t="n">
        <x:v>0</x:v>
      </x:c>
      <x:c r="BK330" s="31" t="n">
        <x:v>17261.43</x:v>
      </x:c>
      <x:c r="BL330" s="31" t="n">
        <x:v>-17102.31420</x:v>
      </x:c>
      <x:c r="BM330" s="31" t="n">
        <x:f>=BK330+BL330</x:f>
      </x:c>
      <x:c r="BN330" s="68" t="n">
        <x:f>=BM330/BK330</x:f>
      </x:c>
      <x:c r="BO330" s="68" t="n">
        <x:v>0.6407570125042244001351808043</x:v>
      </x:c>
      <x:c r="BP330" s="31" t="n">
        <x:v>15532.70</x:v>
      </x:c>
      <x:c r="BQ330" s="42" t="n">
        <x:v>1063</x:v>
      </x:c>
      <x:c r="BR330" s="31" t="n">
        <x:v>5580.0135518756336600202771207</x:v>
      </x:c>
      <x:c r="BT330" s="31" t="n">
        <x:v>25360.36216483964250000000</x:v>
      </x:c>
      <x:c r="BU330" s="31" t="n">
        <x:v>-17102.31420</x:v>
      </x:c>
      <x:c r="BV330" s="31" t="n">
        <x:f>=BT330+BU330</x:f>
      </x:c>
      <x:c r="BW330" s="68" t="n">
        <x:f>=BV330/BT330</x:f>
      </x:c>
      <x:c r="BY330" s="68" t="n">
        <x:f>=BO330</x:f>
      </x:c>
      <x:c r="BZ330" s="68" t="n">
        <x:f>=BF330</x:f>
      </x:c>
      <x:c r="CA330" s="68" t="n">
        <x:f>=BG330</x:f>
      </x:c>
      <x:c r="CB330" s="68" t="n">
        <x:f>=1 - BY330</x:f>
      </x:c>
      <x:c r="CD330" s="68" t="n">
        <x:f>=CA330/(1-BZ330)</x:f>
      </x:c>
    </x:row>
    <x:row r="331">
      <x:c r="A331" s="32" t="s">
        <x:v>614</x:v>
      </x:c>
      <x:c r="B331" t="s"/>
      <x:c r="C331" t="s">
        <x:v>615</x:v>
      </x:c>
      <x:c r="D331" t="s">
        <x:v>259</x:v>
      </x:c>
      <x:c r="E331" t="s">
        <x:v>132</x:v>
      </x:c>
      <x:c r="F331" t="n">
        <x:v>2052</x:v>
      </x:c>
      <x:c r="G331" s="33" t="n">
        <x:v>0.003411306042884990253411306</x:v>
      </x:c>
      <x:c r="H331" s="33" t="n">
        <x:v>0.0955165692007797270955165692</x:v>
      </x:c>
      <x:c r="I331" s="33" t="n">
        <x:v>0.0935672514619883040935672515</x:v>
      </x:c>
      <x:c r="J331" s="33" t="n">
        <x:v>0.0852826510721247563352826511</x:v>
      </x:c>
      <x:c r="K331" s="33" t="n">
        <x:v>0.0989278752436647173489278752</x:v>
      </x:c>
      <x:c r="L331" s="33" t="n">
        <x:v>0.1135477582846003898635477583</x:v>
      </x:c>
      <x:c r="M331" s="33" t="n">
        <x:v>0.1588693957115009746588693957</x:v>
      </x:c>
      <x:c r="N331" s="33" t="n">
        <x:v>0.3031189083820662768031189084</x:v>
      </x:c>
      <x:c r="O331" s="33" t="n">
        <x:v>0.4113060428849902534113060429</x:v>
      </x:c>
      <x:c r="P331" s="33" t="n">
        <x:v>0.4537037037037037037037037037</x:v>
      </x:c>
      <x:c r="Q331" s="33" t="n">
        <x:v>0.4751461988304093567251461988</x:v>
      </x:c>
      <x:c r="R331" s="33" t="n">
        <x:v>0.5019493177387914230019493177</x:v>
      </x:c>
      <x:c r="S331" s="33" t="n">
        <x:v>0.5497076023391812865497076023</x:v>
      </x:c>
      <x:c r="T331" s="33" t="n">
        <x:v>0.5755360623781676413255360624</x:v>
      </x:c>
      <x:c r="U331" s="23" t="n">
        <x:v>0.6086744639376218323586744639</x:v>
      </x:c>
      <x:c r="BC331" s="34" t="s"/>
      <x:c r="BD331" s="11" t="s">
        <x:v>101</x:v>
      </x:c>
      <x:c r="BE331" s="12" t="n">
        <x:f>=BO331</x:f>
      </x:c>
      <x:c r="BF331" s="12" t="n">
        <x:v>0.8148148148148148148148148148</x:v>
      </x:c>
      <x:c r="BG331" s="12" t="n">
        <x:v>0.0004873294346978557504873294</x:v>
      </x:c>
      <x:c r="BH331" s="12" t="n">
        <x:v>0.1846978557504873294346978558</x:v>
      </x:c>
      <x:c r="BI331" s="12" t="n">
        <x:f>=BN331</x:f>
      </x:c>
      <x:c r="BJ331" s="13" t="n">
        <x:v>0</x:v>
      </x:c>
      <x:c r="BK331" s="31" t="n">
        <x:v>20403.74</x:v>
      </x:c>
      <x:c r="BL331" s="31" t="n">
        <x:v>-16026.66120</x:v>
      </x:c>
      <x:c r="BM331" s="31" t="n">
        <x:f>=BK331+BL331</x:f>
      </x:c>
      <x:c r="BN331" s="68" t="n">
        <x:f>=BM331/BK331</x:f>
      </x:c>
      <x:c r="BO331" s="68" t="n">
        <x:v>0.8153021442495126705653021442</x:v>
      </x:c>
      <x:c r="BP331" s="31" t="n">
        <x:v>14680.20</x:v>
      </x:c>
      <x:c r="BQ331" s="42" t="n">
        <x:v>379</x:v>
      </x:c>
      <x:c r="BR331" s="31" t="n">
        <x:v>2711.4014619883040935672514620</x:v>
      </x:c>
      <x:c r="BT331" s="31" t="n">
        <x:v>28001.737969699524500000000</x:v>
      </x:c>
      <x:c r="BU331" s="31" t="n">
        <x:v>-16026.66120</x:v>
      </x:c>
      <x:c r="BV331" s="31" t="n">
        <x:f>=BT331+BU331</x:f>
      </x:c>
      <x:c r="BW331" s="68" t="n">
        <x:f>=BV331/BT331</x:f>
      </x:c>
      <x:c r="BY331" s="68" t="n">
        <x:f>=BO331</x:f>
      </x:c>
      <x:c r="BZ331" s="68" t="n">
        <x:f>=BF331</x:f>
      </x:c>
      <x:c r="CA331" s="68" t="n">
        <x:f>=BG331</x:f>
      </x:c>
      <x:c r="CB331" s="68" t="n">
        <x:f>=1 - BY331</x:f>
      </x:c>
      <x:c r="CD331" s="68" t="n">
        <x:f>=CA331/(1-BZ331)</x:f>
      </x:c>
    </x:row>
    <x:row r="332">
      <x:c r="A332" s="32" t="s">
        <x:v>616</x:v>
      </x:c>
      <x:c r="B332" t="s"/>
      <x:c r="C332" t="s">
        <x:v>617</x:v>
      </x:c>
      <x:c r="D332" t="s">
        <x:v>259</x:v>
      </x:c>
      <x:c r="E332" t="s">
        <x:v>132</x:v>
      </x:c>
      <x:c r="F332" t="n">
        <x:v>6263</x:v>
      </x:c>
      <x:c r="G332" s="33" t="n">
        <x:v>0.003991697269679067539517803</x:v>
      </x:c>
      <x:c r="H332" s="33" t="n">
        <x:v>0.0273032093246048219703017723</x:v>
      </x:c>
      <x:c r="I332" s="33" t="n">
        <x:v>0.026824205652243333865559636</x:v>
      </x:c>
      <x:c r="J332" s="33" t="n">
        <x:v>0.030975570812709564106658151</x:v>
      </x:c>
      <x:c r="K332" s="33" t="n">
        <x:v>0.0499760498163819255947628932</x:v>
      </x:c>
      <x:c r="L332" s="33" t="n">
        <x:v>0.087338336260577997764649529</x:v>
      </x:c>
      <x:c r="M332" s="33" t="n">
        <x:v>0.1278939805205173239661504072</x:v>
      </x:c>
      <x:c r="N332" s="33" t="n">
        <x:v>0.1598275586779498642822928309</x:v>
      </x:c>
      <x:c r="O332" s="33" t="n">
        <x:v>0.2053329075522912342327957848</x:v>
      </x:c>
      <x:c r="P332" s="33" t="n">
        <x:v>0.2414178508701900047900367236</x:v>
      </x:c>
      <x:c r="Q332" s="33" t="n">
        <x:v>0.2920325722497205811911224653</x:v>
      </x:c>
      <x:c r="R332" s="33" t="n">
        <x:v>0.3466389908989302251317260099</x:v>
      </x:c>
      <x:c r="S332" s="33" t="n">
        <x:v>0.4020437490020756825802331151</x:v>
      </x:c>
      <x:c r="T332" s="23" t="n">
        <x:v>0.4480281015487785406354782053</x:v>
      </x:c>
      <x:c r="BC332" s="34" t="s"/>
      <x:c r="BD332" s="11" t="s">
        <x:v>118</x:v>
      </x:c>
      <x:c r="BE332" s="12" t="n">
        <x:f>=BO332</x:f>
      </x:c>
      <x:c r="BF332" s="12" t="n">
        <x:v>0.6575123742615360051093725052</x:v>
      </x:c>
      <x:c r="BG332" s="12" t="n">
        <x:v>0.0001596678907871627015807121</x:v>
      </x:c>
      <x:c r="BH332" s="12" t="n">
        <x:v>0.3423279578476768321890467827</x:v>
      </x:c>
      <x:c r="BI332" s="12" t="n">
        <x:f>=BN332</x:f>
      </x:c>
      <x:c r="BJ332" s="13" t="n">
        <x:v>0</x:v>
      </x:c>
      <x:c r="BK332" s="31" t="n">
        <x:v>50700.59</x:v>
      </x:c>
      <x:c r="BL332" s="31" t="n">
        <x:v>-48340.37440</x:v>
      </x:c>
      <x:c r="BM332" s="31" t="n">
        <x:f>=BK332+BL332</x:f>
      </x:c>
      <x:c r="BN332" s="68" t="n">
        <x:f>=BM332/BK332</x:f>
      </x:c>
      <x:c r="BO332" s="68" t="n">
        <x:v>0.6576720421523231678109532173</x:v>
      </x:c>
      <x:c r="BP332" s="31" t="n">
        <x:v>44266.40</x:v>
      </x:c>
      <x:c r="BQ332" s="42" t="n">
        <x:v>2144</x:v>
      </x:c>
      <x:c r="BR332" s="31" t="n">
        <x:v>15153.626313268401724413220501</x:v>
      </x:c>
      <x:c r="BT332" s="31" t="n">
        <x:v>73999.42321982445875000000</x:v>
      </x:c>
      <x:c r="BU332" s="31" t="n">
        <x:v>-48340.37440</x:v>
      </x:c>
      <x:c r="BV332" s="31" t="n">
        <x:f>=BT332+BU332</x:f>
      </x:c>
      <x:c r="BW332" s="68" t="n">
        <x:f>=BV332/BT332</x:f>
      </x:c>
      <x:c r="BY332" s="68" t="n">
        <x:f>=BO332</x:f>
      </x:c>
      <x:c r="BZ332" s="68" t="n">
        <x:f>=BF332</x:f>
      </x:c>
      <x:c r="CA332" s="68" t="n">
        <x:f>=BG332</x:f>
      </x:c>
      <x:c r="CB332" s="68" t="n">
        <x:f>=1 - BY332</x:f>
      </x:c>
      <x:c r="CD332" s="68" t="n">
        <x:f>=CA332/(1-BZ332)</x:f>
      </x:c>
    </x:row>
    <x:row r="333">
      <x:c r="A333" s="32" t="s"/>
      <x:c r="BC333" s="34" t="s"/>
      <x:c r="BD333" s="11" t="s"/>
      <x:c r="BJ333" s="13" t="s"/>
    </x:row>
    <x:row r="334">
      <x:c r="A334" s="17" t="s">
        <x:v>92</x:v>
      </x:c>
      <x:c r="BC334" s="34" t="s"/>
      <x:c r="BD334" s="11" t="s"/>
      <x:c r="BJ334" s="13" t="s"/>
    </x:row>
    <x:row r="335">
      <x:c r="A335" s="32" t="s">
        <x:v>618</x:v>
      </x:c>
      <x:c r="B335" t="s"/>
      <x:c r="C335" t="s">
        <x:v>619</x:v>
      </x:c>
      <x:c r="D335" t="s">
        <x:v>259</x:v>
      </x:c>
      <x:c r="E335" t="s">
        <x:v>132</x:v>
      </x:c>
      <x:c r="F335" t="n">
        <x:v>1753</x:v>
      </x:c>
      <x:c r="G335" s="33" t="n">
        <x:v>0.0136908157444381061038220194</x:v>
      </x:c>
      <x:c r="H335" s="33" t="n">
        <x:v>0.0222475755847119224187107815</x:v>
      </x:c>
      <x:c r="I335" s="33" t="n">
        <x:v>0.0239589275527666856816885339</x:v>
      </x:c>
      <x:c r="J335" s="33" t="n">
        <x:v>0.0239589275527666856816885339</x:v>
      </x:c>
      <x:c r="K335" s="33" t="n">
        <x:v>0.0239589275527666856816885339</x:v>
      </x:c>
      <x:c r="L335" s="33" t="n">
        <x:v>0.0239589275527666856816885339</x:v>
      </x:c>
      <x:c r="M335" s="33" t="n">
        <x:v>0.0239589275527666856816885339</x:v>
      </x:c>
      <x:c r="N335" s="33" t="n">
        <x:v>0.0239589275527666856816885339</x:v>
      </x:c>
      <x:c r="O335" s="33" t="n">
        <x:v>0.0239589275527666856816885339</x:v>
      </x:c>
      <x:c r="P335" s="33" t="n">
        <x:v>0.0239589275527666856816885339</x:v>
      </x:c>
      <x:c r="Q335" s="33" t="n">
        <x:v>0.0239589275527666856816885339</x:v>
      </x:c>
      <x:c r="R335" s="33" t="n">
        <x:v>0.0239589275527666856816885339</x:v>
      </x:c>
      <x:c r="S335" s="33" t="n">
        <x:v>0.0239589275527666856816885339</x:v>
      </x:c>
      <x:c r="T335" s="33" t="n">
        <x:v>0.0296634341129492298916143754</x:v>
      </x:c>
      <x:c r="U335" s="33" t="n">
        <x:v>0.0416428978893325727324586423</x:v>
      </x:c>
      <x:c r="V335" s="23" t="n">
        <x:v>0.0627495721620079863091842556</x:v>
      </x:c>
      <x:c r="BC335" s="34" t="s"/>
      <x:c r="BD335" s="11" t="s">
        <x:v>160</x:v>
      </x:c>
      <x:c r="BE335" s="12" t="n">
        <x:f>=BO335</x:f>
      </x:c>
      <x:c r="BF335" s="12" t="n">
        <x:v>0.3839132915002852253280091272</x:v>
      </x:c>
      <x:c r="BG335" s="12" t="n">
        <x:v>0.0005704506560182544209925841</x:v>
      </x:c>
      <x:c r="BH335" s="12" t="n">
        <x:v>0.6155162578436965202509982886</x:v>
      </x:c>
      <x:c r="BI335" s="12" t="n">
        <x:f>=BN335</x:f>
      </x:c>
      <x:c r="BJ335" s="13" t="n">
        <x:v>0</x:v>
      </x:c>
      <x:c r="BK335" s="31" t="n">
        <x:v>8397.43</x:v>
      </x:c>
      <x:c r="BL335" s="31" t="n">
        <x:v>-14069.52810</x:v>
      </x:c>
      <x:c r="BM335" s="31" t="n">
        <x:f>=BK335+BL335</x:f>
      </x:c>
      <x:c r="BN335" s="68" t="n">
        <x:f>=BM335/BK335</x:f>
      </x:c>
      <x:c r="BO335" s="68" t="n">
        <x:v>0.3844837421563034797490017114</x:v>
      </x:c>
      <x:c r="BP335" s="31" t="n">
        <x:v>12895.85</x:v>
      </x:c>
      <x:c r="BQ335" s="42" t="n">
        <x:v>1079</x:v>
      </x:c>
      <x:c r="BR335" s="31" t="n">
        <x:v>7937.605333713633770678836281</x:v>
      </x:c>
      <x:c r="BT335" s="31" t="n">
        <x:v>15134.97256563123325000000</x:v>
      </x:c>
      <x:c r="BU335" s="31" t="n">
        <x:v>-14069.52810</x:v>
      </x:c>
      <x:c r="BV335" s="31" t="n">
        <x:f>=BT335+BU335</x:f>
      </x:c>
      <x:c r="BW335" s="68" t="n">
        <x:f>=BV335/BT335</x:f>
      </x:c>
      <x:c r="BY335" s="68" t="n">
        <x:f>=BO335</x:f>
      </x:c>
      <x:c r="BZ335" s="68" t="n">
        <x:f>=BF335</x:f>
      </x:c>
      <x:c r="CA335" s="68" t="n">
        <x:f>=BG335</x:f>
      </x:c>
      <x:c r="CB335" s="68" t="n">
        <x:f>=1 - BY335</x:f>
      </x:c>
      <x:c r="CD335" s="68" t="n">
        <x:f>=CA335/(1-BZ335)</x:f>
      </x:c>
    </x:row>
    <x:row r="336">
      <x:c r="A336" s="32" t="s">
        <x:v>620</x:v>
      </x:c>
      <x:c r="B336" t="s"/>
      <x:c r="C336" t="s">
        <x:v>621</x:v>
      </x:c>
      <x:c r="D336" t="s">
        <x:v>259</x:v>
      </x:c>
      <x:c r="E336" t="s">
        <x:v>132</x:v>
      </x:c>
      <x:c r="F336" t="n">
        <x:v>2043</x:v>
      </x:c>
      <x:c r="G336" s="33" t="n">
        <x:v>0.0024473813020068526676456192</x:v>
      </x:c>
      <x:c r="H336" s="33" t="n">
        <x:v>0.0024473813020068526676456192</x:v>
      </x:c>
      <x:c r="I336" s="33" t="n">
        <x:v>0.0014684287812041116005873715</x:v>
      </x:c>
      <x:c r="J336" s="33" t="n">
        <x:v>0.0039158100832109642682329907</x:v>
      </x:c>
      <x:c r="K336" s="33" t="n">
        <x:v>0.0097895252080274106705824767</x:v>
      </x:c>
      <x:c r="L336" s="33" t="n">
        <x:v>0.0254527655408712677435144395</x:v>
      </x:c>
      <x:c r="M336" s="33" t="n">
        <x:v>0.0846793930494371023005384239</x:v>
      </x:c>
      <x:c r="N336" s="33" t="n">
        <x:v>0.1757219774840920215369554577</x:v>
      </x:c>
      <x:c r="O336" s="33" t="n">
        <x:v>0.2178169358786098874204601077</x:v>
      </x:c>
      <x:c r="P336" s="33" t="n">
        <x:v>0.2393538913362701908957415565</x:v>
      </x:c>
      <x:c r="Q336" s="33" t="n">
        <x:v>0.2682329906999510523739598629</x:v>
      </x:c>
      <x:c r="R336" s="33" t="n">
        <x:v>0.2976015663240332843857072932</x:v>
      </x:c>
      <x:c r="S336" s="33" t="n">
        <x:v>0.3245227606461086637298091043</x:v>
      </x:c>
      <x:c r="T336" s="33" t="n">
        <x:v>0.3455702398433675966715614293</x:v>
      </x:c>
      <x:c r="U336" s="33" t="n">
        <x:v>0.370533529123837493881546745</x:v>
      </x:c>
      <x:c r="V336" s="23" t="n">
        <x:v>0.4302496328928046989720998532</x:v>
      </x:c>
      <x:c r="BC336" s="34" t="s"/>
      <x:c r="BD336" s="11" t="s">
        <x:v>160</x:v>
      </x:c>
      <x:c r="BE336" s="12" t="n">
        <x:f>=BO336</x:f>
      </x:c>
      <x:c r="BF336" s="12" t="n">
        <x:v>0.6182085168869309838472834068</x:v>
      </x:c>
      <x:c r="BG336" s="12" t="n">
        <x:v>0.0004894762604013705335291238</x:v>
      </x:c>
      <x:c r="BH336" s="12" t="n">
        <x:v>0.3813020068526676456191874694</x:v>
      </x:c>
      <x:c r="BI336" s="12" t="n">
        <x:f>=BN336</x:f>
      </x:c>
      <x:c r="BJ336" s="13" t="n">
        <x:v>0</x:v>
      </x:c>
      <x:c r="BK336" s="31" t="n">
        <x:v>15235.59</x:v>
      </x:c>
      <x:c r="BL336" s="31" t="n">
        <x:v>-15949.53240</x:v>
      </x:c>
      <x:c r="BM336" s="31" t="n">
        <x:f>=BK336+BL336</x:f>
      </x:c>
      <x:c r="BN336" s="68" t="n">
        <x:f>=BM336/BK336</x:f>
      </x:c>
      <x:c r="BO336" s="68" t="n">
        <x:v>0.6186979931473323543808125306</x:v>
      </x:c>
      <x:c r="BP336" s="31" t="n">
        <x:v>14609.40</x:v>
      </x:c>
      <x:c r="BQ336" s="42" t="n">
        <x:v>779</x:v>
      </x:c>
      <x:c r="BR336" s="31" t="n">
        <x:v>5570.5935389133627019089574156</x:v>
      </x:c>
      <x:c r="BT336" s="31" t="n">
        <x:v>22796.32553411016000000000</x:v>
      </x:c>
      <x:c r="BU336" s="31" t="n">
        <x:v>-15949.53240</x:v>
      </x:c>
      <x:c r="BV336" s="31" t="n">
        <x:f>=BT336+BU336</x:f>
      </x:c>
      <x:c r="BW336" s="68" t="n">
        <x:f>=BV336/BT336</x:f>
      </x:c>
      <x:c r="BY336" s="68" t="n">
        <x:f>=BO336</x:f>
      </x:c>
      <x:c r="BZ336" s="68" t="n">
        <x:f>=BF336</x:f>
      </x:c>
      <x:c r="CA336" s="68" t="n">
        <x:f>=BG336</x:f>
      </x:c>
      <x:c r="CB336" s="68" t="n">
        <x:f>=1 - BY336</x:f>
      </x:c>
      <x:c r="CD336" s="68" t="n">
        <x:f>=CA336/(1-BZ336)</x:f>
      </x:c>
    </x:row>
    <x:row r="337">
      <x:c r="A337" s="32" t="s">
        <x:v>622</x:v>
      </x:c>
      <x:c r="B337" t="s"/>
      <x:c r="C337" t="s">
        <x:v>623</x:v>
      </x:c>
      <x:c r="D337" t="s">
        <x:v>259</x:v>
      </x:c>
      <x:c r="E337" t="s">
        <x:v>132</x:v>
      </x:c>
      <x:c r="F337" t="n">
        <x:v>5328</x:v>
      </x:c>
      <x:c r="G337" s="33" t="n">
        <x:v>0.0101351351351351351351351351</x:v>
      </x:c>
      <x:c r="H337" s="33" t="n">
        <x:v>0.0227102102102102102102102102</x:v>
      </x:c>
      <x:c r="I337" s="33" t="n">
        <x:v>0.0320945945945945945945945946</x:v>
      </x:c>
      <x:c r="J337" s="33" t="n">
        <x:v>0.0478603603603603603603603604</x:v>
      </x:c>
      <x:c r="K337" s="33" t="n">
        <x:v>0.0538663663663663663663663664</x:v>
      </x:c>
      <x:c r="L337" s="33" t="n">
        <x:v>0.0611861861861861861861861862</x:v>
      </x:c>
      <x:c r="M337" s="33" t="n">
        <x:v>0.0696321321321321321321321321</x:v>
      </x:c>
      <x:c r="N337" s="33" t="n">
        <x:v>0.0818318318318318318318318318</x:v>
      </x:c>
      <x:c r="O337" s="23" t="n">
        <x:v>0.1114864864864864864864864865</x:v>
      </x:c>
      <x:c r="BC337" s="34" t="s"/>
      <x:c r="BD337" s="11" t="s">
        <x:v>340</x:v>
      </x:c>
      <x:c r="BE337" s="12" t="n">
        <x:f>=BO337</x:f>
      </x:c>
      <x:c r="BF337" s="12" t="n">
        <x:v>0.3380255255255255255255255255</x:v>
      </x:c>
      <x:c r="BG337" s="12" t="n">
        <x:v>0.0001876876876876876876876877</x:v>
      </x:c>
      <x:c r="BH337" s="12" t="n">
        <x:v>0.6617867867867867867867867868</x:v>
      </x:c>
      <x:c r="BI337" s="12" t="n">
        <x:f>=BN337</x:f>
      </x:c>
      <x:c r="BJ337" s="13" t="n">
        <x:v>0</x:v>
      </x:c>
      <x:c r="BK337" s="31" t="n">
        <x:v>25327.17</x:v>
      </x:c>
      <x:c r="BL337" s="31" t="n">
        <x:v>-45244.82940</x:v>
      </x:c>
      <x:c r="BM337" s="31" t="n">
        <x:f>=BK337+BL337</x:f>
      </x:c>
      <x:c r="BN337" s="68" t="n">
        <x:f>=BM337/BK337</x:f>
      </x:c>
      <x:c r="BO337" s="68" t="n">
        <x:v>0.3382132132132132132132132132</x:v>
      </x:c>
      <x:c r="BP337" s="31" t="n">
        <x:v>41523.90</x:v>
      </x:c>
      <x:c r="BQ337" s="42" t="n">
        <x:v>3526</x:v>
      </x:c>
      <x:c r="BR337" s="31" t="n">
        <x:v>27479.968355855855855855855856</x:v>
      </x:c>
      <x:c r="BT337" s="31" t="n">
        <x:v>47756.24184436027200000000</x:v>
      </x:c>
      <x:c r="BU337" s="31" t="n">
        <x:v>-45244.82940</x:v>
      </x:c>
      <x:c r="BV337" s="31" t="n">
        <x:f>=BT337+BU337</x:f>
      </x:c>
      <x:c r="BW337" s="68" t="n">
        <x:f>=BV337/BT337</x:f>
      </x:c>
      <x:c r="BY337" s="68" t="n">
        <x:f>=BO337</x:f>
      </x:c>
      <x:c r="BZ337" s="68" t="n">
        <x:f>=BF337</x:f>
      </x:c>
      <x:c r="CA337" s="68" t="n">
        <x:f>=BG337</x:f>
      </x:c>
      <x:c r="CB337" s="68" t="n">
        <x:f>=1 - BY337</x:f>
      </x:c>
      <x:c r="CD337" s="68" t="n">
        <x:f>=CA337/(1-BZ337)</x:f>
      </x:c>
    </x:row>
    <x:row r="338">
      <x:c r="A338" s="32" t="s">
        <x:v>624</x:v>
      </x:c>
      <x:c r="B338" t="s"/>
      <x:c r="C338" t="s">
        <x:v>625</x:v>
      </x:c>
      <x:c r="D338" t="s">
        <x:v>125</x:v>
      </x:c>
      <x:c r="E338" t="s">
        <x:v>132</x:v>
      </x:c>
      <x:c r="F338" t="n">
        <x:v>3132</x:v>
      </x:c>
      <x:c r="G338" s="33" t="n">
        <x:v>0.0028735632183908045977011494</x:v>
      </x:c>
      <x:c r="H338" s="33" t="n">
        <x:v>0.0296934865900383141762452107</x:v>
      </x:c>
      <x:c r="I338" s="33" t="n">
        <x:v>0.1107918263090676883780332056</x:v>
      </x:c>
      <x:c r="J338" s="23" t="n">
        <x:v>0.1583652618135376756066411239</x:v>
      </x:c>
      <x:c r="BC338" s="34" t="s"/>
      <x:c r="BD338" s="11" t="s">
        <x:v>505</x:v>
      </x:c>
      <x:c r="BE338" s="12" t="n">
        <x:f>=BO338</x:f>
      </x:c>
      <x:c r="BF338" s="12" t="n">
        <x:v>0.5459770114942528735632183908</x:v>
      </x:c>
      <x:c r="BG338" s="12" t="n">
        <x:v>0.0038314176245210727969348659</x:v>
      </x:c>
      <x:c r="BH338" s="12" t="n">
        <x:v>0.4501915708812260536398467433</x:v>
      </x:c>
      <x:c r="BI338" s="12" t="n">
        <x:f>=BN338</x:f>
      </x:c>
      <x:c r="BJ338" s="13" t="n">
        <x:v>0</x:v>
      </x:c>
      <x:c r="BK338" s="31" t="n">
        <x:v>14664.85</x:v>
      </x:c>
      <x:c r="BL338" s="31" t="n">
        <x:v>-16503.7748</x:v>
      </x:c>
      <x:c r="BM338" s="31" t="n">
        <x:f>=BK338+BL338</x:f>
      </x:c>
      <x:c r="BN338" s="68" t="n">
        <x:f>=BM338/BK338</x:f>
      </x:c>
      <x:c r="BO338" s="68" t="n">
        <x:v>0.5498084291187739463601532567</x:v>
      </x:c>
      <x:c r="BP338" s="31" t="n">
        <x:v>15966.95</x:v>
      </x:c>
      <x:c r="BQ338" s="42" t="n">
        <x:v>1410</x:v>
      </x:c>
      <x:c r="BR338" s="31" t="n">
        <x:v>7188.1863026819923371647509579</x:v>
      </x:c>
      <x:c r="BT338" s="31" t="n">
        <x:v>22802.63286066724600000000</x:v>
      </x:c>
      <x:c r="BU338" s="31" t="n">
        <x:v>-16503.7748</x:v>
      </x:c>
      <x:c r="BV338" s="31" t="n">
        <x:f>=BT338+BU338</x:f>
      </x:c>
      <x:c r="BW338" s="68" t="n">
        <x:f>=BV338/BT338</x:f>
      </x:c>
      <x:c r="BY338" s="68" t="n">
        <x:f>=BO338</x:f>
      </x:c>
      <x:c r="BZ338" s="68" t="n">
        <x:f>=BF338</x:f>
      </x:c>
      <x:c r="CA338" s="68" t="n">
        <x:f>=BG338</x:f>
      </x:c>
      <x:c r="CB338" s="68" t="n">
        <x:f>=1 - BY338</x:f>
      </x:c>
      <x:c r="CD338" s="68" t="n">
        <x:f>=CA338/(1-BZ338)</x:f>
      </x:c>
    </x:row>
    <x:row r="339">
      <x:c r="BC339" s="34" t="s"/>
      <x:c r="BD339" s="11" t="s"/>
      <x:c r="BJ339" s="13" t="s"/>
      <x:c r="BK339" s="21" t="n">
        <x:v>151990.80</x:v>
      </x:c>
      <x:c r="BL339" s="21" t="n">
        <x:v>-173237.01450</x:v>
      </x:c>
      <x:c r="BM339" s="21" t="n">
        <x:f>=BK339+BL339</x:f>
      </x:c>
      <x:c r="BN339" s="22" t="n">
        <x:v>-0.1397861877166249536156135766</x:v>
      </x:c>
      <x:c r="BP339" s="21" t="n">
        <x:v>-159475.40</x:v>
      </x:c>
      <x:c r="BQ339" s="21" t="n">
        <x:v>10380</x:v>
      </x:c>
      <x:c r="BR339" s="21" t="n">
        <x:v>70350.813939651508712282192945</x:v>
      </x:c>
      <x:c r="BT339" s="21" t="n">
        <x:v>235851.696159132537000000000</x:v>
      </x:c>
      <x:c r="BU339" s="21" t="n">
        <x:v>-173237.01450</x:v>
      </x:c>
      <x:c r="BV339" s="21" t="n">
        <x:f>=BT339+BU339</x:f>
      </x:c>
      <x:c r="BW339" s="22" t="n">
        <x:v>0.2654832790215996974565489762</x:v>
      </x:c>
    </x:row>
    <x:row r="340">
      <x:c r="A340" s="36" t="s">
        <x:v>104</x:v>
      </x:c>
      <x:c r="BC340" s="34" t="s"/>
      <x:c r="BD340" s="11" t="s"/>
      <x:c r="BJ340" s="13" t="s"/>
    </x:row>
    <x:row r="341">
      <x:c r="A341" s="17" t="s">
        <x:v>105</x:v>
      </x:c>
      <x:c r="BC341" s="34" t="s"/>
      <x:c r="BD341" s="11" t="s"/>
      <x:c r="BJ341" s="13" t="s"/>
    </x:row>
    <x:row r="342">
      <x:c r="A342" s="32" t="s">
        <x:v>626</x:v>
      </x:c>
      <x:c r="B342" t="s"/>
      <x:c r="C342" t="s">
        <x:v>627</x:v>
      </x:c>
      <x:c r="D342" t="s">
        <x:v>108</x:v>
      </x:c>
      <x:c r="E342" t="s">
        <x:v>109</x:v>
      </x:c>
      <x:c r="F342" t="n">
        <x:v>2544</x:v>
      </x:c>
      <x:c r="G342" s="33" t="n">
        <x:v>0.0161163522012578616352201258</x:v>
      </x:c>
      <x:c r="H342" s="33" t="n">
        <x:v>0.051886792452830188679245283</x:v>
      </x:c>
      <x:c r="I342" s="33" t="n">
        <x:v>0.0982704402515723270440251572</x:v>
      </x:c>
      <x:c r="J342" s="33" t="n">
        <x:v>0.1348270440251572327044025157</x:v>
      </x:c>
      <x:c r="K342" s="33" t="n">
        <x:v>0.173742138364779874213836478</x:v>
      </x:c>
      <x:c r="L342" s="33" t="n">
        <x:v>0.2059748427672955974842767296</x:v>
      </x:c>
      <x:c r="M342" s="33" t="n">
        <x:v>0.2421383647798742138364779874</x:v>
      </x:c>
      <x:c r="N342" s="33" t="n">
        <x:v>0.2492138364779874213836477987</x:v>
      </x:c>
      <x:c r="O342" s="33" t="n">
        <x:v>0.2688679245283018867924528302</x:v>
      </x:c>
      <x:c r="P342" s="33" t="n">
        <x:v>0.2873427672955974842767295597</x:v>
      </x:c>
      <x:c r="Q342" s="33" t="n">
        <x:v>0.3254716981132075471698113208</x:v>
      </x:c>
      <x:c r="R342" s="33" t="n">
        <x:v>0.3565251572327044025157232704</x:v>
      </x:c>
      <x:c r="S342" s="33" t="n">
        <x:v>0.3636006289308176100628930818</x:v>
      </x:c>
      <x:c r="T342" s="33" t="n">
        <x:v>0.3738207547169811320754716981</x:v>
      </x:c>
      <x:c r="U342" s="33" t="n">
        <x:v>0.3832547169811320754716981132</x:v>
      </x:c>
      <x:c r="V342" s="33" t="n">
        <x:v>0.3985849056603773584905660377</x:v>
      </x:c>
      <x:c r="W342" s="33" t="n">
        <x:v>0.4056603773584905660377358491</x:v>
      </x:c>
      <x:c r="X342" s="33" t="n">
        <x:v>0.4139150943396226415094339623</x:v>
      </x:c>
      <x:c r="Y342" s="33" t="n">
        <x:v>0.4111635220125786163522012579</x:v>
      </x:c>
      <x:c r="Z342" s="33" t="n">
        <x:v>0.4143081761006289308176100629</x:v>
      </x:c>
      <x:c r="AA342" s="33" t="n">
        <x:v>0.4127358490566037735849056604</x:v>
      </x:c>
      <x:c r="AB342" s="33" t="n">
        <x:v>0.4123427672955974842767295597</x:v>
      </x:c>
      <x:c r="AC342" s="33" t="n">
        <x:v>0.4119496855345911949685534591</x:v>
      </x:c>
      <x:c r="AD342" s="33" t="n">
        <x:v>0.4135220125786163522012578616</x:v>
      </x:c>
      <x:c r="AE342" s="33" t="n">
        <x:v>0.4166666666666666666666666667</x:v>
      </x:c>
      <x:c r="AF342" s="33" t="n">
        <x:v>0.4213836477987421383647798742</x:v>
      </x:c>
      <x:c r="AG342" s="33" t="n">
        <x:v>0.4245283018867924528301886792</x:v>
      </x:c>
      <x:c r="AH342" s="33" t="n">
        <x:v>0.4272798742138364779874213836</x:v>
      </x:c>
      <x:c r="AI342" s="33" t="n">
        <x:v>0.4300314465408805031446540881</x:v>
      </x:c>
      <x:c r="AJ342" s="33" t="n">
        <x:v>0.4339622641509433962264150943</x:v>
      </x:c>
      <x:c r="AK342" s="33" t="n">
        <x:v>0.4441823899371069182389937107</x:v>
      </x:c>
      <x:c r="AL342" s="33" t="n">
        <x:v>0.4492924528301886792452830189</x:v>
      </x:c>
      <x:c r="AM342" s="33" t="n">
        <x:v>0.4528301886792452830188679245</x:v>
      </x:c>
      <x:c r="AN342" s="33" t="n">
        <x:v>0.4626572327044025157232704403</x:v>
      </x:c>
      <x:c r="BC342" s="34" t="s"/>
      <x:c r="BD342" s="11" t="s">
        <x:v>304</x:v>
      </x:c>
      <x:c r="BE342" s="12" t="n">
        <x:f>=BO342</x:f>
      </x:c>
      <x:c r="BF342" s="12" t="n">
        <x:v>0.5345911949685534591194968553</x:v>
      </x:c>
      <x:c r="BG342" s="12" t="n">
        <x:v>0</x:v>
      </x:c>
      <x:c r="BH342" s="12" t="n">
        <x:v>0.4654088050314465408805031447</x:v>
      </x:c>
      <x:c r="BI342" s="12" t="n">
        <x:f>=BN342</x:f>
      </x:c>
      <x:c r="BJ342" s="13" t="n">
        <x:v>0</x:v>
      </x:c>
      <x:c r="BK342" s="31" t="n">
        <x:v>26749.32</x:v>
      </x:c>
      <x:c r="BL342" s="31" t="n">
        <x:v>-26642.06598467040000000000</x:v>
      </x:c>
      <x:c r="BM342" s="31" t="n">
        <x:f>=BK342+BL342</x:f>
      </x:c>
      <x:c r="BN342" s="68" t="n">
        <x:f>=BM342/BK342</x:f>
      </x:c>
      <x:c r="BO342" s="68" t="n">
        <x:v>0.5345911949685534591194968553</x:v>
      </x:c>
      <x:c r="BP342" s="31" t="n">
        <x:v>26788.346788320000000000</x:v>
      </x:c>
      <x:c r="BQ342" s="42" t="n">
        <x:v>1184</x:v>
      </x:c>
      <x:c r="BR342" s="31" t="n">
        <x:v>12467.532467520000000000</x:v>
      </x:c>
      <x:c r="BT342" s="31" t="n">
        <x:v>42277.2623291910000000000</x:v>
      </x:c>
      <x:c r="BU342" s="31" t="n">
        <x:v>-26642.06598467040000000000</x:v>
      </x:c>
      <x:c r="BV342" s="31" t="n">
        <x:f>=BT342+BU342</x:f>
      </x:c>
      <x:c r="BW342" s="68" t="n">
        <x:f>=BV342/BT342</x:f>
      </x:c>
      <x:c r="BY342" s="68" t="n">
        <x:f>=BO342</x:f>
      </x:c>
      <x:c r="BZ342" s="68" t="n">
        <x:f>=BF342</x:f>
      </x:c>
      <x:c r="CA342" s="68" t="n">
        <x:f>=BG342</x:f>
      </x:c>
      <x:c r="CB342" s="68" t="n">
        <x:f>=1 - BY342</x:f>
      </x:c>
      <x:c r="CD342" s="68" t="n">
        <x:f>=CA342/(1-BZ342)</x:f>
      </x:c>
    </x:row>
    <x:row r="343">
      <x:c r="A343" s="32" t="s">
        <x:v>628</x:v>
      </x:c>
      <x:c r="B343" t="s"/>
      <x:c r="C343" t="s">
        <x:v>629</x:v>
      </x:c>
      <x:c r="D343" t="s">
        <x:v>108</x:v>
      </x:c>
      <x:c r="E343" t="s">
        <x:v>109</x:v>
      </x:c>
      <x:c r="F343" t="n">
        <x:v>938</x:v>
      </x:c>
      <x:c r="G343" s="33" t="n">
        <x:v>0.0341151385927505330490405117</x:v>
      </x:c>
      <x:c r="H343" s="33" t="n">
        <x:v>0.1140724946695095948827292111</x:v>
      </x:c>
      <x:c r="I343" s="33" t="n">
        <x:v>0.1375266524520255863539445629</x:v>
      </x:c>
      <x:c r="J343" s="33" t="n">
        <x:v>0.2046908315565031982942430704</x:v>
      </x:c>
      <x:c r="K343" s="33" t="n">
        <x:v>0.2953091684434968017057569296</x:v>
      </x:c>
      <x:c r="L343" s="33" t="n">
        <x:v>0.3443496801705756929637526652</x:v>
      </x:c>
      <x:c r="M343" s="33" t="n">
        <x:v>0.368869936034115138592750533</x:v>
      </x:c>
      <x:c r="N343" s="33" t="n">
        <x:v>0.5597014925373134328358208955</x:v>
      </x:c>
      <x:c r="O343" s="24" t="n">
        <x:v>0.7835820895522388059701492537</x:v>
      </x:c>
      <x:c r="BC343" s="34" t="s"/>
      <x:c r="BD343" s="11" t="s">
        <x:v>340</x:v>
      </x:c>
      <x:c r="BE343" s="12" t="n">
        <x:f>=BO343</x:f>
      </x:c>
      <x:c r="BF343" s="12" t="n">
        <x:v>0.9253731343283582089552238806</x:v>
      </x:c>
      <x:c r="BG343" s="12" t="n">
        <x:v>0</x:v>
      </x:c>
      <x:c r="BH343" s="12" t="n">
        <x:v>0.0746268656716417910447761194</x:v>
      </x:c>
      <x:c r="BI343" s="12" t="n">
        <x:f>=BN343</x:f>
      </x:c>
      <x:c r="BJ343" s="13" t="n">
        <x:v>0</x:v>
      </x:c>
      <x:c r="BK343" s="31" t="n">
        <x:v>15374.28</x:v>
      </x:c>
      <x:c r="BL343" s="31" t="n">
        <x:v>-9177.53899363153854742580</x:v>
      </x:c>
      <x:c r="BM343" s="31" t="n">
        <x:f>=BK343+BL343</x:f>
      </x:c>
      <x:c r="BN343" s="68" t="n">
        <x:f>=BM343/BK343</x:f>
      </x:c>
      <x:c r="BO343" s="68" t="n">
        <x:v>0.9253731343283582089552238806</x:v>
      </x:c>
      <x:c r="BP343" s="31" t="n">
        <x:v>9357.136694465503657140</x:v>
      </x:c>
      <x:c r="BQ343" s="42" t="n">
        <x:v>70</x:v>
      </x:c>
      <x:c r="BR343" s="31" t="n">
        <x:v>698.293783169067437100</x:v>
      </x:c>
      <x:c r="BT343" s="31" t="n">
        <x:v>20496.933268397875000000000000</x:v>
      </x:c>
      <x:c r="BU343" s="31" t="n">
        <x:v>-9177.53899363153854742580</x:v>
      </x:c>
      <x:c r="BV343" s="31" t="n">
        <x:f>=BT343+BU343</x:f>
      </x:c>
      <x:c r="BW343" s="68" t="n">
        <x:f>=BV343/BT343</x:f>
      </x:c>
      <x:c r="BY343" s="68" t="n">
        <x:f>=BO343</x:f>
      </x:c>
      <x:c r="BZ343" s="68" t="n">
        <x:f>=BF343</x:f>
      </x:c>
      <x:c r="CA343" s="68" t="n">
        <x:f>=BG343</x:f>
      </x:c>
      <x:c r="CB343" s="68" t="n">
        <x:f>=1 - BY343</x:f>
      </x:c>
      <x:c r="CD343" s="68" t="n">
        <x:f>=CA343/(1-BZ343)</x:f>
      </x:c>
    </x:row>
    <x:row r="344">
      <x:c r="A344" s="32" t="s"/>
      <x:c r="BC344" s="34" t="s"/>
      <x:c r="BD344" s="11" t="s"/>
      <x:c r="BJ344" s="13" t="s"/>
    </x:row>
    <x:row r="345">
      <x:c r="A345" s="17" t="s">
        <x:v>92</x:v>
      </x:c>
      <x:c r="BC345" s="34" t="s"/>
      <x:c r="BD345" s="11" t="s"/>
      <x:c r="BJ345" s="13" t="s"/>
    </x:row>
    <x:row r="346">
      <x:c r="A346" s="32" t="s">
        <x:v>630</x:v>
      </x:c>
      <x:c r="B346" t="s"/>
      <x:c r="C346" t="s">
        <x:v>631</x:v>
      </x:c>
      <x:c r="D346" t="s">
        <x:v>96</x:v>
      </x:c>
      <x:c r="E346" t="s">
        <x:v>109</x:v>
      </x:c>
      <x:c r="F346" t="n">
        <x:v>2158</x:v>
      </x:c>
      <x:c r="G346" s="33" t="n">
        <x:v>0.0180722891566265060240963855</x:v>
      </x:c>
      <x:c r="H346" s="33" t="n">
        <x:v>0.1010194624652455977757182576</x:v>
      </x:c>
      <x:c r="I346" s="33" t="n">
        <x:v>0.1649675625579240037071362373</x:v>
      </x:c>
      <x:c r="J346" s="33" t="n">
        <x:v>0.1756255792400370713623725672</x:v>
      </x:c>
      <x:c r="K346" s="33" t="n">
        <x:v>0.1821130676552363299351251158</x:v>
      </x:c>
      <x:c r="L346" s="33" t="n">
        <x:v>0.2275254865616311399443929564</x:v>
      </x:c>
      <x:c r="M346" s="33" t="n">
        <x:v>0.28266913809082483781278962</x:v>
      </x:c>
      <x:c r="N346" s="33" t="n">
        <x:v>0.3507877664504170528266913809</x:v>
      </x:c>
      <x:c r="O346" s="33" t="n">
        <x:v>0.4036144578313253012048192771</x:v>
      </x:c>
      <x:c r="P346" s="33" t="n">
        <x:v>0.4040778498609823911028730306</x:v>
      </x:c>
      <x:c r="Q346" s="33" t="n">
        <x:v>0.3989805375347544022242817424</x:v>
      </x:c>
      <x:c r="R346" s="33" t="n">
        <x:v>0.3975903614457831325301204819</x:v>
      </x:c>
      <x:c r="S346" s="33" t="n">
        <x:v>0.4119555143651529193697868397</x:v>
      </x:c>
      <x:c r="T346" s="33" t="n">
        <x:v>0.4286376274328081556997219648</x:v>
      </x:c>
      <x:c r="U346" s="33" t="n">
        <x:v>0.4448563484708063021316033364</x:v>
      </x:c>
      <x:c r="V346" s="33" t="n">
        <x:v>0.4545875810936051899907321594</x:v>
      </x:c>
      <x:c r="BC346" s="34" t="s"/>
      <x:c r="BD346" s="11" t="s">
        <x:v>160</x:v>
      </x:c>
      <x:c r="BE346" s="12" t="n">
        <x:f>=BO346</x:f>
      </x:c>
      <x:c r="BF346" s="12" t="n">
        <x:v>0.4559777571825764596848934198</x:v>
      </x:c>
      <x:c r="BG346" s="12" t="n">
        <x:v>-0.0013901760889712696941612604</x:v>
      </x:c>
      <x:c r="BH346" s="12" t="n">
        <x:v>0.5454124189063948100092678406</x:v>
      </x:c>
      <x:c r="BI346" s="12" t="n">
        <x:f>=BN346</x:f>
      </x:c>
      <x:c r="BJ346" s="13" t="n">
        <x:v>0.0143651529193697868396663577</x:v>
      </x:c>
      <x:c r="BK346" s="31" t="n">
        <x:v>16057.60</x:v>
      </x:c>
      <x:c r="BL346" s="31" t="n">
        <x:v>-20942.3110</x:v>
      </x:c>
      <x:c r="BM346" s="31" t="n">
        <x:f>=BK346+BL346</x:f>
      </x:c>
      <x:c r="BN346" s="68" t="n">
        <x:f>=BM346/BK346</x:f>
      </x:c>
      <x:c r="BO346" s="68" t="n">
        <x:v>0.4545875810936051899907321594</x:v>
      </x:c>
      <x:c r="BP346" s="31" t="n">
        <x:v>20803.12</x:v>
      </x:c>
      <x:c r="BQ346" s="42" t="n">
        <x:v>1177</x:v>
      </x:c>
      <x:c r="BR346" s="31" t="n">
        <x:v>11346.28</x:v>
      </x:c>
      <x:c r="BT346" s="31" t="n">
        <x:v>24694.970606627515909793018221</x:v>
      </x:c>
      <x:c r="BU346" s="31" t="n">
        <x:v>-20942.3110</x:v>
      </x:c>
      <x:c r="BV346" s="31" t="n">
        <x:f>=BT346+BU346</x:f>
      </x:c>
      <x:c r="BW346" s="68" t="n">
        <x:f>=BV346/BT346</x:f>
      </x:c>
      <x:c r="BY346" s="68" t="n">
        <x:f>=BO346</x:f>
      </x:c>
      <x:c r="BZ346" s="68" t="n">
        <x:f>=BF346</x:f>
      </x:c>
      <x:c r="CA346" s="68" t="n">
        <x:f>=BG346</x:f>
      </x:c>
      <x:c r="CB346" s="68" t="n">
        <x:f>=1 - BY346</x:f>
      </x:c>
      <x:c r="CD346" s="68" t="n">
        <x:f>=CA346/(1-BZ346)</x:f>
      </x:c>
    </x:row>
    <x:row r="347">
      <x:c r="A347" s="32" t="s">
        <x:v>632</x:v>
      </x:c>
      <x:c r="B347" t="s"/>
      <x:c r="C347" t="s">
        <x:v>633</x:v>
      </x:c>
      <x:c r="D347" t="s">
        <x:v>125</x:v>
      </x:c>
      <x:c r="E347" t="s">
        <x:v>109</x:v>
      </x:c>
      <x:c r="F347" t="n">
        <x:v>1901</x:v>
      </x:c>
      <x:c r="G347" s="33" t="n">
        <x:v>0.0015781167806417674907943188</x:v>
      </x:c>
      <x:c r="H347" s="33" t="n">
        <x:v>0.0015781167806417674907943188</x:v>
      </x:c>
      <x:c r="I347" s="33" t="n">
        <x:v>0.0042083114150447133087848501</x:v>
      </x:c>
      <x:c r="J347" s="33" t="n">
        <x:v>0.0320883745397159389794844819</x:v>
      </x:c>
      <x:c r="K347" s="33" t="n">
        <x:v>0.0357706470278800631246712257</x:v>
      </x:c>
      <x:c r="L347" s="33" t="n">
        <x:v>0.0341925302472382956338769069</x:v>
      </x:c>
      <x:c r="M347" s="33" t="n">
        <x:v>0.0352446081009994739610731194</x:v>
      </x:c>
      <x:c r="N347" s="33" t="n">
        <x:v>0.0557601262493424513413992635</x:v>
      </x:c>
      <x:c r="O347" s="33" t="n">
        <x:v>0.0846922672277748553392951078</x:v>
      </x:c>
      <x:c r="P347" s="33" t="n">
        <x:v>0.1367701209889531825355076276</x:v>
      </x:c>
      <x:c r="Q347" s="33" t="n">
        <x:v>0.1856917411888479747501315097</x:v>
      </x:c>
      <x:c r="R347" s="23" t="n">
        <x:v>0.2225144660704892162019989479</x:v>
      </x:c>
      <x:c r="BC347" s="34" t="s"/>
      <x:c r="BD347" s="11" t="s">
        <x:v>335</x:v>
      </x:c>
      <x:c r="BE347" s="12" t="n">
        <x:f>=BO347</x:f>
      </x:c>
      <x:c r="BF347" s="12" t="n">
        <x:v>0.6349289847448711204629142557</x:v>
      </x:c>
      <x:c r="BG347" s="12" t="n">
        <x:v>0.0015781167806417674907943188</x:v>
      </x:c>
      <x:c r="BH347" s="12" t="n">
        <x:v>0.3634928984744871120462914256</x:v>
      </x:c>
      <x:c r="BI347" s="12" t="n">
        <x:f>=BN347</x:f>
      </x:c>
      <x:c r="BJ347" s="13" t="n">
        <x:v>0</x:v>
      </x:c>
      <x:c r="BK347" s="31" t="n">
        <x:v>13643.52</x:v>
      </x:c>
      <x:c r="BL347" s="31" t="n">
        <x:v>-14233.9276</x:v>
      </x:c>
      <x:c r="BM347" s="31" t="n">
        <x:f>=BK347+BL347</x:f>
      </x:c>
      <x:c r="BN347" s="68" t="n">
        <x:f>=BM347/BK347</x:f>
      </x:c>
      <x:c r="BO347" s="68" t="n">
        <x:v>0.6365071015255128879537085744</x:v>
      </x:c>
      <x:c r="BP347" s="31" t="n">
        <x:v>13668.19</x:v>
      </x:c>
      <x:c r="BQ347" s="42" t="n">
        <x:v>691</x:v>
      </x:c>
      <x:c r="BR347" s="31" t="n">
        <x:v>4968.29</x:v>
      </x:c>
      <x:c r="BT347" s="31" t="n">
        <x:v>20361.179757648812500000000000</x:v>
      </x:c>
      <x:c r="BU347" s="31" t="n">
        <x:v>-14233.9276</x:v>
      </x:c>
      <x:c r="BV347" s="31" t="n">
        <x:f>=BT347+BU347</x:f>
      </x:c>
      <x:c r="BW347" s="68" t="n">
        <x:f>=BV347/BT347</x:f>
      </x:c>
      <x:c r="BY347" s="68" t="n">
        <x:f>=BO347</x:f>
      </x:c>
      <x:c r="BZ347" s="68" t="n">
        <x:f>=BF347</x:f>
      </x:c>
      <x:c r="CA347" s="68" t="n">
        <x:f>=BG347</x:f>
      </x:c>
      <x:c r="CB347" s="68" t="n">
        <x:f>=1 - BY347</x:f>
      </x:c>
      <x:c r="CD347" s="68" t="n">
        <x:f>=CA347/(1-BZ347)</x:f>
      </x:c>
    </x:row>
    <x:row r="348">
      <x:c r="A348" s="32" t="s">
        <x:v>634</x:v>
      </x:c>
      <x:c r="B348" t="s"/>
      <x:c r="C348" t="s">
        <x:v>635</x:v>
      </x:c>
      <x:c r="D348" t="s">
        <x:v>125</x:v>
      </x:c>
      <x:c r="E348" t="s">
        <x:v>109</x:v>
      </x:c>
      <x:c r="F348" t="n">
        <x:v>2050</x:v>
      </x:c>
      <x:c r="G348" s="33" t="n">
        <x:v>0.000487804878048780487804878</x:v>
      </x:c>
      <x:c r="H348" s="33" t="n">
        <x:v>0.000487804878048780487804878</x:v>
      </x:c>
      <x:c r="I348" s="33" t="n">
        <x:v>0.0019512195121951219512195122</x:v>
      </x:c>
      <x:c r="J348" s="33" t="n">
        <x:v>0.0248780487804878048780487805</x:v>
      </x:c>
      <x:c r="K348" s="33" t="n">
        <x:v>0.0365853658536585365853658537</x:v>
      </x:c>
      <x:c r="L348" s="33" t="n">
        <x:v>0.0341463414634146341463414634</x:v>
      </x:c>
      <x:c r="M348" s="33" t="n">
        <x:v>0.0434146341463414634146341463</x:v>
      </x:c>
      <x:c r="N348" s="33" t="n">
        <x:v>0.0536585365853658536585365854</x:v>
      </x:c>
      <x:c r="O348" s="33" t="n">
        <x:v>0.1</x:v>
      </x:c>
      <x:c r="P348" s="33" t="n">
        <x:v>0.1468292682926829268292682927</x:v>
      </x:c>
      <x:c r="Q348" s="33" t="n">
        <x:v>0.1780487804878048780487804878</x:v>
      </x:c>
      <x:c r="R348" s="23" t="n">
        <x:v>0.2078048780487804878048780488</x:v>
      </x:c>
      <x:c r="BC348" s="34" t="s"/>
      <x:c r="BD348" s="11" t="s">
        <x:v>335</x:v>
      </x:c>
      <x:c r="BE348" s="12" t="n">
        <x:f>=BO348</x:f>
      </x:c>
      <x:c r="BF348" s="12" t="n">
        <x:v>0.5380487804878048780487804878</x:v>
      </x:c>
      <x:c r="BG348" s="12" t="n">
        <x:v>0.0039024390243902439024390244</x:v>
      </x:c>
      <x:c r="BH348" s="12" t="n">
        <x:v>0.4580487804878048780487804878</x:v>
      </x:c>
      <x:c r="BI348" s="12" t="n">
        <x:f>=BN348</x:f>
      </x:c>
      <x:c r="BJ348" s="13" t="n">
        <x:v>0</x:v>
      </x:c>
      <x:c r="BK348" s="31" t="n">
        <x:v>18090.06</x:v>
      </x:c>
      <x:c r="BL348" s="31" t="n">
        <x:v>-20864.0800</x:v>
      </x:c>
      <x:c r="BM348" s="31" t="n">
        <x:f>=BK348+BL348</x:f>
      </x:c>
      <x:c r="BN348" s="68" t="n">
        <x:f>=BM348/BK348</x:f>
      </x:c>
      <x:c r="BO348" s="68" t="n">
        <x:v>0.5419512195121951219512195122</x:v>
      </x:c>
      <x:c r="BP348" s="31" t="n">
        <x:v>20254.00</x:v>
      </x:c>
      <x:c r="BQ348" s="42" t="n">
        <x:v>939</x:v>
      </x:c>
      <x:c r="BR348" s="31" t="n">
        <x:v>9277.32</x:v>
      </x:c>
      <x:c r="BT348" s="31" t="n">
        <x:v>23151.113571657921875000000000</x:v>
      </x:c>
      <x:c r="BU348" s="31" t="n">
        <x:v>-20864.0800</x:v>
      </x:c>
      <x:c r="BV348" s="31" t="n">
        <x:f>=BT348+BU348</x:f>
      </x:c>
      <x:c r="BW348" s="68" t="n">
        <x:f>=BV348/BT348</x:f>
      </x:c>
      <x:c r="BY348" s="68" t="n">
        <x:f>=BO348</x:f>
      </x:c>
      <x:c r="BZ348" s="68" t="n">
        <x:f>=BF348</x:f>
      </x:c>
      <x:c r="CA348" s="68" t="n">
        <x:f>=BG348</x:f>
      </x:c>
      <x:c r="CB348" s="68" t="n">
        <x:f>=1 - BY348</x:f>
      </x:c>
      <x:c r="CD348" s="68" t="n">
        <x:f>=CA348/(1-BZ348)</x:f>
      </x:c>
    </x:row>
    <x:row r="349">
      <x:c r="A349" s="32" t="s">
        <x:v>636</x:v>
      </x:c>
      <x:c r="B349" t="s"/>
      <x:c r="C349" t="s">
        <x:v>637</x:v>
      </x:c>
      <x:c r="D349" t="s">
        <x:v>125</x:v>
      </x:c>
      <x:c r="E349" t="s">
        <x:v>109</x:v>
      </x:c>
      <x:c r="F349" t="n">
        <x:v>5010</x:v>
      </x:c>
      <x:c r="G349" s="33" t="n">
        <x:v>0.0007984031936127744510978044</x:v>
      </x:c>
      <x:c r="H349" s="33" t="n">
        <x:v>0.0059880239520958083832335329</x:v>
      </x:c>
      <x:c r="I349" s="33" t="n">
        <x:v>0.0606786427145708582834331337</x:v>
      </x:c>
      <x:c r="J349" s="33" t="n">
        <x:v>0.1273453093812375249500998004</x:v>
      </x:c>
      <x:c r="K349" s="33" t="n">
        <x:v>0.1910179640718562874251497006</x:v>
      </x:c>
      <x:c r="L349" s="33" t="n">
        <x:v>0.2443113772455089820359281437</x:v>
      </x:c>
      <x:c r="M349" s="33" t="n">
        <x:v>0.3027944111776447105788423154</x:v>
      </x:c>
      <x:c r="N349" s="23" t="n">
        <x:v>0.3397205588822355289421157685</x:v>
      </x:c>
      <x:c r="BC349" s="34" t="s"/>
      <x:c r="BD349" s="11" t="s">
        <x:v>210</x:v>
      </x:c>
      <x:c r="BE349" s="12" t="n">
        <x:f>=BO349</x:f>
      </x:c>
      <x:c r="BF349" s="12" t="n">
        <x:v>0.5011976047904191616766467066</x:v>
      </x:c>
      <x:c r="BG349" s="12" t="n">
        <x:v>0.0007984031936127744510978044</x:v>
      </x:c>
      <x:c r="BH349" s="12" t="n">
        <x:v>0.498003992015968063872255489</x:v>
      </x:c>
      <x:c r="BI349" s="12" t="n">
        <x:f>=BN349</x:f>
      </x:c>
      <x:c r="BJ349" s="13" t="n">
        <x:v>0</x:v>
      </x:c>
      <x:c r="BK349" s="31" t="n">
        <x:v>38501.11</x:v>
      </x:c>
      <x:c r="BL349" s="31" t="n">
        <x:v>-44677.1760</x:v>
      </x:c>
      <x:c r="BM349" s="31" t="n">
        <x:f>=BK349+BL349</x:f>
      </x:c>
      <x:c r="BN349" s="68" t="n">
        <x:f>=BM349/BK349</x:f>
      </x:c>
      <x:c r="BO349" s="68" t="n">
        <x:v>0.501996007984031936127744511</x:v>
      </x:c>
      <x:c r="BP349" s="31" t="n">
        <x:v>43186.20</x:v>
      </x:c>
      <x:c r="BQ349" s="42" t="n">
        <x:v>2495</x:v>
      </x:c>
      <x:c r="BR349" s="31" t="n">
        <x:v>21506.90</x:v>
      </x:c>
      <x:c r="BT349" s="31" t="n">
        <x:v>61033.5883798712500000000</x:v>
      </x:c>
      <x:c r="BU349" s="31" t="n">
        <x:v>-44677.1760</x:v>
      </x:c>
      <x:c r="BV349" s="31" t="n">
        <x:f>=BT349+BU349</x:f>
      </x:c>
      <x:c r="BW349" s="68" t="n">
        <x:f>=BV349/BT349</x:f>
      </x:c>
      <x:c r="BY349" s="68" t="n">
        <x:f>=BO349</x:f>
      </x:c>
      <x:c r="BZ349" s="68" t="n">
        <x:f>=BF349</x:f>
      </x:c>
      <x:c r="CA349" s="68" t="n">
        <x:f>=BG349</x:f>
      </x:c>
      <x:c r="CB349" s="68" t="n">
        <x:f>=1 - BY349</x:f>
      </x:c>
      <x:c r="CD349" s="68" t="n">
        <x:f>=CA349/(1-BZ349)</x:f>
      </x:c>
    </x:row>
    <x:row r="350">
      <x:c r="A350" s="32" t="s">
        <x:v>638</x:v>
      </x:c>
      <x:c r="B350" t="s"/>
      <x:c r="C350" t="s">
        <x:v>639</x:v>
      </x:c>
      <x:c r="D350" t="s">
        <x:v>125</x:v>
      </x:c>
      <x:c r="E350" t="s">
        <x:v>109</x:v>
      </x:c>
      <x:c r="F350" t="n">
        <x:v>2680</x:v>
      </x:c>
      <x:c r="G350" s="33" t="n">
        <x:v>0.019402985074626865671641791</x:v>
      </x:c>
      <x:c r="H350" s="33" t="n">
        <x:v>0.0794776119402985074626865672</x:v>
      </x:c>
      <x:c r="I350" s="33" t="n">
        <x:v>0.1451492537313432835820895522</x:v>
      </x:c>
      <x:c r="J350" s="23" t="n">
        <x:v>0.2123134328358208955223880597</x:v>
      </x:c>
      <x:c r="BC350" s="34" t="s"/>
      <x:c r="BD350" s="11" t="s">
        <x:v>505</x:v>
      </x:c>
      <x:c r="BE350" s="12" t="n">
        <x:f>=BO350</x:f>
      </x:c>
      <x:c r="BF350" s="12" t="n">
        <x:v>0.525</x:v>
      </x:c>
      <x:c r="BG350" s="12" t="n">
        <x:v>0.001865671641791044776119403</x:v>
      </x:c>
      <x:c r="BH350" s="12" t="n">
        <x:v>0.473134328358208955223880597</x:v>
      </x:c>
      <x:c r="BI350" s="12" t="n">
        <x:f>=BN350</x:f>
      </x:c>
      <x:c r="BJ350" s="13" t="n">
        <x:v>0</x:v>
      </x:c>
      <x:c r="BK350" s="31" t="n">
        <x:v>19458.16</x:v>
      </x:c>
      <x:c r="BL350" s="31" t="n">
        <x:v>-24570.2400</x:v>
      </x:c>
      <x:c r="BM350" s="31" t="n">
        <x:f>=BK350+BL350</x:f>
      </x:c>
      <x:c r="BN350" s="68" t="n">
        <x:f>=BM350/BK350</x:f>
      </x:c>
      <x:c r="BO350" s="68" t="n">
        <x:v>0.526865671641791044776119403</x:v>
      </x:c>
      <x:c r="BP350" s="31" t="n">
        <x:v>21225.60</x:v>
      </x:c>
      <x:c r="BQ350" s="42" t="n">
        <x:v>1268</x:v>
      </x:c>
      <x:c r="BR350" s="31" t="n">
        <x:v>10042.56</x:v>
      </x:c>
      <x:c r="BT350" s="31" t="n">
        <x:v>30650.511678852500000000000000</x:v>
      </x:c>
      <x:c r="BU350" s="31" t="n">
        <x:v>-24570.2400</x:v>
      </x:c>
      <x:c r="BV350" s="31" t="n">
        <x:f>=BT350+BU350</x:f>
      </x:c>
      <x:c r="BW350" s="68" t="n">
        <x:f>=BV350/BT350</x:f>
      </x:c>
      <x:c r="BY350" s="68" t="n">
        <x:f>=BO350</x:f>
      </x:c>
      <x:c r="BZ350" s="68" t="n">
        <x:f>=BF350</x:f>
      </x:c>
      <x:c r="CA350" s="68" t="n">
        <x:f>=BG350</x:f>
      </x:c>
      <x:c r="CB350" s="68" t="n">
        <x:f>=1 - BY350</x:f>
      </x:c>
      <x:c r="CD350" s="68" t="n">
        <x:f>=CA350/(1-BZ350)</x:f>
      </x:c>
    </x:row>
    <x:row r="351">
      <x:c r="A351" s="35" t="s"/>
      <x:c r="B351" s="6" t="s"/>
      <x:c r="C351" s="6" t="s"/>
      <x:c r="D351" s="6" t="s"/>
      <x:c r="E351" s="6" t="s"/>
      <x:c r="F351" s="6" t="s"/>
      <x:c r="G351" s="6" t="s"/>
      <x:c r="H351" s="6" t="s"/>
      <x:c r="I351" s="6" t="s"/>
      <x:c r="J351" s="6" t="s"/>
      <x:c r="K351" s="6" t="s"/>
      <x:c r="L351" s="6" t="s"/>
      <x:c r="M351" s="6" t="s"/>
      <x:c r="N351" s="6" t="s"/>
      <x:c r="O351" s="6" t="s"/>
      <x:c r="P351" s="6" t="s"/>
      <x:c r="Q351" s="6" t="s"/>
      <x:c r="R351" s="6" t="s"/>
      <x:c r="S351" s="6" t="s"/>
      <x:c r="T351" s="6" t="s"/>
      <x:c r="U351" s="6" t="s"/>
      <x:c r="V351" s="6" t="s"/>
      <x:c r="W351" s="6" t="s"/>
      <x:c r="X351" s="6" t="s"/>
      <x:c r="Y351" s="6" t="s"/>
      <x:c r="Z351" s="6" t="s"/>
      <x:c r="AA351" s="6" t="s"/>
      <x:c r="AB351" s="6" t="s"/>
      <x:c r="AC351" s="6" t="s"/>
      <x:c r="AD351" s="6" t="s"/>
      <x:c r="AE351" s="6" t="s"/>
      <x:c r="AF351" s="6" t="s"/>
      <x:c r="AG351" s="6" t="s"/>
      <x:c r="AH351" s="6" t="s"/>
      <x:c r="AI351" s="6" t="s"/>
      <x:c r="AJ351" s="6" t="s"/>
      <x:c r="AK351" s="6" t="s"/>
      <x:c r="AL351" s="6" t="s"/>
      <x:c r="AM351" s="6" t="s"/>
      <x:c r="AN351" s="6" t="s"/>
      <x:c r="AO351" s="6" t="s"/>
      <x:c r="AP351" s="6" t="s"/>
      <x:c r="AQ351" s="6" t="s"/>
      <x:c r="AR351" s="6" t="s"/>
      <x:c r="AS351" s="6" t="s"/>
      <x:c r="AT351" s="6" t="s"/>
      <x:c r="AU351" s="6" t="s"/>
      <x:c r="AV351" s="6" t="s"/>
      <x:c r="AW351" s="6" t="s"/>
      <x:c r="AX351" s="6" t="s"/>
      <x:c r="AY351" s="6" t="s"/>
      <x:c r="AZ351" s="6" t="s"/>
      <x:c r="BA351" s="6" t="s"/>
      <x:c r="BB351" s="6" t="s"/>
      <x:c r="BC351" s="8" t="s"/>
      <x:c r="BD351" s="14" t="s">
        <x:v>127</x:v>
      </x:c>
      <x:c r="BE351" s="15" t="s"/>
      <x:c r="BF351" s="15" t="s"/>
      <x:c r="BG351" s="15" t="s"/>
      <x:c r="BH351" s="15" t="s"/>
      <x:c r="BI351" s="38">
        <x:f>=BM352/BK352</x:f>
      </x:c>
      <x:c r="BJ351" s="16">
        <x:f>=BR352/BP352</x:f>
      </x:c>
      <x:c r="BK351" s="21" t="n">
        <x:v>147874.05</x:v>
      </x:c>
      <x:c r="BL351" s="21" t="n">
        <x:v>-161107.33957830193854742580</x:v>
      </x:c>
      <x:c r="BM351" s="21" t="n">
        <x:f>=BK351+BL351</x:f>
      </x:c>
      <x:c r="BN351" s="22" t="n">
        <x:v>-0.0894902762066903459222615462</x:v>
      </x:c>
      <x:c r="BP351" s="21" t="n">
        <x:v>-155282.593482785503657140</x:v>
      </x:c>
      <x:c r="BQ351" s="21" t="n">
        <x:v>7824</x:v>
      </x:c>
      <x:c r="BR351" s="21" t="n">
        <x:v>70304.439060778530213151053756</x:v>
      </x:c>
      <x:c r="BT351" s="21" t="n">
        <x:v>222665.55959224687528479301822</x:v>
      </x:c>
      <x:c r="BU351" s="21" t="n">
        <x:v>-161107.33957830193854742580</x:v>
      </x:c>
      <x:c r="BV351" s="21" t="n">
        <x:f>=BT351+BU351</x:f>
      </x:c>
      <x:c r="BW351" s="22" t="n">
        <x:v>0.2764604464501494871392631324</x:v>
      </x:c>
    </x:row>
    <x:row r="352">
      <x:c r="BK352" s="19" t="n">
        <x:v>299864.85</x:v>
      </x:c>
      <x:c r="BL352" s="19" t="n">
        <x:v>-334344.35407830193854742580</x:v>
      </x:c>
      <x:c r="BM352" s="19" t="n">
        <x:f>=BK352+BL352</x:f>
      </x:c>
      <x:c r="BN352" s="20" t="n">
        <x:v>-0.1149834803188901218246346646</x:v>
      </x:c>
      <x:c r="BP352" s="19" t="n">
        <x:v>-314757.993482785503657140</x:v>
      </x:c>
      <x:c r="BQ352" s="19" t="n">
        <x:v>18204</x:v>
      </x:c>
      <x:c r="BR352" s="19" t="n">
        <x:v>331569.61480010574090472637926</x:v>
      </x:c>
      <x:c r="BT352" s="19" t="n">
        <x:v>458517.25575137941228479301822</x:v>
      </x:c>
      <x:c r="BU352" s="19" t="n">
        <x:v>-334344.35407830193854742580</x:v>
      </x:c>
      <x:c r="BV352" s="19" t="n">
        <x:f>=BT352+BU352</x:f>
      </x:c>
      <x:c r="BW352" s="20" t="n">
        <x:v>0.2708140208803993513608797315</x:v>
      </x:c>
    </x:row>
    <x:row r="353">
      <x:c r="A353" s="10" t="s">
        <x:v>640</x:v>
      </x:c>
      <x:c r="B353" s="5" t="s"/>
      <x:c r="C353" s="5" t="s"/>
      <x:c r="D353" s="5" t="s"/>
      <x:c r="E353" s="5" t="s"/>
      <x:c r="F353" s="5" t="s"/>
      <x:c r="G353" s="5" t="s"/>
      <x:c r="H353" s="5" t="s"/>
      <x:c r="I353" s="5" t="s"/>
      <x:c r="J353" s="5" t="s"/>
      <x:c r="K353" s="5" t="s"/>
      <x:c r="L353" s="5" t="s"/>
      <x:c r="M353" s="5" t="s"/>
      <x:c r="N353" s="5" t="s"/>
      <x:c r="O353" s="5" t="s"/>
      <x:c r="P353" s="5" t="s"/>
      <x:c r="Q353" s="5" t="s"/>
      <x:c r="R353" s="5" t="s"/>
      <x:c r="S353" s="5" t="s"/>
      <x:c r="T353" s="5" t="s"/>
      <x:c r="U353" s="5" t="s"/>
      <x:c r="V353" s="5" t="s"/>
      <x:c r="W353" s="5" t="s"/>
      <x:c r="X353" s="5" t="s"/>
      <x:c r="Y353" s="5" t="s"/>
      <x:c r="Z353" s="5" t="s"/>
      <x:c r="AA353" s="5" t="s"/>
      <x:c r="AB353" s="5" t="s"/>
      <x:c r="AC353" s="5" t="s"/>
      <x:c r="AD353" s="5" t="s"/>
      <x:c r="AE353" s="5" t="s"/>
      <x:c r="AF353" s="5" t="s"/>
      <x:c r="AG353" s="5" t="s"/>
      <x:c r="AH353" s="5" t="s"/>
      <x:c r="AI353" s="5" t="s"/>
      <x:c r="AJ353" s="5" t="s"/>
      <x:c r="AK353" s="5" t="s"/>
      <x:c r="AL353" s="5" t="s"/>
      <x:c r="AM353" s="5" t="s"/>
      <x:c r="AN353" s="5" t="s"/>
      <x:c r="AO353" s="5" t="s"/>
      <x:c r="AP353" s="5" t="s"/>
      <x:c r="AQ353" s="5" t="s"/>
      <x:c r="AR353" s="5" t="s"/>
      <x:c r="AS353" s="5" t="s"/>
      <x:c r="AT353" s="5" t="s"/>
      <x:c r="AU353" s="5" t="s"/>
      <x:c r="AV353" s="5" t="s"/>
      <x:c r="AW353" s="5" t="s"/>
      <x:c r="AX353" s="5" t="s"/>
      <x:c r="AY353" s="5" t="s"/>
      <x:c r="AZ353" s="5" t="s"/>
      <x:c r="BA353" s="5" t="s"/>
      <x:c r="BB353" s="5" t="s"/>
      <x:c r="BC353" s="7" t="s"/>
      <x:c r="BD353" s="10" t="s"/>
      <x:c r="BE353" s="5" t="s"/>
      <x:c r="BF353" s="5" t="s"/>
      <x:c r="BG353" s="5" t="s"/>
      <x:c r="BH353" s="5" t="s"/>
      <x:c r="BI353" s="5" t="s"/>
      <x:c r="BJ353" s="7" t="s"/>
      <x:c r="BK353" s="49" t="s">
        <x:v>11</x:v>
      </x:c>
      <x:c r="BL353" s="50"/>
      <x:c r="BM353" s="51"/>
      <x:c r="BN353" s="52"/>
      <x:c r="BO353" s="52"/>
      <x:c r="BP353" s="53"/>
      <x:c r="BQ353" s="54"/>
      <x:c r="BR353" s="53"/>
      <x:c r="BT353" s="59" t="s">
        <x:v>27</x:v>
      </x:c>
      <x:c r="BU353" s="60"/>
      <x:c r="BV353" s="60"/>
      <x:c r="BW353" s="60"/>
      <x:c r="BX353" s="60"/>
      <x:c r="BY353" s="61"/>
      <x:c r="BZ353" s="61"/>
      <x:c r="CA353" s="61"/>
      <x:c r="CB353" s="61"/>
      <x:c r="CC353" s="60"/>
      <x:c r="CD353" s="62"/>
    </x:row>
    <x:row r="354" ht="45.75" customHeight="1">
      <x:c r="A354" s="41" t="s">
        <x:v>30</x:v>
      </x:c>
      <x:c r="B354" s="41" t="s">
        <x:v>31</x:v>
      </x:c>
      <x:c r="C354" s="41" t="s">
        <x:v>32</x:v>
      </x:c>
      <x:c r="D354" s="41" t="s">
        <x:v>33</x:v>
      </x:c>
      <x:c r="E354" s="41" t="s">
        <x:v>34</x:v>
      </x:c>
      <x:c r="F354" s="41" t="s">
        <x:v>83</x:v>
      </x:c>
      <x:c r="G354" s="41" t="s">
        <x:v>35</x:v>
      </x:c>
      <x:c r="H354" s="41" t="s">
        <x:v>36</x:v>
      </x:c>
      <x:c r="I354" s="41" t="s">
        <x:v>37</x:v>
      </x:c>
      <x:c r="J354" s="41" t="s">
        <x:v>38</x:v>
      </x:c>
      <x:c r="K354" s="41" t="s">
        <x:v>39</x:v>
      </x:c>
      <x:c r="L354" s="41" t="s">
        <x:v>40</x:v>
      </x:c>
      <x:c r="M354" s="41" t="s">
        <x:v>41</x:v>
      </x:c>
      <x:c r="N354" s="41" t="s">
        <x:v>42</x:v>
      </x:c>
      <x:c r="O354" s="41" t="s">
        <x:v>43</x:v>
      </x:c>
      <x:c r="P354" s="41" t="s">
        <x:v>44</x:v>
      </x:c>
      <x:c r="Q354" s="41" t="s">
        <x:v>45</x:v>
      </x:c>
      <x:c r="R354" s="41" t="s">
        <x:v>46</x:v>
      </x:c>
      <x:c r="S354" s="41" t="s">
        <x:v>47</x:v>
      </x:c>
      <x:c r="T354" s="41" t="s">
        <x:v>48</x:v>
      </x:c>
      <x:c r="U354" s="41" t="s">
        <x:v>49</x:v>
      </x:c>
      <x:c r="V354" s="41" t="s">
        <x:v>50</x:v>
      </x:c>
      <x:c r="W354" s="41" t="s">
        <x:v>51</x:v>
      </x:c>
      <x:c r="X354" s="41" t="s">
        <x:v>52</x:v>
      </x:c>
      <x:c r="Y354" s="41" t="s">
        <x:v>53</x:v>
      </x:c>
      <x:c r="Z354" s="41" t="s">
        <x:v>54</x:v>
      </x:c>
      <x:c r="AA354" s="41" t="s">
        <x:v>55</x:v>
      </x:c>
      <x:c r="AB354" s="41" t="s">
        <x:v>56</x:v>
      </x:c>
      <x:c r="AC354" s="41" t="s">
        <x:v>57</x:v>
      </x:c>
      <x:c r="AD354" s="41" t="s">
        <x:v>58</x:v>
      </x:c>
      <x:c r="AE354" s="41" t="s">
        <x:v>59</x:v>
      </x:c>
      <x:c r="AF354" s="41" t="s">
        <x:v>60</x:v>
      </x:c>
      <x:c r="AG354" s="41" t="s">
        <x:v>61</x:v>
      </x:c>
      <x:c r="AH354" s="41" t="s">
        <x:v>62</x:v>
      </x:c>
      <x:c r="AI354" s="41" t="s">
        <x:v>63</x:v>
      </x:c>
      <x:c r="AJ354" s="41" t="s">
        <x:v>64</x:v>
      </x:c>
      <x:c r="AK354" s="41" t="s">
        <x:v>65</x:v>
      </x:c>
      <x:c r="AL354" s="41" t="s">
        <x:v>66</x:v>
      </x:c>
      <x:c r="AM354" s="41" t="s">
        <x:v>67</x:v>
      </x:c>
      <x:c r="AN354" s="41" t="s">
        <x:v>68</x:v>
      </x:c>
      <x:c r="AO354" s="41" t="s">
        <x:v>69</x:v>
      </x:c>
      <x:c r="AP354" s="41" t="s">
        <x:v>70</x:v>
      </x:c>
      <x:c r="AQ354" s="41" t="s">
        <x:v>71</x:v>
      </x:c>
      <x:c r="AR354" s="41" t="s">
        <x:v>72</x:v>
      </x:c>
      <x:c r="AS354" s="41" t="s">
        <x:v>73</x:v>
      </x:c>
      <x:c r="AT354" s="41" t="s">
        <x:v>74</x:v>
      </x:c>
      <x:c r="AU354" s="41" t="s">
        <x:v>75</x:v>
      </x:c>
      <x:c r="AV354" s="41" t="s">
        <x:v>76</x:v>
      </x:c>
      <x:c r="AW354" s="41" t="s">
        <x:v>77</x:v>
      </x:c>
      <x:c r="AX354" s="41" t="s">
        <x:v>78</x:v>
      </x:c>
      <x:c r="AY354" s="41" t="s">
        <x:v>79</x:v>
      </x:c>
      <x:c r="AZ354" s="41" t="s">
        <x:v>80</x:v>
      </x:c>
      <x:c r="BA354" s="41" t="s">
        <x:v>81</x:v>
      </x:c>
      <x:c r="BB354" s="41" t="s">
        <x:v>82</x:v>
      </x:c>
      <x:c r="BD354" s="32" t="s">
        <x:v>84</x:v>
      </x:c>
      <x:c r="BE354" s="33" t="s">
        <x:v>85</x:v>
      </x:c>
      <x:c r="BF354" s="33" t="s">
        <x:v>86</x:v>
      </x:c>
      <x:c r="BG354" s="33" t="s">
        <x:v>87</x:v>
      </x:c>
      <x:c r="BH354" s="33" t="s">
        <x:v>88</x:v>
      </x:c>
      <x:c r="BI354" s="33" t="s">
        <x:v>89</x:v>
      </x:c>
      <x:c r="BJ354" s="34" t="s">
        <x:v>90</x:v>
      </x:c>
      <x:c r="BK354" s="55" t="s">
        <x:v>12</x:v>
      </x:c>
      <x:c r="BL354" s="56" t="s">
        <x:v>13</x:v>
      </x:c>
      <x:c r="BM354" s="56" t="s">
        <x:v>14</x:v>
      </x:c>
      <x:c r="BN354" s="57" t="s">
        <x:v>15</x:v>
      </x:c>
      <x:c r="BO354" s="57" t="s">
        <x:v>28</x:v>
      </x:c>
      <x:c r="BP354" s="58" t="s">
        <x:v>16</x:v>
      </x:c>
      <x:c r="BQ354" s="55" t="s">
        <x:v>17</x:v>
      </x:c>
      <x:c r="BR354" s="58" t="s">
        <x:v>18</x:v>
      </x:c>
      <x:c r="BT354" s="63" t="s">
        <x:v>19</x:v>
      </x:c>
      <x:c r="BU354" s="64" t="s">
        <x:v>20</x:v>
      </x:c>
      <x:c r="BV354" s="64" t="s">
        <x:v>21</x:v>
      </x:c>
      <x:c r="BW354" s="64" t="s">
        <x:v>15</x:v>
      </x:c>
      <x:c r="BX354" s="64"/>
      <x:c r="BY354" s="65" t="s">
        <x:v>22</x:v>
      </x:c>
      <x:c r="BZ354" s="65" t="s">
        <x:v>23</x:v>
      </x:c>
      <x:c r="CA354" s="65" t="s">
        <x:v>26</x:v>
      </x:c>
      <x:c r="CB354" s="65" t="s">
        <x:v>24</x:v>
      </x:c>
      <x:c r="CC354" s="64"/>
      <x:c r="CD354" s="66" t="s">
        <x:v>25</x:v>
      </x:c>
    </x:row>
    <x:row r="355">
      <x:c r="BD355" s="32" t="s"/>
      <x:c r="BJ355" s="34" t="s"/>
    </x:row>
    <x:row r="356">
      <x:c r="A356" s="36" t="s">
        <x:v>129</x:v>
      </x:c>
      <x:c r="BC356" s="34" t="s"/>
      <x:c r="BD356" s="11" t="s"/>
      <x:c r="BJ356" s="13" t="s"/>
    </x:row>
    <x:row r="357">
      <x:c r="A357" s="17" t="s">
        <x:v>641</x:v>
      </x:c>
      <x:c r="BC357" s="34" t="s"/>
      <x:c r="BD357" s="11" t="s"/>
      <x:c r="BJ357" s="13" t="s"/>
    </x:row>
    <x:row r="358">
      <x:c r="A358" s="32" t="s">
        <x:v>642</x:v>
      </x:c>
      <x:c r="B358" t="s"/>
      <x:c r="C358" t="s">
        <x:v>643</x:v>
      </x:c>
      <x:c r="D358" t="s">
        <x:v>96</x:v>
      </x:c>
      <x:c r="E358" t="s">
        <x:v>132</x:v>
      </x:c>
      <x:c r="F358" t="n">
        <x:v>4151</x:v>
      </x:c>
      <x:c r="G358" s="33" t="n">
        <x:v>0.0002409058058299205010840761</x:v>
      </x:c>
      <x:c r="H358" s="33" t="n">
        <x:v>0.0093953264273668995422789689</x:v>
      </x:c>
      <x:c r="I358" s="33" t="n">
        <x:v>0.0308359431462298241387617442</x:v>
      </x:c>
      <x:c r="J358" s="33" t="n">
        <x:v>0.0308359431462298241387617442</x:v>
      </x:c>
      <x:c r="K358" s="33" t="n">
        <x:v>0.1052758371476752589737412672</x:v>
      </x:c>
      <x:c r="L358" s="33" t="n">
        <x:v>0.1464707299445916646591182848</x:v>
      </x:c>
      <x:c r="M358" s="33" t="n">
        <x:v>0.1806793543724403758130570947</x:v>
      </x:c>
      <x:c r="N358" s="33" t="n">
        <x:v>0.2182606600819079739821729704</x:v>
      </x:c>
      <x:c r="O358" s="33" t="n">
        <x:v>0.259455552878824379667549988</x:v>
      </x:c>
      <x:c r="P358" s="33" t="n">
        <x:v>0.2980004818116116598410021682</x:v>
      </x:c>
      <x:c r="Q358" s="33" t="n">
        <x:v>0.3285955191520115634786798362</x:v>
      </x:c>
      <x:c r="R358" s="33" t="n">
        <x:v>0.36256323777403035413153457</x:v>
      </x:c>
      <x:c r="S358" s="33" t="n">
        <x:v>0.3965309563960491447843893038</x:v>
      </x:c>
      <x:c r="T358" s="33" t="n">
        <x:v>0.4194170079498915923873765358</x:v>
      </x:c>
      <x:c r="U358" s="33" t="n">
        <x:v>0.4314622982413876174415803421</x:v>
      </x:c>
      <x:c r="V358" s="33" t="n">
        <x:v>0.4360395085521561069621777885</x:v>
      </x:c>
      <x:c r="W358" s="33" t="n">
        <x:v>0.4367622259696458684654300169</x:v>
      </x:c>
      <x:c r="X358" s="33" t="n">
        <x:v>0.437003131775475788966514093</x:v>
      </x:c>
      <x:c r="Y358" s="33" t="n">
        <x:v>0.437003131775475788966514093</x:v>
      </x:c>
      <x:c r="Z358" s="33" t="n">
        <x:v>0.437003131775475788966514093</x:v>
      </x:c>
      <x:c r="AA358" s="33" t="n">
        <x:v>0.437003131775475788966514093</x:v>
      </x:c>
      <x:c r="AB358" s="33" t="n">
        <x:v>0.4372440375813057094675981691</x:v>
      </x:c>
      <x:c r="AC358" s="33" t="n">
        <x:v>0.4374849433871356299686822452</x:v>
      </x:c>
      <x:c r="AD358" s="33" t="n">
        <x:v>0.4386894724162852324741026259</x:v>
      </x:c>
      <x:c r="AE358" s="33" t="n">
        <x:v>0.438930378222115152975186702</x:v>
      </x:c>
      <x:c r="AF358" s="33" t="n">
        <x:v>0.4386894724162852324741026259</x:v>
      </x:c>
      <x:c r="AG358" s="33" t="n">
        <x:v>0.438930378222115152975186702</x:v>
      </x:c>
      <x:c r="AH358" s="33" t="n">
        <x:v>0.4391712840279450734762707781</x:v>
      </x:c>
      <x:c r="AI358" s="33" t="n">
        <x:v>0.440857624668754516983859311</x:v>
      </x:c>
      <x:c r="AJ358" s="33" t="n">
        <x:v>0.4413394362804143579860274633</x:v>
      </x:c>
      <x:c r="AK358" s="33" t="n">
        <x:v>0.4497711394844615755239701277</x:v>
      </x:c>
      <x:c r="AL358" s="33" t="n">
        <x:v>0.4613346181642977595760057817</x:v>
      </x:c>
      <x:c r="AM358" s="33" t="n">
        <x:v>0.4748253432907733076367140448</x:v>
      </x:c>
      <x:c r="AN358" s="33" t="n">
        <x:v>0.4861479161647795711876656227</x:v>
      </x:c>
      <x:c r="AO358" s="33" t="n">
        <x:v>0.4926523729221874247169356781</x:v>
      </x:c>
      <x:c r="BC358" s="34" t="s"/>
      <x:c r="BD358" s="11" t="s">
        <x:v>363</x:v>
      </x:c>
      <x:c r="BE358" s="12" t="n">
        <x:f>=BO358</x:f>
      </x:c>
      <x:c r="BF358" s="12" t="n">
        <x:v>0.4926523729221874247169356781</x:v>
      </x:c>
      <x:c r="BG358" s="12" t="n">
        <x:v>0</x:v>
      </x:c>
      <x:c r="BH358" s="12" t="n">
        <x:v>0.5073476270778125752830643219</x:v>
      </x:c>
      <x:c r="BI358" s="12" t="n">
        <x:f>=BN358</x:f>
      </x:c>
      <x:c r="BJ358" s="13" t="n">
        <x:v>0.0104392515859632217136432988</x:v>
      </x:c>
      <x:c r="BK358" s="31" t="n">
        <x:v>7524.46</x:v>
      </x:c>
      <x:c r="BL358" s="31" t="n">
        <x:v>-8464.5068</x:v>
      </x:c>
      <x:c r="BM358" s="31" t="n">
        <x:f>=BK358+BL358</x:f>
      </x:c>
      <x:c r="BN358" s="68" t="n">
        <x:f>=BM358/BK358</x:f>
      </x:c>
      <x:c r="BO358" s="68" t="n">
        <x:v>0.4926523729221874247169356781</x:v>
      </x:c>
      <x:c r="BP358" s="31" t="n">
        <x:v>8322.75</x:v>
      </x:c>
      <x:c r="BQ358" s="42" t="n">
        <x:v>2106</x:v>
      </x:c>
      <x:c r="BR358" s="31" t="n">
        <x:v>4222.5274632618646109371235846</x:v>
      </x:c>
      <x:c r="BT358" s="31" t="n">
        <x:v>10567.568398765215687424716936</x:v>
      </x:c>
      <x:c r="BU358" s="31" t="n">
        <x:v>-8464.5068</x:v>
      </x:c>
      <x:c r="BV358" s="31" t="n">
        <x:f>=BT358+BU358</x:f>
      </x:c>
      <x:c r="BW358" s="68" t="n">
        <x:f>=BV358/BT358</x:f>
      </x:c>
      <x:c r="BY358" s="68" t="n">
        <x:f>=BO358</x:f>
      </x:c>
      <x:c r="BZ358" s="68" t="n">
        <x:f>=BF358</x:f>
      </x:c>
      <x:c r="CA358" s="68" t="n">
        <x:f>=BG358</x:f>
      </x:c>
      <x:c r="CB358" s="68" t="n">
        <x:f>=1 - BY358</x:f>
      </x:c>
      <x:c r="CD358" s="68" t="n">
        <x:f>=CA358/(1-BZ358)</x:f>
      </x:c>
    </x:row>
    <x:row r="359">
      <x:c r="BC359" s="34" t="s"/>
      <x:c r="BD359" s="11" t="s"/>
      <x:c r="BJ359" s="13" t="s"/>
      <x:c r="BK359" s="21" t="n">
        <x:v>7524.46</x:v>
      </x:c>
      <x:c r="BL359" s="21" t="n">
        <x:v>-8464.5068</x:v>
      </x:c>
      <x:c r="BM359" s="21" t="n">
        <x:f>=BK359+BL359</x:f>
      </x:c>
      <x:c r="BN359" s="22" t="n">
        <x:v>-0.1249321280198180334535634451</x:v>
      </x:c>
      <x:c r="BP359" s="21" t="n">
        <x:v>-8322.75</x:v>
      </x:c>
      <x:c r="BQ359" s="21" t="n">
        <x:v>2106</x:v>
      </x:c>
      <x:c r="BR359" s="21" t="n">
        <x:v>4222.5274632618646109371235846</x:v>
      </x:c>
      <x:c r="BT359" s="21" t="n">
        <x:v>10567.568398765215687424716936</x:v>
      </x:c>
      <x:c r="BU359" s="21" t="n">
        <x:v>-8464.5068</x:v>
      </x:c>
      <x:c r="BV359" s="21" t="n">
        <x:f>=BT359+BU359</x:f>
      </x:c>
      <x:c r="BW359" s="22" t="n">
        <x:v>0.1990109284753672623436383082</x:v>
      </x:c>
    </x:row>
    <x:row r="360">
      <x:c r="A360" s="36" t="s">
        <x:v>104</x:v>
      </x:c>
      <x:c r="BC360" s="34" t="s"/>
      <x:c r="BD360" s="11" t="s"/>
      <x:c r="BJ360" s="13" t="s"/>
    </x:row>
    <x:row r="361">
      <x:c r="A361" s="17" t="s">
        <x:v>30</x:v>
      </x:c>
      <x:c r="BC361" s="34" t="s"/>
      <x:c r="BD361" s="11" t="s"/>
      <x:c r="BJ361" s="13" t="s"/>
    </x:row>
    <x:row r="362">
      <x:c r="A362" s="32" t="s">
        <x:v>644</x:v>
      </x:c>
      <x:c r="B362" t="s"/>
      <x:c r="C362" t="s">
        <x:v>645</x:v>
      </x:c>
      <x:c r="D362" t="s">
        <x:v>108</x:v>
      </x:c>
      <x:c r="E362" t="s">
        <x:v>109</x:v>
      </x:c>
      <x:c r="F362" t="n">
        <x:v>318</x:v>
      </x:c>
      <x:c r="G362" s="33" t="n">
        <x:v>0.0628930817610062893081761006</x:v>
      </x:c>
      <x:c r="H362" s="33" t="n">
        <x:v>0.2893081761006289308176100629</x:v>
      </x:c>
      <x:c r="I362" s="33" t="n">
        <x:v>0.5471698113207547169811320755</x:v>
      </x:c>
      <x:c r="J362" s="24" t="n">
        <x:v>0.9056603773584905660377358491</x:v>
      </x:c>
      <x:c r="K362" s="33" t="n">
        <x:v>0.9528301886792452830188679245</x:v>
      </x:c>
      <x:c r="L362" s="33" t="n">
        <x:v>0.9654088050314465408805031447</x:v>
      </x:c>
      <x:c r="M362" s="33" t="n">
        <x:v>0.9654088050314465408805031447</x:v>
      </x:c>
      <x:c r="N362" s="33" t="n">
        <x:v>0.9685534591194968553459119497</x:v>
      </x:c>
      <x:c r="O362" s="33" t="n">
        <x:v>0.9685534591194968553459119497</x:v>
      </x:c>
      <x:c r="P362" s="33" t="n">
        <x:v>0.9685534591194968553459119497</x:v>
      </x:c>
      <x:c r="Q362" s="33" t="n">
        <x:v>0.9748427672955974842767295597</x:v>
      </x:c>
      <x:c r="R362" s="33" t="n">
        <x:v>0.9748427672955974842767295597</x:v>
      </x:c>
      <x:c r="S362" s="33" t="n">
        <x:v>0.9874213836477987421383647799</x:v>
      </x:c>
      <x:c r="T362" s="33" t="n">
        <x:v>0.9874213836477987421383647799</x:v>
      </x:c>
      <x:c r="U362" s="33" t="n">
        <x:v>0.9874213836477987421383647799</x:v>
      </x:c>
      <x:c r="V362" s="33" t="n">
        <x:v>0.9905660377358490566037735849</x:v>
      </x:c>
      <x:c r="W362" s="33" t="n">
        <x:v>0.9905660377358490566037735849</x:v>
      </x:c>
      <x:c r="X362" s="33" t="n">
        <x:v>0.9905660377358490566037735849</x:v>
      </x:c>
      <x:c r="Y362" s="33" t="n">
        <x:v>0.9905660377358490566037735849</x:v>
      </x:c>
      <x:c r="Z362" s="33" t="n">
        <x:v>0.9905660377358490566037735849</x:v>
      </x:c>
      <x:c r="AA362" s="33" t="n">
        <x:v>0.9905660377358490566037735849</x:v>
      </x:c>
      <x:c r="AB362" s="33" t="n">
        <x:v>0.9937106918238993710691823899</x:v>
      </x:c>
      <x:c r="AC362" s="33" t="n">
        <x:v>0.9937106918238993710691823899</x:v>
      </x:c>
      <x:c r="AD362" s="33" t="n">
        <x:v>0.9937106918238993710691823899</x:v>
      </x:c>
      <x:c r="AE362" s="33" t="n">
        <x:v>0.9937106918238993710691823899</x:v>
      </x:c>
      <x:c r="AF362" s="33" t="n">
        <x:v>0.9937106918238993710691823899</x:v>
      </x:c>
      <x:c r="AG362" s="33" t="n">
        <x:v>0.9937106918238993710691823899</x:v>
      </x:c>
      <x:c r="BC362" s="34" t="s"/>
      <x:c r="BD362" s="11" t="s">
        <x:v>227</x:v>
      </x:c>
      <x:c r="BE362" s="12" t="n">
        <x:f>=BO362</x:f>
      </x:c>
      <x:c r="BF362" s="12" t="n">
        <x:v>0.996855345911949685534591195</x:v>
      </x:c>
      <x:c r="BG362" s="12" t="n">
        <x:v>-0.003144654088050314465408805</x:v>
      </x:c>
      <x:c r="BH362" s="12" t="n">
        <x:v>0.0062893081761006289308176101</x:v>
      </x:c>
      <x:c r="BI362" s="12" t="n">
        <x:f>=BN362</x:f>
      </x:c>
      <x:c r="BJ362" s="13" t="n">
        <x:v>0</x:v>
      </x:c>
      <x:c r="BK362" s="31" t="n">
        <x:v>471.01</x:v>
      </x:c>
      <x:c r="BL362" s="31" t="n">
        <x:v>-289.18272321352215000000</x:v>
      </x:c>
      <x:c r="BM362" s="31" t="n">
        <x:f>=BK362+BL362</x:f>
      </x:c>
      <x:c r="BN362" s="68" t="n">
        <x:f>=BM362/BK362</x:f>
      </x:c>
      <x:c r="BO362" s="68" t="n">
        <x:v>0.9937106918238993710691823899</x:v>
      </x:c>
      <x:c r="BP362" s="31" t="n">
        <x:v>290.127343519095000000</x:v>
      </x:c>
      <x:c r="BQ362" s="42" t="n">
        <x:v>2</x:v>
      </x:c>
      <x:c r="BR362" s="31" t="n">
        <x:v>1.824700273705000000</x:v>
      </x:c>
      <x:c r="BT362" s="31" t="n">
        <x:v>624.2462729854375000000</x:v>
      </x:c>
      <x:c r="BU362" s="31" t="n">
        <x:v>-289.18272321352215000000</x:v>
      </x:c>
      <x:c r="BV362" s="31" t="n">
        <x:f>=BT362+BU362</x:f>
      </x:c>
      <x:c r="BW362" s="68" t="n">
        <x:f>=BV362/BT362</x:f>
      </x:c>
      <x:c r="BY362" s="68" t="n">
        <x:f>=BO362</x:f>
      </x:c>
      <x:c r="BZ362" s="68" t="n">
        <x:f>=BF362</x:f>
      </x:c>
      <x:c r="CA362" s="68" t="n">
        <x:f>=BG362</x:f>
      </x:c>
      <x:c r="CB362" s="68" t="n">
        <x:f>=1 - BY362</x:f>
      </x:c>
      <x:c r="CD362" s="68" t="n">
        <x:f>=CA362/(1-BZ362)</x:f>
      </x:c>
    </x:row>
    <x:row r="363">
      <x:c r="BC363" s="34" t="s"/>
      <x:c r="BD363" s="11" t="s"/>
      <x:c r="BJ363" s="13" t="s"/>
      <x:c r="BK363" s="21" t="n">
        <x:v>471.01</x:v>
      </x:c>
      <x:c r="BL363" s="21" t="n">
        <x:v>-289.18272321352215000000</x:v>
      </x:c>
      <x:c r="BM363" s="21" t="n">
        <x:f>=BK363+BL363</x:f>
      </x:c>
      <x:c r="BN363" s="22" t="n">
        <x:v>0.3860369775301540306999851383</x:v>
      </x:c>
      <x:c r="BP363" s="21" t="n">
        <x:v>-290.127343519095000000</x:v>
      </x:c>
      <x:c r="BQ363" s="21" t="n">
        <x:v>2</x:v>
      </x:c>
      <x:c r="BR363" s="21" t="n">
        <x:v>1.824700273705000000</x:v>
      </x:c>
      <x:c r="BT363" s="21" t="n">
        <x:v>624.2462729854375000000</x:v>
      </x:c>
      <x:c r="BU363" s="21" t="n">
        <x:v>-289.18272321352215000000</x:v>
      </x:c>
      <x:c r="BV363" s="21" t="n">
        <x:f>=BT363+BU363</x:f>
      </x:c>
      <x:c r="BW363" s="22" t="n">
        <x:v>0.5367489791640802587684442912</x:v>
      </x:c>
    </x:row>
    <x:row r="364">
      <x:c r="A364" s="36" t="s">
        <x:v>129</x:v>
      </x:c>
      <x:c r="BC364" s="34" t="s"/>
      <x:c r="BD364" s="11" t="s"/>
      <x:c r="BJ364" s="13" t="s"/>
    </x:row>
    <x:row r="365">
      <x:c r="A365" s="17" t="s">
        <x:v>641</x:v>
      </x:c>
      <x:c r="BC365" s="34" t="s"/>
      <x:c r="BD365" s="11" t="s"/>
      <x:c r="BJ365" s="13" t="s"/>
    </x:row>
    <x:row r="366">
      <x:c r="A366" s="32" t="s">
        <x:v>646</x:v>
      </x:c>
      <x:c r="B366" t="s"/>
      <x:c r="C366" t="s">
        <x:v>647</x:v>
      </x:c>
      <x:c r="D366" t="s">
        <x:v>125</x:v>
      </x:c>
      <x:c r="E366" t="s">
        <x:v>132</x:v>
      </x:c>
      <x:c r="F366" t="n">
        <x:v>2123</x:v>
      </x:c>
      <x:c r="G366" s="33" t="n">
        <x:v>0.0037682524729156853509185115</x:v>
      </x:c>
      <x:c r="H366" s="33" t="n">
        <x:v>0.0098916627414036740461610928</x:v>
      </x:c>
      <x:c r="I366" s="33" t="n">
        <x:v>0.0103626943005181347150259067</x:v>
      </x:c>
      <x:c r="J366" s="33" t="n">
        <x:v>0.0103626943005181347150259067</x:v>
      </x:c>
      <x:c r="K366" s="33" t="n">
        <x:v>0.0103626943005181347150259067</x:v>
      </x:c>
      <x:c r="L366" s="33" t="n">
        <x:v>0.0103626943005181347150259067</x:v>
      </x:c>
      <x:c r="M366" s="33" t="n">
        <x:v>0.0103626943005181347150259067</x:v>
      </x:c>
      <x:c r="N366" s="33" t="n">
        <x:v>0.0103626943005181347150259067</x:v>
      </x:c>
      <x:c r="O366" s="33" t="n">
        <x:v>0.0103626943005181347150259067</x:v>
      </x:c>
      <x:c r="P366" s="33" t="n">
        <x:v>0.0103626943005181347150259067</x:v>
      </x:c>
      <x:c r="Q366" s="33" t="n">
        <x:v>0.0103626943005181347150259067</x:v>
      </x:c>
      <x:c r="R366" s="33" t="n">
        <x:v>0.0103626943005181347150259067</x:v>
      </x:c>
      <x:c r="S366" s="33" t="n">
        <x:v>0.0103626943005181347150259067</x:v>
      </x:c>
      <x:c r="T366" s="33" t="n">
        <x:v>0.0131888836552048987282147904</x:v>
      </x:c>
      <x:c r="U366" s="33" t="n">
        <x:v>0.0183702308054639660857277438</x:v>
      </x:c>
      <x:c r="V366" s="33" t="n">
        <x:v>0.0400376825247291568535091851</x:v>
      </x:c>
      <x:c r="W366" s="33" t="n">
        <x:v>0.0932642487046632124352331606</x:v>
      </x:c>
      <x:c r="X366" s="33" t="n">
        <x:v>0.1610927932171455487517663683</x:v>
      </x:c>
      <x:c r="Y366" s="33" t="n">
        <x:v>0.22939236928874234573716439</x:v>
      </x:c>
      <x:c r="Z366" s="33" t="n">
        <x:v>0.2878002826189354686764013189</x:v>
      </x:c>
      <x:c r="AA366" s="33" t="n">
        <x:v>0.3429109750353273669335845502</x:v>
      </x:c>
      <x:c r="AB366" s="33" t="n">
        <x:v>0.3429109750353273669335845502</x:v>
      </x:c>
      <x:c r="AC366" s="33" t="n">
        <x:v>0.3429109750353273669335845502</x:v>
      </x:c>
      <x:c r="AD366" s="33" t="n">
        <x:v>0.3429109750353273669335845502</x:v>
      </x:c>
      <x:c r="AE366" s="33" t="n">
        <x:v>0.3429109750353273669335845502</x:v>
      </x:c>
      <x:c r="AF366" s="33" t="n">
        <x:v>0.3429109750353273669335845502</x:v>
      </x:c>
      <x:c r="AG366" s="33" t="n">
        <x:v>0.3429109750353273669335845502</x:v>
      </x:c>
      <x:c r="BC366" s="34" t="s"/>
      <x:c r="BD366" s="11" t="s">
        <x:v>227</x:v>
      </x:c>
      <x:c r="BE366" s="12" t="n">
        <x:f>=BO366</x:f>
      </x:c>
      <x:c r="BF366" s="12" t="n">
        <x:v>0.3429109750353273669335845502</x:v>
      </x:c>
      <x:c r="BG366" s="12" t="n">
        <x:v>0</x:v>
      </x:c>
      <x:c r="BH366" s="12" t="n">
        <x:v>0.6570890249646726330664154498</x:v>
      </x:c>
      <x:c r="BI366" s="12" t="n">
        <x:f>=BN366</x:f>
      </x:c>
      <x:c r="BJ366" s="13" t="n">
        <x:v>0.0606060606060606060606060606</x:v>
      </x:c>
      <x:c r="BK366" s="31" t="n">
        <x:v>6591.46</x:v>
      </x:c>
      <x:c r="BL366" s="31" t="n">
        <x:v>-11778.1822</x:v>
      </x:c>
      <x:c r="BM366" s="31" t="n">
        <x:f>=BK366+BL366</x:f>
      </x:c>
      <x:c r="BN366" s="68" t="n">
        <x:f>=BM366/BK366</x:f>
      </x:c>
      <x:c r="BO366" s="68" t="n">
        <x:v>0.3429109750353273669335845502</x:v>
      </x:c>
      <x:c r="BP366" s="31" t="n">
        <x:v>11414.30</x:v>
      </x:c>
      <x:c r="BQ366" s="42" t="n">
        <x:v>1395</x:v>
      </x:c>
      <x:c r="BR366" s="31" t="n">
        <x:v>7500.2112576542628356099858691</x:v>
      </x:c>
      <x:c r="BT366" s="31" t="n">
        <x:v>16721.439512920297702366933585</x:v>
      </x:c>
      <x:c r="BU366" s="31" t="n">
        <x:v>-11778.1822</x:v>
      </x:c>
      <x:c r="BV366" s="31" t="n">
        <x:f>=BT366+BU366</x:f>
      </x:c>
      <x:c r="BW366" s="68" t="n">
        <x:f>=BV366/BT366</x:f>
      </x:c>
      <x:c r="BY366" s="68" t="n">
        <x:f>=BO366</x:f>
      </x:c>
      <x:c r="BZ366" s="68" t="n">
        <x:f>=BF366</x:f>
      </x:c>
      <x:c r="CA366" s="68" t="n">
        <x:f>=BG366</x:f>
      </x:c>
      <x:c r="CB366" s="68" t="n">
        <x:f>=1 - BY366</x:f>
      </x:c>
      <x:c r="CD366" s="68" t="n">
        <x:f>=CA366/(1-BZ366)</x:f>
      </x:c>
    </x:row>
    <x:row r="367">
      <x:c r="A367" s="32" t="s"/>
      <x:c r="BC367" s="34" t="s"/>
      <x:c r="BD367" s="11" t="s"/>
      <x:c r="BJ367" s="13" t="s"/>
    </x:row>
    <x:row r="368">
      <x:c r="A368" s="17" t="s">
        <x:v>30</x:v>
      </x:c>
      <x:c r="BC368" s="34" t="s"/>
      <x:c r="BD368" s="11" t="s"/>
      <x:c r="BJ368" s="13" t="s"/>
    </x:row>
    <x:row r="369">
      <x:c r="A369" s="32" t="s">
        <x:v>648</x:v>
      </x:c>
      <x:c r="B369" t="s"/>
      <x:c r="C369" t="s">
        <x:v>649</x:v>
      </x:c>
      <x:c r="D369" t="s">
        <x:v>96</x:v>
      </x:c>
      <x:c r="E369" t="s">
        <x:v>132</x:v>
      </x:c>
      <x:c r="F369" t="n">
        <x:v>1791</x:v>
      </x:c>
      <x:c r="G369" s="33" t="n">
        <x:v>0.0614182021217197096594081519</x:v>
      </x:c>
      <x:c r="H369" s="33" t="n">
        <x:v>0.1859296482412060301507537688</x:v>
      </x:c>
      <x:c r="I369" s="33" t="n">
        <x:v>0.3394751535455053042992741485</x:v>
      </x:c>
      <x:c r="J369" s="33" t="n">
        <x:v>0.4790619765494137353433835846</x:v>
      </x:c>
      <x:c r="K369" s="33" t="n">
        <x:v>0.5689558905639307649357900614</x:v>
      </x:c>
      <x:c r="L369" s="33" t="n">
        <x:v>0.6454494695700725851479620324</x:v>
      </x:c>
      <x:c r="M369" s="33" t="n">
        <x:v>0.6962590731434952540480178671</x:v>
      </x:c>
      <x:c r="N369" s="24" t="n">
        <x:v>0.7275265214963707426018983808</x:v>
      </x:c>
      <x:c r="O369" s="33" t="n">
        <x:v>0.7275265214963707426018983808</x:v>
      </x:c>
      <x:c r="P369" s="33" t="n">
        <x:v>0.7275265214963707426018983808</x:v>
      </x:c>
      <x:c r="Q369" s="33" t="n">
        <x:v>0.7275265214963707426018983808</x:v>
      </x:c>
      <x:c r="R369" s="33" t="n">
        <x:v>0.7275265214963707426018983808</x:v>
      </x:c>
      <x:c r="S369" s="33" t="n">
        <x:v>0.7275265214963707426018983808</x:v>
      </x:c>
      <x:c r="T369" s="33" t="n">
        <x:v>0.7275265214963707426018983808</x:v>
      </x:c>
      <x:c r="U369" s="33" t="n">
        <x:v>0.7275265214963707426018983808</x:v>
      </x:c>
      <x:c r="V369" s="33" t="n">
        <x:v>0.7275265214963707426018983808</x:v>
      </x:c>
      <x:c r="W369" s="33" t="n">
        <x:v>0.7275265214963707426018983808</x:v>
      </x:c>
      <x:c r="X369" s="33" t="n">
        <x:v>0.7275265214963707426018983808</x:v>
      </x:c>
      <x:c r="Y369" s="33" t="n">
        <x:v>0.7275265214963707426018983808</x:v>
      </x:c>
      <x:c r="Z369" s="33" t="n">
        <x:v>0.7275265214963707426018983808</x:v>
      </x:c>
      <x:c r="AA369" s="33" t="n">
        <x:v>0.7275265214963707426018983808</x:v>
      </x:c>
      <x:c r="AB369" s="33" t="n">
        <x:v>0.7275265214963707426018983808</x:v>
      </x:c>
      <x:c r="AC369" s="33" t="n">
        <x:v>0.7275265214963707426018983808</x:v>
      </x:c>
      <x:c r="AD369" s="33" t="n">
        <x:v>0.7275265214963707426018983808</x:v>
      </x:c>
      <x:c r="AE369" s="33" t="n">
        <x:v>0.7275265214963707426018983808</x:v>
      </x:c>
      <x:c r="AF369" s="33" t="n">
        <x:v>0.7275265214963707426018983808</x:v>
      </x:c>
      <x:c r="AG369" s="33" t="n">
        <x:v>0.7275265214963707426018983808</x:v>
      </x:c>
      <x:c r="BC369" s="34" t="s"/>
      <x:c r="BD369" s="11" t="s">
        <x:v>227</x:v>
      </x:c>
      <x:c r="BE369" s="12" t="n">
        <x:f>=BO369</x:f>
      </x:c>
      <x:c r="BF369" s="12" t="n">
        <x:v>0.7275265214963707426018983808</x:v>
      </x:c>
      <x:c r="BG369" s="12" t="n">
        <x:v>0</x:v>
      </x:c>
      <x:c r="BH369" s="12" t="n">
        <x:v>0.2724734785036292573981016192</x:v>
      </x:c>
      <x:c r="BI369" s="12" t="n">
        <x:f>=BN369</x:f>
      </x:c>
      <x:c r="BJ369" s="13" t="n">
        <x:v>0.0389247826433756081997288027</x:v>
      </x:c>
      <x:c r="BK369" s="31" t="n">
        <x:v>7356.95</x:v>
      </x:c>
      <x:c r="BL369" s="31" t="n">
        <x:v>-6301.1859</x:v>
      </x:c>
      <x:c r="BM369" s="31" t="n">
        <x:f>=BK369+BL369</x:f>
      </x:c>
      <x:c r="BN369" s="68" t="n">
        <x:f>=BM369/BK369</x:f>
      </x:c>
      <x:c r="BO369" s="68" t="n">
        <x:v>0.7275265214963707426018983808</x:v>
      </x:c>
      <x:c r="BP369" s="31" t="n">
        <x:v>6303.12</x:v>
      </x:c>
      <x:c r="BQ369" s="42" t="n">
        <x:v>488</x:v>
      </x:c>
      <x:c r="BR369" s="31" t="n">
        <x:v>1717.4330318257956448911222781</x:v>
      </x:c>
      <x:c r="BT369" s="31" t="n">
        <x:v>10151.319345567706370742601896</x:v>
      </x:c>
      <x:c r="BU369" s="31" t="n">
        <x:v>-6301.1859</x:v>
      </x:c>
      <x:c r="BV369" s="31" t="n">
        <x:f>=BT369+BU369</x:f>
      </x:c>
      <x:c r="BW369" s="68" t="n">
        <x:f>=BV369/BT369</x:f>
      </x:c>
      <x:c r="BY369" s="68" t="n">
        <x:f>=BO369</x:f>
      </x:c>
      <x:c r="BZ369" s="68" t="n">
        <x:f>=BF369</x:f>
      </x:c>
      <x:c r="CA369" s="68" t="n">
        <x:f>=BG369</x:f>
      </x:c>
      <x:c r="CB369" s="68" t="n">
        <x:f>=1 - BY369</x:f>
      </x:c>
      <x:c r="CD369" s="68" t="n">
        <x:f>=CA369/(1-BZ369)</x:f>
      </x:c>
    </x:row>
    <x:row r="370">
      <x:c r="A370" s="32" t="s">
        <x:v>650</x:v>
      </x:c>
      <x:c r="B370" t="s"/>
      <x:c r="C370" t="s">
        <x:v>651</x:v>
      </x:c>
      <x:c r="D370" t="s">
        <x:v>108</x:v>
      </x:c>
      <x:c r="E370" t="s">
        <x:v>132</x:v>
      </x:c>
      <x:c r="F370" t="n">
        <x:v>2057</x:v>
      </x:c>
      <x:c r="G370" s="33" t="n">
        <x:v>0.0792416140009722897423432183</x:v>
      </x:c>
      <x:c r="H370" s="33" t="n">
        <x:v>0.0792416140009722897423432183</x:v>
      </x:c>
      <x:c r="I370" s="33" t="n">
        <x:v>0.1268838113757899854156538649</x:v>
      </x:c>
      <x:c r="J370" s="33" t="n">
        <x:v>0.1609139523578026251823043267</x:v>
      </x:c>
      <x:c r="K370" s="33" t="n">
        <x:v>0.1905687894992707826932425863</x:v>
      </x:c>
      <x:c r="L370" s="33" t="n">
        <x:v>0.2105007292173067574137092854</x:v>
      </x:c>
      <x:c r="M370" s="33" t="n">
        <x:v>0.2250850753524550315994166262</x:v>
      </x:c>
      <x:c r="N370" s="33" t="n">
        <x:v>0.2430724355858045697617890131</x:v>
      </x:c>
      <x:c r="O370" s="33" t="n">
        <x:v>0.2532814778804083616917841517</x:v>
      </x:c>
      <x:c r="P370" s="33" t="n">
        <x:v>0.2707826932425862907146329606</x:v>
      </x:c>
      <x:c r="Q370" s="33" t="n">
        <x:v>0.2897423432182790471560525036</x:v>
      </x:c>
      <x:c r="R370" s="33" t="n">
        <x:v>0.3033543996110841030627126884</x:v>
      </x:c>
      <x:c r="S370" s="33" t="n">
        <x:v>0.3096742829363150218765192027</x:v>
      </x:c>
      <x:c r="T370" s="33" t="n">
        <x:v>0.3174526008750607681088964511</x:v>
      </x:c>
      <x:c r="U370" s="33" t="n">
        <x:v>0.3247447739426349052017501215</x:v>
      </x:c>
      <x:c r="V370" s="33" t="n">
        <x:v>0.3242586290714632960622265435</x:v>
      </x:c>
      <x:c r="W370" s="33" t="n">
        <x:v>0.3310646572678658240155566359</x:v>
      </x:c>
      <x:c r="X370" s="33" t="n">
        <x:v>0.3534273213417598444336412251</x:v>
      </x:c>
      <x:c r="Y370" s="33" t="n">
        <x:v>0.3607194944093339815264948955</x:v>
      </x:c>
      <x:c r="Z370" s="33" t="n">
        <x:v>0.3743315508021390374331550802</x:v>
      </x:c>
      <x:c r="AA370" s="33" t="n">
        <x:v>0.4326689353427321341759844434</x:v>
      </x:c>
      <x:c r="AB370" s="33" t="n">
        <x:v>0.4594069032571706368497812348</x:v>
      </x:c>
      <x:c r="AC370" s="33" t="n">
        <x:v>0.4871171609139523578026251823</x:v>
      </x:c>
      <x:c r="AD370" s="33" t="n">
        <x:v>0.5216334467671366067087992222</x:v>
      </x:c>
      <x:c r="AE370" s="33" t="n">
        <x:v>0.5819154107924161400097228974</x:v>
      </x:c>
      <x:c r="AF370" s="33" t="n">
        <x:v>0.6096256684491978609625668449</x:v>
      </x:c>
      <x:c r="AG370" s="33" t="n">
        <x:v>0.6242100145843461351482741857</x:v>
      </x:c>
      <x:c r="AH370" s="33" t="n">
        <x:v>0.6465726786582401555663587749</x:v>
      </x:c>
      <x:c r="AI370" s="33" t="n">
        <x:v>0.6596985901798736023334953816</x:v>
      </x:c>
      <x:c r="AJ370" s="33" t="n">
        <x:v>0.6786582401555663587749149246</x:v>
      </x:c>
      <x:c r="AK370" s="33" t="n">
        <x:v>0.6971317452600875060768108896</x:v>
      </x:c>
      <x:c r="AL370" s="24" t="n">
        <x:v>0.7131745260087506076810889645</x:v>
      </x:c>
      <x:c r="AM370" s="33" t="n">
        <x:v>0.7282450170150704910063198833</x:v>
      </x:c>
      <x:c r="BC370" s="34" t="s"/>
      <x:c r="BD370" s="11" t="s">
        <x:v>177</x:v>
      </x:c>
      <x:c r="BE370" s="12" t="n">
        <x:f>=BO370</x:f>
      </x:c>
      <x:c r="BF370" s="12" t="n">
        <x:v>0.7282450170150704910063198833</x:v>
      </x:c>
      <x:c r="BG370" s="12" t="n">
        <x:v>0</x:v>
      </x:c>
      <x:c r="BH370" s="12" t="n">
        <x:v>0.2717549829849295089936801167</x:v>
      </x:c>
      <x:c r="BI370" s="12" t="n">
        <x:f>=BN370</x:f>
      </x:c>
      <x:c r="BJ370" s="13" t="n">
        <x:v>0.0165289256198347107438016529</x:v>
      </x:c>
      <x:c r="BK370" s="31" t="n">
        <x:v>8575.38</x:v>
      </x:c>
      <x:c r="BL370" s="31" t="n">
        <x:v>-7623.35283057898225000000</x:v>
      </x:c>
      <x:c r="BM370" s="31" t="n">
        <x:f>=BK370+BL370</x:f>
      </x:c>
      <x:c r="BN370" s="68" t="n">
        <x:f>=BM370/BK370</x:f>
      </x:c>
      <x:c r="BO370" s="68" t="n">
        <x:v>0.7282450170150704910063198833</x:v>
      </x:c>
      <x:c r="BP370" s="31" t="n">
        <x:v>7667.210650081425000000</x:v>
      </x:c>
      <x:c r="BQ370" s="42" t="n">
        <x:v>559</x:v>
      </x:c>
      <x:c r="BR370" s="31" t="n">
        <x:v>2083.6026997547479703451628585</x:v>
      </x:c>
      <x:c r="BT370" s="31" t="n">
        <x:v>10601.557031334287445491006320</x:v>
      </x:c>
      <x:c r="BU370" s="31" t="n">
        <x:v>-7623.35283057898225000000</x:v>
      </x:c>
      <x:c r="BV370" s="31" t="n">
        <x:f>=BT370+BU370</x:f>
      </x:c>
      <x:c r="BW370" s="68" t="n">
        <x:f>=BV370/BT370</x:f>
      </x:c>
      <x:c r="BY370" s="68" t="n">
        <x:f>=BO370</x:f>
      </x:c>
      <x:c r="BZ370" s="68" t="n">
        <x:f>=BF370</x:f>
      </x:c>
      <x:c r="CA370" s="68" t="n">
        <x:f>=BG370</x:f>
      </x:c>
      <x:c r="CB370" s="68" t="n">
        <x:f>=1 - BY370</x:f>
      </x:c>
      <x:c r="CD370" s="68" t="n">
        <x:f>=CA370/(1-BZ370)</x:f>
      </x:c>
    </x:row>
    <x:row r="371">
      <x:c r="A371" s="32" t="s">
        <x:v>652</x:v>
      </x:c>
      <x:c r="B371" t="s"/>
      <x:c r="C371" t="s">
        <x:v>653</x:v>
      </x:c>
      <x:c r="D371" t="s">
        <x:v>259</x:v>
      </x:c>
      <x:c r="E371" t="s">
        <x:v>132</x:v>
      </x:c>
      <x:c r="F371" t="n">
        <x:v>987</x:v>
      </x:c>
      <x:c r="G371" s="33" t="n">
        <x:v>0.0243161094224924012158054711</x:v>
      </x:c>
      <x:c r="H371" s="33" t="n">
        <x:v>0.0587639311043566362715298886</x:v>
      </x:c>
      <x:c r="I371" s="33" t="n">
        <x:v>0.0972644376899696048632218845</x:v>
      </x:c>
      <x:c r="J371" s="33" t="n">
        <x:v>0.1256332320162107396149949341</x:v>
      </x:c>
      <x:c r="K371" s="33" t="n">
        <x:v>0.1448834853090172239108409321</x:v>
      </x:c>
      <x:c r="L371" s="33" t="n">
        <x:v>0.175278622087132725430597771</x:v>
      </x:c>
      <x:c r="M371" s="33" t="n">
        <x:v>0.1995947315096251266464032421</x:v>
      </x:c>
      <x:c r="N371" s="33" t="n">
        <x:v>0.2188449848024316109422492401</x:v>
      </x:c>
      <x:c r="O371" s="33" t="n">
        <x:v>0.241134751773049645390070922</x:v>
      </x:c>
      <x:c r="P371" s="33" t="n">
        <x:v>0.2401215805471124620060790274</x:v>
      </x:c>
      <x:c r="Q371" s="33" t="n">
        <x:v>0.2391084093211752786220871327</x:v>
      </x:c>
      <x:c r="R371" s="33" t="n">
        <x:v>0.2522796352583586626139817629</x:v>
      </x:c>
      <x:c r="S371" s="33" t="n">
        <x:v>0.3009118541033434650455927052</x:v>
      </x:c>
      <x:c r="T371" s="33" t="n">
        <x:v>0.3515704154002026342451874367</x:v>
      </x:c>
      <x:c r="U371" s="33" t="n">
        <x:v>0.3870314083080040526849037487</x:v>
      </x:c>
      <x:c r="V371" s="33" t="n">
        <x:v>0.4113475177304964539007092199</x:v>
      </x:c>
      <x:c r="W371" s="33" t="n">
        <x:v>0.4427558257345491388044579534</x:v>
      </x:c>
      <x:c r="X371" s="33" t="n">
        <x:v>0.4660587639311043566362715299</x:v>
      </x:c>
      <x:c r="Y371" s="33" t="n">
        <x:v>0.4944275582573454913880445795</x:v>
      </x:c>
      <x:c r="Z371" s="33" t="n">
        <x:v>0.5217831813576494427558257345</x:v>
      </x:c>
      <x:c r="AA371" s="33" t="n">
        <x:v>0.5400202634245187436676798379</x:v>
      </x:c>
      <x:c r="AB371" s="33" t="n">
        <x:v>0.556231003039513677811550152</x:v>
      </x:c>
      <x:c r="AC371" s="33" t="n">
        <x:v>0.5856129685916919959473150963</x:v>
      </x:c>
      <x:c r="AD371" s="33" t="n">
        <x:v>0.6170212765957446808510638298</x:v>
      </x:c>
      <x:c r="AE371" s="33" t="n">
        <x:v>0.6737588652482269503546099291</x:v>
      </x:c>
      <x:c r="AF371" s="24" t="n">
        <x:v>0.712259371833839918946301925</x:v>
      </x:c>
      <x:c r="AG371" s="33" t="n">
        <x:v>0.7467071935157041540020263425</x:v>
      </x:c>
      <x:c r="BC371" s="34" t="s"/>
      <x:c r="BD371" s="11" t="s">
        <x:v>227</x:v>
      </x:c>
      <x:c r="BE371" s="12" t="n">
        <x:f>=BO371</x:f>
      </x:c>
      <x:c r="BF371" s="12" t="n">
        <x:v>0.7467071935157041540020263425</x:v>
      </x:c>
      <x:c r="BG371" s="12" t="n">
        <x:v>0</x:v>
      </x:c>
      <x:c r="BH371" s="12" t="n">
        <x:v>0.2532928064842958459979736575</x:v>
      </x:c>
      <x:c r="BI371" s="12" t="n">
        <x:f>=BN371</x:f>
      </x:c>
      <x:c r="BJ371" s="13" t="n">
        <x:v>0.0361846866406136922854248082</x:v>
      </x:c>
      <x:c r="BK371" s="31" t="n">
        <x:v>6991.80</x:v>
      </x:c>
      <x:c r="BL371" s="31" t="n">
        <x:v>-6105.26340</x:v>
      </x:c>
      <x:c r="BM371" s="31" t="n">
        <x:f>=BK371+BL371</x:f>
      </x:c>
      <x:c r="BN371" s="68" t="n">
        <x:f>=BM371/BK371</x:f>
      </x:c>
      <x:c r="BO371" s="68" t="n">
        <x:v>0.7467071935157041540020263425</x:v>
      </x:c>
      <x:c r="BP371" s="31" t="n">
        <x:v>5556.90</x:v>
      </x:c>
      <x:c r="BQ371" s="42" t="n">
        <x:v>250</x:v>
      </x:c>
      <x:c r="BR371" s="31" t="n">
        <x:v>1407.5227963525835866261398176</x:v>
      </x:c>
      <x:c r="BT371" s="31" t="n">
        <x:v>9403.528318840703204154002025</x:v>
      </x:c>
      <x:c r="BU371" s="31" t="n">
        <x:v>-6105.26340</x:v>
      </x:c>
      <x:c r="BV371" s="31" t="n">
        <x:f>=BT371+BU371</x:f>
      </x:c>
      <x:c r="BW371" s="68" t="n">
        <x:f>=BV371/BT371</x:f>
      </x:c>
      <x:c r="BY371" s="68" t="n">
        <x:f>=BO371</x:f>
      </x:c>
      <x:c r="BZ371" s="68" t="n">
        <x:f>=BF371</x:f>
      </x:c>
      <x:c r="CA371" s="68" t="n">
        <x:f>=BG371</x:f>
      </x:c>
      <x:c r="CB371" s="68" t="n">
        <x:f>=1 - BY371</x:f>
      </x:c>
      <x:c r="CD371" s="68" t="n">
        <x:f>=CA371/(1-BZ371)</x:f>
      </x:c>
    </x:row>
    <x:row r="372">
      <x:c r="A372" s="32" t="s">
        <x:v>654</x:v>
      </x:c>
      <x:c r="B372" t="s"/>
      <x:c r="C372" t="s">
        <x:v>655</x:v>
      </x:c>
      <x:c r="D372" t="s">
        <x:v>96</x:v>
      </x:c>
      <x:c r="E372" t="s">
        <x:v>132</x:v>
      </x:c>
      <x:c r="F372" t="n">
        <x:v>5261</x:v>
      </x:c>
      <x:c r="G372" s="33" t="n">
        <x:v>0.025470442881581448393841475</x:v>
      </x:c>
      <x:c r="H372" s="33" t="n">
        <x:v>0.0575936133814864094278654248</x:v>
      </x:c>
      <x:c r="I372" s="33" t="n">
        <x:v>0.0950389659760501805740353545</x:v>
      </x:c>
      <x:c r="J372" s="33" t="n">
        <x:v>0.0933282645884812773237027181</x:v>
      </x:c>
      <x:c r="K372" s="33" t="n">
        <x:v>0.1003611480707089906861813343</x:v>
      </x:c>
      <x:c r="L372" s="33" t="n">
        <x:v>0.1146169929671165177722866375</x:v>
      </x:c>
      <x:c r="M372" s="33" t="n">
        <x:v>0.122790344041056833301653678</x:v>
      </x:c>
      <x:c r="N372" s="33" t="n">
        <x:v>0.1302033833871887473864284357</x:v>
      </x:c>
      <x:c r="O372" s="33" t="n">
        <x:v>0.1571944497243869986694544763</x:v>
      </x:c>
      <x:c r="P372" s="33" t="n">
        <x:v>0.199201672685801178483178103</x:v>
      </x:c>
      <x:c r="Q372" s="33" t="n">
        <x:v>0.2419692073750237597414940125</x:v>
      </x:c>
      <x:c r="R372" s="33" t="n">
        <x:v>0.2805550275613001330545523665</x:v>
      </x:c>
      <x:c r="S372" s="33" t="n">
        <x:v>0.3200912374073370081733510739</x:v>
      </x:c>
      <x:c r="T372" s="33" t="n">
        <x:v>0.3883292149781410378255084585</x:v>
      </x:c>
      <x:c r="U372" s="33" t="n">
        <x:v>0.4463029842235316479756700247</x:v>
      </x:c>
      <x:c r="V372" s="33" t="n">
        <x:v>0.4708230374453525945637711462</x:v>
      </x:c>
      <x:c r="W372" s="33" t="n">
        <x:v>0.5010454286257365519863143889</x:v>
      </x:c>
      <x:c r="X372" s="33" t="n">
        <x:v>0.5582588861433187606918836723</x:v>
      </x:c>
      <x:c r="Y372" s="33" t="n">
        <x:v>0.6213647595514160805930431477</x:v>
      </x:c>
      <x:c r="Z372" s="33" t="n">
        <x:v>0.6633719825128302604067667744</x:v>
      </x:c>
      <x:c r="AA372" s="24" t="n">
        <x:v>0.7074700627257175441931191789</x:v>
      </x:c>
      <x:c r="BC372" s="34" t="s"/>
      <x:c r="BD372" s="11" t="s">
        <x:v>110</x:v>
      </x:c>
      <x:c r="BE372" s="12" t="n">
        <x:f>=BO372</x:f>
      </x:c>
      <x:c r="BF372" s="12" t="n">
        <x:v>0.7074700627257175441931191789</x:v>
      </x:c>
      <x:c r="BG372" s="12" t="n">
        <x:v>0</x:v>
      </x:c>
      <x:c r="BH372" s="12" t="n">
        <x:v>0.2925299372742824558068808211</x:v>
      </x:c>
      <x:c r="BI372" s="12" t="n">
        <x:f>=BN372</x:f>
      </x:c>
      <x:c r="BJ372" s="13" t="n">
        <x:v>0.0417899910391832079724115459</x:v>
      </x:c>
      <x:c r="BK372" s="31" t="n">
        <x:v>35119.33</x:v>
      </x:c>
      <x:c r="BL372" s="31" t="n">
        <x:v>-31655.9264</x:v>
      </x:c>
      <x:c r="BM372" s="31" t="n">
        <x:f>=BK372+BL372</x:f>
      </x:c>
      <x:c r="BN372" s="68" t="n">
        <x:f>=BM372/BK372</x:f>
      </x:c>
      <x:c r="BO372" s="68" t="n">
        <x:v>0.7074700627257175441931191789</x:v>
      </x:c>
      <x:c r="BP372" s="31" t="n">
        <x:v>31554.03</x:v>
      </x:c>
      <x:c r="BQ372" s="42" t="n">
        <x:v>1539</x:v>
      </x:c>
      <x:c r="BR372" s="31" t="n">
        <x:v>9230.498416650826839003991637</x:v>
      </x:c>
      <x:c r="BT372" s="31" t="n">
        <x:v>49793.942971148220717544193124</x:v>
      </x:c>
      <x:c r="BU372" s="31" t="n">
        <x:v>-31655.9264</x:v>
      </x:c>
      <x:c r="BV372" s="31" t="n">
        <x:f>=BT372+BU372</x:f>
      </x:c>
      <x:c r="BW372" s="68" t="n">
        <x:f>=BV372/BT372</x:f>
      </x:c>
      <x:c r="BY372" s="68" t="n">
        <x:f>=BO372</x:f>
      </x:c>
      <x:c r="BZ372" s="68" t="n">
        <x:f>=BF372</x:f>
      </x:c>
      <x:c r="CA372" s="68" t="n">
        <x:f>=BG372</x:f>
      </x:c>
      <x:c r="CB372" s="68" t="n">
        <x:f>=1 - BY372</x:f>
      </x:c>
      <x:c r="CD372" s="68" t="n">
        <x:f>=CA372/(1-BZ372)</x:f>
      </x:c>
    </x:row>
    <x:row r="373">
      <x:c r="A373" s="32" t="s">
        <x:v>656</x:v>
      </x:c>
      <x:c r="B373" t="s"/>
      <x:c r="C373" t="s">
        <x:v>657</x:v>
      </x:c>
      <x:c r="D373" t="s">
        <x:v>259</x:v>
      </x:c>
      <x:c r="E373" t="s">
        <x:v>132</x:v>
      </x:c>
      <x:c r="F373" t="n">
        <x:v>1952</x:v>
      </x:c>
      <x:c r="G373" s="33" t="n">
        <x:v>0.0051229508196721311475409836</x:v>
      </x:c>
      <x:c r="H373" s="33" t="n">
        <x:v>0.0040983606557377049180327869</x:v>
      </x:c>
      <x:c r="I373" s="33" t="n">
        <x:v>0.0010245901639344262295081967</x:v>
      </x:c>
      <x:c r="J373" s="33" t="n">
        <x:v>0.0020491803278688524590163934</x:v>
      </x:c>
      <x:c r="K373" s="33" t="n">
        <x:v>0.0169057377049180327868852459</x:v>
      </x:c>
      <x:c r="L373" s="33" t="n">
        <x:v>0.0486680327868852459016393443</x:v>
      </x:c>
      <x:c r="M373" s="33" t="n">
        <x:v>0.1086065573770491803278688525</x:v>
      </x:c>
      <x:c r="N373" s="33" t="n">
        <x:v>0.1716188524590163934426229508</x:v>
      </x:c>
      <x:c r="O373" s="33" t="n">
        <x:v>0.2254098360655737704918032787</x:v>
      </x:c>
      <x:c r="P373" s="33" t="n">
        <x:v>0.2587090163934426229508196721</x:v>
      </x:c>
      <x:c r="Q373" s="33" t="n">
        <x:v>0.3186475409836065573770491803</x:v>
      </x:c>
      <x:c r="R373" s="33" t="n">
        <x:v>0.3872950819672131147540983607</x:v>
      </x:c>
      <x:c r="S373" s="33" t="n">
        <x:v>0.4482581967213114754098360656</x:v>
      </x:c>
      <x:c r="T373" s="33" t="n">
        <x:v>0.5189549180327868852459016393</x:v>
      </x:c>
      <x:c r="U373" s="33" t="n">
        <x:v>0.6080942622950819672131147541</x:v>
      </x:c>
      <x:c r="V373" s="33" t="n">
        <x:v>0.6685450819672131147540983607</x:v>
      </x:c>
      <x:c r="W373" s="24" t="n">
        <x:v>0.7028688524590163934426229508</x:v>
      </x:c>
      <x:c r="X373" s="33" t="n">
        <x:v>0.7479508196721311475409836066</x:v>
      </x:c>
      <x:c r="Y373" s="33" t="n">
        <x:v>0.7699795081967213114754098361</x:v>
      </x:c>
      <x:c r="BC373" s="34" t="s"/>
      <x:c r="BD373" s="11" t="s">
        <x:v>133</x:v>
      </x:c>
      <x:c r="BE373" s="12" t="n">
        <x:f>=BO373</x:f>
      </x:c>
      <x:c r="BF373" s="12" t="n">
        <x:v>0.7699795081967213114754098361</x:v>
      </x:c>
      <x:c r="BG373" s="12" t="n">
        <x:v>0</x:v>
      </x:c>
      <x:c r="BH373" s="12" t="n">
        <x:v>0.2300204918032786885245901639</x:v>
      </x:c>
      <x:c r="BI373" s="12" t="n">
        <x:f>=BN373</x:f>
      </x:c>
      <x:c r="BJ373" s="13" t="n">
        <x:v>0.0328600702576112412177985948</x:v>
      </x:c>
      <x:c r="BK373" s="31" t="n">
        <x:v>23973.90</x:v>
      </x:c>
      <x:c r="BL373" s="31" t="n">
        <x:v>-20781.00970</x:v>
      </x:c>
      <x:c r="BM373" s="31" t="n">
        <x:f>=BK373+BL373</x:f>
      </x:c>
      <x:c r="BN373" s="68" t="n">
        <x:f>=BM373/BK373</x:f>
      </x:c>
      <x:c r="BO373" s="68" t="n">
        <x:v>0.7699795081967213114754098361</x:v>
      </x:c>
      <x:c r="BP373" s="31" t="n">
        <x:v>19157.45</x:v>
      </x:c>
      <x:c r="BQ373" s="42" t="n">
        <x:v>449</x:v>
      </x:c>
      <x:c r="BR373" s="31" t="n">
        <x:v>4406.6060706967213114754098359</x:v>
      </x:c>
      <x:c r="BT373" s="31" t="n">
        <x:v>31342.514134684654221311475403</x:v>
      </x:c>
      <x:c r="BU373" s="31" t="n">
        <x:v>-20781.00970</x:v>
      </x:c>
      <x:c r="BV373" s="31" t="n">
        <x:f>=BT373+BU373</x:f>
      </x:c>
      <x:c r="BW373" s="68" t="n">
        <x:f>=BV373/BT373</x:f>
      </x:c>
      <x:c r="BY373" s="68" t="n">
        <x:f>=BO373</x:f>
      </x:c>
      <x:c r="BZ373" s="68" t="n">
        <x:f>=BF373</x:f>
      </x:c>
      <x:c r="CA373" s="68" t="n">
        <x:f>=BG373</x:f>
      </x:c>
      <x:c r="CB373" s="68" t="n">
        <x:f>=1 - BY373</x:f>
      </x:c>
      <x:c r="CD373" s="68" t="n">
        <x:f>=CA373/(1-BZ373)</x:f>
      </x:c>
    </x:row>
    <x:row r="374">
      <x:c r="A374" s="32" t="s">
        <x:v>658</x:v>
      </x:c>
      <x:c r="B374" t="s"/>
      <x:c r="C374" t="s">
        <x:v>659</x:v>
      </x:c>
      <x:c r="D374" t="s">
        <x:v>259</x:v>
      </x:c>
      <x:c r="E374" t="s">
        <x:v>132</x:v>
      </x:c>
      <x:c r="F374" t="n">
        <x:v>3425</x:v>
      </x:c>
      <x:c r="G374" s="33" t="n">
        <x:v>0.0087591240875912408759124088</x:v>
      </x:c>
      <x:c r="H374" s="33" t="n">
        <x:v>0.0537226277372262773722627737</x:v>
      </x:c>
      <x:c r="I374" s="33" t="n">
        <x:v>0.1167883211678832116788321168</x:v>
      </x:c>
      <x:c r="J374" s="33" t="n">
        <x:v>0.1559124087591240875912408759</x:v>
      </x:c>
      <x:c r="K374" s="33" t="n">
        <x:v>0.2061313868613138686131386861</x:v>
      </x:c>
      <x:c r="L374" s="33" t="n">
        <x:v>0.2826277372262773722627737226</x:v>
      </x:c>
      <x:c r="M374" s="33" t="n">
        <x:v>0.3331386861313868613138686131</x:v>
      </x:c>
      <x:c r="N374" s="33" t="n">
        <x:v>0.3889051094890510948905109489</x:v>
      </x:c>
      <x:c r="O374" s="33" t="n">
        <x:v>0.4283211678832116788321167883</x:v>
      </x:c>
      <x:c r="P374" s="33" t="n">
        <x:v>0.4630656934306569343065693431</x:v>
      </x:c>
      <x:c r="Q374" s="33" t="n">
        <x:v>0.508029197080291970802919708</x:v>
      </x:c>
      <x:c r="R374" s="33" t="n">
        <x:v>0.5655474452554744525547445255</x:v>
      </x:c>
      <x:c r="S374" s="33" t="n">
        <x:v>0.6195620437956204379562043796</x:v>
      </x:c>
      <x:c r="T374" s="33" t="n">
        <x:v>0.6767883211678832116788321168</x:v>
      </x:c>
      <x:c r="U374" s="24" t="n">
        <x:v>0.7357664233576642335766423358</x:v>
      </x:c>
      <x:c r="V374" s="33" t="n">
        <x:v>0.795036496350364963503649635</x:v>
      </x:c>
      <x:c r="BC374" s="34" t="s"/>
      <x:c r="BD374" s="11" t="s">
        <x:v>160</x:v>
      </x:c>
      <x:c r="BE374" s="12" t="n">
        <x:f>=BO374</x:f>
      </x:c>
      <x:c r="BF374" s="12" t="n">
        <x:v>0.795036496350364963503649635</x:v>
      </x:c>
      <x:c r="BG374" s="12" t="n">
        <x:v>0</x:v>
      </x:c>
      <x:c r="BH374" s="12" t="n">
        <x:v>0.204963503649635036496350365</x:v>
      </x:c>
      <x:c r="BI374" s="12" t="n">
        <x:f>=BN374</x:f>
      </x:c>
      <x:c r="BJ374" s="13" t="n">
        <x:v>0.0292805005213764337851929093</x:v>
      </x:c>
      <x:c r="BK374" s="31" t="n">
        <x:v>23507.04</x:v>
      </x:c>
      <x:c r="BL374" s="31" t="n">
        <x:v>-18944.50640</x:v>
      </x:c>
      <x:c r="BM374" s="31" t="n">
        <x:f>=BK374+BL374</x:f>
      </x:c>
      <x:c r="BN374" s="68" t="n">
        <x:f>=BM374/BK374</x:f>
      </x:c>
      <x:c r="BO374" s="68" t="n">
        <x:v>0.795036496350364963503649635</x:v>
      </x:c>
      <x:c r="BP374" s="31" t="n">
        <x:v>17180.40</x:v>
      </x:c>
      <x:c r="BQ374" s="42" t="n">
        <x:v>702</x:v>
      </x:c>
      <x:c r="BR374" s="31" t="n">
        <x:v>3521.3549781021897810218978102</x:v>
      </x:c>
      <x:c r="BT374" s="31" t="n">
        <x:v>29691.525814049827864963503654</x:v>
      </x:c>
      <x:c r="BU374" s="31" t="n">
        <x:v>-18944.50640</x:v>
      </x:c>
      <x:c r="BV374" s="31" t="n">
        <x:f>=BT374+BU374</x:f>
      </x:c>
      <x:c r="BW374" s="68" t="n">
        <x:f>=BV374/BT374</x:f>
      </x:c>
      <x:c r="BY374" s="68" t="n">
        <x:f>=BO374</x:f>
      </x:c>
      <x:c r="BZ374" s="68" t="n">
        <x:f>=BF374</x:f>
      </x:c>
      <x:c r="CA374" s="68" t="n">
        <x:f>=BG374</x:f>
      </x:c>
      <x:c r="CB374" s="68" t="n">
        <x:f>=1 - BY374</x:f>
      </x:c>
      <x:c r="CD374" s="68" t="n">
        <x:f>=CA374/(1-BZ374)</x:f>
      </x:c>
    </x:row>
    <x:row r="375">
      <x:c r="A375" s="32" t="s">
        <x:v>660</x:v>
      </x:c>
      <x:c r="B375" t="s"/>
      <x:c r="C375" t="s">
        <x:v>661</x:v>
      </x:c>
      <x:c r="D375" t="s">
        <x:v>259</x:v>
      </x:c>
      <x:c r="E375" t="s">
        <x:v>132</x:v>
      </x:c>
      <x:c r="F375" t="n">
        <x:v>975</x:v>
      </x:c>
      <x:c r="G375" s="33" t="n">
        <x:v>0.0235897435897435897435897436</x:v>
      </x:c>
      <x:c r="H375" s="33" t="n">
        <x:v>0.0471794871794871794871794872</x:v>
      </x:c>
      <x:c r="I375" s="33" t="n">
        <x:v>0.0871794871794871794871794872</x:v>
      </x:c>
      <x:c r="J375" s="33" t="n">
        <x:v>0.1456410256410256410256410256</x:v>
      </x:c>
      <x:c r="K375" s="33" t="n">
        <x:v>0.2369230769230769230769230769</x:v>
      </x:c>
      <x:c r="L375" s="33" t="n">
        <x:v>0.3128205128205128205128205128</x:v>
      </x:c>
      <x:c r="M375" s="33" t="n">
        <x:v>0.4235897435897435897435897436</x:v>
      </x:c>
      <x:c r="N375" s="33" t="n">
        <x:v>0.5158974358974358974358974359</x:v>
      </x:c>
      <x:c r="O375" s="33" t="n">
        <x:v>0.6153846153846153846153846154</x:v>
      </x:c>
      <x:c r="P375" s="24" t="n">
        <x:v>0.7107692307692307692307692308</x:v>
      </x:c>
      <x:c r="BC375" s="34" t="s"/>
      <x:c r="BD375" s="11" t="s">
        <x:v>141</x:v>
      </x:c>
      <x:c r="BE375" s="12" t="n">
        <x:f>=BO375</x:f>
      </x:c>
      <x:c r="BF375" s="12" t="n">
        <x:v>0.7107692307692307692307692308</x:v>
      </x:c>
      <x:c r="BG375" s="12" t="n">
        <x:v>0</x:v>
      </x:c>
      <x:c r="BH375" s="12" t="n">
        <x:v>0.2892307692307692307692307692</x:v>
      </x:c>
      <x:c r="BI375" s="12" t="n">
        <x:f>=BN375</x:f>
      </x:c>
      <x:c r="BJ375" s="13" t="n">
        <x:v>0.0413186813186813186813186813</x:v>
      </x:c>
      <x:c r="BK375" s="31" t="n">
        <x:v>12328.85</x:v>
      </x:c>
      <x:c r="BL375" s="31" t="n">
        <x:v>-10540.92000</x:v>
      </x:c>
      <x:c r="BM375" s="31" t="n">
        <x:f>=BK375+BL375</x:f>
      </x:c>
      <x:c r="BN375" s="68" t="n">
        <x:f>=BM375/BK375</x:f>
      </x:c>
      <x:c r="BO375" s="68" t="n">
        <x:v>0.7107692307692307692307692308</x:v>
      </x:c>
      <x:c r="BP375" s="31" t="n">
        <x:v>9720.00</x:v>
      </x:c>
      <x:c r="BQ375" s="42" t="n">
        <x:v>282</x:v>
      </x:c>
      <x:c r="BR375" s="31" t="n">
        <x:v>2811.3230769230769230769230769</x:v>
      </x:c>
      <x:c r="BT375" s="31" t="n">
        <x:v>17303.089765260006730769230767</x:v>
      </x:c>
      <x:c r="BU375" s="31" t="n">
        <x:v>-10540.92000</x:v>
      </x:c>
      <x:c r="BV375" s="31" t="n">
        <x:f>=BT375+BU375</x:f>
      </x:c>
      <x:c r="BW375" s="68" t="n">
        <x:f>=BV375/BT375</x:f>
      </x:c>
      <x:c r="BY375" s="68" t="n">
        <x:f>=BO375</x:f>
      </x:c>
      <x:c r="BZ375" s="68" t="n">
        <x:f>=BF375</x:f>
      </x:c>
      <x:c r="CA375" s="68" t="n">
        <x:f>=BG375</x:f>
      </x:c>
      <x:c r="CB375" s="68" t="n">
        <x:f>=1 - BY375</x:f>
      </x:c>
      <x:c r="CD375" s="68" t="n">
        <x:f>=CA375/(1-BZ375)</x:f>
      </x:c>
    </x:row>
    <x:row r="376">
      <x:c r="A376" s="32" t="s">
        <x:v>662</x:v>
      </x:c>
      <x:c r="B376" t="s"/>
      <x:c r="C376" t="s">
        <x:v>663</x:v>
      </x:c>
      <x:c r="D376" t="s">
        <x:v>259</x:v>
      </x:c>
      <x:c r="E376" t="s">
        <x:v>132</x:v>
      </x:c>
      <x:c r="F376" t="n">
        <x:v>972</x:v>
      </x:c>
      <x:c r="G376" s="33" t="n">
        <x:v>0.0606995884773662551440329218</x:v>
      </x:c>
      <x:c r="H376" s="33" t="n">
        <x:v>0.1851851851851851851851851852</x:v>
      </x:c>
      <x:c r="I376" s="33" t="n">
        <x:v>0.3076131687242798353909465021</x:v>
      </x:c>
      <x:c r="J376" s="33" t="n">
        <x:v>0.3611111111111111111111111111</x:v>
      </x:c>
      <x:c r="K376" s="33" t="n">
        <x:v>0.5637860082304526748971193416</x:v>
      </x:c>
      <x:c r="L376" s="33" t="n">
        <x:v>0.6820987654320987654320987654</x:v>
      </x:c>
      <x:c r="M376" s="24" t="n">
        <x:v>0.7633744855967078189300411523</x:v>
      </x:c>
      <x:c r="N376" s="33" t="n">
        <x:v>0.8024691358024691358024691358</x:v>
      </x:c>
      <x:c r="BC376" s="34" t="s"/>
      <x:c r="BD376" s="11" t="s">
        <x:v>210</x:v>
      </x:c>
      <x:c r="BE376" s="12" t="n">
        <x:f>=BO376</x:f>
      </x:c>
      <x:c r="BF376" s="12" t="n">
        <x:v>0.8024691358024691358024691358</x:v>
      </x:c>
      <x:c r="BG376" s="12" t="n">
        <x:v>0</x:v>
      </x:c>
      <x:c r="BH376" s="12" t="n">
        <x:v>0.1975308641975308641975308642</x:v>
      </x:c>
      <x:c r="BI376" s="12" t="n">
        <x:f>=BN376</x:f>
      </x:c>
      <x:c r="BJ376" s="13" t="n">
        <x:v>0.0282186948853615520282186949</x:v>
      </x:c>
      <x:c r="BK376" s="31" t="n">
        <x:v>11421.57</x:v>
      </x:c>
      <x:c r="BL376" s="31" t="n">
        <x:v>-9416.80400</x:v>
      </x:c>
      <x:c r="BM376" s="31" t="n">
        <x:f>=BK376+BL376</x:f>
      </x:c>
      <x:c r="BN376" s="68" t="n">
        <x:f>=BM376/BK376</x:f>
      </x:c>
      <x:c r="BO376" s="68" t="n">
        <x:v>0.8024691358024691358024691358</x:v>
      </x:c>
      <x:c r="BP376" s="31" t="n">
        <x:v>8666.00</x:v>
      </x:c>
      <x:c r="BQ376" s="42" t="n">
        <x:v>192</x:v>
      </x:c>
      <x:c r="BR376" s="31" t="n">
        <x:v>1711.8024691358024691358024691</x:v>
      </x:c>
      <x:c r="BT376" s="31" t="n">
        <x:v>14301.595301019162469135802471</x:v>
      </x:c>
      <x:c r="BU376" s="31" t="n">
        <x:v>-9416.80400</x:v>
      </x:c>
      <x:c r="BV376" s="31" t="n">
        <x:f>=BT376+BU376</x:f>
      </x:c>
      <x:c r="BW376" s="68" t="n">
        <x:f>=BV376/BT376</x:f>
      </x:c>
      <x:c r="BY376" s="68" t="n">
        <x:f>=BO376</x:f>
      </x:c>
      <x:c r="BZ376" s="68" t="n">
        <x:f>=BF376</x:f>
      </x:c>
      <x:c r="CA376" s="68" t="n">
        <x:f>=BG376</x:f>
      </x:c>
      <x:c r="CB376" s="68" t="n">
        <x:f>=1 - BY376</x:f>
      </x:c>
      <x:c r="CD376" s="68" t="n">
        <x:f>=CA376/(1-BZ376)</x:f>
      </x:c>
    </x:row>
    <x:row r="377">
      <x:c r="A377" s="32" t="s"/>
      <x:c r="BC377" s="34" t="s"/>
      <x:c r="BD377" s="11" t="s"/>
      <x:c r="BJ377" s="13" t="s"/>
    </x:row>
    <x:row r="378">
      <x:c r="A378" s="17" t="s">
        <x:v>664</x:v>
      </x:c>
      <x:c r="BC378" s="34" t="s"/>
      <x:c r="BD378" s="11" t="s"/>
      <x:c r="BJ378" s="13" t="s"/>
    </x:row>
    <x:row r="379">
      <x:c r="A379" s="32" t="s">
        <x:v>665</x:v>
      </x:c>
      <x:c r="B379" t="s"/>
      <x:c r="C379" t="s">
        <x:v>666</x:v>
      </x:c>
      <x:c r="D379" t="s">
        <x:v>259</x:v>
      </x:c>
      <x:c r="E379" t="s">
        <x:v>132</x:v>
      </x:c>
      <x:c r="F379" t="n">
        <x:v>1448</x:v>
      </x:c>
      <x:c r="G379" s="33" t="n">
        <x:v>0.0207182320441988950276243094</x:v>
      </x:c>
      <x:c r="H379" s="33" t="n">
        <x:v>0.0414364640883977900552486188</x:v>
      </x:c>
      <x:c r="I379" s="33" t="n">
        <x:v>0.078038674033149171270718232</x:v>
      </x:c>
      <x:c r="J379" s="33" t="n">
        <x:v>0.1222375690607734806629834254</x:v>
      </x:c>
      <x:c r="K379" s="33" t="n">
        <x:v>0.1312154696132596685082872928</x:v>
      </x:c>
      <x:c r="L379" s="33" t="n">
        <x:v>0.1429558011049723756906077348</x:v>
      </x:c>
      <x:c r="M379" s="33" t="n">
        <x:v>0.1429558011049723756906077348</x:v>
      </x:c>
      <x:c r="N379" s="33" t="n">
        <x:v>0.1540055248618784530386740331</x:v>
      </x:c>
      <x:c r="O379" s="33" t="n">
        <x:v>0.1705801104972375690607734807</x:v>
      </x:c>
      <x:c r="P379" s="33" t="n">
        <x:v>0.1912983425414364640883977901</x:v>
      </x:c>
      <x:c r="Q379" s="33" t="n">
        <x:v>0.2071823204419889502762430939</x:v>
      </x:c>
      <x:c r="R379" s="33" t="n">
        <x:v>0.2306629834254143646408839779</x:v>
      </x:c>
      <x:c r="S379" s="33" t="n">
        <x:v>0.2486187845303867403314917127</x:v>
      </x:c>
      <x:c r="T379" s="33" t="n">
        <x:v>0.2672651933701657458563535912</x:v>
      </x:c>
      <x:c r="U379" s="33" t="n">
        <x:v>0.2900552486187845303867403315</x:v>
      </x:c>
      <x:c r="V379" s="33" t="n">
        <x:v>0.3059392265193370165745856354</x:v>
      </x:c>
      <x:c r="W379" s="33" t="n">
        <x:v>0.3287292817679558011049723757</x:v>
      </x:c>
      <x:c r="X379" s="33" t="n">
        <x:v>0.3674033149171270718232044199</x:v>
      </x:c>
      <x:c r="Y379" s="33" t="n">
        <x:v>0.4074585635359116022099447514</x:v>
      </x:c>
      <x:c r="Z379" s="33" t="n">
        <x:v>0.4571823204419889502762430939</x:v>
      </x:c>
      <x:c r="AA379" s="33" t="n">
        <x:v>0.5103591160220994475138121547</x:v>
      </x:c>
      <x:c r="AB379" s="33" t="n">
        <x:v>0.5676795580110497237569060773</x:v>
      </x:c>
      <x:c r="AC379" s="33" t="n">
        <x:v>0.6111878453038674033149171271</x:v>
      </x:c>
      <x:c r="AD379" s="33" t="n">
        <x:v>0.6443370165745856353591160221</x:v>
      </x:c>
      <x:c r="BC379" s="34" t="s"/>
      <x:c r="BD379" s="11" t="s">
        <x:v>191</x:v>
      </x:c>
      <x:c r="BE379" s="12" t="n">
        <x:f>=BO379</x:f>
      </x:c>
      <x:c r="BF379" s="12" t="n">
        <x:v>0.6443370165745856353591160221</x:v>
      </x:c>
      <x:c r="BG379" s="12" t="n">
        <x:v>0</x:v>
      </x:c>
      <x:c r="BH379" s="12" t="n">
        <x:v>0.3556629834254143646408839779</x:v>
      </x:c>
      <x:c r="BI379" s="12" t="n">
        <x:f>=BN379</x:f>
      </x:c>
      <x:c r="BJ379" s="13" t="n">
        <x:v>0.0446593001841620626151012891</x:v>
      </x:c>
      <x:c r="BK379" s="31" t="n">
        <x:v>10346.31</x:v>
      </x:c>
      <x:c r="BL379" s="31" t="n">
        <x:v>-10439.42990</x:v>
      </x:c>
      <x:c r="BM379" s="31" t="n">
        <x:f>=BK379+BL379</x:f>
      </x:c>
      <x:c r="BN379" s="68" t="n">
        <x:f>=BM379/BK379</x:f>
      </x:c>
      <x:c r="BO379" s="68" t="n">
        <x:v>0.6443370165745856353591160221</x:v>
      </x:c>
      <x:c r="BP379" s="31" t="n">
        <x:v>9543.15</x:v>
      </x:c>
      <x:c r="BQ379" s="42" t="n">
        <x:v>515</x:v>
      </x:c>
      <x:c r="BR379" s="31" t="n">
        <x:v>3394.1452002762430939226519337</x:v>
      </x:c>
      <x:c r="BT379" s="31" t="n">
        <x:v>15480.314869520538960635359113</x:v>
      </x:c>
      <x:c r="BU379" s="31" t="n">
        <x:v>-10439.42990</x:v>
      </x:c>
      <x:c r="BV379" s="31" t="n">
        <x:f>=BT379+BU379</x:f>
      </x:c>
      <x:c r="BW379" s="68" t="n">
        <x:f>=BV379/BT379</x:f>
      </x:c>
      <x:c r="BY379" s="68" t="n">
        <x:f>=BO379</x:f>
      </x:c>
      <x:c r="BZ379" s="68" t="n">
        <x:f>=BF379</x:f>
      </x:c>
      <x:c r="CA379" s="68" t="n">
        <x:f>=BG379</x:f>
      </x:c>
      <x:c r="CB379" s="68" t="n">
        <x:f>=1 - BY379</x:f>
      </x:c>
      <x:c r="CD379" s="68" t="n">
        <x:f>=CA379/(1-BZ379)</x:f>
      </x:c>
    </x:row>
    <x:row r="380">
      <x:c r="A380" s="32" t="s">
        <x:v>667</x:v>
      </x:c>
      <x:c r="B380" t="s"/>
      <x:c r="C380" t="s">
        <x:v>668</x:v>
      </x:c>
      <x:c r="D380" t="s">
        <x:v>259</x:v>
      </x:c>
      <x:c r="E380" t="s">
        <x:v>132</x:v>
      </x:c>
      <x:c r="F380" t="n">
        <x:v>1666</x:v>
      </x:c>
      <x:c r="G380" s="33" t="n">
        <x:v>0.0132052821128451380552220888</x:v>
      </x:c>
      <x:c r="H380" s="33" t="n">
        <x:v>0.0330132052821128451380552221</x:v>
      </x:c>
      <x:c r="I380" s="33" t="n">
        <x:v>0.0618247298919567827130852341</x:v>
      </x:c>
      <x:c r="J380" s="33" t="n">
        <x:v>0.0642256902761104441776710684</x:v>
      </x:c>
      <x:c r="K380" s="33" t="n">
        <x:v>0.0684273709483793517406962785</x:v>
      </x:c>
      <x:c r="L380" s="33" t="n">
        <x:v>0.0690276110444177671068427371</x:v>
      </x:c>
      <x:c r="M380" s="33" t="n">
        <x:v>0.0726290516206482593037214886</x:v>
      </x:c>
      <x:c r="N380" s="33" t="n">
        <x:v>0.0780312124849939975990396158</x:v>
      </x:c>
      <x:c r="O380" s="33" t="n">
        <x:v>0.0798319327731092436974789916</x:v>
      </x:c>
      <x:c r="P380" s="33" t="n">
        <x:v>0.0888355342136854741896758703</x:v>
      </x:c>
      <x:c r="Q380" s="33" t="n">
        <x:v>0.1038415366146458583433373349</x:v>
      </x:c>
      <x:c r="R380" s="33" t="n">
        <x:v>0.1176470588235294117647058824</x:v>
      </x:c>
      <x:c r="S380" s="33" t="n">
        <x:v>0.1350540216086434573829531813</x:v>
      </x:c>
      <x:c r="T380" s="33" t="n">
        <x:v>0.1524609843937575030012004802</x:v>
      </x:c>
      <x:c r="U380" s="33" t="n">
        <x:v>0.1848739495798319327731092437</x:v>
      </x:c>
      <x:c r="V380" s="33" t="n">
        <x:v>0.21188475390156062424969988</x:v>
      </x:c>
      <x:c r="W380" s="33" t="n">
        <x:v>0.2545018007202881152460984394</x:v>
      </x:c>
      <x:c r="X380" s="33" t="n">
        <x:v>0.3265306122448979591836734694</x:v>
      </x:c>
      <x:c r="Y380" s="33" t="n">
        <x:v>0.3877551020408163265306122449</x:v>
      </x:c>
      <x:c r="Z380" s="33" t="n">
        <x:v>0.4177671068427370948379351741</x:v>
      </x:c>
      <x:c r="AA380" s="33" t="n">
        <x:v>0.4399759903961584633853541417</x:v>
      </x:c>
      <x:c r="AB380" s="33" t="n">
        <x:v>0.4795918367346938775510204082</x:v>
      </x:c>
      <x:c r="AC380" s="33" t="n">
        <x:v>0.514405762304921968787515006</x:v>
      </x:c>
      <x:c r="BC380" s="34" t="s"/>
      <x:c r="BD380" s="11" t="s">
        <x:v>196</x:v>
      </x:c>
      <x:c r="BE380" s="12" t="n">
        <x:f>=BO380</x:f>
      </x:c>
      <x:c r="BF380" s="12" t="n">
        <x:v>0.514405762304921968787515006</x:v>
      </x:c>
      <x:c r="BG380" s="12" t="n">
        <x:v>0</x:v>
      </x:c>
      <x:c r="BH380" s="12" t="n">
        <x:v>0.485594237695078031212484994</x:v>
      </x:c>
      <x:c r="BI380" s="12" t="n">
        <x:f>=BN380</x:f>
      </x:c>
      <x:c r="BJ380" s="13" t="n">
        <x:v>0.032212885154061624649859944</x:v>
      </x:c>
      <x:c r="BK380" s="31" t="n">
        <x:v>9479.78</x:v>
      </x:c>
      <x:c r="BL380" s="31" t="n">
        <x:v>-12003.81530</x:v>
      </x:c>
      <x:c r="BM380" s="31" t="n">
        <x:f>=BK380+BL380</x:f>
      </x:c>
      <x:c r="BN380" s="68" t="n">
        <x:f>=BM380/BK380</x:f>
      </x:c>
      <x:c r="BO380" s="68" t="n">
        <x:v>0.514405762304921968787515006</x:v>
      </x:c>
      <x:c r="BP380" s="31" t="n">
        <x:v>10973.05</x:v>
      </x:c>
      <x:c r="BQ380" s="42" t="n">
        <x:v>809</x:v>
      </x:c>
      <x:c r="BR380" s="31" t="n">
        <x:v>5328.4498499399759903961584634</x:v>
      </x:c>
      <x:c r="BT380" s="31" t="n">
        <x:v>14983.945947976579088635454184</x:v>
      </x:c>
      <x:c r="BU380" s="31" t="n">
        <x:v>-12003.81530</x:v>
      </x:c>
      <x:c r="BV380" s="31" t="n">
        <x:f>=BT380+BU380</x:f>
      </x:c>
      <x:c r="BW380" s="68" t="n">
        <x:f>=BV380/BT380</x:f>
      </x:c>
      <x:c r="BY380" s="68" t="n">
        <x:f>=BO380</x:f>
      </x:c>
      <x:c r="BZ380" s="68" t="n">
        <x:f>=BF380</x:f>
      </x:c>
      <x:c r="CA380" s="68" t="n">
        <x:f>=BG380</x:f>
      </x:c>
      <x:c r="CB380" s="68" t="n">
        <x:f>=1 - BY380</x:f>
      </x:c>
      <x:c r="CD380" s="68" t="n">
        <x:f>=CA380/(1-BZ380)</x:f>
      </x:c>
    </x:row>
    <x:row r="381">
      <x:c r="A381" s="32" t="s">
        <x:v>669</x:v>
      </x:c>
      <x:c r="B381" t="s"/>
      <x:c r="C381" t="s">
        <x:v>670</x:v>
      </x:c>
      <x:c r="D381" t="s">
        <x:v>259</x:v>
      </x:c>
      <x:c r="E381" t="s">
        <x:v>132</x:v>
      </x:c>
      <x:c r="F381" t="n">
        <x:v>2098</x:v>
      </x:c>
      <x:c r="G381" s="33" t="n">
        <x:v>0.0004766444232602478551000953</x:v>
      </x:c>
      <x:c r="H381" s="33" t="n">
        <x:v>0.0047664442326024785510009533</x:v>
      </x:c>
      <x:c r="I381" s="33" t="n">
        <x:v>0.0448045757864632983794089609</x:v>
      </x:c>
      <x:c r="J381" s="33" t="n">
        <x:v>0.0743565300285986653956148713</x:v>
      </x:c>
      <x:c r="K381" s="33" t="n">
        <x:v>0.073879885605338417540514776</x:v>
      </x:c>
      <x:c r="L381" s="33" t="n">
        <x:v>0.0776930409914204003813155386</x:v>
      </x:c>
      <x:c r="M381" s="33" t="n">
        <x:v>0.0872259294566253574833174452</x:v>
      </x:c>
      <x:c r="N381" s="33" t="n">
        <x:v>0.1153479504289799809342230696</x:v>
      </x:c>
      <x:c r="O381" s="33" t="n">
        <x:v>0.142040038131553860819828408</x:v>
      </x:c>
      <x:c r="P381" s="33" t="n">
        <x:v>0.1630123927550047664442326025</x:v>
      </x:c>
      <x:c r="Q381" s="33" t="n">
        <x:v>0.1882745471877979027645376549</x:v>
      </x:c>
      <x:c r="R381" s="33" t="n">
        <x:v>0.2125834127740705433746425167</x:v>
      </x:c>
      <x:c r="S381" s="33" t="n">
        <x:v>0.2259294566253574833174451859</x:v>
      </x:c>
      <x:c r="T381" s="33" t="n">
        <x:v>0.2445185891325071496663489037</x:v>
      </x:c>
      <x:c r="U381" s="33" t="n">
        <x:v>0.2650142993326978074356530029</x:v>
      </x:c>
      <x:c r="V381" s="33" t="n">
        <x:v>0.2850333651096282173498570067</x:v>
      </x:c>
      <x:c r="W381" s="33" t="n">
        <x:v>0.3169685414680648236415633937</x:v>
      </x:c>
      <x:c r="X381" s="33" t="n">
        <x:v>0.3436606291706387035271687321</x:v>
      </x:c>
      <x:c r="Y381" s="33" t="n">
        <x:v>0.3770257387988560533841754051</x:v>
      </x:c>
      <x:c r="Z381" s="33" t="n">
        <x:v>0.4280266920877025738798856053</x:v>
      </x:c>
      <x:c r="AA381" s="33" t="n">
        <x:v>0.465204957102001906577693041</x:v>
      </x:c>
      <x:c r="AB381" s="33" t="n">
        <x:v>0.5095328884652049571020019066</x:v>
      </x:c>
      <x:c r="BC381" s="34" t="s"/>
      <x:c r="BD381" s="11" t="s">
        <x:v>199</x:v>
      </x:c>
      <x:c r="BE381" s="12" t="n">
        <x:f>=BO381</x:f>
      </x:c>
      <x:c r="BF381" s="12" t="n">
        <x:v>0.5095328884652049571020019066</x:v>
      </x:c>
      <x:c r="BG381" s="12" t="n">
        <x:v>0</x:v>
      </x:c>
      <x:c r="BH381" s="12" t="n">
        <x:v>0.4904671115347950428979980934</x:v>
      </x:c>
      <x:c r="BI381" s="12" t="n">
        <x:f>=BN381</x:f>
      </x:c>
      <x:c r="BJ381" s="13" t="n">
        <x:v>0.0441690498887829679059421672</x:v>
      </x:c>
      <x:c r="BK381" s="31" t="n">
        <x:v>11017.67</x:v>
      </x:c>
      <x:c r="BL381" s="31" t="n">
        <x:v>-14745.32916</x:v>
      </x:c>
      <x:c r="BM381" s="31" t="n">
        <x:f>=BK381+BL381</x:f>
      </x:c>
      <x:c r="BN381" s="68" t="n">
        <x:f>=BM381/BK381</x:f>
      </x:c>
      <x:c r="BO381" s="68" t="n">
        <x:v>0.5095328884652049571020019066</x:v>
      </x:c>
      <x:c r="BP381" s="31" t="n">
        <x:v>13470.26</x:v>
      </x:c>
      <x:c r="BQ381" s="42" t="n">
        <x:v>1029</x:v>
      </x:c>
      <x:c r="BR381" s="31" t="n">
        <x:v>6606.7195138226882745471877979</x:v>
      </x:c>
      <x:c r="BT381" s="31" t="n">
        <x:v>18957.437573776992704957102008</x:v>
      </x:c>
      <x:c r="BU381" s="31" t="n">
        <x:v>-14745.32916</x:v>
      </x:c>
      <x:c r="BV381" s="31" t="n">
        <x:f>=BT381+BU381</x:f>
      </x:c>
      <x:c r="BW381" s="68" t="n">
        <x:f>=BV381/BT381</x:f>
      </x:c>
      <x:c r="BY381" s="68" t="n">
        <x:f>=BO381</x:f>
      </x:c>
      <x:c r="BZ381" s="68" t="n">
        <x:f>=BF381</x:f>
      </x:c>
      <x:c r="CA381" s="68" t="n">
        <x:f>=BG381</x:f>
      </x:c>
      <x:c r="CB381" s="68" t="n">
        <x:f>=1 - BY381</x:f>
      </x:c>
      <x:c r="CD381" s="68" t="n">
        <x:f>=CA381/(1-BZ381)</x:f>
      </x:c>
    </x:row>
    <x:row r="382">
      <x:c r="A382" s="32" t="s">
        <x:v>671</x:v>
      </x:c>
      <x:c r="B382" t="s"/>
      <x:c r="C382" t="s">
        <x:v>672</x:v>
      </x:c>
      <x:c r="D382" t="s">
        <x:v>96</x:v>
      </x:c>
      <x:c r="E382" t="s">
        <x:v>132</x:v>
      </x:c>
      <x:c r="F382" t="n">
        <x:v>3155</x:v>
      </x:c>
      <x:c r="G382" s="33" t="n">
        <x:v>0.035182250396196513470681458</x:v>
      </x:c>
      <x:c r="H382" s="33" t="n">
        <x:v>0.0732171156893819334389857369</x:v>
      </x:c>
      <x:c r="I382" s="33" t="n">
        <x:v>0.0751188589540412044374009509</x:v>
      </x:c>
      <x:c r="J382" s="33" t="n">
        <x:v>0.0751188589540412044374009509</x:v>
      </x:c>
      <x:c r="K382" s="33" t="n">
        <x:v>0.0751188589540412044374009509</x:v>
      </x:c>
      <x:c r="L382" s="33" t="n">
        <x:v>0.0751188589540412044374009509</x:v>
      </x:c>
      <x:c r="M382" s="33" t="n">
        <x:v>0.0751188589540412044374009509</x:v>
      </x:c>
      <x:c r="N382" s="33" t="n">
        <x:v>0.0751188589540412044374009509</x:v>
      </x:c>
      <x:c r="O382" s="33" t="n">
        <x:v>0.0751188589540412044374009509</x:v>
      </x:c>
      <x:c r="P382" s="33" t="n">
        <x:v>0.0751188589540412044374009509</x:v>
      </x:c>
      <x:c r="Q382" s="33" t="n">
        <x:v>0.0751188589540412044374009509</x:v>
      </x:c>
      <x:c r="R382" s="33" t="n">
        <x:v>0.0751188589540412044374009509</x:v>
      </x:c>
      <x:c r="S382" s="33" t="n">
        <x:v>0.0751188589540412044374009509</x:v>
      </x:c>
      <x:c r="T382" s="33" t="n">
        <x:v>0.0776545166402535657686212361</x:v>
      </x:c>
      <x:c r="U382" s="33" t="n">
        <x:v>0.0973058637083993660855784469</x:v>
      </x:c>
      <x:c r="V382" s="33" t="n">
        <x:v>0.1188589540412044374009508716</x:v>
      </x:c>
      <x:c r="W382" s="33" t="n">
        <x:v>0.1920760697305863708399366086</x:v>
      </x:c>
      <x:c r="X382" s="33" t="n">
        <x:v>0.3169572107765451664025356577</x:v>
      </x:c>
      <x:c r="Y382" s="33" t="n">
        <x:v>0.3980982567353407290015847861</x:v>
      </x:c>
      <x:c r="Z382" s="33" t="n">
        <x:v>0.4656101426307448494453248811</x:v>
      </x:c>
      <x:c r="AA382" s="33" t="n">
        <x:v>0.5213946117274167987321711569</x:v>
      </x:c>
      <x:c r="BC382" s="34" t="s"/>
      <x:c r="BD382" s="11" t="s">
        <x:v>110</x:v>
      </x:c>
      <x:c r="BE382" s="12" t="n">
        <x:f>=BO382</x:f>
      </x:c>
      <x:c r="BF382" s="12" t="n">
        <x:v>0.5213946117274167987321711569</x:v>
      </x:c>
      <x:c r="BG382" s="12" t="n">
        <x:v>0</x:v>
      </x:c>
      <x:c r="BH382" s="12" t="n">
        <x:v>0.4786053882725832012678288431</x:v>
      </x:c>
      <x:c r="BI382" s="12" t="n">
        <x:f>=BN382</x:f>
      </x:c>
      <x:c r="BJ382" s="13" t="n">
        <x:v>0.0681458003169572107765451664</x:v>
      </x:c>
      <x:c r="BK382" s="31" t="n">
        <x:v>5948.56</x:v>
      </x:c>
      <x:c r="BL382" s="31" t="n">
        <x:v>-6630.1402</x:v>
      </x:c>
      <x:c r="BM382" s="31" t="n">
        <x:f>=BK382+BL382</x:f>
      </x:c>
      <x:c r="BN382" s="68" t="n">
        <x:f>=BM382/BK382</x:f>
      </x:c>
      <x:c r="BO382" s="68" t="n">
        <x:v>0.5213946117274167987321711569</x:v>
      </x:c>
      <x:c r="BP382" s="31" t="n">
        <x:v>6253.31</x:v>
      </x:c>
      <x:c r="BQ382" s="42" t="n">
        <x:v>1510</x:v>
      </x:c>
      <x:c r="BR382" s="31" t="n">
        <x:v>2992.8678605388272583201267829</x:v>
      </x:c>
      <x:c r="BT382" s="31" t="n">
        <x:v>11321.072887910330541798732172</x:v>
      </x:c>
      <x:c r="BU382" s="31" t="n">
        <x:v>-6630.1402</x:v>
      </x:c>
      <x:c r="BV382" s="31" t="n">
        <x:f>=BT382+BU382</x:f>
      </x:c>
      <x:c r="BW382" s="68" t="n">
        <x:f>=BV382/BT382</x:f>
      </x:c>
      <x:c r="BY382" s="68" t="n">
        <x:f>=BO382</x:f>
      </x:c>
      <x:c r="BZ382" s="68" t="n">
        <x:f>=BF382</x:f>
      </x:c>
      <x:c r="CA382" s="68" t="n">
        <x:f>=BG382</x:f>
      </x:c>
      <x:c r="CB382" s="68" t="n">
        <x:f>=1 - BY382</x:f>
      </x:c>
      <x:c r="CD382" s="68" t="n">
        <x:f>=CA382/(1-BZ382)</x:f>
      </x:c>
    </x:row>
    <x:row r="383">
      <x:c r="A383" s="32" t="s">
        <x:v>673</x:v>
      </x:c>
      <x:c r="B383" t="s"/>
      <x:c r="C383" t="s">
        <x:v>674</x:v>
      </x:c>
      <x:c r="D383" t="s">
        <x:v>96</x:v>
      </x:c>
      <x:c r="E383" t="s">
        <x:v>132</x:v>
      </x:c>
      <x:c r="F383" t="n">
        <x:v>2828</x:v>
      </x:c>
      <x:c r="G383" s="33" t="n">
        <x:v>0.0014144271570014144271570014</x:v>
      </x:c>
      <x:c r="H383" s="33" t="n">
        <x:v>0.0258132956152758132956152758</x:v>
      </x:c>
      <x:c r="I383" s="33" t="n">
        <x:v>0.0912305516265912305516265912</x:v>
      </x:c>
      <x:c r="J383" s="33" t="n">
        <x:v>0.1615983026874115983026874116</x:v>
      </x:c>
      <x:c r="K383" s="33" t="n">
        <x:v>0.239038189533239038189533239</x:v>
      </x:c>
      <x:c r="L383" s="33" t="n">
        <x:v>0.318953323903818953323903819</x:v>
      </x:c>
      <x:c r="M383" s="33" t="n">
        <x:v>0.3716407355021216407355021216</x:v>
      </x:c>
      <x:c r="N383" s="33" t="n">
        <x:v>0.4462517680339462517680339463</x:v>
      </x:c>
      <x:c r="O383" s="33" t="n">
        <x:v>0.5102545968882602545968882603</x:v>
      </x:c>
      <x:c r="P383" s="33" t="n">
        <x:v>0.5583451202263083451202263083</x:v>
      </x:c>
      <x:c r="BC383" s="34" t="s"/>
      <x:c r="BD383" s="11" t="s">
        <x:v>141</x:v>
      </x:c>
      <x:c r="BE383" s="12" t="n">
        <x:f>=BO383</x:f>
      </x:c>
      <x:c r="BF383" s="12" t="n">
        <x:v>0.5583451202263083451202263083</x:v>
      </x:c>
      <x:c r="BG383" s="12" t="n">
        <x:v>0</x:v>
      </x:c>
      <x:c r="BH383" s="12" t="n">
        <x:v>0.4416548797736916548797736917</x:v>
      </x:c>
      <x:c r="BI383" s="12" t="n">
        <x:f>=BN383</x:f>
      </x:c>
      <x:c r="BJ383" s="13" t="n">
        <x:v>0.0622347949080622347949080622</x:v>
      </x:c>
      <x:c r="BK383" s="31" t="n">
        <x:v>16469.52</x:v>
      </x:c>
      <x:c r="BL383" s="31" t="n">
        <x:v>-16131.1459</x:v>
      </x:c>
      <x:c r="BM383" s="31" t="n">
        <x:f>=BK383+BL383</x:f>
      </x:c>
      <x:c r="BN383" s="68" t="n">
        <x:f>=BM383/BK383</x:f>
      </x:c>
      <x:c r="BO383" s="68" t="n">
        <x:v>0.5583451202263083451202263083</x:v>
      </x:c>
      <x:c r="BP383" s="31" t="n">
        <x:v>16191.27</x:v>
      </x:c>
      <x:c r="BQ383" s="42" t="n">
        <x:v>1249</x:v>
      </x:c>
      <x:c r="BR383" s="31" t="n">
        <x:v>7150.9534052333804809052333804</x:v>
      </x:c>
      <x:c r="BT383" s="31" t="n">
        <x:v>28925.172085884007183345120222</x:v>
      </x:c>
      <x:c r="BU383" s="31" t="n">
        <x:v>-16131.1459</x:v>
      </x:c>
      <x:c r="BV383" s="31" t="n">
        <x:f>=BT383+BU383</x:f>
      </x:c>
      <x:c r="BW383" s="68" t="n">
        <x:f>=BV383/BT383</x:f>
      </x:c>
      <x:c r="BY383" s="68" t="n">
        <x:f>=BO383</x:f>
      </x:c>
      <x:c r="BZ383" s="68" t="n">
        <x:f>=BF383</x:f>
      </x:c>
      <x:c r="CA383" s="68" t="n">
        <x:f>=BG383</x:f>
      </x:c>
      <x:c r="CB383" s="68" t="n">
        <x:f>=1 - BY383</x:f>
      </x:c>
      <x:c r="CD383" s="68" t="n">
        <x:f>=CA383/(1-BZ383)</x:f>
      </x:c>
    </x:row>
    <x:row r="384">
      <x:c r="A384" s="32" t="s">
        <x:v>675</x:v>
      </x:c>
      <x:c r="B384" t="s"/>
      <x:c r="C384" t="s">
        <x:v>676</x:v>
      </x:c>
      <x:c r="D384" t="s">
        <x:v>125</x:v>
      </x:c>
      <x:c r="E384" t="s">
        <x:v>132</x:v>
      </x:c>
      <x:c r="F384" t="n">
        <x:v>2626</x:v>
      </x:c>
      <x:c r="G384" s="33" t="n">
        <x:v>0.0171363290175171363290175171</x:v>
      </x:c>
      <x:c r="H384" s="33" t="n">
        <x:v>0.0594059405940594059405940594</x:v>
      </x:c>
      <x:c r="I384" s="33" t="n">
        <x:v>0.1180502665651180502665651181</x:v>
      </x:c>
      <x:c r="J384" s="33" t="n">
        <x:v>0.2136329017517136329017517136</x:v>
      </x:c>
      <x:c r="K384" s="33" t="n">
        <x:v>0.353008377760853008377760853</x:v>
      </x:c>
      <x:c r="L384" s="33" t="n">
        <x:v>0.4257425742574257425742574257</x:v>
      </x:c>
      <x:c r="M384" s="33" t="n">
        <x:v>0.5175171363290175171363290175</x:v>
      </x:c>
      <x:c r="N384" s="33" t="n">
        <x:v>0.6035795887281035795887281036</x:v>
      </x:c>
      <x:c r="O384" s="33" t="n">
        <x:v>0.6416603198781416603198781417</x:v>
      </x:c>
      <x:c r="BC384" s="34" t="s"/>
      <x:c r="BD384" s="11" t="s">
        <x:v>340</x:v>
      </x:c>
      <x:c r="BE384" s="12" t="n">
        <x:f>=BO384</x:f>
      </x:c>
      <x:c r="BF384" s="12" t="n">
        <x:v>0.6416603198781416603198781417</x:v>
      </x:c>
      <x:c r="BG384" s="12" t="n">
        <x:v>0</x:v>
      </x:c>
      <x:c r="BH384" s="12" t="n">
        <x:v>0.3583396801218583396801218583</x:v>
      </x:c>
      <x:c r="BI384" s="12" t="n">
        <x:f>=BN384</x:f>
      </x:c>
      <x:c r="BJ384" s="13" t="n">
        <x:v>0.0511913828745511913828745512</x:v>
      </x:c>
      <x:c r="BK384" s="31" t="n">
        <x:v>20250.08</x:v>
      </x:c>
      <x:c r="BL384" s="31" t="n">
        <x:v>-20135.7764</x:v>
      </x:c>
      <x:c r="BM384" s="31" t="n">
        <x:f>=BK384+BL384</x:f>
      </x:c>
      <x:c r="BN384" s="68" t="n">
        <x:f>=BM384/BK384</x:f>
      </x:c>
      <x:c r="BO384" s="68" t="n">
        <x:v>0.6416603198781416603198781417</x:v>
      </x:c>
      <x:c r="BP384" s="31" t="n">
        <x:v>17576.50</x:v>
      </x:c>
      <x:c r="BQ384" s="42" t="n">
        <x:v>941</x:v>
      </x:c>
      <x:c r="BR384" s="31" t="n">
        <x:v>6298.3573876618431073876618431</x:v>
      </x:c>
      <x:c r="BT384" s="31" t="n">
        <x:v>31665.429772525838141660319880</x:v>
      </x:c>
      <x:c r="BU384" s="31" t="n">
        <x:v>-20135.7764</x:v>
      </x:c>
      <x:c r="BV384" s="31" t="n">
        <x:f>=BT384+BU384</x:f>
      </x:c>
      <x:c r="BW384" s="68" t="n">
        <x:f>=BV384/BT384</x:f>
      </x:c>
      <x:c r="BY384" s="68" t="n">
        <x:f>=BO384</x:f>
      </x:c>
      <x:c r="BZ384" s="68" t="n">
        <x:f>=BF384</x:f>
      </x:c>
      <x:c r="CA384" s="68" t="n">
        <x:f>=BG384</x:f>
      </x:c>
      <x:c r="CB384" s="68" t="n">
        <x:f>=1 - BY384</x:f>
      </x:c>
      <x:c r="CD384" s="68" t="n">
        <x:f>=CA384/(1-BZ384)</x:f>
      </x:c>
    </x:row>
    <x:row r="385">
      <x:c r="A385" s="32" t="s"/>
      <x:c r="BC385" s="34" t="s"/>
      <x:c r="BD385" s="11" t="s"/>
      <x:c r="BJ385" s="13" t="s"/>
    </x:row>
    <x:row r="386">
      <x:c r="A386" s="17" t="s">
        <x:v>641</x:v>
      </x:c>
      <x:c r="BC386" s="34" t="s"/>
      <x:c r="BD386" s="11" t="s"/>
      <x:c r="BJ386" s="13" t="s"/>
    </x:row>
    <x:row r="387">
      <x:c r="A387" s="32" t="s">
        <x:v>677</x:v>
      </x:c>
      <x:c r="B387" t="s"/>
      <x:c r="C387" t="s">
        <x:v>678</x:v>
      </x:c>
      <x:c r="D387" t="s">
        <x:v>259</x:v>
      </x:c>
      <x:c r="E387" t="s">
        <x:v>132</x:v>
      </x:c>
      <x:c r="F387" t="n">
        <x:v>2961</x:v>
      </x:c>
      <x:c r="G387" s="33" t="n">
        <x:v>0.0003377237419790611279972982</x:v>
      </x:c>
      <x:c r="H387" s="33" t="n">
        <x:v>0.0013508949679162445119891928</x:v>
      </x:c>
      <x:c r="I387" s="33" t="n">
        <x:v>0.0178993583248902397838568051</x:v>
      </x:c>
      <x:c r="J387" s="33" t="n">
        <x:v>0.0307328605200945626477541371</x:v>
      </x:c>
      <x:c r="K387" s="33" t="n">
        <x:v>0.0398514015535292131036811888</x:v>
      </x:c>
      <x:c r="L387" s="33" t="n">
        <x:v>0.0567375886524822695035460993</x:v>
      </x:c>
      <x:c r="M387" s="33" t="n">
        <x:v>0.0729483282674772036474164134</x:v>
      </x:c>
      <x:c r="N387" s="33" t="n">
        <x:v>0.0976021614319486659912191827</x:v>
      </x:c>
      <x:c r="O387" s="33" t="n">
        <x:v>0.0976021614319486659912191827</x:v>
      </x:c>
      <x:c r="P387" s="33" t="n">
        <x:v>0.0976021614319486659912191827</x:v>
      </x:c>
      <x:c r="Q387" s="33" t="n">
        <x:v>0.0976021614319486659912191827</x:v>
      </x:c>
      <x:c r="R387" s="33" t="n">
        <x:v>0.1306990881458966565349544073</x:v>
      </x:c>
      <x:c r="S387" s="33" t="n">
        <x:v>0.1391421816953731847348868625</x:v>
      </x:c>
      <x:c r="T387" s="33" t="n">
        <x:v>0.1621073961499493414387031408</x:v>
      </x:c>
      <x:c r="U387" s="33" t="n">
        <x:v>0.180006754474839581222559946</x:v>
      </x:c>
      <x:c r="V387" s="33" t="n">
        <x:v>0.2002701789935832489023978386</x:v>
      </x:c>
      <x:c r="W387" s="33" t="n">
        <x:v>0.2232353934481594056062141169</x:v>
      </x:c>
      <x:c r="X387" s="33" t="n">
        <x:v>0.2499155690645052347180006754</x:v>
      </x:c>
      <x:c r="Y387" s="33" t="n">
        <x:v>0.2728807835190813914218169537</x:v>
      </x:c>
      <x:c r="Z387" s="33" t="n">
        <x:v>0.3012495778453225261735900034</x:v>
      </x:c>
      <x:c r="AA387" s="33" t="n">
        <x:v>0.3134076325565687267814927389</x:v>
      </x:c>
      <x:c r="AB387" s="33" t="n">
        <x:v>0.3252279635258358662613981763</x:v>
      </x:c>
      <x:c r="AC387" s="33" t="n">
        <x:v>0.3245525160418777440054035799</x:v>
      </x:c>
      <x:c r="AD387" s="33" t="n">
        <x:v>0.3238770685579196217494089835</x:v>
      </x:c>
      <x:c r="AE387" s="33" t="n">
        <x:v>0.3252279635258358662613981763</x:v>
      </x:c>
      <x:c r="AF387" s="33" t="n">
        <x:v>0.3289429246876055386693684566</x:v>
      </x:c>
      <x:c r="AG387" s="33" t="n">
        <x:v>0.340763255656872678149273894</x:v>
      </x:c>
      <x:c r="AH387" s="33" t="n">
        <x:v>0.3708206686930091185410334347</x:v>
      </x:c>
      <x:c r="AI387" s="33" t="n">
        <x:v>0.4133738601823708206686930091</x:v>
      </x:c>
      <x:c r="AJ387" s="33" t="n">
        <x:v>0.4376899696048632218844984802</x:v>
      </x:c>
      <x:c r="AK387" s="33" t="n">
        <x:v>0.4555893279297534616683552854</x:v>
      </x:c>
      <x:c r="AL387" s="33" t="n">
        <x:v>0.4738264099966227625802093887</x:v>
      </x:c>
      <x:c r="AM387" s="33" t="n">
        <x:v>0.4988179669030732860520094563</x:v>
      </x:c>
      <x:c r="AN387" s="33" t="n">
        <x:v>0.5238095238095238095238095238</x:v>
      </x:c>
      <x:c r="AO387" s="33" t="n">
        <x:v>0.5440729483282674772036474164</x:v>
      </x:c>
      <x:c r="AP387" s="33" t="n">
        <x:v>0.5873015873015873015873015873</x:v>
      </x:c>
      <x:c r="AQ387" s="33" t="n">
        <x:v>0.6099290780141843971631205674</x:v>
      </x:c>
      <x:c r="AR387" s="33" t="n">
        <x:v>0.6183721715636609253630530226</x:v>
      </x:c>
      <x:c r="AS387" s="33" t="n">
        <x:v>0.6322188449848024316109422492</x:v>
      </x:c>
      <x:c r="AT387" s="33" t="n">
        <x:v>0.6585612968591691995947315096</x:v>
      </x:c>
      <x:c r="BC387" s="34" t="s"/>
      <x:c r="BD387" s="11" t="s">
        <x:v>496</x:v>
      </x:c>
      <x:c r="BE387" s="12" t="n">
        <x:f>=BO387</x:f>
      </x:c>
      <x:c r="BF387" s="12" t="n">
        <x:v>0.6588990206011482607227288078</x:v>
      </x:c>
      <x:c r="BG387" s="12" t="n">
        <x:v>-0.0003377237419790611279972982</x:v>
      </x:c>
      <x:c r="BH387" s="12" t="n">
        <x:v>0.3414387031408308004052684904</x:v>
      </x:c>
      <x:c r="BI387" s="12" t="n">
        <x:f>=BN387</x:f>
      </x:c>
      <x:c r="BJ387" s="13" t="n">
        <x:v>0.0162107396149949341438703141</x:v>
      </x:c>
      <x:c r="BK387" s="31" t="n">
        <x:v>18601.26</x:v>
      </x:c>
      <x:c r="BL387" s="31" t="n">
        <x:v>-17650.04122</x:v>
      </x:c>
      <x:c r="BM387" s="31" t="n">
        <x:f>=BK387+BL387</x:f>
      </x:c>
      <x:c r="BN387" s="68" t="n">
        <x:f>=BM387/BK387</x:f>
      </x:c>
      <x:c r="BO387" s="68" t="n">
        <x:v>0.6585612968591691995947315096</x:v>
      </x:c>
      <x:c r="BP387" s="31" t="n">
        <x:v>16046.17</x:v>
      </x:c>
      <x:c r="BQ387" s="42" t="n">
        <x:v>1011</x:v>
      </x:c>
      <x:c r="BR387" s="31" t="n">
        <x:v>5478.7834751773049645390070922</x:v>
      </x:c>
      <x:c r="BT387" s="31" t="n">
        <x:v>23768.074563943834648260722732</x:v>
      </x:c>
      <x:c r="BU387" s="31" t="n">
        <x:v>-17650.04122</x:v>
      </x:c>
      <x:c r="BV387" s="31" t="n">
        <x:f>=BT387+BU387</x:f>
      </x:c>
      <x:c r="BW387" s="68" t="n">
        <x:f>=BV387/BT387</x:f>
      </x:c>
      <x:c r="BY387" s="68" t="n">
        <x:f>=BO387</x:f>
      </x:c>
      <x:c r="BZ387" s="68" t="n">
        <x:f>=BF387</x:f>
      </x:c>
      <x:c r="CA387" s="68" t="n">
        <x:f>=BG387</x:f>
      </x:c>
      <x:c r="CB387" s="68" t="n">
        <x:f>=1 - BY387</x:f>
      </x:c>
      <x:c r="CD387" s="68" t="n">
        <x:f>=CA387/(1-BZ387)</x:f>
      </x:c>
    </x:row>
    <x:row r="388">
      <x:c r="A388" s="32" t="s">
        <x:v>679</x:v>
      </x:c>
      <x:c r="B388" t="s"/>
      <x:c r="C388" t="s">
        <x:v>680</x:v>
      </x:c>
      <x:c r="D388" t="s">
        <x:v>434</x:v>
      </x:c>
      <x:c r="E388" t="s">
        <x:v>132</x:v>
      </x:c>
      <x:c r="F388" t="n">
        <x:v>3051</x:v>
      </x:c>
      <x:c r="G388" s="33" t="n">
        <x:v>0.0009832841691248770894788594</x:v>
      </x:c>
      <x:c r="H388" s="33" t="n">
        <x:v>0.0127826941986234021632251721</x:v>
      </x:c>
      <x:c r="I388" s="33" t="n">
        <x:v>0.0219600131104555883316945264</x:v>
      </x:c>
      <x:c r="J388" s="33" t="n">
        <x:v>0.0380203212061619141265158964</x:v>
      </x:c>
      <x:c r="K388" s="33" t="n">
        <x:v>0.0606358570960340871845296624</x:v>
      </x:c>
      <x:c r="L388" s="33" t="n">
        <x:v>0.0825958702064896755162241888</x:v>
      </x:c>
      <x:c r="M388" s="33" t="n">
        <x:v>0.0894788593903638151425762045</x:v>
      </x:c>
      <x:c r="N388" s="33" t="n">
        <x:v>0.0924287118977384464110127827</x:v>
      </x:c>
      <x:c r="O388" s="33" t="n">
        <x:v>0.0940675188462799082268108817</x:v>
      </x:c>
      <x:c r="P388" s="33" t="n">
        <x:v>0.0970173713536545394952474598</x:v>
      </x:c>
      <x:c r="Q388" s="33" t="n">
        <x:v>0.0966896099639462471320878401</x:v>
      </x:c>
      <x:c r="R388" s="33" t="n">
        <x:v>0.0966896099639462471320878401</x:v>
      </x:c>
      <x:c r="S388" s="33" t="n">
        <x:v>0.0980006555227794165847263192</x:v>
      </x:c>
      <x:c r="T388" s="33" t="n">
        <x:v>0.0989839396919042936742051786</x:v>
      </x:c>
      <x:c r="U388" s="33" t="n">
        <x:v>0.0993117010816125860373647984</x:v>
      </x:c>
      <x:c r="V388" s="33" t="n">
        <x:v>0.1002949852507374631268436578</x:v>
      </x:c>
      <x:c r="W388" s="33" t="n">
        <x:v>0.1019337921992789249426417568</x:v>
      </x:c>
      <x:c r="X388" s="33" t="n">
        <x:v>0.1039003605375286791215994756</x:v>
      </x:c>
      <x:c r="Y388" s="33" t="n">
        <x:v>0.1055391674860701409373975746</x:v>
      </x:c>
      <x:c r="Z388" s="33" t="n">
        <x:v>0.1078334972140281874795149131</x:v>
      </x:c>
      <x:c r="AA388" s="33" t="n">
        <x:v>0.1098000655522779416584726319</x:v>
      </x:c>
      <x:c r="AB388" s="33" t="n">
        <x:v>0.1120943952802359882005899705</x:v>
      </x:c>
      <x:c r="AC388" s="33" t="n">
        <x:v>0.1166830547361520812848246477</x:v>
      </x:c>
      <x:c r="AD388" s="33" t="n">
        <x:v>0.125860373647984267453294002</x:v>
      </x:c>
      <x:c r="AE388" s="33" t="n">
        <x:v>0.1409373975745657161586365126</x:v>
      </x:c>
      <x:c r="AF388" s="33" t="n">
        <x:v>0.1543756145526057030481809243</x:v>
      </x:c>
      <x:c r="AG388" s="33" t="n">
        <x:v>0.1737135365453949524745984923</x:v>
      </x:c>
      <x:c r="AH388" s="33" t="n">
        <x:v>0.1828908554572271386430678466</x:v>
      </x:c>
      <x:c r="BC388" s="34" t="s"/>
      <x:c r="BD388" s="11" t="s">
        <x:v>284</x:v>
      </x:c>
      <x:c r="BE388" s="12" t="n">
        <x:f>=BO388</x:f>
      </x:c>
      <x:c r="BF388" s="12" t="n">
        <x:v>0.1828908554572271386430678466</x:v>
      </x:c>
      <x:c r="BG388" s="12" t="n">
        <x:v>0</x:v>
      </x:c>
      <x:c r="BH388" s="12" t="n">
        <x:v>0.8171091445427728613569321534</x:v>
      </x:c>
      <x:c r="BI388" s="12" t="n">
        <x:f>=BN388</x:f>
      </x:c>
      <x:c r="BJ388" s="13" t="n">
        <x:v>0.0139844859608871408281437780</x:v>
      </x:c>
      <x:c r="BK388" s="31" t="n">
        <x:v>5835.59</x:v>
      </x:c>
      <x:c r="BL388" s="31" t="n">
        <x:v>-23242.4924</x:v>
      </x:c>
      <x:c r="BM388" s="31" t="n">
        <x:f>=BK388+BL388</x:f>
      </x:c>
      <x:c r="BN388" s="68" t="n">
        <x:f>=BM388/BK388</x:f>
      </x:c>
      <x:c r="BO388" s="68" t="n">
        <x:v>0.1828908554572271386430678466</x:v>
      </x:c>
      <x:c r="BP388" s="31" t="n">
        <x:v>20349.20</x:v>
      </x:c>
      <x:c r="BQ388" s="42" t="n">
        <x:v>2493</x:v>
      </x:c>
      <x:c r="BR388" s="31" t="n">
        <x:v>16627.517404129793510324483776</x:v>
      </x:c>
      <x:c r="BT388" s="31" t="n">
        <x:v>15962.371752345058602138643069</x:v>
      </x:c>
      <x:c r="BU388" s="31" t="n">
        <x:v>-23242.4924</x:v>
      </x:c>
      <x:c r="BV388" s="31" t="n">
        <x:f>=BT388+BU388</x:f>
      </x:c>
      <x:c r="BW388" s="68" t="n">
        <x:f>=BV388/BT388</x:f>
      </x:c>
      <x:c r="BY388" s="68" t="n">
        <x:f>=BO388</x:f>
      </x:c>
      <x:c r="BZ388" s="68" t="n">
        <x:f>=BF388</x:f>
      </x:c>
      <x:c r="CA388" s="68" t="n">
        <x:f>=BG388</x:f>
      </x:c>
      <x:c r="CB388" s="68" t="n">
        <x:f>=1 - BY388</x:f>
      </x:c>
      <x:c r="CD388" s="68" t="n">
        <x:f>=CA388/(1-BZ388)</x:f>
      </x:c>
    </x:row>
    <x:row r="389">
      <x:c r="A389" s="32" t="s">
        <x:v>681</x:v>
      </x:c>
      <x:c r="B389" t="s"/>
      <x:c r="C389" t="s">
        <x:v>682</x:v>
      </x:c>
      <x:c r="D389" t="s">
        <x:v>259</x:v>
      </x:c>
      <x:c r="E389" t="s">
        <x:v>132</x:v>
      </x:c>
      <x:c r="F389" t="n">
        <x:v>1010</x:v>
      </x:c>
      <x:c r="G389" s="33" t="n">
        <x:v>0.0128712871287128712871287129</x:v>
      </x:c>
      <x:c r="H389" s="33" t="n">
        <x:v>0.0297029702970297029702970297</x:v>
      </x:c>
      <x:c r="I389" s="33" t="n">
        <x:v>0.0504950495049504950495049505</x:v>
      </x:c>
      <x:c r="J389" s="33" t="n">
        <x:v>0.0712871287128712871287128713</x:v>
      </x:c>
      <x:c r="K389" s="33" t="n">
        <x:v>0.096039603960396039603960396</x:v>
      </x:c>
      <x:c r="L389" s="33" t="n">
        <x:v>0.1178217821782178217821782178</x:v>
      </x:c>
      <x:c r="M389" s="33" t="n">
        <x:v>0.1356435643564356435643564356</x:v>
      </x:c>
      <x:c r="N389" s="33" t="n">
        <x:v>0.1455445544554455445544554455</x:v>
      </x:c>
      <x:c r="O389" s="33" t="n">
        <x:v>0.1504950495049504950495049505</x:v>
      </x:c>
      <x:c r="P389" s="33" t="n">
        <x:v>0.1524752475247524752475247525</x:v>
      </x:c>
      <x:c r="Q389" s="33" t="n">
        <x:v>0.1504950495049504950495049505</x:v>
      </x:c>
      <x:c r="R389" s="33" t="n">
        <x:v>0.1584158415841584158415841584</x:v>
      </x:c>
      <x:c r="S389" s="33" t="n">
        <x:v>0.1613861386138613861386138614</x:v>
      </x:c>
      <x:c r="T389" s="33" t="n">
        <x:v>0.1940594059405940594059405941</x:v>
      </x:c>
      <x:c r="U389" s="33" t="n">
        <x:v>0.2287128712871287128712871287</x:v>
      </x:c>
      <x:c r="V389" s="33" t="n">
        <x:v>0.2386138613861386138613861386</x:v>
      </x:c>
      <x:c r="W389" s="33" t="n">
        <x:v>0.2495049504950495049504950495</x:v>
      </x:c>
      <x:c r="X389" s="33" t="n">
        <x:v>0.2653465346534653465346534653</x:v>
      </x:c>
      <x:c r="Y389" s="33" t="n">
        <x:v>0.2940594059405940594059405941</x:v>
      </x:c>
      <x:c r="Z389" s="33" t="n">
        <x:v>0.3099009900990099009900990099</x:v>
      </x:c>
      <x:c r="AA389" s="33" t="n">
        <x:v>0.3217821782178217821782178218</x:v>
      </x:c>
      <x:c r="AB389" s="33" t="n">
        <x:v>0.3316831683168316831683168317</x:v>
      </x:c>
      <x:c r="AC389" s="33" t="n">
        <x:v>0.3475247524752475247524752475</x:v>
      </x:c>
      <x:c r="AD389" s="33" t="n">
        <x:v>0.3603960396039603960396039604</x:v>
      </x:c>
      <x:c r="AE389" s="33" t="n">
        <x:v>0.3811881188118811881188118812</x:v>
      </x:c>
      <x:c r="AF389" s="33" t="n">
        <x:v>0.397029702970297029702970297</x:v>
      </x:c>
      <x:c r="AG389" s="33" t="n">
        <x:v>0.4099009900990099009900990099</x:v>
      </x:c>
      <x:c r="BC389" s="34" t="s"/>
      <x:c r="BD389" s="11" t="s">
        <x:v>227</x:v>
      </x:c>
      <x:c r="BE389" s="12" t="n">
        <x:f>=BO389</x:f>
      </x:c>
      <x:c r="BF389" s="12" t="n">
        <x:v>0.4099009900990099009900990099</x:v>
      </x:c>
      <x:c r="BG389" s="12" t="n">
        <x:v>0</x:v>
      </x:c>
      <x:c r="BH389" s="12" t="n">
        <x:v>0.5900990099009900990099009901</x:v>
      </x:c>
      <x:c r="BI389" s="12" t="n">
        <x:f>=BN389</x:f>
      </x:c>
      <x:c r="BJ389" s="13" t="n">
        <x:v>0.0165016501650165016501650165</x:v>
      </x:c>
      <x:c r="BK389" s="31" t="n">
        <x:v>3916.72</x:v>
      </x:c>
      <x:c r="BL389" s="31" t="n">
        <x:v>-6244.13120</x:v>
      </x:c>
      <x:c r="BM389" s="31" t="n">
        <x:f>=BK389+BL389</x:f>
      </x:c>
      <x:c r="BN389" s="68" t="n">
        <x:f>=BM389/BK389</x:f>
      </x:c>
      <x:c r="BO389" s="68" t="n">
        <x:v>0.4099009900990099009900990099</x:v>
      </x:c>
      <x:c r="BP389" s="31" t="n">
        <x:v>5683.20</x:v>
      </x:c>
      <x:c r="BQ389" s="42" t="n">
        <x:v>596</x:v>
      </x:c>
      <x:c r="BR389" s="31" t="n">
        <x:v>3353.6506930693069306930693069</x:v>
      </x:c>
      <x:c r="BT389" s="31" t="n">
        <x:v>6427.3777775272240099009900988</x:v>
      </x:c>
      <x:c r="BU389" s="31" t="n">
        <x:v>-6244.13120</x:v>
      </x:c>
      <x:c r="BV389" s="31" t="n">
        <x:f>=BT389+BU389</x:f>
      </x:c>
      <x:c r="BW389" s="68" t="n">
        <x:f>=BV389/BT389</x:f>
      </x:c>
      <x:c r="BY389" s="68" t="n">
        <x:f>=BO389</x:f>
      </x:c>
      <x:c r="BZ389" s="68" t="n">
        <x:f>=BF389</x:f>
      </x:c>
      <x:c r="CA389" s="68" t="n">
        <x:f>=BG389</x:f>
      </x:c>
      <x:c r="CB389" s="68" t="n">
        <x:f>=1 - BY389</x:f>
      </x:c>
      <x:c r="CD389" s="68" t="n">
        <x:f>=CA389/(1-BZ389)</x:f>
      </x:c>
    </x:row>
    <x:row r="390">
      <x:c r="A390" s="32" t="s">
        <x:v>683</x:v>
      </x:c>
      <x:c r="B390" t="s"/>
      <x:c r="C390" t="s">
        <x:v>684</x:v>
      </x:c>
      <x:c r="D390" t="s">
        <x:v>96</x:v>
      </x:c>
      <x:c r="E390" t="s">
        <x:v>132</x:v>
      </x:c>
      <x:c r="F390" t="n">
        <x:v>8423</x:v>
      </x:c>
      <x:c r="G390" s="33" t="n">
        <x:v>0.003205508726107087735961059</x:v>
      </x:c>
      <x:c r="H390" s="33" t="n">
        <x:v>0.0383473821678736792116822985</x:v>
      </x:c>
      <x:c r="I390" s="33" t="n">
        <x:v>0.0871423483319482369702006411</x:v>
      </x:c>
      <x:c r="J390" s="33" t="n">
        <x:v>0.1390241006767185088448296331</x:v>
      </x:c>
      <x:c r="K390" s="33" t="n">
        <x:v>0.1619375519411136174759586846</x:v>
      </x:c>
      <x:c r="L390" s="33" t="n">
        <x:v>0.1695357948474415291463848985</x:v>
      </x:c>
      <x:c r="M390" s="33" t="n">
        <x:v>0.1689421821203846610471328505</x:v>
      </x:c>
      <x:c r="N390" s="33" t="n">
        <x:v>0.1706042977561438917250385848</x:v>
      </x:c>
      <x:c r="O390" s="33" t="n">
        <x:v>0.1722664133919031224029443191</x:v>
      </x:c>
      <x:c r="P390" s="33" t="n">
        <x:v>0.1734536388460168586014484151</x:v>
      </x:c>
      <x:c r="Q390" s="33" t="n">
        <x:v>0.1760655348450670782381574261</x:v>
      </x:c>
      <x:c r="R390" s="33" t="n">
        <x:v>0.180458269025287902172622581</x:v>
      </x:c>
      <x:c r="S390" s="33" t="n">
        <x:v>0.1856820610233883414460406031</x:v>
      </x:c>
      <x:c r="T390" s="33" t="n">
        <x:v>0.1920930784756025169179627211</x:v>
      </x:c>
      <x:c r="U390" s="33" t="n">
        <x:v>0.1935177490205390003561676362</x:v>
      </x:c>
      <x:c r="V390" s="33" t="n">
        <x:v>0.1963670901104119672325774665</x:v>
      </x:c>
      <x:c r="W390" s="33" t="n">
        <x:v>0.2063397839249673513000118723</x:v>
      </x:c>
      <x:c r="X390" s="33" t="n">
        <x:v>0.2249792235545530096165261783</x:v>
      </x:c>
      <x:c r="Y390" s="33" t="n">
        <x:v>0.2385135937314496022794728719</x:v>
      </x:c>
      <x:c r="Z390" s="33" t="n">
        <x:v>0.2717559064466342158375875579</x:v>
      </x:c>
      <x:c r="AA390" s="33" t="n">
        <x:v>0.3185325893387154220586489374</x:v>
      </x:c>
      <x:c r="AB390" s="33" t="n">
        <x:v>0.3575923067790573429894336935</x:v>
      </x:c>
      <x:c r="AC390" s="33" t="n">
        <x:v>0.3952273536744627804820135344</x:v>
      </x:c>
      <x:c r="AD390" s="33" t="n">
        <x:v>0.4345245162056274486524991096</x:v>
      </x:c>
      <x:c r="BC390" s="34" t="s"/>
      <x:c r="BD390" s="11" t="s">
        <x:v>191</x:v>
      </x:c>
      <x:c r="BE390" s="12" t="n">
        <x:f>=BO390</x:f>
      </x:c>
      <x:c r="BF390" s="12" t="n">
        <x:v>0.4345245162056274486524991096</x:v>
      </x:c>
      <x:c r="BG390" s="12" t="n">
        <x:v>0</x:v>
      </x:c>
      <x:c r="BH390" s="12" t="n">
        <x:v>0.5654754837943725513475008904</x:v>
      </x:c>
      <x:c r="BI390" s="12" t="n">
        <x:f>=BN390</x:f>
      </x:c>
      <x:c r="BJ390" s="13" t="n">
        <x:v>0.0386639756223040088646167241</x:v>
      </x:c>
      <x:c r="BK390" s="31" t="n">
        <x:v>13466.17</x:v>
      </x:c>
      <x:c r="BL390" s="31" t="n">
        <x:v>-18058.9644</x:v>
      </x:c>
      <x:c r="BM390" s="31" t="n">
        <x:f>=BK390+BL390</x:f>
      </x:c>
      <x:c r="BN390" s="68" t="n">
        <x:f>=BM390/BK390</x:f>
      </x:c>
      <x:c r="BO390" s="68" t="n">
        <x:v>0.4345245162056274486524991096</x:v>
      </x:c>
      <x:c r="BP390" s="31" t="n">
        <x:v>17064.01</x:v>
      </x:c>
      <x:c r="BQ390" s="42" t="n">
        <x:v>4763</x:v>
      </x:c>
      <x:c r="BR390" s="31" t="n">
        <x:v>9649.279310222011159919268669</x:v>
      </x:c>
      <x:c r="BT390" s="31" t="n">
        <x:v>24465.957741085607294115319173</x:v>
      </x:c>
      <x:c r="BU390" s="31" t="n">
        <x:v>-18058.9644</x:v>
      </x:c>
      <x:c r="BV390" s="31" t="n">
        <x:f>=BT390+BU390</x:f>
      </x:c>
      <x:c r="BW390" s="68" t="n">
        <x:f>=BV390/BT390</x:f>
      </x:c>
      <x:c r="BY390" s="68" t="n">
        <x:f>=BO390</x:f>
      </x:c>
      <x:c r="BZ390" s="68" t="n">
        <x:f>=BF390</x:f>
      </x:c>
      <x:c r="CA390" s="68" t="n">
        <x:f>=BG390</x:f>
      </x:c>
      <x:c r="CB390" s="68" t="n">
        <x:f>=1 - BY390</x:f>
      </x:c>
      <x:c r="CD390" s="68" t="n">
        <x:f>=CA390/(1-BZ390)</x:f>
      </x:c>
    </x:row>
    <x:row r="391">
      <x:c r="A391" s="32" t="s">
        <x:v>685</x:v>
      </x:c>
      <x:c r="B391" t="s"/>
      <x:c r="C391" t="s">
        <x:v>686</x:v>
      </x:c>
      <x:c r="D391" t="s">
        <x:v>434</x:v>
      </x:c>
      <x:c r="E391" t="s">
        <x:v>132</x:v>
      </x:c>
      <x:c r="F391" t="n">
        <x:v>5252</x:v>
      </x:c>
      <x:c r="G391" s="33" t="n">
        <x:v>0.0041888804265041888804265042</x:v>
      </x:c>
      <x:c r="H391" s="33" t="n">
        <x:v>0.0186595582635186595582635187</x:v>
      </x:c>
      <x:c r="I391" s="33" t="n">
        <x:v>0.0262757044935262757044935263</x:v>
      </x:c>
      <x:c r="J391" s="33" t="n">
        <x:v>0.0251332825590251332825590251</x:v>
      </x:c>
      <x:c r="K391" s="33" t="n">
        <x:v>0.0257044935262757044935262757</x:v>
      </x:c>
      <x:c r="L391" s="33" t="n">
        <x:v>0.027037319116527037319116527</x:v>
      </x:c>
      <x:c r="M391" s="33" t="n">
        <x:v>0.0344630616907844630616907845</x:v>
      </x:c>
      <x:c r="N391" s="33" t="n">
        <x:v>0.0436024371667936024371667936</x:v>
      </x:c>
      <x:c r="O391" s="33" t="n">
        <x:v>0.0489337395277989337395277989</x:v>
      </x:c>
      <x:c r="P391" s="33" t="n">
        <x:v>0.0546458492003046458492003046</x:v>
      </x:c>
      <x:c r="Q391" s="33" t="n">
        <x:v>0.0584539223153084539223153085</x:v>
      </x:c>
      <x:c r="R391" s="33" t="n">
        <x:v>0.0664508758568164508758568165</x:v>
      </x:c>
      <x:c r="S391" s="33" t="n">
        <x:v>0.0795887281035795887281035796</x:v>
      </x:c>
      <x:c r="T391" s="33" t="n">
        <x:v>0.11995430312261995430312262</x:v>
      </x:c>
      <x:c r="U391" s="33" t="n">
        <x:v>0.150990099009900990099009901</x:v>
      </x:c>
      <x:c r="V391" s="33" t="n">
        <x:v>0.1707920792079207920792079208</x:v>
      </x:c>
      <x:c r="W391" s="33" t="n">
        <x:v>0.2159177456207159177456207159</x:v>
      </x:c>
      <x:c r="X391" s="33" t="n">
        <x:v>0.2667555217060167555217060168</x:v>
      </x:c>
      <x:c r="Y391" s="33" t="n">
        <x:v>0.3021706016755521706016755522</x:v>
      </x:c>
      <x:c r="Z391" s="33" t="n">
        <x:v>0.3271134805788271134805788271</x:v>
      </x:c>
      <x:c r="AA391" s="33" t="n">
        <x:v>0.3808073115003808073115003808</x:v>
      </x:c>
      <x:c r="BC391" s="34" t="s"/>
      <x:c r="BD391" s="11" t="s">
        <x:v>110</x:v>
      </x:c>
      <x:c r="BE391" s="12" t="n">
        <x:f>=BO391</x:f>
      </x:c>
      <x:c r="BF391" s="12" t="n">
        <x:v>0.3808073115003808073115003808</x:v>
      </x:c>
      <x:c r="BG391" s="12" t="n">
        <x:v>0</x:v>
      </x:c>
      <x:c r="BH391" s="12" t="n">
        <x:v>0.6191926884996191926884996192</x:v>
      </x:c>
      <x:c r="BI391" s="12" t="n">
        <x:f>=BN391</x:f>
      </x:c>
      <x:c r="BJ391" s="13" t="n">
        <x:v>0.0380172632647880172632647880</x:v>
      </x:c>
      <x:c r="BK391" s="31" t="n">
        <x:v>45298.13</x:v>
      </x:c>
      <x:c r="BL391" s="31" t="n">
        <x:v>-86132.0988</x:v>
      </x:c>
      <x:c r="BM391" s="31" t="n">
        <x:f>=BK391+BL391</x:f>
      </x:c>
      <x:c r="BN391" s="68" t="n">
        <x:f>=BM391/BK391</x:f>
      </x:c>
      <x:c r="BO391" s="68" t="n">
        <x:v>0.3808073115003808073115003808</x:v>
      </x:c>
      <x:c r="BP391" s="31" t="n">
        <x:v>78885.40</x:v>
      </x:c>
      <x:c r="BQ391" s="42" t="n">
        <x:v>3252</x:v>
      </x:c>
      <x:c r="BR391" s="31" t="n">
        <x:v>48845.262909367859862909367860</x:v>
      </x:c>
      <x:c r="BT391" s="31" t="n">
        <x:v>91598.53950564809671414064482</x:v>
      </x:c>
      <x:c r="BU391" s="31" t="n">
        <x:v>-86132.0988</x:v>
      </x:c>
      <x:c r="BV391" s="31" t="n">
        <x:f>=BT391+BU391</x:f>
      </x:c>
      <x:c r="BW391" s="68" t="n">
        <x:f>=BV391/BT391</x:f>
      </x:c>
      <x:c r="BY391" s="68" t="n">
        <x:f>=BO391</x:f>
      </x:c>
      <x:c r="BZ391" s="68" t="n">
        <x:f>=BF391</x:f>
      </x:c>
      <x:c r="CA391" s="68" t="n">
        <x:f>=BG391</x:f>
      </x:c>
      <x:c r="CB391" s="68" t="n">
        <x:f>=1 - BY391</x:f>
      </x:c>
      <x:c r="CD391" s="68" t="n">
        <x:f>=CA391/(1-BZ391)</x:f>
      </x:c>
    </x:row>
    <x:row r="392">
      <x:c r="A392" s="32" t="s">
        <x:v>687</x:v>
      </x:c>
      <x:c r="B392" t="s"/>
      <x:c r="C392" t="s">
        <x:v>688</x:v>
      </x:c>
      <x:c r="D392" t="s">
        <x:v>96</x:v>
      </x:c>
      <x:c r="E392" t="s">
        <x:v>132</x:v>
      </x:c>
      <x:c r="F392" t="n">
        <x:v>5056</x:v>
      </x:c>
      <x:c r="G392" s="33" t="n">
        <x:v>0.0136471518987341772151898734</x:v>
      </x:c>
      <x:c r="H392" s="33" t="n">
        <x:v>0.0187895569620253164556962025</x:v>
      </x:c>
      <x:c r="I392" s="33" t="n">
        <x:v>0.0253164556962025316455696203</x:v>
      </x:c>
      <x:c r="J392" s="33" t="n">
        <x:v>0.0648734177215189873417721519</x:v>
      </x:c>
      <x:c r="K392" s="33" t="n">
        <x:v>0.1056170886075949367088607595</x:v>
      </x:c>
      <x:c r="L392" s="33" t="n">
        <x:v>0.1437895569620253164556962025</x:v>
      </x:c>
      <x:c r="M392" s="33" t="n">
        <x:v>0.1989715189873417721518987342</x:v>
      </x:c>
      <x:c r="N392" s="33" t="n">
        <x:v>0.2796677215189873417721518987</x:v>
      </x:c>
      <x:c r="O392" s="33" t="n">
        <x:v>0.3397943037974683544303797468</x:v>
      </x:c>
      <x:c r="P392" s="33" t="n">
        <x:v>0.3742088607594936708860759494</x:v>
      </x:c>
      <x:c r="Q392" s="33" t="n">
        <x:v>0.3868670886075949367088607595</x:v>
      </x:c>
      <x:c r="R392" s="33" t="n">
        <x:v>0.3892405063291139240506329114</x:v>
      </x:c>
      <x:c r="S392" s="33" t="n">
        <x:v>0.3973496835443037974683544304</x:v>
      </x:c>
      <x:c r="T392" s="33" t="n">
        <x:v>0.4005142405063291139240506329</x:v>
      </x:c>
      <x:c r="U392" s="33" t="n">
        <x:v>0.4123813291139240506329113924</x:v>
      </x:c>
      <x:c r="V392" s="33" t="n">
        <x:v>0.4272151898734177215189873418</x:v>
      </x:c>
      <x:c r="BC392" s="34" t="s"/>
      <x:c r="BD392" s="11" t="s">
        <x:v>160</x:v>
      </x:c>
      <x:c r="BE392" s="12" t="n">
        <x:f>=BO392</x:f>
      </x:c>
      <x:c r="BF392" s="12" t="n">
        <x:v>0.4272151898734177215189873418</x:v>
      </x:c>
      <x:c r="BG392" s="12" t="n">
        <x:v>0</x:v>
      </x:c>
      <x:c r="BH392" s="12" t="n">
        <x:v>0.5727848101265822784810126582</x:v>
      </x:c>
      <x:c r="BI392" s="12" t="n">
        <x:f>=BN392</x:f>
      </x:c>
      <x:c r="BJ392" s="13" t="n">
        <x:v>0.0099551687763713080168776371</x:v>
      </x:c>
      <x:c r="BK392" s="31" t="n">
        <x:v>17768.71</x:v>
      </x:c>
      <x:c r="BL392" s="31" t="n">
        <x:v>-25877.1845</x:v>
      </x:c>
      <x:c r="BM392" s="31" t="n">
        <x:f>=BK392+BL392</x:f>
      </x:c>
      <x:c r="BN392" s="68" t="n">
        <x:f>=BM392/BK392</x:f>
      </x:c>
      <x:c r="BO392" s="68" t="n">
        <x:v>0.4272151898734177215189873418</x:v>
      </x:c>
      <x:c r="BP392" s="31" t="n">
        <x:v>25708.53</x:v>
      </x:c>
      <x:c r="BQ392" s="42" t="n">
        <x:v>2896</x:v>
      </x:c>
      <x:c r="BR392" s="31" t="n">
        <x:v>14725.455474683544303797468354</x:v>
      </x:c>
      <x:c r="BT392" s="31" t="n">
        <x:v>26999.795606455091084388185646</x:v>
      </x:c>
      <x:c r="BU392" s="31" t="n">
        <x:v>-25877.1845</x:v>
      </x:c>
      <x:c r="BV392" s="31" t="n">
        <x:f>=BT392+BU392</x:f>
      </x:c>
      <x:c r="BW392" s="68" t="n">
        <x:f>=BV392/BT392</x:f>
      </x:c>
      <x:c r="BY392" s="68" t="n">
        <x:f>=BO392</x:f>
      </x:c>
      <x:c r="BZ392" s="68" t="n">
        <x:f>=BF392</x:f>
      </x:c>
      <x:c r="CA392" s="68" t="n">
        <x:f>=BG392</x:f>
      </x:c>
      <x:c r="CB392" s="68" t="n">
        <x:f>=1 - BY392</x:f>
      </x:c>
      <x:c r="CD392" s="68" t="n">
        <x:f>=CA392/(1-BZ392)</x:f>
      </x:c>
    </x:row>
    <x:row r="393">
      <x:c r="A393" s="32" t="s">
        <x:v>689</x:v>
      </x:c>
      <x:c r="B393" t="s"/>
      <x:c r="C393" t="s">
        <x:v>690</x:v>
      </x:c>
      <x:c r="D393" t="s">
        <x:v>96</x:v>
      </x:c>
      <x:c r="E393" t="s">
        <x:v>132</x:v>
      </x:c>
      <x:c r="F393" t="n">
        <x:v>4000</x:v>
      </x:c>
      <x:c r="G393" s="33" t="n">
        <x:v>0.00825</x:v>
      </x:c>
      <x:c r="H393" s="33" t="n">
        <x:v>0.0125</x:v>
      </x:c>
      <x:c r="I393" s="33" t="n">
        <x:v>0.032</x:v>
      </x:c>
      <x:c r="J393" s="33" t="n">
        <x:v>0.05575</x:v>
      </x:c>
      <x:c r="K393" s="33" t="n">
        <x:v>0.077</x:v>
      </x:c>
      <x:c r="L393" s="33" t="n">
        <x:v>0.10775</x:v>
      </x:c>
      <x:c r="M393" s="33" t="n">
        <x:v>0.1375</x:v>
      </x:c>
      <x:c r="N393" s="33" t="n">
        <x:v>0.172</x:v>
      </x:c>
      <x:c r="O393" s="33" t="n">
        <x:v>0.2115</x:v>
      </x:c>
      <x:c r="P393" s="33" t="n">
        <x:v>0.264</x:v>
      </x:c>
      <x:c r="BC393" s="34" t="s"/>
      <x:c r="BD393" s="11" t="s">
        <x:v>141</x:v>
      </x:c>
      <x:c r="BE393" s="12" t="n">
        <x:f>=BO393</x:f>
      </x:c>
      <x:c r="BF393" s="12" t="n">
        <x:v>0.264</x:v>
      </x:c>
      <x:c r="BG393" s="12" t="n">
        <x:v>0</x:v>
      </x:c>
      <x:c r="BH393" s="12" t="n">
        <x:v>0.736</x:v>
      </x:c>
      <x:c r="BI393" s="12" t="n">
        <x:f>=BN393</x:f>
      </x:c>
      <x:c r="BJ393" s="13" t="n">
        <x:v>0.0421666666666666666666666667</x:v>
      </x:c>
      <x:c r="BK393" s="31" t="n">
        <x:v>7790.17</x:v>
      </x:c>
      <x:c r="BL393" s="31" t="n">
        <x:v>-18577.5842</x:v>
      </x:c>
      <x:c r="BM393" s="31" t="n">
        <x:f>=BK393+BL393</x:f>
      </x:c>
      <x:c r="BN393" s="68" t="n">
        <x:f>=BM393/BK393</x:f>
      </x:c>
      <x:c r="BO393" s="68" t="n">
        <x:v>0.264</x:v>
      </x:c>
      <x:c r="BP393" s="31" t="n">
        <x:v>18435.86</x:v>
      </x:c>
      <x:c r="BQ393" s="42" t="n">
        <x:v>2944</x:v>
      </x:c>
      <x:c r="BR393" s="31" t="n">
        <x:v>13568.792960</x:v>
      </x:c>
      <x:c r="BT393" s="31" t="n">
        <x:v>20631.443067817737916666666673</x:v>
      </x:c>
      <x:c r="BU393" s="31" t="n">
        <x:v>-18577.5842</x:v>
      </x:c>
      <x:c r="BV393" s="31" t="n">
        <x:f>=BT393+BU393</x:f>
      </x:c>
      <x:c r="BW393" s="68" t="n">
        <x:f>=BV393/BT393</x:f>
      </x:c>
      <x:c r="BY393" s="68" t="n">
        <x:f>=BO393</x:f>
      </x:c>
      <x:c r="BZ393" s="68" t="n">
        <x:f>=BF393</x:f>
      </x:c>
      <x:c r="CA393" s="68" t="n">
        <x:f>=BG393</x:f>
      </x:c>
      <x:c r="CB393" s="68" t="n">
        <x:f>=1 - BY393</x:f>
      </x:c>
      <x:c r="CD393" s="68" t="n">
        <x:f>=CA393/(1-BZ393)</x:f>
      </x:c>
    </x:row>
    <x:row r="394">
      <x:c r="A394" s="32" t="s">
        <x:v>691</x:v>
      </x:c>
      <x:c r="B394" t="s"/>
      <x:c r="C394" t="s">
        <x:v>692</x:v>
      </x:c>
      <x:c r="D394" t="s">
        <x:v>259</x:v>
      </x:c>
      <x:c r="E394" t="s">
        <x:v>132</x:v>
      </x:c>
      <x:c r="F394" t="n">
        <x:v>1991</x:v>
      </x:c>
      <x:c r="G394" s="33" t="n">
        <x:v>0.0025113008538422903063787042</x:v>
      </x:c>
      <x:c r="H394" s="33" t="n">
        <x:v>0.0080361627322953289804118533</x:v>
      </x:c>
      <x:c r="I394" s="33" t="n">
        <x:v>0.0155700652938221998995479658</x:v>
      </x:c>
      <x:c r="J394" s="33" t="n">
        <x:v>0.0291310899045705675539929684</x:v>
      </x:c>
      <x:c r="K394" s="33" t="n">
        <x:v>0.04821697639377197388247112</x:v>
      </x:c>
      <x:c r="L394" s="33" t="n">
        <x:v>0.0753390256152687091913611251</x:v>
      </x:c>
      <x:c r="M394" s="33" t="n">
        <x:v>0.1250627825213460572576594676</x:v>
      </x:c>
      <x:c r="N394" s="33" t="n">
        <x:v>0.1647413360120542440984429935</x:v>
      </x:c>
      <x:c r="O394" s="33" t="n">
        <x:v>0.2029131089904570567553992968</x:v>
      </x:c>
      <x:c r="P394" s="33" t="n">
        <x:v>0.2451029633350075339025615269</x:v>
      </x:c>
      <x:c r="BC394" s="34" t="s"/>
      <x:c r="BD394" s="11" t="s">
        <x:v>141</x:v>
      </x:c>
      <x:c r="BE394" s="12" t="n">
        <x:f>=BO394</x:f>
      </x:c>
      <x:c r="BF394" s="12" t="n">
        <x:v>0.2451029633350075339025615269</x:v>
      </x:c>
      <x:c r="BG394" s="12" t="n">
        <x:v>0</x:v>
      </x:c>
      <x:c r="BH394" s="12" t="n">
        <x:v>0.7548970366649924660974384731</x:v>
      </x:c>
      <x:c r="BI394" s="12" t="n">
        <x:f>=BN394</x:f>
      </x:c>
      <x:c r="BJ394" s="13" t="n">
        <x:v>0.0400133936045538255483006864</x:v>
      </x:c>
      <x:c r="BK394" s="31" t="n">
        <x:v>8564.11</x:v>
      </x:c>
      <x:c r="BL394" s="31" t="n">
        <x:v>-21224.87260</x:v>
      </x:c>
      <x:c r="BM394" s="31" t="n">
        <x:f>=BK394+BL394</x:f>
      </x:c>
      <x:c r="BN394" s="68" t="n">
        <x:f>=BM394/BK394</x:f>
      </x:c>
      <x:c r="BO394" s="68" t="n">
        <x:v>0.2451029633350075339025615269</x:v>
      </x:c>
      <x:c r="BP394" s="31" t="n">
        <x:v>19567.10</x:v>
      </x:c>
      <x:c r="BQ394" s="42" t="n">
        <x:v>1503</x:v>
      </x:c>
      <x:c r="BR394" s="31" t="n">
        <x:v>14771.145806127574083375188347</x:v>
      </x:c>
      <x:c r="BT394" s="31" t="n">
        <x:v>22390.701033581580174200569226</x:v>
      </x:c>
      <x:c r="BU394" s="31" t="n">
        <x:v>-21224.87260</x:v>
      </x:c>
      <x:c r="BV394" s="31" t="n">
        <x:f>=BT394+BU394</x:f>
      </x:c>
      <x:c r="BW394" s="68" t="n">
        <x:f>=BV394/BT394</x:f>
      </x:c>
      <x:c r="BY394" s="68" t="n">
        <x:f>=BO394</x:f>
      </x:c>
      <x:c r="BZ394" s="68" t="n">
        <x:f>=BF394</x:f>
      </x:c>
      <x:c r="CA394" s="68" t="n">
        <x:f>=BG394</x:f>
      </x:c>
      <x:c r="CB394" s="68" t="n">
        <x:f>=1 - BY394</x:f>
      </x:c>
      <x:c r="CD394" s="68" t="n">
        <x:f>=CA394/(1-BZ394)</x:f>
      </x:c>
    </x:row>
    <x:row r="395">
      <x:c r="BC395" s="34" t="s"/>
      <x:c r="BD395" s="11" t="s"/>
      <x:c r="BJ395" s="13" t="s"/>
    </x:row>
    <x:row r="396">
      <x:c r="A396" s="36" t="s">
        <x:v>91</x:v>
      </x:c>
      <x:c r="BC396" s="34" t="s"/>
      <x:c r="BD396" s="11" t="s"/>
      <x:c r="BJ396" s="13" t="s"/>
    </x:row>
    <x:row r="397">
      <x:c r="A397" s="17" t="s">
        <x:v>641</x:v>
      </x:c>
      <x:c r="BC397" s="34" t="s"/>
      <x:c r="BD397" s="11" t="s"/>
      <x:c r="BJ397" s="13" t="s"/>
    </x:row>
    <x:row r="398">
      <x:c r="A398" s="32" t="s">
        <x:v>693</x:v>
      </x:c>
      <x:c r="B398" t="s"/>
      <x:c r="C398" t="s">
        <x:v>694</x:v>
      </x:c>
      <x:c r="D398" t="s">
        <x:v>96</x:v>
      </x:c>
      <x:c r="E398" t="s">
        <x:v>97</x:v>
      </x:c>
      <x:c r="F398" t="n">
        <x:v>975</x:v>
      </x:c>
      <x:c r="G398" s="33" t="n">
        <x:v>0.0030769230769230769230769231</x:v>
      </x:c>
      <x:c r="H398" s="33" t="n">
        <x:v>0.0061538461538461538461538462</x:v>
      </x:c>
      <x:c r="I398" s="33" t="n">
        <x:v>0.0082051282051282051282051282</x:v>
      </x:c>
      <x:c r="J398" s="33" t="n">
        <x:v>0.0082051282051282051282051282</x:v>
      </x:c>
      <x:c r="K398" s="33" t="n">
        <x:v>0.0082051282051282051282051282</x:v>
      </x:c>
      <x:c r="L398" s="33" t="n">
        <x:v>0.0102564102564102564102564103</x:v>
      </x:c>
      <x:c r="M398" s="33" t="n">
        <x:v>0.0102564102564102564102564103</x:v>
      </x:c>
      <x:c r="N398" s="33" t="n">
        <x:v>0.0102564102564102564102564103</x:v>
      </x:c>
      <x:c r="O398" s="33" t="n">
        <x:v>0.0123076923076923076923076923</x:v>
      </x:c>
      <x:c r="P398" s="33" t="n">
        <x:v>0.0174358974358974358974358974</x:v>
      </x:c>
      <x:c r="Q398" s="33" t="n">
        <x:v>0.0205128205128205128205128205</x:v>
      </x:c>
      <x:c r="R398" s="33" t="n">
        <x:v>0.0276923076923076923076923077</x:v>
      </x:c>
      <x:c r="S398" s="33" t="n">
        <x:v>0.0297435897435897435897435897</x:v>
      </x:c>
      <x:c r="T398" s="33" t="n">
        <x:v>0.0369230769230769230769230769</x:v>
      </x:c>
      <x:c r="U398" s="33" t="n">
        <x:v>0.0502564102564102564102564103</x:v>
      </x:c>
      <x:c r="V398" s="33" t="n">
        <x:v>0.0584615384615384615384615385</x:v>
      </x:c>
      <x:c r="W398" s="33" t="n">
        <x:v>0.0594871794871794871794871795</x:v>
      </x:c>
      <x:c r="X398" s="33" t="n">
        <x:v>0.0687179487179487179487179487</x:v>
      </x:c>
      <x:c r="Y398" s="33" t="n">
        <x:v>0.0697435897435897435897435897</x:v>
      </x:c>
      <x:c r="Z398" s="33" t="n">
        <x:v>0.0851282051282051282051282051</x:v>
      </x:c>
      <x:c r="AA398" s="33" t="n">
        <x:v>0.0923076923076923076923076923</x:v>
      </x:c>
      <x:c r="BC398" s="34" t="s"/>
      <x:c r="BD398" s="11" t="s">
        <x:v>110</x:v>
      </x:c>
      <x:c r="BE398" s="12" t="n">
        <x:f>=BO398</x:f>
      </x:c>
      <x:c r="BF398" s="12" t="n">
        <x:v>0.0923076923076923076923076923</x:v>
      </x:c>
      <x:c r="BG398" s="12" t="n">
        <x:v>0</x:v>
      </x:c>
      <x:c r="BH398" s="12" t="n">
        <x:v>0.9076923076923076923076923077</x:v>
      </x:c>
      <x:c r="BI398" s="12" t="n">
        <x:f>=BN398</x:f>
      </x:c>
      <x:c r="BJ398" s="13" t="n">
        <x:v>0.0078632478632478632478632479</x:v>
      </x:c>
      <x:c r="BK398" s="31" t="n">
        <x:v>956.36</x:v>
      </x:c>
      <x:c r="BL398" s="31" t="n">
        <x:v>-6433.2450</x:v>
      </x:c>
      <x:c r="BM398" s="31" t="n">
        <x:f>=BK398+BL398</x:f>
      </x:c>
      <x:c r="BN398" s="68" t="n">
        <x:f>=BM398/BK398</x:f>
      </x:c>
      <x:c r="BO398" s="68" t="n">
        <x:v>0.0923076923076923076923076923</x:v>
      </x:c>
      <x:c r="BP398" s="31" t="n">
        <x:v>6366.75</x:v>
      </x:c>
      <x:c r="BQ398" s="42" t="n">
        <x:v>885</x:v>
      </x:c>
      <x:c r="BR398" s="31" t="n">
        <x:v>5779.05</x:v>
      </x:c>
      <x:c r="BT398" s="31" t="n">
        <x:v>4201.7916833820299145299145318</x:v>
      </x:c>
      <x:c r="BU398" s="31" t="n">
        <x:v>-6433.2450</x:v>
      </x:c>
      <x:c r="BV398" s="31" t="n">
        <x:f>=BT398+BU398</x:f>
      </x:c>
      <x:c r="BW398" s="68" t="n">
        <x:f>=BV398/BT398</x:f>
      </x:c>
      <x:c r="BY398" s="68" t="n">
        <x:f>=BO398</x:f>
      </x:c>
      <x:c r="BZ398" s="68" t="n">
        <x:f>=BF398</x:f>
      </x:c>
      <x:c r="CA398" s="68" t="n">
        <x:f>=BG398</x:f>
      </x:c>
      <x:c r="CB398" s="68" t="n">
        <x:f>=1 - BY398</x:f>
      </x:c>
      <x:c r="CD398" s="68" t="n">
        <x:f>=CA398/(1-BZ398)</x:f>
      </x:c>
    </x:row>
    <x:row r="399">
      <x:c r="A399" s="32" t="s">
        <x:v>695</x:v>
      </x:c>
      <x:c r="B399" t="s"/>
      <x:c r="C399" t="s">
        <x:v>696</x:v>
      </x:c>
      <x:c r="D399" t="s">
        <x:v>96</x:v>
      </x:c>
      <x:c r="E399" t="s">
        <x:v>97</x:v>
      </x:c>
      <x:c r="F399" t="n">
        <x:v>732</x:v>
      </x:c>
      <x:c r="G399" s="33" t="n">
        <x:v>0.0095628415300546448087431694</x:v>
      </x:c>
      <x:c r="H399" s="33" t="n">
        <x:v>0.0286885245901639344262295082</x:v>
      </x:c>
      <x:c r="I399" s="33" t="n">
        <x:v>0.0560109289617486338797814208</x:v>
      </x:c>
      <x:c r="J399" s="33" t="n">
        <x:v>0.0792349726775956284153005464</x:v>
      </x:c>
      <x:c r="K399" s="33" t="n">
        <x:v>0.0969945355191256830601092896</x:v>
      </x:c>
      <x:c r="L399" s="33" t="n">
        <x:v>0.1338797814207650273224043716</x:v>
      </x:c>
      <x:c r="M399" s="33" t="n">
        <x:v>0.1297814207650273224043715847</x:v>
      </x:c>
      <x:c r="N399" s="33" t="n">
        <x:v>0.1256830601092896174863387978</x:v>
      </x:c>
      <x:c r="O399" s="33" t="n">
        <x:v>0.1379781420765027322404371585</x:v>
      </x:c>
      <x:c r="P399" s="33" t="n">
        <x:v>0.143442622950819672131147541</x:v>
      </x:c>
      <x:c r="Q399" s="33" t="n">
        <x:v>0.154371584699453551912568306</x:v>
      </x:c>
      <x:c r="R399" s="33" t="n">
        <x:v>0.165300546448087431693989071</x:v>
      </x:c>
      <x:c r="BC399" s="34" t="s"/>
      <x:c r="BD399" s="11" t="s">
        <x:v>335</x:v>
      </x:c>
      <x:c r="BE399" s="12" t="n">
        <x:f>=BO399</x:f>
      </x:c>
      <x:c r="BF399" s="12" t="n">
        <x:v>0.165300546448087431693989071</x:v>
      </x:c>
      <x:c r="BG399" s="12" t="n">
        <x:v>0</x:v>
      </x:c>
      <x:c r="BH399" s="12" t="n">
        <x:v>0.834699453551912568306010929</x:v>
      </x:c>
      <x:c r="BI399" s="12" t="n">
        <x:f>=BN399</x:f>
      </x:c>
      <x:c r="BJ399" s="13" t="n">
        <x:v>0.0091074681238615664845173042</x:v>
      </x:c>
      <x:c r="BK399" s="31" t="n">
        <x:v>1281.47</x:v>
      </x:c>
      <x:c r="BL399" s="31" t="n">
        <x:v>-4841.2284</x:v>
      </x:c>
      <x:c r="BM399" s="31" t="n">
        <x:f>=BK399+BL399</x:f>
      </x:c>
      <x:c r="BN399" s="68" t="n">
        <x:f>=BM399/BK399</x:f>
      </x:c>
      <x:c r="BO399" s="68" t="n">
        <x:v>0.165300546448087431693989071</x:v>
      </x:c>
      <x:c r="BP399" s="31" t="n">
        <x:v>4779.96</x:v>
      </x:c>
      <x:c r="BQ399" s="42" t="n">
        <x:v>611</x:v>
      </x:c>
      <x:c r="BR399" s="31" t="n">
        <x:v>3989.83</x:v>
      </x:c>
      <x:c r="BT399" s="31" t="n">
        <x:v>3594.2787029984619763205828784</x:v>
      </x:c>
      <x:c r="BU399" s="31" t="n">
        <x:v>-4841.2284</x:v>
      </x:c>
      <x:c r="BV399" s="31" t="n">
        <x:f>=BT399+BU399</x:f>
      </x:c>
      <x:c r="BW399" s="68" t="n">
        <x:f>=BV399/BT399</x:f>
      </x:c>
      <x:c r="BY399" s="68" t="n">
        <x:f>=BO399</x:f>
      </x:c>
      <x:c r="BZ399" s="68" t="n">
        <x:f>=BF399</x:f>
      </x:c>
      <x:c r="CA399" s="68" t="n">
        <x:f>=BG399</x:f>
      </x:c>
      <x:c r="CB399" s="68" t="n">
        <x:f>=1 - BY399</x:f>
      </x:c>
      <x:c r="CD399" s="68" t="n">
        <x:f>=CA399/(1-BZ399)</x:f>
      </x:c>
    </x:row>
    <x:row r="400">
      <x:c r="BC400" s="34" t="s"/>
      <x:c r="BD400" s="11" t="s"/>
      <x:c r="BJ400" s="13" t="s"/>
      <x:c r="BK400" s="21" t="n">
        <x:v>332856.89</x:v>
      </x:c>
      <x:c r="BL400" s="21" t="n">
        <x:v>-431514.63041057898225000000</x:v>
      </x:c>
      <x:c r="BM400" s="21" t="n">
        <x:f>=BK400+BL400</x:f>
      </x:c>
      <x:c r="BN400" s="22" t="n">
        <x:v>-0.2963968701701772862505565079</x:v>
      </x:c>
      <x:c r="BP400" s="21" t="n">
        <x:v>-404113.130650081425000000</x:v>
      </x:c>
      <x:c r="BQ400" s="21" t="n">
        <x:v>32863</x:v>
      </x:c>
      <x:c r="BR400" s="21" t="n">
        <x:v>198763.29884836677197897178777</x:v>
      </x:c>
      <x:c r="BT400" s="21" t="n">
        <x:v>550684.21676720387568217307566</x:v>
      </x:c>
      <x:c r="BU400" s="21" t="n">
        <x:v>-431514.63041057898225000000</x:v>
      </x:c>
      <x:c r="BV400" s="21" t="n">
        <x:f>=BT400+BU400</x:f>
      </x:c>
      <x:c r="BW400" s="22" t="n">
        <x:v>0.2164027635587794920956015203</x:v>
      </x:c>
    </x:row>
    <x:row r="401">
      <x:c r="A401" s="36" t="s">
        <x:v>104</x:v>
      </x:c>
      <x:c r="BC401" s="34" t="s"/>
      <x:c r="BD401" s="11" t="s"/>
      <x:c r="BJ401" s="13" t="s"/>
    </x:row>
    <x:row r="402">
      <x:c r="A402" s="17" t="s">
        <x:v>30</x:v>
      </x:c>
      <x:c r="BC402" s="34" t="s"/>
      <x:c r="BD402" s="11" t="s"/>
      <x:c r="BJ402" s="13" t="s"/>
    </x:row>
    <x:row r="403">
      <x:c r="A403" s="32" t="s">
        <x:v>697</x:v>
      </x:c>
      <x:c r="B403" t="s"/>
      <x:c r="C403" t="s">
        <x:v>698</x:v>
      </x:c>
      <x:c r="D403" t="s">
        <x:v>434</x:v>
      </x:c>
      <x:c r="E403" t="s">
        <x:v>109</x:v>
      </x:c>
      <x:c r="F403" t="n">
        <x:v>799</x:v>
      </x:c>
      <x:c r="G403" s="33" t="n">
        <x:v>0.0012515644555694618272841051</x:v>
      </x:c>
      <x:c r="H403" s="33" t="n">
        <x:v>0.1026282853566958698372966208</x:v>
      </x:c>
      <x:c r="I403" s="33" t="n">
        <x:v>0.1889862327909887359198998748</x:v>
      </x:c>
      <x:c r="J403" s="33" t="n">
        <x:v>0.3629536921151439299123904881</x:v>
      </x:c>
      <x:c r="K403" s="33" t="n">
        <x:v>0.4580725907384230287859824781</x:v>
      </x:c>
      <x:c r="L403" s="33" t="n">
        <x:v>0.5156445556946182728410513141</x:v>
      </x:c>
      <x:c r="M403" s="33" t="n">
        <x:v>0.5056320400500625782227784731</x:v>
      </x:c>
      <x:c r="N403" s="33" t="n">
        <x:v>0.4405506883604505632040050063</x:v>
      </x:c>
      <x:c r="O403" s="33" t="n">
        <x:v>0.4367959949937421777221526909</x:v>
      </x:c>
      <x:c r="P403" s="33" t="n">
        <x:v>0.4305381727158948685857321652</x:v>
      </x:c>
      <x:c r="Q403" s="33" t="n">
        <x:v>0.4355444305381727158948685857</x:v>
      </x:c>
      <x:c r="R403" s="33" t="n">
        <x:v>0.4405506883604505632040050063</x:v>
      </x:c>
      <x:c r="S403" s="33" t="n">
        <x:v>0.4430538172715894868585732165</x:v>
      </x:c>
      <x:c r="T403" s="33" t="n">
        <x:v>0.4418022528160200250312891114</x:v>
      </x:c>
      <x:c r="U403" s="33" t="n">
        <x:v>0.4418022528160200250312891114</x:v>
      </x:c>
      <x:c r="V403" s="33" t="n">
        <x:v>0.4730913642052565707133917397</x:v>
      </x:c>
      <x:c r="W403" s="33" t="n">
        <x:v>0.5244055068836045056320400501</x:v>
      </x:c>
      <x:c r="X403" s="33" t="n">
        <x:v>0.5106382978723404255319148936</x:v>
      </x:c>
      <x:c r="Y403" s="33" t="n">
        <x:v>0.533166458072590738423028786</x:v>
      </x:c>
      <x:c r="Z403" s="33" t="n">
        <x:v>0.5757196495619524405506883605</x:v>
      </x:c>
      <x:c r="AA403" s="33" t="n">
        <x:v>0.6483103879849812265331664581</x:v>
      </x:c>
      <x:c r="AB403" s="24" t="n">
        <x:v>0.7209011264080100125156445557</x:v>
      </x:c>
      <x:c r="AC403" s="33" t="n">
        <x:v>0.7321652065081351689612015019</x:v>
      </x:c>
      <x:c r="AD403" s="33" t="n">
        <x:v>0.723404255319148936170212766</x:v>
      </x:c>
      <x:c r="AE403" s="33" t="n">
        <x:v>0.7609511889862327909887359199</x:v>
      </x:c>
      <x:c r="AF403" s="33" t="n">
        <x:v>0.7647058823529411764705882353</x:v>
      </x:c>
      <x:c r="AG403" s="33" t="n">
        <x:v>0.7822277847309136420525657071</x:v>
      </x:c>
      <x:c r="BC403" s="34" t="s"/>
      <x:c r="BD403" s="11" t="s">
        <x:v>227</x:v>
      </x:c>
      <x:c r="BE403" s="12" t="n">
        <x:f>=BO403</x:f>
      </x:c>
      <x:c r="BF403" s="12" t="n">
        <x:v>0.7822277847309136420525657071</x:v>
      </x:c>
      <x:c r="BG403" s="12" t="n">
        <x:v>0</x:v>
      </x:c>
      <x:c r="BH403" s="12" t="n">
        <x:v>0.2177722152690863579474342929</x:v>
      </x:c>
      <x:c r="BI403" s="12" t="n">
        <x:f>=BN403</x:f>
      </x:c>
      <x:c r="BJ403" s="13" t="n">
        <x:v>0.0196078431372549019607843137</x:v>
      </x:c>
      <x:c r="BK403" s="31" t="n">
        <x:v>3318.61</x:v>
      </x:c>
      <x:c r="BL403" s="31" t="n">
        <x:v>-2608.0159</x:v>
      </x:c>
      <x:c r="BM403" s="31" t="n">
        <x:f>=BK403+BL403</x:f>
      </x:c>
      <x:c r="BN403" s="68" t="n">
        <x:f>=BM403/BK403</x:f>
      </x:c>
      <x:c r="BO403" s="68" t="n">
        <x:v>0.7822277847309136420525657071</x:v>
      </x:c>
      <x:c r="BP403" s="31" t="n">
        <x:v>2149.31</x:v>
      </x:c>
      <x:c r="BQ403" s="42" t="n">
        <x:v>174</x:v>
      </x:c>
      <x:c r="BR403" s="31" t="n">
        <x:v>468.06</x:v>
      </x:c>
      <x:c r="BT403" s="31" t="n">
        <x:v>4009.9013591388628580864970096</x:v>
      </x:c>
      <x:c r="BU403" s="31" t="n">
        <x:v>-2608.0159</x:v>
      </x:c>
      <x:c r="BV403" s="31" t="n">
        <x:f>=BT403+BU403</x:f>
      </x:c>
      <x:c r="BW403" s="68" t="n">
        <x:f>=BV403/BT403</x:f>
      </x:c>
      <x:c r="BY403" s="68" t="n">
        <x:f>=BO403</x:f>
      </x:c>
      <x:c r="BZ403" s="68" t="n">
        <x:f>=BF403</x:f>
      </x:c>
      <x:c r="CA403" s="68" t="n">
        <x:f>=BG403</x:f>
      </x:c>
      <x:c r="CB403" s="68" t="n">
        <x:f>=1 - BY403</x:f>
      </x:c>
      <x:c r="CD403" s="68" t="n">
        <x:f>=CA403/(1-BZ403)</x:f>
      </x:c>
    </x:row>
    <x:row r="404">
      <x:c r="A404" s="32" t="s">
        <x:v>699</x:v>
      </x:c>
      <x:c r="B404" t="s"/>
      <x:c r="C404" t="s">
        <x:v>700</x:v>
      </x:c>
      <x:c r="D404" t="s">
        <x:v>434</x:v>
      </x:c>
      <x:c r="E404" t="s">
        <x:v>109</x:v>
      </x:c>
      <x:c r="F404" t="n">
        <x:v>756</x:v>
      </x:c>
      <x:c r="G404" s="33" t="n">
        <x:v>0.0013227513227513227513227513</x:v>
      </x:c>
      <x:c r="H404" s="33" t="n">
        <x:v>0.1084656084656084656084656085</x:v>
      </x:c>
      <x:c r="I404" s="33" t="n">
        <x:v>0.2076719576719576719576719577</x:v>
      </x:c>
      <x:c r="J404" s="33" t="n">
        <x:v>0.3888888888888888888888888889</x:v>
      </x:c>
      <x:c r="K404" s="33" t="n">
        <x:v>0.4828042328042328042328042328</x:v>
      </x:c>
      <x:c r="L404" s="33" t="n">
        <x:v>0.5502645502645502645502645503</x:v>
      </x:c>
      <x:c r="M404" s="33" t="n">
        <x:v>0.5343915343915343915343915344</x:v>
      </x:c>
      <x:c r="N404" s="33" t="n">
        <x:v>0.4669312169312169312169312169</x:v>
      </x:c>
      <x:c r="O404" s="33" t="n">
        <x:v>0.462962962962962962962962963</x:v>
      </x:c>
      <x:c r="P404" s="33" t="n">
        <x:v>0.4563492063492063492063492063</x:v>
      </x:c>
      <x:c r="Q404" s="33" t="n">
        <x:v>0.462962962962962962962962963</x:v>
      </x:c>
      <x:c r="R404" s="33" t="n">
        <x:v>0.4722222222222222222222222222</x:v>
      </x:c>
      <x:c r="S404" s="33" t="n">
        <x:v>0.4748677248677248677248677249</x:v>
      </x:c>
      <x:c r="T404" s="33" t="n">
        <x:v>0.4722222222222222222222222222</x:v>
      </x:c>
      <x:c r="U404" s="33" t="n">
        <x:v>0.4695767195767195767195767196</x:v>
      </x:c>
      <x:c r="V404" s="33" t="n">
        <x:v>0.496031746031746031746031746</x:v>
      </x:c>
      <x:c r="W404" s="33" t="n">
        <x:v>0.5515873015873015873015873016</x:v>
      </x:c>
      <x:c r="X404" s="33" t="n">
        <x:v>0.5476190476190476190476190476</x:v>
      </x:c>
      <x:c r="Y404" s="33" t="n">
        <x:v>0.5608465608465608465608465608</x:v>
      </x:c>
      <x:c r="Z404" s="33" t="n">
        <x:v>0.6031746031746031746031746032</x:v>
      </x:c>
      <x:c r="AA404" s="33" t="n">
        <x:v>0.6759259259259259259259259259</x:v>
      </x:c>
      <x:c r="AB404" s="24" t="n">
        <x:v>0.753968253968253968253968254</x:v>
      </x:c>
      <x:c r="AC404" s="33" t="n">
        <x:v>0.7592592592592592592592592593</x:v>
      </x:c>
      <x:c r="AD404" s="33" t="n">
        <x:v>0.7566137566137566137566137566</x:v>
      </x:c>
      <x:c r="AE404" s="33" t="n">
        <x:v>0.7751322751322751322751322751</x:v>
      </x:c>
      <x:c r="AF404" s="33" t="n">
        <x:v>0.7671957671957671957671957672</x:v>
      </x:c>
      <x:c r="AG404" s="33" t="n">
        <x:v>0.7791005291005291005291005291</x:v>
      </x:c>
      <x:c r="BC404" s="34" t="s"/>
      <x:c r="BD404" s="11" t="s">
        <x:v>227</x:v>
      </x:c>
      <x:c r="BE404" s="12" t="n">
        <x:f>=BO404</x:f>
      </x:c>
      <x:c r="BF404" s="12" t="n">
        <x:v>0.7791005291005291005291005291</x:v>
      </x:c>
      <x:c r="BG404" s="12" t="n">
        <x:v>0</x:v>
      </x:c>
      <x:c r="BH404" s="12" t="n">
        <x:v>0.2208994708994708994708994709</x:v>
      </x:c>
      <x:c r="BI404" s="12" t="n">
        <x:f>=BN404</x:f>
      </x:c>
      <x:c r="BJ404" s="13" t="n">
        <x:v>0.0074955908289241622574955908</x:v>
      </x:c>
      <x:c r="BK404" s="31" t="n">
        <x:v>4701.09</x:v>
      </x:c>
      <x:c r="BL404" s="31" t="n">
        <x:v>-3873.0636</x:v>
      </x:c>
      <x:c r="BM404" s="31" t="n">
        <x:f>=BK404+BL404</x:f>
      </x:c>
      <x:c r="BN404" s="68" t="n">
        <x:f>=BM404/BK404</x:f>
      </x:c>
      <x:c r="BO404" s="68" t="n">
        <x:v>0.7791005291005291005291005291</x:v>
      </x:c>
      <x:c r="BP404" s="31" t="n">
        <x:v>3250.80</x:v>
      </x:c>
      <x:c r="BQ404" s="42" t="n">
        <x:v>167</x:v>
      </x:c>
      <x:c r="BR404" s="31" t="n">
        <x:v>718.10</x:v>
      </x:c>
      <x:c r="BT404" s="31" t="n">
        <x:v>5327.2358610007671957671957662</x:v>
      </x:c>
      <x:c r="BU404" s="31" t="n">
        <x:v>-3873.0636</x:v>
      </x:c>
      <x:c r="BV404" s="31" t="n">
        <x:f>=BT404+BU404</x:f>
      </x:c>
      <x:c r="BW404" s="68" t="n">
        <x:f>=BV404/BT404</x:f>
      </x:c>
      <x:c r="BY404" s="68" t="n">
        <x:f>=BO404</x:f>
      </x:c>
      <x:c r="BZ404" s="68" t="n">
        <x:f>=BF404</x:f>
      </x:c>
      <x:c r="CA404" s="68" t="n">
        <x:f>=BG404</x:f>
      </x:c>
      <x:c r="CB404" s="68" t="n">
        <x:f>=1 - BY404</x:f>
      </x:c>
      <x:c r="CD404" s="68" t="n">
        <x:f>=CA404/(1-BZ404)</x:f>
      </x:c>
    </x:row>
    <x:row r="405">
      <x:c r="A405" s="32" t="s">
        <x:v>701</x:v>
      </x:c>
      <x:c r="B405" t="s"/>
      <x:c r="C405" t="s">
        <x:v>702</x:v>
      </x:c>
      <x:c r="D405" t="s">
        <x:v>108</x:v>
      </x:c>
      <x:c r="E405" t="s">
        <x:v>109</x:v>
      </x:c>
      <x:c r="F405" t="n">
        <x:v>290</x:v>
      </x:c>
      <x:c r="G405" s="33" t="n">
        <x:v>0.0482758620689655172413793103</x:v>
      </x:c>
      <x:c r="H405" s="33" t="n">
        <x:v>0.1137931034482758620689655172</x:v>
      </x:c>
      <x:c r="I405" s="33" t="n">
        <x:v>0.2241379310344827586206896552</x:v>
      </x:c>
      <x:c r="J405" s="33" t="n">
        <x:v>0.344827586206896551724137931</x:v>
      </x:c>
      <x:c r="K405" s="33" t="n">
        <x:v>0.4310344827586206896551724138</x:v>
      </x:c>
      <x:c r="L405" s="33" t="n">
        <x:v>0.4758620689655172413793103448</x:v>
      </x:c>
      <x:c r="M405" s="33" t="n">
        <x:v>0.4965517241379310344827586207</x:v>
      </x:c>
      <x:c r="N405" s="33" t="n">
        <x:v>0.4827586206896551724137931034</x:v>
      </x:c>
      <x:c r="O405" s="33" t="n">
        <x:v>0.4827586206896551724137931034</x:v>
      </x:c>
      <x:c r="P405" s="33" t="n">
        <x:v>0.4827586206896551724137931034</x:v>
      </x:c>
      <x:c r="Q405" s="33" t="n">
        <x:v>0.4827586206896551724137931034</x:v>
      </x:c>
      <x:c r="R405" s="33" t="n">
        <x:v>0.4827586206896551724137931034</x:v>
      </x:c>
      <x:c r="S405" s="33" t="n">
        <x:v>0.4827586206896551724137931034</x:v>
      </x:c>
      <x:c r="T405" s="33" t="n">
        <x:v>0.5206896551724137931034482759</x:v>
      </x:c>
      <x:c r="U405" s="33" t="n">
        <x:v>0.5586206896551724137931034483</x:v>
      </x:c>
      <x:c r="V405" s="33" t="n">
        <x:v>0.5655172413793103448275862069</x:v>
      </x:c>
      <x:c r="W405" s="33" t="n">
        <x:v>0.5620689655172413793103448276</x:v>
      </x:c>
      <x:c r="X405" s="33" t="n">
        <x:v>0.5620689655172413793103448276</x:v>
      </x:c>
      <x:c r="Y405" s="33" t="n">
        <x:v>0.6034482758620689655172413793</x:v>
      </x:c>
      <x:c r="Z405" s="33" t="n">
        <x:v>0.6206896551724137931034482759</x:v>
      </x:c>
      <x:c r="AA405" s="33" t="n">
        <x:v>0.6413793103448275862068965517</x:v>
      </x:c>
      <x:c r="AB405" s="33" t="n">
        <x:v>0.6689655172413793103448275862</x:v>
      </x:c>
      <x:c r="AC405" s="24" t="n">
        <x:v>0.7137931034482758620689655172</x:v>
      </x:c>
      <x:c r="AD405" s="33" t="n">
        <x:v>0.7724137931034482758620689655</x:v>
      </x:c>
      <x:c r="AE405" s="33" t="n">
        <x:v>0.844827586206896551724137931</x:v>
      </x:c>
      <x:c r="BC405" s="34" t="s"/>
      <x:c r="BD405" s="11" t="s">
        <x:v>188</x:v>
      </x:c>
      <x:c r="BE405" s="12" t="n">
        <x:f>=BO405</x:f>
      </x:c>
      <x:c r="BF405" s="12" t="n">
        <x:v>0.844827586206896551724137931</x:v>
      </x:c>
      <x:c r="BG405" s="12" t="n">
        <x:v>0</x:v>
      </x:c>
      <x:c r="BH405" s="12" t="n">
        <x:v>0.155172413793103448275862069</x:v>
      </x:c>
      <x:c r="BI405" s="12" t="n">
        <x:f>=BN405</x:f>
      </x:c>
      <x:c r="BJ405" s="13" t="n">
        <x:v>0.022167487684729064039408867</x:v>
      </x:c>
      <x:c r="BK405" s="31" t="n">
        <x:v>379.88</x:v>
      </x:c>
      <x:c r="BL405" s="31" t="n">
        <x:v>-224.65433253234500000000</x:v>
      </x:c>
      <x:c r="BM405" s="31" t="n">
        <x:f>=BK405+BL405</x:f>
      </x:c>
      <x:c r="BN405" s="68" t="n">
        <x:f>=BM405/BK405</x:f>
      </x:c>
      <x:c r="BO405" s="68" t="n">
        <x:v>0.844827586206896551724137931</x:v>
      </x:c>
      <x:c r="BP405" s="31" t="n">
        <x:v>223.590033538500000000</x:v>
      </x:c>
      <x:c r="BQ405" s="42" t="n">
        <x:v>45</x:v>
      </x:c>
      <x:c r="BR405" s="31" t="n">
        <x:v>34.695005204250000000</x:v>
      </x:c>
      <x:c r="BT405" s="31" t="n">
        <x:v>453.00608842839439655172413795</x:v>
      </x:c>
      <x:c r="BU405" s="31" t="n">
        <x:v>-224.65433253234500000000</x:v>
      </x:c>
      <x:c r="BV405" s="31" t="n">
        <x:f>=BT405+BU405</x:f>
      </x:c>
      <x:c r="BW405" s="68" t="n">
        <x:f>=BV405/BT405</x:f>
      </x:c>
      <x:c r="BY405" s="68" t="n">
        <x:f>=BO405</x:f>
      </x:c>
      <x:c r="BZ405" s="68" t="n">
        <x:f>=BF405</x:f>
      </x:c>
      <x:c r="CA405" s="68" t="n">
        <x:f>=BG405</x:f>
      </x:c>
      <x:c r="CB405" s="68" t="n">
        <x:f>=1 - BY405</x:f>
      </x:c>
      <x:c r="CD405" s="68" t="n">
        <x:f>=CA405/(1-BZ405)</x:f>
      </x:c>
    </x:row>
    <x:row r="406">
      <x:c r="A406" s="32" t="s">
        <x:v>703</x:v>
      </x:c>
      <x:c r="B406" t="s">
        <x:v>94</x:v>
      </x:c>
      <x:c r="C406" s="9" t="s">
        <x:v>704</x:v>
      </x:c>
      <x:c r="D406" t="s">
        <x:v>108</x:v>
      </x:c>
      <x:c r="E406" t="s">
        <x:v>109</x:v>
      </x:c>
      <x:c r="F406" t="n">
        <x:v>513</x:v>
      </x:c>
      <x:c r="G406" s="33" t="n">
        <x:v>0.0350877192982456140350877193</x:v>
      </x:c>
      <x:c r="H406" s="33" t="n">
        <x:v>0.0643274853801169590643274854</x:v>
      </x:c>
      <x:c r="I406" s="33" t="n">
        <x:v>0.0916179337231968810916179337</x:v>
      </x:c>
      <x:c r="J406" s="33" t="n">
        <x:v>0.0916179337231968810916179337</x:v>
      </x:c>
      <x:c r="K406" s="33" t="n">
        <x:v>0.0974658869395711500974658869</x:v>
      </x:c>
      <x:c r="L406" s="33" t="n">
        <x:v>0.1150097465886939571150097466</x:v>
      </x:c>
      <x:c r="M406" s="33" t="n">
        <x:v>0.1656920077972709551656920078</x:v>
      </x:c>
      <x:c r="N406" s="33" t="n">
        <x:v>0.2280701754385964912280701754</x:v>
      </x:c>
      <x:c r="O406" s="33" t="n">
        <x:v>0.3274853801169590643274853801</x:v>
      </x:c>
      <x:c r="P406" s="33" t="n">
        <x:v>0.4230019493177387914230019493</x:v>
      </x:c>
      <x:c r="Q406" s="33" t="n">
        <x:v>0.4600389863547758284600389864</x:v>
      </x:c>
      <x:c r="R406" s="33" t="n">
        <x:v>0.5185185185185185185185185185</x:v>
      </x:c>
      <x:c r="S406" s="33" t="n">
        <x:v>0.5886939571150097465886939571</x:v>
      </x:c>
      <x:c r="T406" s="33" t="n">
        <x:v>0.6393762183235867446393762183</x:v>
      </x:c>
      <x:c r="U406" s="33" t="n">
        <x:v>0.6588693957115009746588693957</x:v>
      </x:c>
      <x:c r="V406" s="33" t="n">
        <x:v>0.6374269005847953216374269006</x:v>
      </x:c>
      <x:c r="W406" s="33" t="n">
        <x:v>0.6608187134502923976608187135</x:v>
      </x:c>
      <x:c r="X406" s="33" t="n">
        <x:v>0.6881091617933723196881091618</x:v>
      </x:c>
      <x:c r="Y406" s="24" t="n">
        <x:v>0.7192982456140350877192982456</x:v>
      </x:c>
      <x:c r="Z406" s="33" t="n">
        <x:v>0.7329434697855750487329434698</x:v>
      </x:c>
      <x:c r="AA406" s="33" t="n">
        <x:v>0.7621832358674463937621832359</x:v>
      </x:c>
      <x:c r="BC406" s="34" t="s"/>
      <x:c r="BD406" s="11" t="s">
        <x:v>110</x:v>
      </x:c>
      <x:c r="BE406" s="12" t="n">
        <x:f>=BO406</x:f>
      </x:c>
      <x:c r="BF406" s="12" t="n">
        <x:v>0.7680311890838206627680311891</x:v>
      </x:c>
      <x:c r="BG406" s="12" t="n">
        <x:v>-0.0058479532163742690058479532</x:v>
      </x:c>
      <x:c r="BH406" s="12" t="n">
        <x:v>0.2378167641325536062378167641</x:v>
      </x:c>
      <x:c r="BI406" s="12" t="n">
        <x:f>=BN406</x:f>
      </x:c>
      <x:c r="BJ406" s="13" t="n">
        <x:v>0.024691358024691358024691358</x:v>
      </x:c>
      <x:c r="BK406" s="31" t="n">
        <x:v>5285.01</x:v>
      </x:c>
      <x:c r="BL406" s="31" t="n">
        <x:v>-4163.04437643952124004630</x:v>
      </x:c>
      <x:c r="BM406" s="31" t="n">
        <x:f>=BK406+BL406</x:f>
      </x:c>
      <x:c r="BN406" s="68" t="n">
        <x:f>=BM406/BK406</x:f>
      </x:c>
      <x:c r="BO406" s="68" t="n">
        <x:v>0.7621832358674463937621832359</x:v>
      </x:c>
      <x:c r="BP406" s="31" t="n">
        <x:v>4250.123687051052824790</x:v>
      </x:c>
      <x:c r="BQ406" s="42" t="n">
        <x:v>122</x:v>
      </x:c>
      <x:c r="BR406" s="31" t="n">
        <x:v>1010.750662417599307260</x:v>
      </x:c>
      <x:c r="BT406" s="31" t="n">
        <x:v>6751.4635288196532651072124744</x:v>
      </x:c>
      <x:c r="BU406" s="31" t="n">
        <x:v>-4163.04437643952124004630</x:v>
      </x:c>
      <x:c r="BV406" s="31" t="n">
        <x:f>=BT406+BU406</x:f>
      </x:c>
      <x:c r="BW406" s="68" t="n">
        <x:f>=BV406/BT406</x:f>
      </x:c>
      <x:c r="BY406" s="68" t="n">
        <x:f>=BO406</x:f>
      </x:c>
      <x:c r="BZ406" s="68" t="n">
        <x:f>=BF406</x:f>
      </x:c>
      <x:c r="CA406" s="68" t="n">
        <x:f>=BG406</x:f>
      </x:c>
      <x:c r="CB406" s="68" t="n">
        <x:f>=1 - BY406</x:f>
      </x:c>
      <x:c r="CD406" s="68" t="n">
        <x:f>=CA406/(1-BZ406)</x:f>
      </x:c>
    </x:row>
    <x:row r="407">
      <x:c r="A407" s="32" t="s"/>
      <x:c r="BC407" s="34" t="s"/>
      <x:c r="BD407" s="11" t="s"/>
      <x:c r="BJ407" s="13" t="s"/>
    </x:row>
    <x:row r="408">
      <x:c r="A408" s="17" t="s">
        <x:v>664</x:v>
      </x:c>
      <x:c r="BC408" s="34" t="s"/>
      <x:c r="BD408" s="11" t="s"/>
      <x:c r="BJ408" s="13" t="s"/>
    </x:row>
    <x:row r="409">
      <x:c r="A409" s="32" t="s">
        <x:v>705</x:v>
      </x:c>
      <x:c r="B409" t="s"/>
      <x:c r="C409" t="s">
        <x:v>706</x:v>
      </x:c>
      <x:c r="D409" t="s">
        <x:v>108</x:v>
      </x:c>
      <x:c r="E409" t="s">
        <x:v>109</x:v>
      </x:c>
      <x:c r="F409" t="n">
        <x:v>293</x:v>
      </x:c>
      <x:c r="G409" s="33" t="n">
        <x:v>0.0477815699658703071672354949</x:v>
      </x:c>
      <x:c r="H409" s="33" t="n">
        <x:v>0.1126279863481228668941979522</x:v>
      </x:c>
      <x:c r="I409" s="33" t="n">
        <x:v>0.1706484641638225255972696246</x:v>
      </x:c>
      <x:c r="J409" s="33" t="n">
        <x:v>0.2525597269624573378839590444</x:v>
      </x:c>
      <x:c r="K409" s="33" t="n">
        <x:v>0.3310580204778156996587030717</x:v>
      </x:c>
      <x:c r="L409" s="33" t="n">
        <x:v>0.3549488054607508532423208191</x:v>
      </x:c>
      <x:c r="M409" s="33" t="n">
        <x:v>0.3651877133105802047781569966</x:v>
      </x:c>
      <x:c r="N409" s="33" t="n">
        <x:v>0.3617747440273037542662116041</x:v>
      </x:c>
      <x:c r="O409" s="33" t="n">
        <x:v>0.3617747440273037542662116041</x:v>
      </x:c>
      <x:c r="P409" s="33" t="n">
        <x:v>0.3583617747440273037542662116</x:v>
      </x:c>
      <x:c r="Q409" s="33" t="n">
        <x:v>0.3583617747440273037542662116</x:v>
      </x:c>
      <x:c r="R409" s="33" t="n">
        <x:v>0.3583617747440273037542662116</x:v>
      </x:c>
      <x:c r="S409" s="33" t="n">
        <x:v>0.3617747440273037542662116041</x:v>
      </x:c>
      <x:c r="T409" s="33" t="n">
        <x:v>0.3754266211604095563139931741</x:v>
      </x:c>
      <x:c r="U409" s="33" t="n">
        <x:v>0.3993174061433447098976109215</x:v>
      </x:c>
      <x:c r="V409" s="33" t="n">
        <x:v>0.3993174061433447098976109215</x:v>
      </x:c>
      <x:c r="W409" s="33" t="n">
        <x:v>0.4061433447098976109215017065</x:v>
      </x:c>
      <x:c r="X409" s="33" t="n">
        <x:v>0.4300341296928327645051194539</x:v>
      </x:c>
      <x:c r="Y409" s="33" t="n">
        <x:v>0.4675767918088737201365187713</x:v>
      </x:c>
      <x:c r="Z409" s="33" t="n">
        <x:v>0.4914675767918088737201365188</x:v>
      </x:c>
      <x:c r="AA409" s="33" t="n">
        <x:v>0.5187713310580204778156996587</x:v>
      </x:c>
      <x:c r="AB409" s="33" t="n">
        <x:v>0.5563139931740614334470989761</x:v>
      </x:c>
      <x:c r="AC409" s="33" t="n">
        <x:v>0.583617747440273037542662116</x:v>
      </x:c>
      <x:c r="AD409" s="33" t="n">
        <x:v>0.6279863481228668941979522184</x:v>
      </x:c>
      <x:c r="AE409" s="33" t="n">
        <x:v>0.6996587030716723549488054608</x:v>
      </x:c>
      <x:c r="BC409" s="34" t="s"/>
      <x:c r="BD409" s="11" t="s">
        <x:v>188</x:v>
      </x:c>
      <x:c r="BE409" s="12" t="n">
        <x:f>=BO409</x:f>
      </x:c>
      <x:c r="BF409" s="12" t="n">
        <x:v>0.6996587030716723549488054608</x:v>
      </x:c>
      <x:c r="BG409" s="12" t="n">
        <x:v>0</x:v>
      </x:c>
      <x:c r="BH409" s="12" t="n">
        <x:v>0.3003412969283276450511945392</x:v>
      </x:c>
      <x:c r="BI409" s="12" t="n">
        <x:f>=BN409</x:f>
      </x:c>
      <x:c r="BJ409" s="13" t="n">
        <x:v>0.042905899561189663578742077</x:v>
      </x:c>
      <x:c r="BK409" s="31" t="n">
        <x:v>316.89</x:v>
      </x:c>
      <x:c r="BL409" s="31" t="n">
        <x:v>-226.89044286888650000000</x:v>
      </x:c>
      <x:c r="BM409" s="31" t="n">
        <x:f>=BK409+BL409</x:f>
      </x:c>
      <x:c r="BN409" s="68" t="n">
        <x:f>=BM409/BK409</x:f>
      </x:c>
      <x:c r="BO409" s="68" t="n">
        <x:v>0.6996587030716723549488054608</x:v>
      </x:c>
      <x:c r="BP409" s="31" t="n">
        <x:v>225.903033885450000000</x:v>
      </x:c>
      <x:c r="BQ409" s="42" t="n">
        <x:v>88</x:v>
      </x:c>
      <x:c r="BR409" s="31" t="n">
        <x:v>67.848010177200000000</x:v>
      </x:c>
      <x:c r="BT409" s="31" t="n">
        <x:v>458.93967990557167235494880537</x:v>
      </x:c>
      <x:c r="BU409" s="31" t="n">
        <x:v>-226.89044286888650000000</x:v>
      </x:c>
      <x:c r="BV409" s="31" t="n">
        <x:f>=BT409+BU409</x:f>
      </x:c>
      <x:c r="BW409" s="68" t="n">
        <x:f>=BV409/BT409</x:f>
      </x:c>
      <x:c r="BY409" s="68" t="n">
        <x:f>=BO409</x:f>
      </x:c>
      <x:c r="BZ409" s="68" t="n">
        <x:f>=BF409</x:f>
      </x:c>
      <x:c r="CA409" s="68" t="n">
        <x:f>=BG409</x:f>
      </x:c>
      <x:c r="CB409" s="68" t="n">
        <x:f>=1 - BY409</x:f>
      </x:c>
      <x:c r="CD409" s="68" t="n">
        <x:f>=CA409/(1-BZ409)</x:f>
      </x:c>
    </x:row>
    <x:row r="410">
      <x:c r="A410" s="32" t="s"/>
      <x:c r="BC410" s="34" t="s"/>
      <x:c r="BD410" s="11" t="s"/>
      <x:c r="BJ410" s="13" t="s"/>
    </x:row>
    <x:row r="411">
      <x:c r="A411" s="17" t="s">
        <x:v>641</x:v>
      </x:c>
      <x:c r="BC411" s="34" t="s"/>
      <x:c r="BD411" s="11" t="s"/>
      <x:c r="BJ411" s="13" t="s"/>
    </x:row>
    <x:row r="412">
      <x:c r="A412" s="32" t="s">
        <x:v>707</x:v>
      </x:c>
      <x:c r="B412" t="s"/>
      <x:c r="C412" t="s">
        <x:v>708</x:v>
      </x:c>
      <x:c r="D412" t="s">
        <x:v>173</x:v>
      </x:c>
      <x:c r="E412" t="s">
        <x:v>109</x:v>
      </x:c>
      <x:c r="F412" t="n">
        <x:v>796</x:v>
      </x:c>
      <x:c r="G412" s="33" t="n">
        <x:v>0</x:v>
      </x:c>
      <x:c r="H412" s="33" t="n">
        <x:v>0.0025125628140703517587939698</x:v>
      </x:c>
      <x:c r="I412" s="33" t="n">
        <x:v>0.0050251256281407035175879397</x:v>
      </x:c>
      <x:c r="J412" s="33" t="n">
        <x:v>0.0075376884422110552763819095</x:v>
      </x:c>
      <x:c r="K412" s="33" t="n">
        <x:v>0.0087939698492462311557788945</x:v>
      </x:c>
      <x:c r="L412" s="33" t="n">
        <x:v>0.1080402010050251256281407035</x:v>
      </x:c>
      <x:c r="M412" s="33" t="n">
        <x:v>0.1356783919597989949748743719</x:v>
      </x:c>
      <x:c r="N412" s="33" t="n">
        <x:v>0.1532663316582914572864321608</x:v>
      </x:c>
      <x:c r="O412" s="33" t="n">
        <x:v>0.1645728643216080402010050251</x:v>
      </x:c>
      <x:c r="P412" s="33" t="n">
        <x:v>0.1783919597989949748743718593</x:v>
      </x:c>
      <x:c r="Q412" s="33" t="n">
        <x:v>0.1871859296482412060301507538</x:v>
      </x:c>
      <x:c r="R412" s="33" t="n">
        <x:v>0.2010050251256281407035175879</x:v>
      </x:c>
      <x:c r="S412" s="33" t="n">
        <x:v>0.2010050251256281407035175879</x:v>
      </x:c>
      <x:c r="T412" s="33" t="n">
        <x:v>0.2010050251256281407035175879</x:v>
      </x:c>
      <x:c r="U412" s="33" t="n">
        <x:v>0.1972361809045226130653266332</x:v>
      </x:c>
      <x:c r="V412" s="33" t="n">
        <x:v>0.1959798994974874371859296482</x:v>
      </x:c>
      <x:c r="W412" s="33" t="n">
        <x:v>0.1947236180904522613065326633</x:v>
      </x:c>
      <x:c r="X412" s="33" t="n">
        <x:v>0.1947236180904522613065326633</x:v>
      </x:c>
      <x:c r="Y412" s="33" t="n">
        <x:v>0.1947236180904522613065326633</x:v>
      </x:c>
      <x:c r="Z412" s="33" t="n">
        <x:v>0.1934673366834170854271356784</x:v>
      </x:c>
      <x:c r="AA412" s="33" t="n">
        <x:v>0.1972361809045226130653266332</x:v>
      </x:c>
      <x:c r="AB412" s="33" t="n">
        <x:v>0.1984924623115577889447236181</x:v>
      </x:c>
      <x:c r="AC412" s="33" t="n">
        <x:v>0.1972361809045226130653266332</x:v>
      </x:c>
      <x:c r="AD412" s="33" t="n">
        <x:v>0.1972361809045226130653266332</x:v>
      </x:c>
      <x:c r="AE412" s="33" t="n">
        <x:v>0.1972361809045226130653266332</x:v>
      </x:c>
      <x:c r="AF412" s="33" t="n">
        <x:v>0.1984924623115577889447236181</x:v>
      </x:c>
      <x:c r="AG412" s="33" t="n">
        <x:v>0.1984924623115577889447236181</x:v>
      </x:c>
      <x:c r="AH412" s="33" t="n">
        <x:v>0.1972361809045226130653266332</x:v>
      </x:c>
      <x:c r="AI412" s="33" t="n">
        <x:v>0.2022613065326633165829145729</x:v>
      </x:c>
      <x:c r="AJ412" s="33" t="n">
        <x:v>0.2010050251256281407035175879</x:v>
      </x:c>
      <x:c r="AK412" s="33" t="n">
        <x:v>0.2035175879396984924623115578</x:v>
      </x:c>
      <x:c r="AL412" s="33" t="n">
        <x:v>0.2097989949748743718592964824</x:v>
      </x:c>
      <x:c r="BC412" s="34" t="s"/>
      <x:c r="BD412" s="11" t="s">
        <x:v>182</x:v>
      </x:c>
      <x:c r="BE412" s="12" t="n">
        <x:f>=BO412</x:f>
      </x:c>
      <x:c r="BF412" s="12" t="n">
        <x:v>0.2223618090452261306532663317</x:v>
      </x:c>
      <x:c r="BG412" s="12" t="n">
        <x:v>-0.0087939698492462311557788945</x:v>
      </x:c>
      <x:c r="BH412" s="12" t="n">
        <x:v>0.7864321608040201005025125628</x:v>
      </x:c>
      <x:c r="BI412" s="12" t="n">
        <x:f>=BN412</x:f>
      </x:c>
      <x:c r="BJ412" s="13" t="n">
        <x:v>0</x:v>
      </x:c>
      <x:c r="BK412" s="31" t="n">
        <x:v>4315.45</x:v>
      </x:c>
      <x:c r="BL412" s="31" t="n">
        <x:v>-14301.2544</x:v>
      </x:c>
      <x:c r="BM412" s="31" t="n">
        <x:f>=BK412+BL412</x:f>
      </x:c>
      <x:c r="BN412" s="68" t="n">
        <x:f>=BM412/BK412</x:f>
      </x:c>
      <x:c r="BO412" s="68" t="n">
        <x:v>0.2135678391959798994974874372</x:v>
      </x:c>
      <x:c r="BP412" s="31" t="n">
        <x:v>11900.20</x:v>
      </x:c>
      <x:c r="BQ412" s="42" t="n">
        <x:v>626</x:v>
      </x:c>
      <x:c r="BR412" s="31" t="n">
        <x:v>9358.70</x:v>
      </x:c>
      <x:c r="BT412" s="31" t="n">
        <x:v>10452.6109205740000000000</x:v>
      </x:c>
      <x:c r="BU412" s="31" t="n">
        <x:v>-14301.2544</x:v>
      </x:c>
      <x:c r="BV412" s="31" t="n">
        <x:f>=BT412+BU412</x:f>
      </x:c>
      <x:c r="BW412" s="68" t="n">
        <x:f>=BV412/BT412</x:f>
      </x:c>
      <x:c r="BY412" s="68" t="n">
        <x:f>=BO412</x:f>
      </x:c>
      <x:c r="BZ412" s="68" t="n">
        <x:f>=BF412</x:f>
      </x:c>
      <x:c r="CA412" s="68" t="n">
        <x:f>=BG412</x:f>
      </x:c>
      <x:c r="CB412" s="68" t="n">
        <x:f>=1 - BY412</x:f>
      </x:c>
      <x:c r="CD412" s="68" t="n">
        <x:f>=CA412/(1-BZ412)</x:f>
      </x:c>
    </x:row>
    <x:row r="413">
      <x:c r="A413" s="32" t="s">
        <x:v>709</x:v>
      </x:c>
      <x:c r="B413" t="s"/>
      <x:c r="C413" t="s">
        <x:v>710</x:v>
      </x:c>
      <x:c r="D413" t="s">
        <x:v>108</x:v>
      </x:c>
      <x:c r="E413" t="s">
        <x:v>109</x:v>
      </x:c>
      <x:c r="F413" t="n">
        <x:v>433</x:v>
      </x:c>
      <x:c r="G413" s="33" t="n">
        <x:v>0.0115473441108545034642032333</x:v>
      </x:c>
      <x:c r="H413" s="33" t="n">
        <x:v>0.0508083140877598152424942263</x:v>
      </x:c>
      <x:c r="I413" s="33" t="n">
        <x:v>0.0854503464203233256351039261</x:v>
      </x:c>
      <x:c r="J413" s="33" t="n">
        <x:v>0.1108545034642032332563510393</x:v>
      </x:c>
      <x:c r="K413" s="33" t="n">
        <x:v>0.0762124711316397228637413395</x:v>
      </x:c>
      <x:c r="L413" s="33" t="n">
        <x:v>0.0669745958429561200923787529</x:v>
      </x:c>
      <x:c r="M413" s="33" t="n">
        <x:v>0.0692840646651270207852193995</x:v>
      </x:c>
      <x:c r="N413" s="33" t="n">
        <x:v>0.0669745958429561200923787529</x:v>
      </x:c>
      <x:c r="O413" s="33" t="n">
        <x:v>0.0669745958429561200923787529</x:v>
      </x:c>
      <x:c r="P413" s="33" t="n">
        <x:v>0.0669745958429561200923787529</x:v>
      </x:c>
      <x:c r="Q413" s="33" t="n">
        <x:v>0.0669745958429561200923787529</x:v>
      </x:c>
      <x:c r="R413" s="33" t="n">
        <x:v>0.0669745958429561200923787529</x:v>
      </x:c>
      <x:c r="S413" s="33" t="n">
        <x:v>0.0669745958429561200923787529</x:v>
      </x:c>
      <x:c r="T413" s="33" t="n">
        <x:v>0.0669745958429561200923787529</x:v>
      </x:c>
      <x:c r="U413" s="33" t="n">
        <x:v>0.0669745958429561200923787529</x:v>
      </x:c>
      <x:c r="V413" s="33" t="n">
        <x:v>0.0669745958429561200923787529</x:v>
      </x:c>
      <x:c r="W413" s="33" t="n">
        <x:v>0.0669745958429561200923787529</x:v>
      </x:c>
      <x:c r="X413" s="33" t="n">
        <x:v>0.0669745958429561200923787529</x:v>
      </x:c>
      <x:c r="Y413" s="33" t="n">
        <x:v>0.0669745958429561200923787529</x:v>
      </x:c>
      <x:c r="Z413" s="33" t="n">
        <x:v>0.0669745958429561200923787529</x:v>
      </x:c>
      <x:c r="AA413" s="33" t="n">
        <x:v>0.0669745958429561200923787529</x:v>
      </x:c>
      <x:c r="AB413" s="33" t="n">
        <x:v>0.0692840646651270207852193995</x:v>
      </x:c>
      <x:c r="AC413" s="33" t="n">
        <x:v>0.0715935334872979214780600462</x:v>
      </x:c>
      <x:c r="AD413" s="33" t="n">
        <x:v>0.0692840646651270207852193995</x:v>
      </x:c>
      <x:c r="AE413" s="33" t="n">
        <x:v>0.0692840646651270207852193995</x:v>
      </x:c>
      <x:c r="AF413" s="33" t="n">
        <x:v>0.0692840646651270207852193995</x:v>
      </x:c>
      <x:c r="AG413" s="33" t="n">
        <x:v>0.0692840646651270207852193995</x:v>
      </x:c>
      <x:c r="AH413" s="33" t="n">
        <x:v>0.0739030023094688221709006928</x:v>
      </x:c>
      <x:c r="BC413" s="34" t="s"/>
      <x:c r="BD413" s="11" t="s">
        <x:v>284</x:v>
      </x:c>
      <x:c r="BE413" s="12" t="n">
        <x:f>=BO413</x:f>
      </x:c>
      <x:c r="BF413" s="12" t="n">
        <x:v>0.0762124711316397228637413395</x:v>
      </x:c>
      <x:c r="BG413" s="12" t="n">
        <x:v>-0.0023094688221709006928406467</x:v>
      </x:c>
      <x:c r="BH413" s="12" t="n">
        <x:v>0.9260969976905311778290993072</x:v>
      </x:c>
      <x:c r="BI413" s="12" t="n">
        <x:f>=BN413</x:f>
      </x:c>
      <x:c r="BJ413" s="13" t="n">
        <x:v>0.0015396458814472671285604311</x:v>
      </x:c>
      <x:c r="BK413" s="31" t="n">
        <x:v>327.78</x:v>
      </x:c>
      <x:c r="BL413" s="31" t="n">
        <x:v>-2491.87565550225539812545</x:v>
      </x:c>
      <x:c r="BM413" s="31" t="n">
        <x:f>=BK413+BL413</x:f>
      </x:c>
      <x:c r="BN413" s="68" t="n">
        <x:f>=BM413/BK413</x:f>
      </x:c>
      <x:c r="BO413" s="68" t="n">
        <x:v>0.0739030023094688221709006928</x:v>
      </x:c>
      <x:c r="BP413" s="31" t="n">
        <x:v>2542.919335569335461985</x:v>
      </x:c>
      <x:c r="BQ413" s="42" t="n">
        <x:v>401</x:v>
      </x:c>
      <x:c r="BR413" s="31" t="n">
        <x:v>2354.989962039961940545</x:v>
      </x:c>
      <x:c r="BT413" s="31" t="n">
        <x:v>1515.8388906685066397228637413</x:v>
      </x:c>
      <x:c r="BU413" s="31" t="n">
        <x:v>-2491.87565550225539812545</x:v>
      </x:c>
      <x:c r="BV413" s="31" t="n">
        <x:f>=BT413+BU413</x:f>
      </x:c>
      <x:c r="BW413" s="68" t="n">
        <x:f>=BV413/BT413</x:f>
      </x:c>
      <x:c r="BY413" s="68" t="n">
        <x:f>=BO413</x:f>
      </x:c>
      <x:c r="BZ413" s="68" t="n">
        <x:f>=BF413</x:f>
      </x:c>
      <x:c r="CA413" s="68" t="n">
        <x:f>=BG413</x:f>
      </x:c>
      <x:c r="CB413" s="68" t="n">
        <x:f>=1 - BY413</x:f>
      </x:c>
      <x:c r="CD413" s="68" t="n">
        <x:f>=CA413/(1-BZ413)</x:f>
      </x:c>
    </x:row>
    <x:row r="414">
      <x:c r="A414" s="32" t="s">
        <x:v>711</x:v>
      </x:c>
      <x:c r="B414" t="s"/>
      <x:c r="C414" t="s">
        <x:v>712</x:v>
      </x:c>
      <x:c r="D414" t="s">
        <x:v>108</x:v>
      </x:c>
      <x:c r="E414" t="s">
        <x:v>109</x:v>
      </x:c>
      <x:c r="F414" t="n">
        <x:v>491</x:v>
      </x:c>
      <x:c r="G414" s="33" t="n">
        <x:v>0.0407331975560081466395112016</x:v>
      </x:c>
      <x:c r="H414" s="33" t="n">
        <x:v>0.1446028513238289205702647658</x:v>
      </x:c>
      <x:c r="I414" s="33" t="n">
        <x:v>0.1955193482688391038696537678</x:v>
      </x:c>
      <x:c r="J414" s="33" t="n">
        <x:v>0.2525458248472505091649694501</x:v>
      </x:c>
      <x:c r="K414" s="33" t="n">
        <x:v>0.2342158859470468431771894094</x:v>
      </x:c>
      <x:c r="L414" s="33" t="n">
        <x:v>0.226069246435845213849287169</x:v>
      </x:c>
      <x:c r="M414" s="33" t="n">
        <x:v>0.2199592668024439918533604888</x:v>
      </x:c>
      <x:c r="N414" s="33" t="n">
        <x:v>0.2179226069246435845213849287</x:v>
      </x:c>
      <x:c r="O414" s="33" t="n">
        <x:v>0.2179226069246435845213849287</x:v>
      </x:c>
      <x:c r="P414" s="33" t="n">
        <x:v>0.2179226069246435845213849287</x:v>
      </x:c>
      <x:c r="Q414" s="33" t="n">
        <x:v>0.2179226069246435845213849287</x:v>
      </x:c>
      <x:c r="R414" s="33" t="n">
        <x:v>0.2179226069246435845213849287</x:v>
      </x:c>
      <x:c r="S414" s="33" t="n">
        <x:v>0.2179226069246435845213849287</x:v>
      </x:c>
      <x:c r="T414" s="33" t="n">
        <x:v>0.2179226069246435845213849287</x:v>
      </x:c>
      <x:c r="U414" s="33" t="n">
        <x:v>0.2179226069246435845213849287</x:v>
      </x:c>
      <x:c r="V414" s="33" t="n">
        <x:v>0.2179226069246435845213849287</x:v>
      </x:c>
      <x:c r="W414" s="33" t="n">
        <x:v>0.2179226069246435845213849287</x:v>
      </x:c>
      <x:c r="X414" s="33" t="n">
        <x:v>0.2179226069246435845213849287</x:v>
      </x:c>
      <x:c r="Y414" s="33" t="n">
        <x:v>0.224032586558044806517311609</x:v>
      </x:c>
      <x:c r="Z414" s="33" t="n">
        <x:v>0.224032586558044806517311609</x:v>
      </x:c>
      <x:c r="AA414" s="33" t="n">
        <x:v>0.224032586558044806517311609</x:v>
      </x:c>
      <x:c r="AB414" s="33" t="n">
        <x:v>0.2423625254582484725050916497</x:v>
      </x:c>
      <x:c r="AC414" s="33" t="n">
        <x:v>0.2810590631364562118126272912</x:v>
      </x:c>
      <x:c r="AD414" s="33" t="n">
        <x:v>0.299389002036659877800407332</x:v>
      </x:c>
      <x:c r="AE414" s="33" t="n">
        <x:v>0.3034623217922606924643584521</x:v>
      </x:c>
      <x:c r="AF414" s="33" t="n">
        <x:v>0.2892057026476578411405295316</x:v>
      </x:c>
      <x:c r="AG414" s="33" t="n">
        <x:v>0.2892057026476578411405295316</x:v>
      </x:c>
      <x:c r="AH414" s="33" t="n">
        <x:v>0.299389002036659877800407332</x:v>
      </x:c>
      <x:c r="BC414" s="34" t="s"/>
      <x:c r="BD414" s="11" t="s">
        <x:v>284</x:v>
      </x:c>
      <x:c r="BE414" s="12" t="n">
        <x:f>=BO414</x:f>
      </x:c>
      <x:c r="BF414" s="12" t="n">
        <x:v>0.3054989816700610997963340122</x:v>
      </x:c>
      <x:c r="BG414" s="12" t="n">
        <x:v>-0.0061099796334012219959266802</x:v>
      </x:c>
      <x:c r="BH414" s="12" t="n">
        <x:v>0.700610997963340122199592668</x:v>
      </x:c>
      <x:c r="BI414" s="12" t="n">
        <x:f>=BN414</x:f>
      </x:c>
      <x:c r="BJ414" s="13" t="n">
        <x:v>0</x:v>
      </x:c>
      <x:c r="BK414" s="31" t="n">
        <x:v>1520.73</x:v>
      </x:c>
      <x:c r="BL414" s="31" t="n">
        <x:v>-2824.18738533858522050715</x:v>
      </x:c>
      <x:c r="BM414" s="31" t="n">
        <x:f>=BK414+BL414</x:f>
      </x:c>
      <x:c r="BN414" s="68" t="n">
        <x:f>=BM414/BK414</x:f>
      </x:c>
      <x:c r="BO414" s="68" t="n">
        <x:v>0.299389002036659877800407332</x:v>
      </x:c>
      <x:c r="BP414" s="31" t="n">
        <x:v>2883.541325091324969595</x:v>
      </x:c>
      <x:c r="BQ414" s="42" t="n">
        <x:v>344</x:v>
      </x:c>
      <x:c r="BR414" s="31" t="n">
        <x:v>2020.240765440765355480</x:v>
      </x:c>
      <x:c r="BT414" s="31" t="n">
        <x:v>2506.9518968691075610997963340</x:v>
      </x:c>
      <x:c r="BU414" s="31" t="n">
        <x:v>-2824.18738533858522050715</x:v>
      </x:c>
      <x:c r="BV414" s="31" t="n">
        <x:f>=BT414+BU414</x:f>
      </x:c>
      <x:c r="BW414" s="68" t="n">
        <x:f>=BV414/BT414</x:f>
      </x:c>
      <x:c r="BY414" s="68" t="n">
        <x:f>=BO414</x:f>
      </x:c>
      <x:c r="BZ414" s="68" t="n">
        <x:f>=BF414</x:f>
      </x:c>
      <x:c r="CA414" s="68" t="n">
        <x:f>=BG414</x:f>
      </x:c>
      <x:c r="CB414" s="68" t="n">
        <x:f>=1 - BY414</x:f>
      </x:c>
      <x:c r="CD414" s="68" t="n">
        <x:f>=CA414/(1-BZ414)</x:f>
      </x:c>
    </x:row>
    <x:row r="415">
      <x:c r="A415" s="32" t="s">
        <x:v>713</x:v>
      </x:c>
      <x:c r="B415" t="s"/>
      <x:c r="C415" t="s">
        <x:v>714</x:v>
      </x:c>
      <x:c r="D415" t="s">
        <x:v>125</x:v>
      </x:c>
      <x:c r="E415" t="s">
        <x:v>109</x:v>
      </x:c>
      <x:c r="F415" t="n">
        <x:v>2642</x:v>
      </x:c>
      <x:c r="G415" s="33" t="n">
        <x:v>0.0007570022710068130204390613</x:v>
      </x:c>
      <x:c r="H415" s="33" t="n">
        <x:v>0.001135503406510219530658592</x:v>
      </x:c>
      <x:c r="I415" s="33" t="n">
        <x:v>0.0052990158970476911430734292</x:v>
      </x:c>
      <x:c r="J415" s="33" t="n">
        <x:v>0.015518546555639666919000757</x:v>
      </x:c>
      <x:c r="K415" s="33" t="n">
        <x:v>0.0238455715367146101438304315</x:v>
      </x:c>
      <x:c r="L415" s="33" t="n">
        <x:v>0.0367146101438304314912944739</x:v>
      </x:c>
      <x:c r="M415" s="33" t="n">
        <x:v>0.0389856169568508705526116578</x:v>
      </x:c>
      <x:c r="N415" s="33" t="n">
        <x:v>0.0404996214988644965934897805</x:v>
      </x:c>
      <x:c r="O415" s="33" t="n">
        <x:v>0.0427706283118849356548069644</x:v>
      </x:c>
      <x:c r="P415" s="33" t="n">
        <x:v>0.0431491294473883421650264951</x:v>
      </x:c>
      <x:c r="Q415" s="33" t="n">
        <x:v>0.0431491294473883421650264951</x:v>
      </x:c>
      <x:c r="R415" s="33" t="n">
        <x:v>0.0461771385314155942467827403</x:v>
      </x:c>
      <x:c r="S415" s="33" t="n">
        <x:v>0.0484481453444360333080999243</x:v>
      </x:c>
      <x:c r="T415" s="33" t="n">
        <x:v>0.0499621498864496593489780469</x:v>
      </x:c>
      <x:c r="U415" s="33" t="n">
        <x:v>0.0541256623769871309613928842</x:v>
      </x:c>
      <x:c r="V415" s="33" t="n">
        <x:v>0.0575321725965177895533686601</x:v>
      </x:c>
      <x:c r="W415" s="33" t="n">
        <x:v>0.0582891748675246025738077214</x:v>
      </x:c>
      <x:c r="X415" s="33" t="n">
        <x:v>0.0601816805450416351249053747</x:v>
      </x:c>
      <x:c r="Y415" s="33" t="n">
        <x:v>0.0624526873580620741862225587</x:v>
      </x:c>
      <x:c r="Z415" s="33" t="n">
        <x:v>0.060938682816048448145344436</x:v>
      </x:c>
      <x:c r="AA415" s="33" t="n">
        <x:v>0.0624526873580620741862225587</x:v>
      </x:c>
      <x:c r="AB415" s="33" t="n">
        <x:v>0.062074186222558667676003028</x:v>
      </x:c>
      <x:c r="AC415" s="33" t="n">
        <x:v>0.06320968962906888720666162</x:v>
      </x:c>
      <x:c r="AD415" s="33" t="n">
        <x:v>0.0635881907645722937168811506</x:v>
      </x:c>
      <x:c r="AE415" s="33" t="n">
        <x:v>0.0669947009841029523088569266</x:v>
      </x:c>
      <x:c r="AF415" s="33" t="n">
        <x:v>0.0688872066616199848599545799</x:v>
      </x:c>
      <x:c r="AG415" s="33" t="n">
        <x:v>0.0730507191521574564723694171</x:v>
      </x:c>
      <x:c r="AH415" s="33" t="n">
        <x:v>0.077592732778198334595003785</x:v>
      </x:c>
      <x:c r="BC415" s="34" t="s"/>
      <x:c r="BD415" s="11" t="s">
        <x:v>284</x:v>
      </x:c>
      <x:c r="BE415" s="12" t="n">
        <x:f>=BO415</x:f>
      </x:c>
      <x:c r="BF415" s="12" t="n">
        <x:v>0.077592732778198334595003785</x:v>
      </x:c>
      <x:c r="BG415" s="12" t="n">
        <x:v>0</x:v>
      </x:c>
      <x:c r="BH415" s="12" t="n">
        <x:v>0.922407267221801665404996215</x:v>
      </x:c>
      <x:c r="BI415" s="12" t="n">
        <x:f>=BN415</x:f>
      </x:c>
      <x:c r="BJ415" s="13" t="n">
        <x:v>0.0035326772646984607620489528</x:v>
      </x:c>
      <x:c r="BK415" s="31" t="n">
        <x:v>2748.06</x:v>
      </x:c>
      <x:c r="BL415" s="31" t="n">
        <x:v>-22831.1072</x:v>
      </x:c>
      <x:c r="BM415" s="31" t="n">
        <x:f>=BK415+BL415</x:f>
      </x:c>
      <x:c r="BN415" s="68" t="n">
        <x:f>=BM415/BK415</x:f>
      </x:c>
      <x:c r="BO415" s="68" t="n">
        <x:v>0.077592732778198334595003785</x:v>
      </x:c>
      <x:c r="BP415" s="31" t="n">
        <x:v>19682.90</x:v>
      </x:c>
      <x:c r="BQ415" s="42" t="n">
        <x:v>2437</x:v>
      </x:c>
      <x:c r="BR415" s="31" t="n">
        <x:v>18155.65</x:v>
      </x:c>
      <x:c r="BT415" s="31" t="n">
        <x:v>13146.376999690677503890150557</x:v>
      </x:c>
      <x:c r="BU415" s="31" t="n">
        <x:v>-22831.1072</x:v>
      </x:c>
      <x:c r="BV415" s="31" t="n">
        <x:f>=BT415+BU415</x:f>
      </x:c>
      <x:c r="BW415" s="68" t="n">
        <x:f>=BV415/BT415</x:f>
      </x:c>
      <x:c r="BY415" s="68" t="n">
        <x:f>=BO415</x:f>
      </x:c>
      <x:c r="BZ415" s="68" t="n">
        <x:f>=BF415</x:f>
      </x:c>
      <x:c r="CA415" s="68" t="n">
        <x:f>=BG415</x:f>
      </x:c>
      <x:c r="CB415" s="68" t="n">
        <x:f>=1 - BY415</x:f>
      </x:c>
      <x:c r="CD415" s="68" t="n">
        <x:f>=CA415/(1-BZ415)</x:f>
      </x:c>
    </x:row>
    <x:row r="416">
      <x:c r="A416" s="32" t="s">
        <x:v>715</x:v>
      </x:c>
      <x:c r="B416" t="s"/>
      <x:c r="C416" t="s">
        <x:v>716</x:v>
      </x:c>
      <x:c r="D416" t="s">
        <x:v>434</x:v>
      </x:c>
      <x:c r="E416" t="s">
        <x:v>109</x:v>
      </x:c>
      <x:c r="F416" t="n">
        <x:v>738</x:v>
      </x:c>
      <x:c r="G416" s="33" t="n">
        <x:v>0.0013550135501355013550135501</x:v>
      </x:c>
      <x:c r="H416" s="33" t="n">
        <x:v>0.0542005420054200542005420054</x:v>
      </x:c>
      <x:c r="I416" s="33" t="n">
        <x:v>0.1178861788617886178861788618</x:v>
      </x:c>
      <x:c r="J416" s="33" t="n">
        <x:v>0.1775067750677506775067750678</x:v>
      </x:c>
      <x:c r="K416" s="33" t="n">
        <x:v>0.2330623306233062330623306233</x:v>
      </x:c>
      <x:c r="L416" s="33" t="n">
        <x:v>0.2655826558265582655826558266</x:v>
      </x:c>
      <x:c r="M416" s="33" t="n">
        <x:v>0.3224932249322493224932249322</x:v>
      </x:c>
      <x:c r="N416" s="33" t="n">
        <x:v>0.280487804878048780487804878</x:v>
      </x:c>
      <x:c r="O416" s="33" t="n">
        <x:v>0.2682926829268292682926829268</x:v>
      </x:c>
      <x:c r="P416" s="33" t="n">
        <x:v>0.2669376693766937669376693767</x:v>
      </x:c>
      <x:c r="Q416" s="33" t="n">
        <x:v>0.2682926829268292682926829268</x:v>
      </x:c>
      <x:c r="R416" s="33" t="n">
        <x:v>0.2777777777777777777777777778</x:v>
      </x:c>
      <x:c r="S416" s="33" t="n">
        <x:v>0.2764227642276422764227642276</x:v>
      </x:c>
      <x:c r="T416" s="33" t="n">
        <x:v>0.2737127371273712737127371274</x:v>
      </x:c>
      <x:c r="U416" s="33" t="n">
        <x:v>0.2913279132791327913279132791</x:v>
      </x:c>
      <x:c r="V416" s="33" t="n">
        <x:v>0.3075880758807588075880758808</x:v>
      </x:c>
      <x:c r="W416" s="33" t="n">
        <x:v>0.3360433604336043360433604336</x:v>
      </x:c>
      <x:c r="X416" s="33" t="n">
        <x:v>0.3577235772357723577235772358</x:v>
      </x:c>
      <x:c r="Y416" s="33" t="n">
        <x:v>0.3753387533875338753387533875</x:v>
      </x:c>
      <x:c r="Z416" s="33" t="n">
        <x:v>0.4010840108401084010840108401</x:v>
      </x:c>
      <x:c r="AA416" s="33" t="n">
        <x:v>0.4132791327913279132791327913</x:v>
      </x:c>
      <x:c r="AB416" s="33" t="n">
        <x:v>0.4539295392953929539295392954</x:v>
      </x:c>
      <x:c r="AC416" s="33" t="n">
        <x:v>0.4688346883468834688346883469</x:v>
      </x:c>
      <x:c r="AD416" s="33" t="n">
        <x:v>0.4661246612466124661246612466</x:v>
      </x:c>
      <x:c r="AE416" s="33" t="n">
        <x:v>0.4674796747967479674796747967</x:v>
      </x:c>
      <x:c r="AF416" s="33" t="n">
        <x:v>0.4810298102981029810298102981</x:v>
      </x:c>
      <x:c r="AG416" s="33" t="n">
        <x:v>0.5027100271002710027100271003</x:v>
      </x:c>
      <x:c r="BC416" s="34" t="s"/>
      <x:c r="BD416" s="11" t="s">
        <x:v>227</x:v>
      </x:c>
      <x:c r="BE416" s="12" t="n">
        <x:f>=BO416</x:f>
      </x:c>
      <x:c r="BF416" s="12" t="n">
        <x:v>0.5027100271002710027100271003</x:v>
      </x:c>
      <x:c r="BG416" s="12" t="n">
        <x:v>0</x:v>
      </x:c>
      <x:c r="BH416" s="12" t="n">
        <x:v>0.4972899728997289972899728997</x:v>
      </x:c>
      <x:c r="BI416" s="12" t="n">
        <x:f>=BN416</x:f>
      </x:c>
      <x:c r="BJ416" s="13" t="n">
        <x:v>0.0121951219512195121951219512</x:v>
      </x:c>
      <x:c r="BK416" s="31" t="n">
        <x:v>4702.83</x:v>
      </x:c>
      <x:c r="BL416" s="31" t="n">
        <x:v>-6362.1504</x:v>
      </x:c>
      <x:c r="BM416" s="31" t="n">
        <x:f>=BK416+BL416</x:f>
      </x:c>
      <x:c r="BN416" s="68" t="n">
        <x:f>=BM416/BK416</x:f>
      </x:c>
      <x:c r="BO416" s="68" t="n">
        <x:v>0.5027100271002710027100271003</x:v>
      </x:c>
      <x:c r="BP416" s="31" t="n">
        <x:v>5158.62</x:v>
      </x:c>
      <x:c r="BQ416" s="42" t="n">
        <x:v>367</x:v>
      </x:c>
      <x:c r="BR416" s="31" t="n">
        <x:v>2565.33</x:v>
      </x:c>
      <x:c r="BT416" s="31" t="n">
        <x:v>6684.8030072476002710027100258</x:v>
      </x:c>
      <x:c r="BU416" s="31" t="n">
        <x:v>-6362.1504</x:v>
      </x:c>
      <x:c r="BV416" s="31" t="n">
        <x:f>=BT416+BU416</x:f>
      </x:c>
      <x:c r="BW416" s="68" t="n">
        <x:f>=BV416/BT416</x:f>
      </x:c>
      <x:c r="BY416" s="68" t="n">
        <x:f>=BO416</x:f>
      </x:c>
      <x:c r="BZ416" s="68" t="n">
        <x:f>=BF416</x:f>
      </x:c>
      <x:c r="CA416" s="68" t="n">
        <x:f>=BG416</x:f>
      </x:c>
      <x:c r="CB416" s="68" t="n">
        <x:f>=1 - BY416</x:f>
      </x:c>
      <x:c r="CD416" s="68" t="n">
        <x:f>=CA416/(1-BZ416)</x:f>
      </x:c>
    </x:row>
    <x:row r="417">
      <x:c r="A417" s="32" t="s">
        <x:v>717</x:v>
      </x:c>
      <x:c r="B417" t="s"/>
      <x:c r="C417" t="s">
        <x:v>718</x:v>
      </x:c>
      <x:c r="D417" t="s">
        <x:v>108</x:v>
      </x:c>
      <x:c r="E417" t="s">
        <x:v>109</x:v>
      </x:c>
      <x:c r="F417" t="n">
        <x:v>290</x:v>
      </x:c>
      <x:c r="G417" s="33" t="n">
        <x:v>0.0206896551724137931034482759</x:v>
      </x:c>
      <x:c r="H417" s="33" t="n">
        <x:v>0.0482758620689655172413793103</x:v>
      </x:c>
      <x:c r="I417" s="33" t="n">
        <x:v>0.0896551724137931034482758621</x:v>
      </x:c>
      <x:c r="J417" s="33" t="n">
        <x:v>0.1275862068965517241379310345</x:v>
      </x:c>
      <x:c r="K417" s="33" t="n">
        <x:v>0.1689655172413793103448275862</x:v>
      </x:c>
      <x:c r="L417" s="33" t="n">
        <x:v>0.1862068965517241379310344828</x:v>
      </x:c>
      <x:c r="M417" s="33" t="n">
        <x:v>0.1931034482758620689655172414</x:v>
      </x:c>
      <x:c r="N417" s="33" t="n">
        <x:v>0.1896551724137931034482758621</x:v>
      </x:c>
      <x:c r="O417" s="33" t="n">
        <x:v>0.1896551724137931034482758621</x:v>
      </x:c>
      <x:c r="P417" s="33" t="n">
        <x:v>0.1896551724137931034482758621</x:v>
      </x:c>
      <x:c r="Q417" s="33" t="n">
        <x:v>0.1896551724137931034482758621</x:v>
      </x:c>
      <x:c r="R417" s="33" t="n">
        <x:v>0.1896551724137931034482758621</x:v>
      </x:c>
      <x:c r="S417" s="33" t="n">
        <x:v>0.1931034482758620689655172414</x:v>
      </x:c>
      <x:c r="T417" s="33" t="n">
        <x:v>0.2068965517241379310344827586</x:v>
      </x:c>
      <x:c r="U417" s="33" t="n">
        <x:v>0.2137931034482758620689655172</x:v>
      </x:c>
      <x:c r="V417" s="33" t="n">
        <x:v>0.2137931034482758620689655172</x:v>
      </x:c>
      <x:c r="W417" s="33" t="n">
        <x:v>0.2137931034482758620689655172</x:v>
      </x:c>
      <x:c r="X417" s="33" t="n">
        <x:v>0.2241379310344827586206896552</x:v>
      </x:c>
      <x:c r="Y417" s="33" t="n">
        <x:v>0.2379310344827586206896551724</x:v>
      </x:c>
      <x:c r="Z417" s="33" t="n">
        <x:v>0.2517241379310344827586206897</x:v>
      </x:c>
      <x:c r="AA417" s="33" t="n">
        <x:v>0.2655172413793103448275862069</x:v>
      </x:c>
      <x:c r="AB417" s="33" t="n">
        <x:v>0.2793103448275862068965517241</x:v>
      </x:c>
      <x:c r="AC417" s="33" t="n">
        <x:v>0.2896551724137931034482758621</x:v>
      </x:c>
      <x:c r="AD417" s="33" t="n">
        <x:v>0.3103448275862068965517241379</x:v>
      </x:c>
      <x:c r="AE417" s="33" t="n">
        <x:v>0.3482758620689655172413793103</x:v>
      </x:c>
      <x:c r="BC417" s="34" t="s"/>
      <x:c r="BD417" s="11" t="s">
        <x:v>188</x:v>
      </x:c>
      <x:c r="BE417" s="12" t="n">
        <x:f>=BO417</x:f>
      </x:c>
      <x:c r="BF417" s="12" t="n">
        <x:v>0.3482758620689655172413793103</x:v>
      </x:c>
      <x:c r="BG417" s="12" t="n">
        <x:v>0</x:v>
      </x:c>
      <x:c r="BH417" s="12" t="n">
        <x:v>0.6517241379310344827586206897</x:v>
      </x:c>
      <x:c r="BI417" s="12" t="n">
        <x:f>=BN417</x:f>
      </x:c>
      <x:c r="BJ417" s="13" t="n">
        <x:v>0.0229885057471264367816091954</x:v>
      </x:c>
      <x:c r="BK417" s="31" t="n">
        <x:v>156.46</x:v>
      </x:c>
      <x:c r="BL417" s="31" t="n">
        <x:v>-224.65433253234500000000</x:v>
      </x:c>
      <x:c r="BM417" s="31" t="n">
        <x:f>=BK417+BL417</x:f>
      </x:c>
      <x:c r="BN417" s="68" t="n">
        <x:f>=BM417/BK417</x:f>
      </x:c>
      <x:c r="BO417" s="68" t="n">
        <x:v>0.3482758620689655172413793103</x:v>
      </x:c>
      <x:c r="BP417" s="31" t="n">
        <x:v>223.590033538500000000</x:v>
      </x:c>
      <x:c r="BQ417" s="42" t="n">
        <x:v>189</x:v>
      </x:c>
      <x:c r="BR417" s="31" t="n">
        <x:v>145.719021857850000000</x:v>
      </x:c>
      <x:c r="BT417" s="31" t="n">
        <x:v>300.35350572718354885057471267</x:v>
      </x:c>
      <x:c r="BU417" s="31" t="n">
        <x:v>-224.65433253234500000000</x:v>
      </x:c>
      <x:c r="BV417" s="31" t="n">
        <x:f>=BT417+BU417</x:f>
      </x:c>
      <x:c r="BW417" s="68" t="n">
        <x:f>=BV417/BT417</x:f>
      </x:c>
      <x:c r="BY417" s="68" t="n">
        <x:f>=BO417</x:f>
      </x:c>
      <x:c r="BZ417" s="68" t="n">
        <x:f>=BF417</x:f>
      </x:c>
      <x:c r="CA417" s="68" t="n">
        <x:f>=BG417</x:f>
      </x:c>
      <x:c r="CB417" s="68" t="n">
        <x:f>=1 - BY417</x:f>
      </x:c>
      <x:c r="CD417" s="68" t="n">
        <x:f>=CA417/(1-BZ417)</x:f>
      </x:c>
    </x:row>
    <x:row r="418">
      <x:c r="A418" s="32" t="s">
        <x:v>719</x:v>
      </x:c>
      <x:c r="B418" t="s"/>
      <x:c r="C418" t="s">
        <x:v>720</x:v>
      </x:c>
      <x:c r="D418" t="s">
        <x:v>108</x:v>
      </x:c>
      <x:c r="E418" t="s">
        <x:v>109</x:v>
      </x:c>
      <x:c r="F418" t="n">
        <x:v>315</x:v>
      </x:c>
      <x:c r="G418" s="33" t="n">
        <x:v>0.0095238095238095238095238095</x:v>
      </x:c>
      <x:c r="H418" s="33" t="n">
        <x:v>0.0317460317460317460317460317</x:v>
      </x:c>
      <x:c r="I418" s="33" t="n">
        <x:v>0.0571428571428571428571428571</x:v>
      </x:c>
      <x:c r="J418" s="33" t="n">
        <x:v>0.0984126984126984126984126984</x:v>
      </x:c>
      <x:c r="K418" s="33" t="n">
        <x:v>0.1111111111111111111111111111</x:v>
      </x:c>
      <x:c r="L418" s="33" t="n">
        <x:v>0.1206349206349206349206349206</x:v>
      </x:c>
      <x:c r="M418" s="33" t="n">
        <x:v>0.126984126984126984126984127</x:v>
      </x:c>
      <x:c r="N418" s="33" t="n">
        <x:v>0.1238095238095238095238095238</x:v>
      </x:c>
      <x:c r="O418" s="33" t="n">
        <x:v>0.1238095238095238095238095238</x:v>
      </x:c>
      <x:c r="P418" s="33" t="n">
        <x:v>0.1238095238095238095238095238</x:v>
      </x:c>
      <x:c r="Q418" s="33" t="n">
        <x:v>0.1238095238095238095238095238</x:v>
      </x:c>
      <x:c r="R418" s="33" t="n">
        <x:v>0.1238095238095238095238095238</x:v>
      </x:c>
      <x:c r="S418" s="33" t="n">
        <x:v>0.1238095238095238095238095238</x:v>
      </x:c>
      <x:c r="T418" s="33" t="n">
        <x:v>0.1301587301587301587301587302</x:v>
      </x:c>
      <x:c r="U418" s="33" t="n">
        <x:v>0.1365079365079365079365079365</x:v>
      </x:c>
      <x:c r="V418" s="33" t="n">
        <x:v>0.1396825396825396825396825397</x:v>
      </x:c>
      <x:c r="W418" s="33" t="n">
        <x:v>0.1428571428571428571428571429</x:v>
      </x:c>
      <x:c r="X418" s="33" t="n">
        <x:v>0.1523809523809523809523809524</x:v>
      </x:c>
      <x:c r="Y418" s="33" t="n">
        <x:v>0.1650793650793650793650793651</x:v>
      </x:c>
      <x:c r="Z418" s="33" t="n">
        <x:v>0.1777777777777777777777777778</x:v>
      </x:c>
      <x:c r="AA418" s="33" t="n">
        <x:v>0.2</x:v>
      </x:c>
      <x:c r="AB418" s="33" t="n">
        <x:v>0.2063492063492063492063492063</x:v>
      </x:c>
      <x:c r="AC418" s="33" t="n">
        <x:v>0.2158730158730158730158730159</x:v>
      </x:c>
      <x:c r="AD418" s="33" t="n">
        <x:v>0.2253968253968253968253968254</x:v>
      </x:c>
      <x:c r="AE418" s="33" t="n">
        <x:v>0.2634920634920634920634920635</x:v>
      </x:c>
      <x:c r="BC418" s="34" t="s"/>
      <x:c r="BD418" s="11" t="s">
        <x:v>188</x:v>
      </x:c>
      <x:c r="BE418" s="12" t="n">
        <x:f>=BO418</x:f>
      </x:c>
      <x:c r="BF418" s="12" t="n">
        <x:v>0.2634920634920634920634920635</x:v>
      </x:c>
      <x:c r="BG418" s="12" t="n">
        <x:v>0</x:v>
      </x:c>
      <x:c r="BH418" s="12" t="n">
        <x:v>0.7365079365079365079365079365</x:v>
      </x:c>
      <x:c r="BI418" s="12" t="n">
        <x:f>=BN418</x:f>
      </x:c>
      <x:c r="BJ418" s="13" t="n">
        <x:v>0.0190476190476190476190476191</x:v>
      </x:c>
      <x:c r="BK418" s="31" t="n">
        <x:v>124.97</x:v>
      </x:c>
      <x:c r="BL418" s="31" t="n">
        <x:v>-243.35958533685750000000</x:v>
      </x:c>
      <x:c r="BM418" s="31" t="n">
        <x:f>=BK418+BL418</x:f>
      </x:c>
      <x:c r="BN418" s="68" t="n">
        <x:f>=BM418/BK418</x:f>
      </x:c>
      <x:c r="BO418" s="68" t="n">
        <x:v>0.2634920634920634920634920635</x:v>
      </x:c>
      <x:c r="BP418" s="31" t="n">
        <x:v>242.865036429750000000</x:v>
      </x:c>
      <x:c r="BQ418" s="42" t="n">
        <x:v>232</x:v>
      </x:c>
      <x:c r="BR418" s="31" t="n">
        <x:v>178.872026830800000000</x:v>
      </x:c>
      <x:c r="BT418" s="31" t="n">
        <x:v>284.25226591630456349206349219</x:v>
      </x:c>
      <x:c r="BU418" s="31" t="n">
        <x:v>-243.35958533685750000000</x:v>
      </x:c>
      <x:c r="BV418" s="31" t="n">
        <x:f>=BT418+BU418</x:f>
      </x:c>
      <x:c r="BW418" s="68" t="n">
        <x:f>=BV418/BT418</x:f>
      </x:c>
      <x:c r="BY418" s="68" t="n">
        <x:f>=BO418</x:f>
      </x:c>
      <x:c r="BZ418" s="68" t="n">
        <x:f>=BF418</x:f>
      </x:c>
      <x:c r="CA418" s="68" t="n">
        <x:f>=BG418</x:f>
      </x:c>
      <x:c r="CB418" s="68" t="n">
        <x:f>=1 - BY418</x:f>
      </x:c>
      <x:c r="CD418" s="68" t="n">
        <x:f>=CA418/(1-BZ418)</x:f>
      </x:c>
    </x:row>
    <x:row r="419">
      <x:c r="A419" s="32" t="s">
        <x:v>721</x:v>
      </x:c>
      <x:c r="B419" t="s"/>
      <x:c r="C419" t="s">
        <x:v>722</x:v>
      </x:c>
      <x:c r="D419" t="s">
        <x:v>108</x:v>
      </x:c>
      <x:c r="E419" t="s">
        <x:v>109</x:v>
      </x:c>
      <x:c r="F419" t="n">
        <x:v>307</x:v>
      </x:c>
      <x:c r="G419" s="33" t="n">
        <x:v>0.0130293159609120521172638436</x:v>
      </x:c>
      <x:c r="H419" s="33" t="n">
        <x:v>0.0228013029315960912052117264</x:v>
      </x:c>
      <x:c r="I419" s="33" t="n">
        <x:v>0.0488599348534201954397394137</x:v>
      </x:c>
      <x:c r="J419" s="33" t="n">
        <x:v>0.0651465798045602605863192182</x:v>
      </x:c>
      <x:c r="K419" s="33" t="n">
        <x:v>0.0879478827361563517915309446</x:v>
      </x:c>
      <x:c r="L419" s="33" t="n">
        <x:v>0.0944625407166123778501628664</x:v>
      </x:c>
      <x:c r="M419" s="33" t="n">
        <x:v>0.0944625407166123778501628664</x:v>
      </x:c>
      <x:c r="N419" s="33" t="n">
        <x:v>0.0944625407166123778501628664</x:v>
      </x:c>
      <x:c r="O419" s="33" t="n">
        <x:v>0.0944625407166123778501628664</x:v>
      </x:c>
      <x:c r="P419" s="33" t="n">
        <x:v>0.0944625407166123778501628664</x:v>
      </x:c>
      <x:c r="Q419" s="33" t="n">
        <x:v>0.0944625407166123778501628664</x:v>
      </x:c>
      <x:c r="R419" s="33" t="n">
        <x:v>0.0944625407166123778501628664</x:v>
      </x:c>
      <x:c r="S419" s="33" t="n">
        <x:v>0.0944625407166123778501628664</x:v>
      </x:c>
      <x:c r="T419" s="33" t="n">
        <x:v>0.0977198697068403908794788274</x:v>
      </x:c>
      <x:c r="U419" s="33" t="n">
        <x:v>0.1042345276872964169381107492</x:v>
      </x:c>
      <x:c r="V419" s="33" t="n">
        <x:v>0.1042345276872964169381107492</x:v>
      </x:c>
      <x:c r="W419" s="33" t="n">
        <x:v>0.1009771986970684039087947883</x:v>
      </x:c>
      <x:c r="X419" s="33" t="n">
        <x:v>0.110749185667752442996742671</x:v>
      </x:c>
      <x:c r="Y419" s="33" t="n">
        <x:v>0.1172638436482084690553745928</x:v>
      </x:c>
      <x:c r="Z419" s="33" t="n">
        <x:v>0.1172638436482084690553745928</x:v>
      </x:c>
      <x:c r="AA419" s="33" t="n">
        <x:v>0.1237785016286644951140065147</x:v>
      </x:c>
      <x:c r="AB419" s="33" t="n">
        <x:v>0.1368078175895765472312703583</x:v>
      </x:c>
      <x:c r="AC419" s="33" t="n">
        <x:v>0.1433224755700325732899022801</x:v>
      </x:c>
      <x:c r="AD419" s="33" t="n">
        <x:v>0.146579804560260586319218241</x:v>
      </x:c>
      <x:c r="AE419" s="33" t="n">
        <x:v>0.1628664495114006514657980456</x:v>
      </x:c>
      <x:c r="BC419" s="34" t="s"/>
      <x:c r="BD419" s="11" t="s">
        <x:v>188</x:v>
      </x:c>
      <x:c r="BE419" s="12" t="n">
        <x:f>=BO419</x:f>
      </x:c>
      <x:c r="BF419" s="12" t="n">
        <x:v>0.1628664495114006514657980456</x:v>
      </x:c>
      <x:c r="BG419" s="12" t="n">
        <x:v>0</x:v>
      </x:c>
      <x:c r="BH419" s="12" t="n">
        <x:v>0.8371335504885993485342019544</x:v>
      </x:c>
      <x:c r="BI419" s="12" t="n">
        <x:f>=BN419</x:f>
      </x:c>
      <x:c r="BJ419" s="13" t="n">
        <x:v>0.0086862106406080347448425624</x:v>
      </x:c>
      <x:c r="BK419" s="31" t="n">
        <x:v>77.24</x:v>
      </x:c>
      <x:c r="BL419" s="31" t="n">
        <x:v>-237.36322443941350000000</x:v>
      </x:c>
      <x:c r="BM419" s="31" t="n">
        <x:f>=BK419+BL419</x:f>
      </x:c>
      <x:c r="BN419" s="68" t="n">
        <x:f>=BM419/BK419</x:f>
      </x:c>
      <x:c r="BO419" s="68" t="n">
        <x:v>0.1628664495114006514657980456</x:v>
      </x:c>
      <x:c r="BP419" s="31" t="n">
        <x:v>236.697035504550000000</x:v>
      </x:c>
      <x:c r="BQ419" s="42" t="n">
        <x:v>257</x:v>
      </x:c>
      <x:c r="BR419" s="31" t="n">
        <x:v>198.147029722050000000</x:v>
      </x:c>
      <x:c r="BT419" s="31" t="n">
        <x:v>222.23309650737598398479913130</x:v>
      </x:c>
      <x:c r="BU419" s="31" t="n">
        <x:v>-237.36322443941350000000</x:v>
      </x:c>
      <x:c r="BV419" s="31" t="n">
        <x:f>=BT419+BU419</x:f>
      </x:c>
      <x:c r="BW419" s="68" t="n">
        <x:f>=BV419/BT419</x:f>
      </x:c>
      <x:c r="BY419" s="68" t="n">
        <x:f>=BO419</x:f>
      </x:c>
      <x:c r="BZ419" s="68" t="n">
        <x:f>=BF419</x:f>
      </x:c>
      <x:c r="CA419" s="68" t="n">
        <x:f>=BG419</x:f>
      </x:c>
      <x:c r="CB419" s="68" t="n">
        <x:f>=1 - BY419</x:f>
      </x:c>
      <x:c r="CD419" s="68" t="n">
        <x:f>=CA419/(1-BZ419)</x:f>
      </x:c>
    </x:row>
    <x:row r="420">
      <x:c r="A420" s="32" t="s">
        <x:v>723</x:v>
      </x:c>
      <x:c r="B420" t="s"/>
      <x:c r="C420" t="s">
        <x:v>724</x:v>
      </x:c>
      <x:c r="D420" t="s">
        <x:v>125</x:v>
      </x:c>
      <x:c r="E420" t="s">
        <x:v>109</x:v>
      </x:c>
      <x:c r="F420" t="n">
        <x:v>756</x:v>
      </x:c>
      <x:c r="G420" s="33" t="n">
        <x:v>0.0264550264550264550264550265</x:v>
      </x:c>
      <x:c r="H420" s="33" t="n">
        <x:v>0.0515873015873015873015873016</x:v>
      </x:c>
      <x:c r="I420" s="33" t="n">
        <x:v>0.0648148148148148148148148148</x:v>
      </x:c>
      <x:c r="J420" s="33" t="n">
        <x:v>0.0833333333333333333333333333</x:v>
      </x:c>
      <x:c r="K420" s="33" t="n">
        <x:v>0.0714285714285714285714285714</x:v>
      </x:c>
      <x:c r="L420" s="33" t="n">
        <x:v>0.0753968253968253968253968254</x:v>
      </x:c>
      <x:c r="M420" s="33" t="n">
        <x:v>0.0753968253968253968253968254</x:v>
      </x:c>
      <x:c r="N420" s="33" t="n">
        <x:v>0.0753968253968253968253968254</x:v>
      </x:c>
      <x:c r="O420" s="33" t="n">
        <x:v>0.0727513227513227513227513228</x:v>
      </x:c>
      <x:c r="P420" s="33" t="n">
        <x:v>0.0793650793650793650793650794</x:v>
      </x:c>
      <x:c r="Q420" s="33" t="n">
        <x:v>0.0846560846560846560846560847</x:v>
      </x:c>
      <x:c r="R420" s="33" t="n">
        <x:v>0.0939153439153439153439153439</x:v>
      </x:c>
      <x:c r="S420" s="33" t="n">
        <x:v>0.1071428571428571428571428571</x:v>
      </x:c>
      <x:c r="T420" s="33" t="n">
        <x:v>0.1097883597883597883597883598</x:v>
      </x:c>
      <x:c r="U420" s="33" t="n">
        <x:v>0.1150793650793650793650793651</x:v>
      </x:c>
      <x:c r="V420" s="33" t="n">
        <x:v>0.1150793650793650793650793651</x:v>
      </x:c>
      <x:c r="W420" s="33" t="n">
        <x:v>0.1283068783068783068783068783</x:v>
      </x:c>
      <x:c r="X420" s="33" t="n">
        <x:v>0.1296296296296296296296296296</x:v>
      </x:c>
      <x:c r="Y420" s="33" t="n">
        <x:v>0.1296296296296296296296296296</x:v>
      </x:c>
      <x:c r="Z420" s="33" t="n">
        <x:v>0.1335978835978835978835978836</x:v>
      </x:c>
      <x:c r="AA420" s="33" t="n">
        <x:v>0.1547619047619047619047619048</x:v>
      </x:c>
      <x:c r="AB420" s="33" t="n">
        <x:v>0.164021164021164021164021164</x:v>
      </x:c>
      <x:c r="AC420" s="33" t="n">
        <x:v>0.1798941798941798941798941799</x:v>
      </x:c>
      <x:c r="AD420" s="33" t="n">
        <x:v>0.1917989417989417989417989418</x:v>
      </x:c>
      <x:c r="BC420" s="34" t="s"/>
      <x:c r="BD420" s="11" t="s">
        <x:v>191</x:v>
      </x:c>
      <x:c r="BE420" s="12" t="n">
        <x:f>=BO420</x:f>
      </x:c>
      <x:c r="BF420" s="12" t="n">
        <x:v>0.2023809523809523809523809524</x:v>
      </x:c>
      <x:c r="BG420" s="12" t="n">
        <x:v>-0.0105820105820105820105820106</x:v>
      </x:c>
      <x:c r="BH420" s="12" t="n">
        <x:v>0.8082010582010582010582010582</x:v>
      </x:c>
      <x:c r="BI420" s="12" t="n">
        <x:f>=BN420</x:f>
      </x:c>
      <x:c r="BJ420" s="13" t="n">
        <x:v>0.012345679012345679012345679</x:v>
      </x:c>
      <x:c r="BK420" s="31" t="n">
        <x:v>3400.60</x:v>
      </x:c>
      <x:c r="BL420" s="31" t="n">
        <x:v>-11875.8528</x:v>
      </x:c>
      <x:c r="BM420" s="31" t="n">
        <x:f>=BK420+BL420</x:f>
      </x:c>
      <x:c r="BN420" s="68" t="n">
        <x:f>=BM420/BK420</x:f>
      </x:c>
      <x:c r="BO420" s="68" t="n">
        <x:v>0.1917989417989417989417989418</x:v>
      </x:c>
      <x:c r="BP420" s="31" t="n">
        <x:v>10402.56</x:v>
      </x:c>
      <x:c r="BQ420" s="42" t="n">
        <x:v>611</x:v>
      </x:c>
      <x:c r="BR420" s="31" t="n">
        <x:v>8407.36</x:v>
      </x:c>
      <x:c r="BT420" s="31" t="n">
        <x:v>8982.593357109790674603174602</x:v>
      </x:c>
      <x:c r="BU420" s="31" t="n">
        <x:v>-11875.8528</x:v>
      </x:c>
      <x:c r="BV420" s="31" t="n">
        <x:f>=BT420+BU420</x:f>
      </x:c>
      <x:c r="BW420" s="68" t="n">
        <x:f>=BV420/BT420</x:f>
      </x:c>
      <x:c r="BY420" s="68" t="n">
        <x:f>=BO420</x:f>
      </x:c>
      <x:c r="BZ420" s="68" t="n">
        <x:f>=BF420</x:f>
      </x:c>
      <x:c r="CA420" s="68" t="n">
        <x:f>=BG420</x:f>
      </x:c>
      <x:c r="CB420" s="68" t="n">
        <x:f>=1 - BY420</x:f>
      </x:c>
      <x:c r="CD420" s="68" t="n">
        <x:f>=CA420/(1-BZ420)</x:f>
      </x:c>
    </x:row>
    <x:row r="421">
      <x:c r="A421" s="32" t="s">
        <x:v>725</x:v>
      </x:c>
      <x:c r="B421" t="s"/>
      <x:c r="C421" t="s">
        <x:v>726</x:v>
      </x:c>
      <x:c r="D421" t="s">
        <x:v>125</x:v>
      </x:c>
      <x:c r="E421" t="s">
        <x:v>109</x:v>
      </x:c>
      <x:c r="F421" t="n">
        <x:v>484</x:v>
      </x:c>
      <x:c r="G421" s="33" t="n">
        <x:v>0.0123966942148760330578512397</x:v>
      </x:c>
      <x:c r="H421" s="33" t="n">
        <x:v>0.026859504132231404958677686</x:v>
      </x:c>
      <x:c r="I421" s="33" t="n">
        <x:v>0.0330578512396694214876033058</x:v>
      </x:c>
      <x:c r="J421" s="33" t="n">
        <x:v>0.0309917355371900826446280992</x:v>
      </x:c>
      <x:c r="K421" s="33" t="n">
        <x:v>0.0351239669421487603305785124</x:v>
      </x:c>
      <x:c r="L421" s="33" t="n">
        <x:v>0.037190082644628099173553719</x:v>
      </x:c>
      <x:c r="M421" s="33" t="n">
        <x:v>0.0413223140495867768595041322</x:v>
      </x:c>
      <x:c r="N421" s="33" t="n">
        <x:v>0.0413223140495867768595041322</x:v>
      </x:c>
      <x:c r="O421" s="33" t="n">
        <x:v>0.0392561983471074380165289256</x:v>
      </x:c>
      <x:c r="P421" s="33" t="n">
        <x:v>0.0454545454545454545454545455</x:v>
      </x:c>
      <x:c r="Q421" s="33" t="n">
        <x:v>0.064049586776859504132231405</x:v>
      </x:c>
      <x:c r="R421" s="33" t="n">
        <x:v>0.0661157024793388429752066116</x:v>
      </x:c>
      <x:c r="S421" s="33" t="n">
        <x:v>0.0764462809917355371900826446</x:v>
      </x:c>
      <x:c r="T421" s="33" t="n">
        <x:v>0.0826446280991735537190082645</x:v>
      </x:c>
      <x:c r="U421" s="33" t="n">
        <x:v>0.0888429752066115702479338843</x:v>
      </x:c>
      <x:c r="V421" s="33" t="n">
        <x:v>0.0991735537190082644628099174</x:v>
      </x:c>
      <x:c r="W421" s="33" t="n">
        <x:v>0.1136363636363636363636363636</x:v>
      </x:c>
      <x:c r="X421" s="33" t="n">
        <x:v>0.1322314049586776859504132231</x:v>
      </x:c>
      <x:c r="Y421" s="33" t="n">
        <x:v>0.138429752066115702479338843</x:v>
      </x:c>
      <x:c r="Z421" s="33" t="n">
        <x:v>0.1652892561983471074380165289</x:v>
      </x:c>
      <x:c r="AA421" s="33" t="n">
        <x:v>0.1673553719008264462809917355</x:v>
      </x:c>
      <x:c r="AB421" s="33" t="n">
        <x:v>0.1714876033057851239669421488</x:v>
      </x:c>
      <x:c r="AC421" s="33" t="n">
        <x:v>0.1652892561983471074380165289</x:v>
      </x:c>
      <x:c r="BC421" s="34" t="s"/>
      <x:c r="BD421" s="11" t="s">
        <x:v>196</x:v>
      </x:c>
      <x:c r="BE421" s="12" t="n">
        <x:f>=BO421</x:f>
      </x:c>
      <x:c r="BF421" s="12" t="n">
        <x:v>0.1673553719008264462809917355</x:v>
      </x:c>
      <x:c r="BG421" s="12" t="n">
        <x:v>-0.0020661157024793388429752066</x:v>
      </x:c>
      <x:c r="BH421" s="12" t="n">
        <x:v>0.8347107438016528925619834711</x:v>
      </x:c>
      <x:c r="BI421" s="12" t="n">
        <x:f>=BN421</x:f>
      </x:c>
      <x:c r="BJ421" s="13" t="n">
        <x:v>0.0006887052341597796143250689</x:v>
      </x:c>
      <x:c r="BK421" s="31" t="n">
        <x:v>1716.19</x:v>
      </x:c>
      <x:c r="BL421" s="31" t="n">
        <x:v>-6443.0080</x:v>
      </x:c>
      <x:c r="BM421" s="31" t="n">
        <x:f>=BK421+BL421</x:f>
      </x:c>
      <x:c r="BN421" s="68" t="n">
        <x:f>=BM421/BK421</x:f>
      </x:c>
      <x:c r="BO421" s="68" t="n">
        <x:v>0.1652892561983471074380165289</x:v>
      </x:c>
      <x:c r="BP421" s="31" t="n">
        <x:v>5624.08</x:v>
      </x:c>
      <x:c r="BQ421" s="42" t="n">
        <x:v>404</x:v>
      </x:c>
      <x:c r="BR421" s="31" t="n">
        <x:v>4694.48</x:v>
      </x:c>
      <x:c r="BT421" s="31" t="n">
        <x:v>4209.4005071060952708907254376</x:v>
      </x:c>
      <x:c r="BU421" s="31" t="n">
        <x:v>-6443.0080</x:v>
      </x:c>
      <x:c r="BV421" s="31" t="n">
        <x:f>=BT421+BU421</x:f>
      </x:c>
      <x:c r="BW421" s="68" t="n">
        <x:f>=BV421/BT421</x:f>
      </x:c>
      <x:c r="BY421" s="68" t="n">
        <x:f>=BO421</x:f>
      </x:c>
      <x:c r="BZ421" s="68" t="n">
        <x:f>=BF421</x:f>
      </x:c>
      <x:c r="CA421" s="68" t="n">
        <x:f>=BG421</x:f>
      </x:c>
      <x:c r="CB421" s="68" t="n">
        <x:f>=1 - BY421</x:f>
      </x:c>
      <x:c r="CD421" s="68" t="n">
        <x:f>=CA421/(1-BZ421)</x:f>
      </x:c>
    </x:row>
    <x:row r="422">
      <x:c r="A422" s="32" t="s">
        <x:v>727</x:v>
      </x:c>
      <x:c r="B422" t="s"/>
      <x:c r="C422" t="s">
        <x:v>728</x:v>
      </x:c>
      <x:c r="D422" t="s">
        <x:v>173</x:v>
      </x:c>
      <x:c r="E422" t="s">
        <x:v>109</x:v>
      </x:c>
      <x:c r="F422" t="n">
        <x:v>798</x:v>
      </x:c>
      <x:c r="G422" s="33" t="n">
        <x:v>0.0062656641604010025062656642</x:v>
      </x:c>
      <x:c r="H422" s="33" t="n">
        <x:v>0.0852130325814536340852130326</x:v>
      </x:c>
      <x:c r="I422" s="33" t="n">
        <x:v>0.0989974937343358395989974937</x:v>
      </x:c>
      <x:c r="J422" s="33" t="n">
        <x:v>0.1040100250626566416040100251</x:v>
      </x:c>
      <x:c r="K422" s="33" t="n">
        <x:v>0.0989974937343358395989974937</x:v>
      </x:c>
      <x:c r="L422" s="33" t="n">
        <x:v>0.0989974937343358395989974937</x:v>
      </x:c>
      <x:c r="M422" s="33" t="n">
        <x:v>0.0939849624060150375939849624</x:v>
      </x:c>
      <x:c r="N422" s="33" t="n">
        <x:v>0.0977443609022556390977443609</x:v>
      </x:c>
      <x:c r="O422" s="33" t="n">
        <x:v>0.1228070175438596491228070175</x:v>
      </x:c>
      <x:c r="P422" s="33" t="n">
        <x:v>0.1390977443609022556390977444</x:v>
      </x:c>
      <x:c r="Q422" s="33" t="n">
        <x:v>0.1616541353383458646616541353</x:v>
      </x:c>
      <x:c r="R422" s="33" t="n">
        <x:v>0.179197994987468671679197995</x:v>
      </x:c>
      <x:c r="S422" s="33" t="n">
        <x:v>0.1729323308270676691729323308</x:v>
      </x:c>
      <x:c r="T422" s="33" t="n">
        <x:v>0.1754385964912280701754385965</x:v>
      </x:c>
      <x:c r="U422" s="33" t="n">
        <x:v>0.194235588972431077694235589</x:v>
      </x:c>
      <x:c r="V422" s="33" t="n">
        <x:v>0.2055137844611528822055137845</x:v>
      </x:c>
      <x:c r="W422" s="33" t="n">
        <x:v>0.2167919799498746867167919799</x:v>
      </x:c>
      <x:c r="X422" s="33" t="n">
        <x:v>0.2243107769423558897243107769</x:v>
      </x:c>
      <x:c r="Y422" s="33" t="n">
        <x:v>0.2431077694235588972431077694</x:v>
      </x:c>
      <x:c r="Z422" s="33" t="n">
        <x:v>0.2431077694235588972431077694</x:v>
      </x:c>
      <x:c r="AA422" s="33" t="n">
        <x:v>0.2593984962406015037593984962</x:v>
      </x:c>
      <x:c r="AB422" s="33" t="n">
        <x:v>0.2932330827067669172932330827</x:v>
      </x:c>
      <x:c r="BC422" s="34" t="s"/>
      <x:c r="BD422" s="11" t="s">
        <x:v>199</x:v>
      </x:c>
      <x:c r="BE422" s="12" t="n">
        <x:f>=BO422</x:f>
      </x:c>
      <x:c r="BF422" s="12" t="n">
        <x:v>0.2944862155388471177944862155</x:v>
      </x:c>
      <x:c r="BG422" s="12" t="n">
        <x:v>-0.0012531328320802005012531328</x:v>
      </x:c>
      <x:c r="BH422" s="12" t="n">
        <x:v>0.7067669172932330827067669173</x:v>
      </x:c>
      <x:c r="BI422" s="12" t="n">
        <x:f>=BN422</x:f>
      </x:c>
      <x:c r="BJ422" s="13" t="n">
        <x:v>0.0167084377610693400167084377</x:v>
      </x:c>
      <x:c r="BK422" s="31" t="n">
        <x:v>6379.72</x:v>
      </x:c>
      <x:c r="BL422" s="31" t="n">
        <x:v>-14258.8236</x:v>
      </x:c>
      <x:c r="BM422" s="31" t="n">
        <x:f>=BK422+BL422</x:f>
      </x:c>
      <x:c r="BN422" s="68" t="n">
        <x:f>=BM422/BK422</x:f>
      </x:c>
      <x:c r="BO422" s="68" t="n">
        <x:v>0.2932330827067669172932330827</x:v>
      </x:c>
      <x:c r="BP422" s="31" t="n">
        <x:v>12688.20</x:v>
      </x:c>
      <x:c r="BQ422" s="42" t="n">
        <x:v>564</x:v>
      </x:c>
      <x:c r="BR422" s="31" t="n">
        <x:v>8967.60</x:v>
      </x:c>
      <x:c r="BT422" s="31" t="n">
        <x:v>12901.461853321386069340016702</x:v>
      </x:c>
      <x:c r="BU422" s="31" t="n">
        <x:v>-14258.8236</x:v>
      </x:c>
      <x:c r="BV422" s="31" t="n">
        <x:f>=BT422+BU422</x:f>
      </x:c>
      <x:c r="BW422" s="68" t="n">
        <x:f>=BV422/BT422</x:f>
      </x:c>
      <x:c r="BY422" s="68" t="n">
        <x:f>=BO422</x:f>
      </x:c>
      <x:c r="BZ422" s="68" t="n">
        <x:f>=BF422</x:f>
      </x:c>
      <x:c r="CA422" s="68" t="n">
        <x:f>=BG422</x:f>
      </x:c>
      <x:c r="CB422" s="68" t="n">
        <x:f>=1 - BY422</x:f>
      </x:c>
      <x:c r="CD422" s="68" t="n">
        <x:f>=CA422/(1-BZ422)</x:f>
      </x:c>
    </x:row>
    <x:row r="423">
      <x:c r="A423" s="32" t="s">
        <x:v>729</x:v>
      </x:c>
      <x:c r="B423" t="s"/>
      <x:c r="C423" t="s">
        <x:v>730</x:v>
      </x:c>
      <x:c r="D423" t="s">
        <x:v>173</x:v>
      </x:c>
      <x:c r="E423" t="s">
        <x:v>109</x:v>
      </x:c>
      <x:c r="F423" t="n">
        <x:v>789</x:v>
      </x:c>
      <x:c r="G423" s="33" t="n">
        <x:v>0.0646387832699619771863117871</x:v>
      </x:c>
      <x:c r="H423" s="33" t="n">
        <x:v>0.0785804816223067173637515843</x:v>
      </x:c>
      <x:c r="I423" s="33" t="n">
        <x:v>0.079847908745247148288973384</x:v>
      </x:c>
      <x:c r="J423" s="33" t="n">
        <x:v>0.079847908745247148288973384</x:v>
      </x:c>
      <x:c r="K423" s="33" t="n">
        <x:v>0.0811153358681875792141951838</x:v>
      </x:c>
      <x:c r="L423" s="33" t="n">
        <x:v>0.0811153358681875792141951838</x:v>
      </x:c>
      <x:c r="M423" s="33" t="n">
        <x:v>0.0975918884664131812420785805</x:v>
      </x:c>
      <x:c r="N423" s="33" t="n">
        <x:v>0.1166032953105196451204055767</x:v>
      </x:c>
      <x:c r="O423" s="33" t="n">
        <x:v>0.1204055766793409378960709759</x:v>
      </x:c>
      <x:c r="P423" s="33" t="n">
        <x:v>0.1292775665399239543726235741</x:v>
      </x:c>
      <x:c r="Q423" s="33" t="n">
        <x:v>0.1432192648922686945500633714</x:v>
      </x:c>
      <x:c r="R423" s="33" t="n">
        <x:v>0.1470215462610899873257287706</x:v>
      </x:c>
      <x:c r="S423" s="33" t="n">
        <x:v>0.1508238276299112801013941698</x:v>
      </x:c>
      <x:c r="T423" s="33" t="n">
        <x:v>0.1634980988593155893536121673</x:v>
      </x:c>
      <x:c r="U423" s="33" t="n">
        <x:v>0.1837769328263624841571609632</x:v>
      </x:c>
      <x:c r="V423" s="33" t="n">
        <x:v>0.1837769328263624841571609632</x:v>
      </x:c>
      <x:c r="W423" s="33" t="n">
        <x:v>0.2015209125475285171102661597</x:v>
      </x:c>
      <x:c r="X423" s="33" t="n">
        <x:v>0.2217997465145754119138149556</x:v>
      </x:c>
      <x:c r="Y423" s="33" t="n">
        <x:v>0.2382762991128010139416983523</x:v>
      </x:c>
      <x:c r="Z423" s="33" t="n">
        <x:v>0.2509505703422053231939163498</x:v>
      </x:c>
      <x:c r="AA423" s="33" t="n">
        <x:v>0.2674271229404309252217997465</x:v>
      </x:c>
      <x:c r="BC423" s="34" t="s"/>
      <x:c r="BD423" s="11" t="s">
        <x:v>110</x:v>
      </x:c>
      <x:c r="BE423" s="12" t="n">
        <x:f>=BO423</x:f>
      </x:c>
      <x:c r="BF423" s="12" t="n">
        <x:v>0.2686945500633713561470215463</x:v>
      </x:c>
      <x:c r="BG423" s="12" t="n">
        <x:v>-0.0012674271229404309252217997</x:v>
      </x:c>
      <x:c r="BH423" s="12" t="n">
        <x:v>0.7325728770595690747782002535</x:v>
      </x:c>
      <x:c r="BI423" s="12" t="n">
        <x:f>=BN423</x:f>
      </x:c>
      <x:c r="BJ423" s="13" t="n">
        <x:v>0.015209125475285171102661597</x:v>
      </x:c>
      <x:c r="BK423" s="31" t="n">
        <x:v>5901.20</x:v>
      </x:c>
      <x:c r="BL423" s="31" t="n">
        <x:v>-14098.0098</x:v>
      </x:c>
      <x:c r="BM423" s="31" t="n">
        <x:f>=BK423+BL423</x:f>
      </x:c>
      <x:c r="BN423" s="68" t="n">
        <x:f>=BM423/BK423</x:f>
      </x:c>
      <x:c r="BO423" s="68" t="n">
        <x:v>0.2674271229404309252217997465</x:v>
      </x:c>
      <x:c r="BP423" s="31" t="n">
        <x:v>12545.10</x:v>
      </x:c>
      <x:c r="BQ423" s="42" t="n">
        <x:v>578</x:v>
      </x:c>
      <x:c r="BR423" s="31" t="n">
        <x:v>9190.20</x:v>
      </x:c>
      <x:c r="BT423" s="31" t="n">
        <x:v>12357.952163022438371356147026</x:v>
      </x:c>
      <x:c r="BU423" s="31" t="n">
        <x:v>-14098.0098</x:v>
      </x:c>
      <x:c r="BV423" s="31" t="n">
        <x:f>=BT423+BU423</x:f>
      </x:c>
      <x:c r="BW423" s="68" t="n">
        <x:f>=BV423/BT423</x:f>
      </x:c>
      <x:c r="BY423" s="68" t="n">
        <x:f>=BO423</x:f>
      </x:c>
      <x:c r="BZ423" s="68" t="n">
        <x:f>=BF423</x:f>
      </x:c>
      <x:c r="CA423" s="68" t="n">
        <x:f>=BG423</x:f>
      </x:c>
      <x:c r="CB423" s="68" t="n">
        <x:f>=1 - BY423</x:f>
      </x:c>
      <x:c r="CD423" s="68" t="n">
        <x:f>=CA423/(1-BZ423)</x:f>
      </x:c>
    </x:row>
    <x:row r="424">
      <x:c r="A424" s="32" t="s">
        <x:v>731</x:v>
      </x:c>
      <x:c r="B424" t="s">
        <x:v>94</x:v>
      </x:c>
      <x:c r="C424" s="9" t="s">
        <x:v>732</x:v>
      </x:c>
      <x:c r="D424" t="s">
        <x:v>108</x:v>
      </x:c>
      <x:c r="E424" t="s">
        <x:v>109</x:v>
      </x:c>
      <x:c r="F424" t="n">
        <x:v>500</x:v>
      </x:c>
      <x:c r="G424" s="33" t="n">
        <x:v>0.042</x:v>
      </x:c>
      <x:c r="H424" s="33" t="n">
        <x:v>0.054</x:v>
      </x:c>
      <x:c r="I424" s="33" t="n">
        <x:v>0.058</x:v>
      </x:c>
      <x:c r="J424" s="33" t="n">
        <x:v>0.058</x:v>
      </x:c>
      <x:c r="K424" s="33" t="n">
        <x:v>0.074</x:v>
      </x:c>
      <x:c r="L424" s="33" t="n">
        <x:v>0.1</x:v>
      </x:c>
      <x:c r="M424" s="33" t="n">
        <x:v>0.156</x:v>
      </x:c>
      <x:c r="N424" s="33" t="n">
        <x:v>0.192</x:v>
      </x:c>
      <x:c r="O424" s="33" t="n">
        <x:v>0.226</x:v>
      </x:c>
      <x:c r="P424" s="33" t="n">
        <x:v>0.268</x:v>
      </x:c>
      <x:c r="Q424" s="33" t="n">
        <x:v>0.28</x:v>
      </x:c>
      <x:c r="R424" s="33" t="n">
        <x:v>0.314</x:v>
      </x:c>
      <x:c r="S424" s="33" t="n">
        <x:v>0.39</x:v>
      </x:c>
      <x:c r="T424" s="33" t="n">
        <x:v>0.408</x:v>
      </x:c>
      <x:c r="U424" s="33" t="n">
        <x:v>0.428</x:v>
      </x:c>
      <x:c r="V424" s="33" t="n">
        <x:v>0.432</x:v>
      </x:c>
      <x:c r="W424" s="33" t="n">
        <x:v>0.406</x:v>
      </x:c>
      <x:c r="X424" s="33" t="n">
        <x:v>0.414</x:v>
      </x:c>
      <x:c r="Y424" s="33" t="n">
        <x:v>0.392</x:v>
      </x:c>
      <x:c r="Z424" s="33" t="n">
        <x:v>0.378</x:v>
      </x:c>
      <x:c r="AA424" s="33" t="n">
        <x:v>0.408</x:v>
      </x:c>
      <x:c r="BC424" s="34" t="s"/>
      <x:c r="BD424" s="11" t="s">
        <x:v>110</x:v>
      </x:c>
      <x:c r="BE424" s="12" t="n">
        <x:f>=BO424</x:f>
      </x:c>
      <x:c r="BF424" s="12" t="n">
        <x:v>0.42</x:v>
      </x:c>
      <x:c r="BG424" s="12" t="n">
        <x:v>-0.012</x:v>
      </x:c>
      <x:c r="BH424" s="12" t="n">
        <x:v>0.592</x:v>
      </x:c>
      <x:c r="BI424" s="12" t="n">
        <x:f>=BN424</x:f>
      </x:c>
      <x:c r="BJ424" s="13" t="n">
        <x:v>0</x:v>
      </x:c>
      <x:c r="BK424" s="31" t="n">
        <x:v>3984.85</x:v>
      </x:c>
      <x:c r="BL424" s="31" t="n">
        <x:v>-5458.14951555492703670000</x:v>
      </x:c>
      <x:c r="BM424" s="31" t="n">
        <x:f>=BK424+BL424</x:f>
      </x:c>
      <x:c r="BN424" s="68" t="n">
        <x:f>=BM424/BK424</x:f>
      </x:c>
      <x:c r="BO424" s="68" t="n">
        <x:v>0.408</x:v>
      </x:c>
      <x:c r="BP424" s="31" t="n">
        <x:v>5579.587129438069110000</x:v>
      </x:c>
      <x:c r="BQ424" s="42" t="n">
        <x:v>296</x:v>
      </x:c>
      <x:c r="BR424" s="31" t="n">
        <x:v>3303.115580627336913120</x:v>
      </x:c>
      <x:c r="BT424" s="31" t="n">
        <x:v>5755.3577655131250000000000000</x:v>
      </x:c>
      <x:c r="BU424" s="31" t="n">
        <x:v>-5458.14951555492703670000</x:v>
      </x:c>
      <x:c r="BV424" s="31" t="n">
        <x:f>=BT424+BU424</x:f>
      </x:c>
      <x:c r="BW424" s="68" t="n">
        <x:f>=BV424/BT424</x:f>
      </x:c>
      <x:c r="BY424" s="68" t="n">
        <x:f>=BO424</x:f>
      </x:c>
      <x:c r="BZ424" s="68" t="n">
        <x:f>=BF424</x:f>
      </x:c>
      <x:c r="CA424" s="68" t="n">
        <x:f>=BG424</x:f>
      </x:c>
      <x:c r="CB424" s="68" t="n">
        <x:f>=1 - BY424</x:f>
      </x:c>
      <x:c r="CD424" s="68" t="n">
        <x:f>=CA424/(1-BZ424)</x:f>
      </x:c>
    </x:row>
    <x:row r="425">
      <x:c r="A425" s="32" t="s"/>
      <x:c r="BC425" s="34" t="s"/>
      <x:c r="BD425" s="11" t="s"/>
      <x:c r="BJ425" s="13" t="s"/>
    </x:row>
    <x:row r="426">
      <x:c r="A426" s="17" t="s">
        <x:v>733</x:v>
      </x:c>
      <x:c r="BC426" s="34" t="s"/>
      <x:c r="BD426" s="11" t="s"/>
      <x:c r="BJ426" s="13" t="s"/>
    </x:row>
    <x:row r="427">
      <x:c r="A427" s="32" t="s">
        <x:v>734</x:v>
      </x:c>
      <x:c r="B427" t="s"/>
      <x:c r="C427" t="s">
        <x:v>735</x:v>
      </x:c>
      <x:c r="D427" t="s">
        <x:v>125</x:v>
      </x:c>
      <x:c r="E427" t="s">
        <x:v>109</x:v>
      </x:c>
      <x:c r="F427" t="n">
        <x:v>1006</x:v>
      </x:c>
      <x:c r="G427" s="33" t="n">
        <x:v>0.0089463220675944333996023857</x:v>
      </x:c>
      <x:c r="H427" s="33" t="n">
        <x:v>0.0308151093439363817097415507</x:v>
      </x:c>
      <x:c r="I427" s="33" t="n">
        <x:v>0.0566600397614314115308151093</x:v>
      </x:c>
      <x:c r="J427" s="33" t="n">
        <x:v>0.0576540755467196819085487078</x:v>
      </x:c>
      <x:c r="BC427" s="34" t="s"/>
      <x:c r="BD427" s="11" t="s">
        <x:v>505</x:v>
      </x:c>
      <x:c r="BE427" s="12" t="n">
        <x:f>=BO427</x:f>
      </x:c>
      <x:c r="BF427" s="12" t="n">
        <x:v>0.0596421471172962226640159046</x:v>
      </x:c>
      <x:c r="BG427" s="12" t="n">
        <x:v>-0.0019880715705765407554671968</x:v>
      </x:c>
      <x:c r="BH427" s="12" t="n">
        <x:v>0.9423459244532803180914512922</x:v>
      </x:c>
      <x:c r="BI427" s="12" t="n">
        <x:f>=BN427</x:f>
      </x:c>
      <x:c r="BJ427" s="13" t="n">
        <x:v>0.05</x:v>
      </x:c>
      <x:c r="BK427" s="31" t="n">
        <x:v>1385.81</x:v>
      </x:c>
      <x:c r="BL427" s="31" t="n">
        <x:v>-12084.8768</x:v>
      </x:c>
      <x:c r="BM427" s="31" t="n">
        <x:f>=BK427+BL427</x:f>
      </x:c>
      <x:c r="BN427" s="68" t="n">
        <x:f>=BM427/BK427</x:f>
      </x:c>
      <x:c r="BO427" s="68" t="n">
        <x:v>0.0576540755467196819085487078</x:v>
      </x:c>
      <x:c r="BP427" s="31" t="n">
        <x:v>10522.76</x:v>
      </x:c>
      <x:c r="BQ427" s="42" t="n">
        <x:v>948</x:v>
      </x:c>
      <x:c r="BR427" s="31" t="n">
        <x:v>9916.08</x:v>
      </x:c>
      <x:c r="BT427" s="31" t="n">
        <x:v>11606.825425290254796222664016</x:v>
      </x:c>
      <x:c r="BU427" s="31" t="n">
        <x:v>-12084.8768</x:v>
      </x:c>
      <x:c r="BV427" s="31" t="n">
        <x:f>=BT427+BU427</x:f>
      </x:c>
      <x:c r="BW427" s="68" t="n">
        <x:f>=BV427/BT427</x:f>
      </x:c>
      <x:c r="BY427" s="68" t="n">
        <x:f>=BO427</x:f>
      </x:c>
      <x:c r="BZ427" s="68" t="n">
        <x:f>=BF427</x:f>
      </x:c>
      <x:c r="CA427" s="68" t="n">
        <x:f>=BG427</x:f>
      </x:c>
      <x:c r="CB427" s="68" t="n">
        <x:f>=1 - BY427</x:f>
      </x:c>
      <x:c r="CD427" s="68" t="n">
        <x:f>=CA427/(1-BZ427)</x:f>
      </x:c>
    </x:row>
    <x:row r="428">
      <x:c r="A428" s="32" t="s">
        <x:v>736</x:v>
      </x:c>
      <x:c r="B428" t="s"/>
      <x:c r="C428" t="s">
        <x:v>737</x:v>
      </x:c>
      <x:c r="D428" t="s">
        <x:v>125</x:v>
      </x:c>
      <x:c r="E428" t="s">
        <x:v>109</x:v>
      </x:c>
      <x:c r="F428" t="n">
        <x:v>932</x:v>
      </x:c>
      <x:c r="G428" s="33" t="n">
        <x:v>0.0085836909871244635193133047</x:v>
      </x:c>
      <x:c r="H428" s="33" t="n">
        <x:v>0.0182403433476394849785407725</x:v>
      </x:c>
      <x:c r="I428" s="33" t="n">
        <x:v>0.023605150214592274678111588</x:v>
      </x:c>
      <x:c r="BC428" s="34" t="s"/>
      <x:c r="BD428" s="11" t="s">
        <x:v>738</x:v>
      </x:c>
      <x:c r="BE428" s="12" t="n">
        <x:f>=BO428</x:f>
      </x:c>
      <x:c r="BF428" s="12" t="n">
        <x:v>0.0246781115879828326180257511</x:v>
      </x:c>
      <x:c r="BG428" s="12" t="n">
        <x:v>-0.0010729613733905579399141631</x:v>
      </x:c>
      <x:c r="BH428" s="12" t="n">
        <x:v>0.976394849785407725321888412</x:v>
      </x:c>
      <x:c r="BI428" s="12" t="n">
        <x:f>=BN428</x:f>
      </x:c>
      <x:c r="BJ428" s="13" t="n">
        <x:v>0.05</x:v>
      </x:c>
      <x:c r="BK428" s="31" t="n">
        <x:v>540.04</x:v>
      </x:c>
      <x:c r="BL428" s="31" t="n">
        <x:v>-11195.9296</x:v>
      </x:c>
      <x:c r="BM428" s="31" t="n">
        <x:f>=BK428+BL428</x:f>
      </x:c>
      <x:c r="BN428" s="68" t="n">
        <x:f>=BM428/BK428</x:f>
      </x:c>
      <x:c r="BO428" s="68" t="n">
        <x:v>0.023605150214592274678111588</x:v>
      </x:c>
      <x:c r="BP428" s="31" t="n">
        <x:v>9748.72</x:v>
      </x:c>
      <x:c r="BQ428" s="42" t="n">
        <x:v>910</x:v>
      </x:c>
      <x:c r="BR428" s="31" t="n">
        <x:v>9518.60</x:v>
      </x:c>
      <x:c r="BT428" s="31" t="n">
        <x:v>10197.612126743487982832618025</x:v>
      </x:c>
      <x:c r="BU428" s="31" t="n">
        <x:v>-11195.9296</x:v>
      </x:c>
      <x:c r="BV428" s="31" t="n">
        <x:f>=BT428+BU428</x:f>
      </x:c>
      <x:c r="BW428" s="68" t="n">
        <x:f>=BV428/BT428</x:f>
      </x:c>
      <x:c r="BY428" s="68" t="n">
        <x:f>=BO428</x:f>
      </x:c>
      <x:c r="BZ428" s="68" t="n">
        <x:f>=BF428</x:f>
      </x:c>
      <x:c r="CA428" s="68" t="n">
        <x:f>=BG428</x:f>
      </x:c>
      <x:c r="CB428" s="68" t="n">
        <x:f>=1 - BY428</x:f>
      </x:c>
      <x:c r="CD428" s="68" t="n">
        <x:f>=CA428/(1-BZ428)</x:f>
      </x:c>
    </x:row>
    <x:row r="429">
      <x:c r="A429" s="35" t="s"/>
      <x:c r="B429" s="6" t="s"/>
      <x:c r="C429" s="6" t="s"/>
      <x:c r="D429" s="6" t="s"/>
      <x:c r="E429" s="6" t="s"/>
      <x:c r="F429" s="6" t="s"/>
      <x:c r="G429" s="6" t="s"/>
      <x:c r="H429" s="6" t="s"/>
      <x:c r="I429" s="6" t="s"/>
      <x:c r="J429" s="6" t="s"/>
      <x:c r="K429" s="6" t="s"/>
      <x:c r="L429" s="6" t="s"/>
      <x:c r="M429" s="6" t="s"/>
      <x:c r="N429" s="6" t="s"/>
      <x:c r="O429" s="6" t="s"/>
      <x:c r="P429" s="6" t="s"/>
      <x:c r="Q429" s="6" t="s"/>
      <x:c r="R429" s="6" t="s"/>
      <x:c r="S429" s="6" t="s"/>
      <x:c r="T429" s="6" t="s"/>
      <x:c r="U429" s="6" t="s"/>
      <x:c r="V429" s="6" t="s"/>
      <x:c r="W429" s="6" t="s"/>
      <x:c r="X429" s="6" t="s"/>
      <x:c r="Y429" s="6" t="s"/>
      <x:c r="Z429" s="6" t="s"/>
      <x:c r="AA429" s="6" t="s"/>
      <x:c r="AB429" s="6" t="s"/>
      <x:c r="AC429" s="6" t="s"/>
      <x:c r="AD429" s="6" t="s"/>
      <x:c r="AE429" s="6" t="s"/>
      <x:c r="AF429" s="6" t="s"/>
      <x:c r="AG429" s="6" t="s"/>
      <x:c r="AH429" s="6" t="s"/>
      <x:c r="AI429" s="6" t="s"/>
      <x:c r="AJ429" s="6" t="s"/>
      <x:c r="AK429" s="6" t="s"/>
      <x:c r="AL429" s="6" t="s"/>
      <x:c r="AM429" s="6" t="s"/>
      <x:c r="AN429" s="6" t="s"/>
      <x:c r="AO429" s="6" t="s"/>
      <x:c r="AP429" s="6" t="s"/>
      <x:c r="AQ429" s="6" t="s"/>
      <x:c r="AR429" s="6" t="s"/>
      <x:c r="AS429" s="6" t="s"/>
      <x:c r="AT429" s="6" t="s"/>
      <x:c r="AU429" s="6" t="s"/>
      <x:c r="AV429" s="6" t="s"/>
      <x:c r="AW429" s="6" t="s"/>
      <x:c r="AX429" s="6" t="s"/>
      <x:c r="AY429" s="6" t="s"/>
      <x:c r="AZ429" s="6" t="s"/>
      <x:c r="BA429" s="6" t="s"/>
      <x:c r="BB429" s="6" t="s"/>
      <x:c r="BC429" s="8" t="s"/>
      <x:c r="BD429" s="14" t="s">
        <x:v>127</x:v>
      </x:c>
      <x:c r="BE429" s="15" t="s"/>
      <x:c r="BF429" s="15" t="s"/>
      <x:c r="BG429" s="15" t="s"/>
      <x:c r="BH429" s="15" t="s"/>
      <x:c r="BI429" s="38">
        <x:f>=BM430/BK430</x:f>
      </x:c>
      <x:c r="BJ429"/>
    </x:row>
  </x:sheetData>
  <x:pageMargins left="0.7" right="0.7" top="0.75" bottom="0.75" header="0.3" footer="0.3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4"/>
  <sheetViews>
    <sheetView tabSelected="1" topLeftCell="D1" workbookViewId="0">
      <selection activeCell="AE2" sqref="AE2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2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7">
        <v>33</v>
      </c>
      <c r="AI1" s="40">
        <v>34</v>
      </c>
      <c r="AJ1" s="40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</row>
    <row r="2" spans="1:42" ht="31.5" customHeight="1" thickBot="1" x14ac:dyDescent="0.35">
      <c r="A2" s="10" t="s">
        <v>5</v>
      </c>
      <c r="B2" s="5"/>
      <c r="C2" s="7"/>
      <c r="D2" s="32" t="s">
        <v>7</v>
      </c>
      <c r="E2" s="33">
        <v>1.23</v>
      </c>
      <c r="F2" s="34"/>
      <c r="G2" s="35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1">
        <v>30</v>
      </c>
      <c r="R2" s="27">
        <v>0.1</v>
      </c>
      <c r="S2" s="25">
        <v>3</v>
      </c>
      <c r="T2" s="26">
        <v>0.28000000000000003</v>
      </c>
      <c r="U2" s="19">
        <v>-100</v>
      </c>
      <c r="V2" s="20">
        <v>0.3</v>
      </c>
      <c r="W2" s="21">
        <v>-50</v>
      </c>
      <c r="X2" s="22">
        <v>-0.1</v>
      </c>
      <c r="Y2" s="23">
        <v>0.3</v>
      </c>
      <c r="Z2" s="24">
        <v>0.3</v>
      </c>
      <c r="AA2" s="9" t="s">
        <v>9</v>
      </c>
      <c r="AB2" s="29">
        <v>30</v>
      </c>
      <c r="AC2" s="18">
        <v>3</v>
      </c>
      <c r="AD2" s="28">
        <v>0.12</v>
      </c>
      <c r="AE2" s="68">
        <v>0.12</v>
      </c>
      <c r="AF2" s="30" t="s">
        <v>5</v>
      </c>
      <c r="AG2" s="36" t="s">
        <v>10</v>
      </c>
      <c r="AH2" s="38">
        <v>10</v>
      </c>
      <c r="AI2" s="41" t="s">
        <v>8</v>
      </c>
      <c r="AJ2" s="42">
        <v>30</v>
      </c>
      <c r="AK2" s="44">
        <v>3</v>
      </c>
      <c r="AL2" s="43">
        <v>3</v>
      </c>
      <c r="AM2" s="45"/>
      <c r="AN2" s="46"/>
      <c r="AO2" s="47"/>
      <c r="AP2" s="48"/>
    </row>
    <row r="3" spans="1:42" ht="15.75" thickBot="1" x14ac:dyDescent="0.3"/>
    <row r="4" spans="1:42" ht="15.75" thickBot="1" x14ac:dyDescent="0.3">
      <c r="A4" s="49" t="s">
        <v>11</v>
      </c>
      <c r="B4" s="50"/>
      <c r="C4" s="51"/>
      <c r="D4" s="52"/>
      <c r="E4" s="52"/>
      <c r="F4" s="53"/>
      <c r="G4" s="54"/>
      <c r="H4" s="53"/>
    </row>
    <row r="5" spans="1:42" ht="30.75" thickBot="1" x14ac:dyDescent="0.3">
      <c r="A5" s="55" t="s">
        <v>12</v>
      </c>
      <c r="B5" s="56" t="s">
        <v>13</v>
      </c>
      <c r="C5" s="56" t="s">
        <v>14</v>
      </c>
      <c r="D5" s="57" t="s">
        <v>15</v>
      </c>
      <c r="E5" s="57" t="s">
        <v>28</v>
      </c>
      <c r="F5" s="58" t="s">
        <v>16</v>
      </c>
      <c r="G5" s="55" t="s">
        <v>17</v>
      </c>
      <c r="H5" s="58" t="s">
        <v>18</v>
      </c>
    </row>
    <row r="6" spans="1:42" ht="15.75" thickBot="1" x14ac:dyDescent="0.3"/>
    <row r="7" spans="1:42" ht="15.75" thickBot="1" x14ac:dyDescent="0.3">
      <c r="A7" s="59" t="s">
        <v>27</v>
      </c>
      <c r="B7" s="60"/>
      <c r="C7" s="60"/>
      <c r="D7" s="60"/>
      <c r="E7" s="60"/>
      <c r="F7" s="61"/>
      <c r="G7" s="61"/>
      <c r="H7" s="61"/>
      <c r="I7" s="61"/>
      <c r="J7" s="60"/>
      <c r="K7" s="62"/>
    </row>
    <row r="8" spans="1:42" ht="45.75" thickBot="1" x14ac:dyDescent="0.3">
      <c r="A8" s="63" t="s">
        <v>19</v>
      </c>
      <c r="B8" s="64" t="s">
        <v>20</v>
      </c>
      <c r="C8" s="64" t="s">
        <v>21</v>
      </c>
      <c r="D8" s="64" t="s">
        <v>15</v>
      </c>
      <c r="E8" s="64"/>
      <c r="F8" s="65" t="s">
        <v>22</v>
      </c>
      <c r="G8" s="65" t="s">
        <v>23</v>
      </c>
      <c r="H8" s="65" t="s">
        <v>26</v>
      </c>
      <c r="I8" s="65" t="s">
        <v>24</v>
      </c>
      <c r="J8" s="64"/>
      <c r="K8" s="66" t="s">
        <v>25</v>
      </c>
    </row>
    <row r="14" spans="1:42" x14ac:dyDescent="0.25">
      <c r="N14" s="67"/>
    </row>
  </sheetData>
  <conditionalFormatting sqref="AM2">
    <cfRule type="cellIs" dxfId="2" priority="5" operator="equal">
      <formula>0</formula>
    </cfRule>
  </conditionalFormatting>
  <conditionalFormatting sqref="AN2">
    <cfRule type="cellIs" dxfId="1" priority="4" operator="equal">
      <formula>0</formula>
    </cfRule>
  </conditionalFormatting>
  <conditionalFormatting sqref="AO2">
    <cfRule type="cellIs" dxfId="0" priority="3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2020-08-09T08:33:15Z</dcterms:modified>
</cp:coreProperties>
</file>