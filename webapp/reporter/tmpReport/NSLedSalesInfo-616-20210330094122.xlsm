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405" yWindow="495" windowWidth="28830" windowHeight="5880" firstSheet="3" activeTab="11"/>
  </bookViews>
  <sheets>
    <sheet name="SUMM" sheetId="12" r:id="rId1"/>
    <sheet name="HK Sales Summ" sheetId="8" r:id="rId2"/>
    <sheet name="CA Sales Summ" sheetId="7" r:id="rId3"/>
    <sheet name="SH Sales Summ" sheetId="3" r:id="rId4"/>
    <sheet name="VN Sales Summ" sheetId="11" r:id="rId5"/>
    <sheet name="BD Sales Summ" sheetId="5" r:id="rId6"/>
    <sheet name="TR Sales Summ" sheetId="9" r:id="rId7"/>
    <sheet name="LK Sales Summ" sheetId="6" r:id="rId8"/>
    <sheet name="IN Sales Summ" sheetId="4" r:id="rId9"/>
    <sheet name="ND Sales Summ" sheetId="2" r:id="rId10"/>
    <sheet name="SUMM-Obsolete" sheetId="1" r:id="rId11"/>
    <sheet name="Template" sheetId="10" r:id="rId12"/>
  </sheets>
  <calcPr calcId="145621"/>
</workbook>
</file>

<file path=xl/calcChain.xml><?xml version="1.0" encoding="utf-8"?>
<calcChain xmlns="http://schemas.openxmlformats.org/spreadsheetml/2006/main">
  <c r="H6" i="12" l="1"/>
  <c r="N12" i="12" l="1"/>
  <c r="O12" i="12" s="1"/>
  <c r="M6" i="12"/>
  <c r="L6" i="12"/>
  <c r="K6" i="12"/>
  <c r="J6" i="12"/>
  <c r="I6" i="12"/>
  <c r="G6" i="12"/>
  <c r="F6" i="12"/>
  <c r="E6" i="12"/>
  <c r="N5" i="12"/>
  <c r="O5" i="12" s="1"/>
  <c r="N4" i="12"/>
  <c r="O4" i="12" s="1"/>
  <c r="N6" i="12" l="1"/>
  <c r="O6" i="12" s="1"/>
  <c r="CG2" i="11"/>
  <c r="CG2" i="9" l="1"/>
  <c r="CG2" i="8"/>
  <c r="CG2" i="7"/>
  <c r="CG2" i="6"/>
  <c r="CG2" i="5"/>
  <c r="CG2" i="4"/>
  <c r="CG2" i="3"/>
  <c r="CG2" i="2"/>
  <c r="K24" i="1" l="1"/>
  <c r="L24" i="1" s="1"/>
  <c r="I18" i="1"/>
  <c r="I19" i="1"/>
  <c r="I17" i="1"/>
  <c r="H18" i="1"/>
  <c r="H19" i="1"/>
  <c r="H17" i="1"/>
  <c r="G18" i="1"/>
  <c r="G19" i="1"/>
  <c r="G17" i="1"/>
  <c r="F18" i="1"/>
  <c r="F19" i="1"/>
  <c r="F17" i="1"/>
  <c r="E18" i="1"/>
  <c r="E19" i="1"/>
  <c r="E17" i="1"/>
  <c r="D18" i="1"/>
  <c r="D19" i="1"/>
  <c r="D17" i="1"/>
  <c r="C19" i="1"/>
  <c r="C18" i="1"/>
  <c r="C17" i="1"/>
  <c r="B18" i="1"/>
  <c r="B19" i="1"/>
  <c r="B17" i="1"/>
  <c r="D8" i="1"/>
  <c r="E8" i="1"/>
  <c r="F8" i="1"/>
  <c r="G8" i="1"/>
  <c r="H8" i="1"/>
  <c r="I8" i="1"/>
  <c r="D9" i="1"/>
  <c r="E9" i="1"/>
  <c r="F9" i="1"/>
  <c r="G9" i="1"/>
  <c r="H9" i="1"/>
  <c r="I9" i="1"/>
  <c r="C9" i="1"/>
  <c r="C8" i="1"/>
  <c r="B9" i="1"/>
  <c r="B8" i="1"/>
  <c r="B4" i="1"/>
  <c r="B5" i="1"/>
  <c r="I5" i="1"/>
  <c r="I4" i="1"/>
  <c r="H5" i="1"/>
  <c r="H4" i="1"/>
  <c r="G5" i="1"/>
  <c r="G4" i="1"/>
  <c r="F5" i="1"/>
  <c r="F4" i="1"/>
  <c r="E5" i="1"/>
  <c r="E4" i="1"/>
  <c r="D5" i="1"/>
  <c r="D4" i="1"/>
  <c r="C5" i="1"/>
  <c r="C4" i="1"/>
  <c r="H20" i="1" l="1"/>
  <c r="D6" i="1"/>
  <c r="I20" i="1"/>
  <c r="G20" i="1"/>
  <c r="F10" i="1"/>
  <c r="F11" i="1" s="1"/>
  <c r="E20" i="1"/>
  <c r="D10" i="1"/>
  <c r="D11" i="1" s="1"/>
  <c r="B20" i="1"/>
  <c r="H6" i="1"/>
  <c r="C20" i="1"/>
  <c r="D20" i="1"/>
  <c r="E6" i="1"/>
  <c r="B10" i="1"/>
  <c r="B11" i="1" s="1"/>
  <c r="G10" i="1"/>
  <c r="G11" i="1" s="1"/>
  <c r="F6" i="1"/>
  <c r="E10" i="1"/>
  <c r="E11" i="1" s="1"/>
  <c r="F20" i="1"/>
  <c r="K18" i="1"/>
  <c r="L18" i="1" s="1"/>
  <c r="K19" i="1"/>
  <c r="L19" i="1" s="1"/>
  <c r="K17" i="1"/>
  <c r="L17" i="1" s="1"/>
  <c r="G6" i="1"/>
  <c r="H10" i="1"/>
  <c r="H11" i="1" s="1"/>
  <c r="I10" i="1"/>
  <c r="I11" i="1" s="1"/>
  <c r="I6" i="1"/>
  <c r="K4" i="1"/>
  <c r="L4" i="1" s="1"/>
  <c r="K9" i="1"/>
  <c r="L9" i="1" s="1"/>
  <c r="C10" i="1"/>
  <c r="C11" i="1" s="1"/>
  <c r="K8" i="1"/>
  <c r="L8" i="1" s="1"/>
  <c r="B6" i="1"/>
  <c r="K5" i="1"/>
  <c r="C6" i="1"/>
  <c r="L20" i="1" l="1"/>
  <c r="K20" i="1"/>
  <c r="K10" i="1"/>
  <c r="L10" i="1" s="1"/>
  <c r="L11" i="1" s="1"/>
  <c r="K6" i="1"/>
  <c r="L6" i="1" s="1"/>
  <c r="L5" i="1"/>
  <c r="K11" i="1" l="1"/>
</calcChain>
</file>

<file path=xl/comments1.xml><?xml version="1.0" encoding="utf-8"?>
<comments xmlns="http://schemas.openxmlformats.org/spreadsheetml/2006/main">
  <authors>
    <author>Michael Lau (IT)</author>
  </authors>
  <commentList>
    <comment ref="A9" authorId="0">
      <text>
        <r>
          <rPr>
            <b/>
            <sz val="9"/>
            <color indexed="81"/>
            <rFont val="Tahoma"/>
            <family val="2"/>
          </rPr>
          <t>Michael Lau (IT):</t>
        </r>
        <r>
          <rPr>
            <sz val="9"/>
            <color indexed="81"/>
            <rFont val="Tahoma"/>
            <family val="2"/>
          </rPr>
          <t xml:space="preserve">
Settlement Discount / Lab Test Cost for LK Office</t>
        </r>
      </text>
    </comment>
    <comment ref="A10" authorId="0">
      <text>
        <r>
          <rPr>
            <b/>
            <sz val="9"/>
            <color indexed="81"/>
            <rFont val="Tahoma"/>
            <family val="2"/>
          </rPr>
          <t>Michael Lau (IT):</t>
        </r>
        <r>
          <rPr>
            <sz val="9"/>
            <color indexed="81"/>
            <rFont val="Tahoma"/>
            <family val="2"/>
          </rPr>
          <t xml:space="preserve">
Settlement Discount / Lab Test Cost for LK Office</t>
        </r>
      </text>
    </comment>
  </commentList>
</comments>
</file>

<file path=xl/sharedStrings.xml><?xml version="1.0" encoding="utf-8"?>
<sst xmlns="http://schemas.openxmlformats.org/spreadsheetml/2006/main" count="343" uniqueCount="144">
  <si>
    <t>Commission</t>
  </si>
  <si>
    <t>ND</t>
  </si>
  <si>
    <t>SH</t>
  </si>
  <si>
    <t>IN</t>
  </si>
  <si>
    <t>BD</t>
  </si>
  <si>
    <t>LK</t>
  </si>
  <si>
    <t>CA</t>
  </si>
  <si>
    <t>HK</t>
  </si>
  <si>
    <t>Total</t>
  </si>
  <si>
    <t>Total'K</t>
  </si>
  <si>
    <t>Commission to date</t>
  </si>
  <si>
    <t>Total Cost</t>
  </si>
  <si>
    <t>=SUMPRODUCT(--(RangeX=CondX),--(RangeY=CondY),RangeToSum)</t>
  </si>
  <si>
    <t>FCST</t>
  </si>
  <si>
    <t>Total Comm</t>
  </si>
  <si>
    <t>Total Profit</t>
  </si>
  <si>
    <t>Week 45 commission</t>
  </si>
  <si>
    <t>NS Led Contracts</t>
  </si>
  <si>
    <t>SALES INFORMATION</t>
  </si>
  <si>
    <t>PROFITABILITY</t>
  </si>
  <si>
    <t>Wk1</t>
  </si>
  <si>
    <t>Wk2</t>
  </si>
  <si>
    <t>Wk3</t>
  </si>
  <si>
    <t>Wk4</t>
  </si>
  <si>
    <t>Wk5</t>
  </si>
  <si>
    <t>P1</t>
  </si>
  <si>
    <t>Wk6</t>
  </si>
  <si>
    <t>Wk7</t>
  </si>
  <si>
    <t>Wk8</t>
  </si>
  <si>
    <t>Wk9</t>
  </si>
  <si>
    <t>P2</t>
  </si>
  <si>
    <t>Wk10</t>
  </si>
  <si>
    <t>Wk11</t>
  </si>
  <si>
    <t>Wk12</t>
  </si>
  <si>
    <t>Wk13</t>
  </si>
  <si>
    <t>P3</t>
  </si>
  <si>
    <t>Wk14</t>
  </si>
  <si>
    <t>Wk15</t>
  </si>
  <si>
    <t>Wk16</t>
  </si>
  <si>
    <t>Wk17</t>
  </si>
  <si>
    <t>Wk18</t>
  </si>
  <si>
    <t>P4</t>
  </si>
  <si>
    <t>Wk19</t>
  </si>
  <si>
    <t>Wk20</t>
  </si>
  <si>
    <t>Wk21</t>
  </si>
  <si>
    <t>Wk22</t>
  </si>
  <si>
    <t>P5</t>
  </si>
  <si>
    <t>Wk23</t>
  </si>
  <si>
    <t>Wk24</t>
  </si>
  <si>
    <t>Wk25</t>
  </si>
  <si>
    <t>Wk26</t>
  </si>
  <si>
    <t>P6</t>
  </si>
  <si>
    <t>Wk27</t>
  </si>
  <si>
    <t>Wk28</t>
  </si>
  <si>
    <t>Wk29</t>
  </si>
  <si>
    <t>Wk30</t>
  </si>
  <si>
    <t>Wk31</t>
  </si>
  <si>
    <t>P7</t>
  </si>
  <si>
    <t>Wk32</t>
  </si>
  <si>
    <t>Wk33</t>
  </si>
  <si>
    <t>Wk34</t>
  </si>
  <si>
    <t>Wk35</t>
  </si>
  <si>
    <t>P8</t>
  </si>
  <si>
    <t>Wk36</t>
  </si>
  <si>
    <t>Wk37</t>
  </si>
  <si>
    <t>Wk38</t>
  </si>
  <si>
    <t>Wk39</t>
  </si>
  <si>
    <t>P9</t>
  </si>
  <si>
    <t>Wk40</t>
  </si>
  <si>
    <t>Wk41</t>
  </si>
  <si>
    <t>Wk42</t>
  </si>
  <si>
    <t>Wk43</t>
  </si>
  <si>
    <t>Wk44</t>
  </si>
  <si>
    <t>P10</t>
  </si>
  <si>
    <t>Wk45</t>
  </si>
  <si>
    <t>Wk46</t>
  </si>
  <si>
    <t>Wk47</t>
  </si>
  <si>
    <t>Wk48</t>
  </si>
  <si>
    <t>P11</t>
  </si>
  <si>
    <t>Wk49</t>
  </si>
  <si>
    <t>Wk50</t>
  </si>
  <si>
    <t>Wk51</t>
  </si>
  <si>
    <t>Wk52</t>
  </si>
  <si>
    <t>P12</t>
  </si>
  <si>
    <t>Cum</t>
  </si>
  <si>
    <t>USD</t>
  </si>
  <si>
    <t>Office</t>
  </si>
  <si>
    <t>Description</t>
  </si>
  <si>
    <t>Item</t>
  </si>
  <si>
    <t>Profit/(loss) to date</t>
  </si>
  <si>
    <t>Del Qty</t>
  </si>
  <si>
    <t>Sell thru FP (est)</t>
  </si>
  <si>
    <t>RSV</t>
  </si>
  <si>
    <t>Total Commission (est)</t>
  </si>
  <si>
    <t>Total Profit/(Loss) (est)</t>
  </si>
  <si>
    <t>B/F</t>
  </si>
  <si>
    <t>Mwr</t>
  </si>
  <si>
    <t>FORECAST</t>
  </si>
  <si>
    <t>Wwr</t>
  </si>
  <si>
    <t>Cwr</t>
  </si>
  <si>
    <t>TR</t>
  </si>
  <si>
    <t>No. wks until next sale</t>
  </si>
  <si>
    <t>assumed FP sale thru pw</t>
  </si>
  <si>
    <t>assumed FP sale thru</t>
  </si>
  <si>
    <t>assumed MD sell thru</t>
  </si>
  <si>
    <t>Fcst portion FP Comm</t>
  </si>
  <si>
    <t>Fcst portion MD Comm</t>
  </si>
  <si>
    <t>Total estimate Comm</t>
  </si>
  <si>
    <t>Commission Summary</t>
  </si>
  <si>
    <t>TK</t>
  </si>
  <si>
    <t>Total USD</t>
  </si>
  <si>
    <t>Week</t>
  </si>
  <si>
    <t>VN</t>
  </si>
  <si>
    <t>Period</t>
  </si>
  <si>
    <t>Commission Life to Date</t>
  </si>
  <si>
    <t>Commission 2019 B/F</t>
  </si>
  <si>
    <t>Commission for 2020</t>
  </si>
  <si>
    <t>Commission for 2020 By Week</t>
  </si>
  <si>
    <t>Summary</t>
  </si>
  <si>
    <t>Wk53</t>
  </si>
  <si>
    <t>Supplier Cost</t>
  </si>
  <si>
    <t>Freight Cost</t>
  </si>
  <si>
    <t>sale [USD]</t>
  </si>
  <si>
    <t>Dept</t>
  </si>
  <si>
    <t>Settlement Discount</t>
  </si>
  <si>
    <t>Settlement Disc CPU</t>
  </si>
  <si>
    <t>Duty Cost</t>
  </si>
  <si>
    <t>CPU</t>
  </si>
  <si>
    <t>Expected Unsold</t>
  </si>
  <si>
    <t>NS Sales</t>
  </si>
  <si>
    <t>Sold Qty (Net)</t>
  </si>
  <si>
    <t>Cost</t>
  </si>
  <si>
    <t>Margin</t>
  </si>
  <si>
    <t>Margin %</t>
  </si>
  <si>
    <t>Settlement Disc</t>
  </si>
  <si>
    <t>Provision</t>
  </si>
  <si>
    <t>Total P&amp;L</t>
  </si>
  <si>
    <t>Cum P&amp;L</t>
  </si>
  <si>
    <t>Total BS</t>
  </si>
  <si>
    <t>Cum BS</t>
  </si>
  <si>
    <t>Life</t>
  </si>
  <si>
    <t>Stock.</t>
  </si>
  <si>
    <t>Settlement Disc.</t>
  </si>
  <si>
    <t>Provision.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</si>
</sst>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7">
    <numFmt numFmtId="41" formatCode="_-* #,##0_-;\-* #,##0_-;_-* &quot;-&quot;_-;_-@_-"/>
    <numFmt numFmtId="43" formatCode="_-* #,##0.00_-;\-* #,##0.00_-;_-* &quot;-&quot;??_-;_-@_-"/>
    <numFmt numFmtId="164" formatCode="_-&quot;$&quot;* #,##0_-;\-&quot;$&quot;* #,##0_-;_-&quot;$&quot;* &quot;-&quot;_-;_-@_-"/>
    <numFmt numFmtId="165" formatCode="_-&quot;$&quot;* #,##0.00_-;\-&quot;$&quot;* #,##0.00_-;_-&quot;$&quot;* &quot;-&quot;??_-;_-@_-"/>
    <numFmt numFmtId="166" formatCode="_(* #,##0.00_);_(* \(#,##0.00\);_(* &quot;-&quot;??_);_(@_)"/>
    <numFmt numFmtId="167" formatCode="_(* #,##0_);_(* \(#,##0\);_(* &quot;-&quot;??_);_(@_)"/>
    <numFmt numFmtId="168" formatCode="_(* #,##0.0_);_(* \(#,##0.0\);_(* &quot;-&quot;??_);_(@_)"/>
    <numFmt numFmtId="169" formatCode="0.000"/>
    <numFmt numFmtId="170" formatCode="_(* #,##0_);_(* \(#,##0\);_(* &quot;-&quot;_);_(@_)"/>
    <numFmt numFmtId="171" formatCode="_(* #,##0.0_);_(* \(#,##0.0\);_(* &quot;-&quot;?_);_(@_)"/>
    <numFmt numFmtId="172" formatCode="yyyy"/>
    <numFmt numFmtId="173" formatCode="General_)"/>
    <numFmt numFmtId="174" formatCode="#,##0.0_);\(#,##0.0\)"/>
    <numFmt numFmtId="175" formatCode="#,##0.000_);\(#,##0.000\)"/>
    <numFmt numFmtId="176" formatCode="\(0.00%"/>
    <numFmt numFmtId="177" formatCode="_ * #,##0_ ;_ * \-#,##0_ ;_ * &quot;-&quot;_ ;_ @_ "/>
    <numFmt numFmtId="178" formatCode="_ * #,##0.00_ ;_ * \-#,##0.00_ ;_ * &quot;-&quot;??_ ;_ @_ "/>
    <numFmt numFmtId="179" formatCode="\U\S\$#,##0.00;\(\U\S\$#,##0.00\)"/>
    <numFmt numFmtId="180" formatCode="#,###,###,###,###,###,###,###,###,###.00"/>
    <numFmt numFmtId="181" formatCode="&quot;$&quot;#,##0_);[Red]\(&quot;$&quot;#,##0\)"/>
    <numFmt numFmtId="182" formatCode="&quot;$&quot;#,##0.00_);[Red]\(&quot;$&quot;#,##0.00\)"/>
    <numFmt numFmtId="183" formatCode="0.00_)"/>
    <numFmt numFmtId="184" formatCode="#,##0.000"/>
    <numFmt numFmtId="185" formatCode="\+0.00%\+"/>
    <numFmt numFmtId="186" formatCode="0.00%\)"/>
    <numFmt numFmtId="187" formatCode="#,##0.00_);\(#,##0.00\)"/>
    <numFmt numFmtId="188" formatCode="#,##0_);\(#,##0\)"/>
  </numFmts>
  <fonts count="7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Helv"/>
      <family val="2"/>
    </font>
    <font>
      <sz val="10"/>
      <name val="Helv"/>
      <charset val="204"/>
    </font>
    <font>
      <sz val="11"/>
      <color indexed="60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0"/>
      <name val="Arial"/>
      <family val="2"/>
    </font>
    <font>
      <sz val="9"/>
      <name val="Times New Roman"/>
      <family val="1"/>
    </font>
    <font>
      <sz val="10"/>
      <name val="Courier"/>
      <family val="3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2"/>
      <name val="宋体"/>
      <charset val="134"/>
    </font>
    <font>
      <sz val="10"/>
      <color indexed="8"/>
      <name val="Arial"/>
      <family val="2"/>
    </font>
    <font>
      <i/>
      <sz val="11"/>
      <color indexed="23"/>
      <name val="Calibri"/>
      <family val="2"/>
    </font>
    <font>
      <sz val="12"/>
      <name val="New Times Roman"/>
    </font>
    <font>
      <sz val="12"/>
      <color indexed="2"/>
      <name val="New Times Roman"/>
    </font>
    <font>
      <sz val="11"/>
      <color indexed="17"/>
      <name val="Calibri"/>
      <family val="2"/>
    </font>
    <font>
      <sz val="8"/>
      <name val="Arial"/>
      <family val="2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5"/>
      <color indexed="62"/>
      <name val="Calibri"/>
      <family val="2"/>
    </font>
    <font>
      <b/>
      <sz val="13"/>
      <color indexed="56"/>
      <name val="Calibri"/>
      <family val="2"/>
    </font>
    <font>
      <b/>
      <sz val="13"/>
      <color indexed="62"/>
      <name val="Calibri"/>
      <family val="2"/>
    </font>
    <font>
      <b/>
      <sz val="11"/>
      <color indexed="56"/>
      <name val="Calibri"/>
      <family val="2"/>
    </font>
    <font>
      <b/>
      <sz val="11"/>
      <color indexed="62"/>
      <name val="Calibri"/>
      <family val="2"/>
    </font>
    <font>
      <u/>
      <sz val="10"/>
      <color indexed="12"/>
      <name val="Arial MT"/>
      <family val="2"/>
    </font>
    <font>
      <u/>
      <sz val="10"/>
      <color indexed="12"/>
      <name val="Arial MT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MS Sans Serif"/>
      <family val="2"/>
    </font>
    <font>
      <b/>
      <i/>
      <sz val="16"/>
      <name val="Helv"/>
      <family val="2"/>
    </font>
    <font>
      <sz val="11"/>
      <color theme="1"/>
      <name val="Calibri"/>
      <family val="2"/>
    </font>
    <font>
      <sz val="11"/>
      <color theme="1"/>
      <name val="Calibri"/>
      <family val="1"/>
      <charset val="136"/>
      <scheme val="minor"/>
    </font>
    <font>
      <sz val="10"/>
      <name val="Tahoma"/>
      <family val="2"/>
    </font>
    <font>
      <sz val="12"/>
      <color indexed="32"/>
      <name val="Microsoft Sans Serif"/>
      <family val="2"/>
    </font>
    <font>
      <sz val="12"/>
      <name val="Times New Roman"/>
      <family val="1"/>
    </font>
    <font>
      <sz val="10"/>
      <color indexed="8"/>
      <name val="MS Sans Serif"/>
      <family val="2"/>
    </font>
    <font>
      <sz val="10"/>
      <color rgb="FF000000"/>
      <name val="Times New Roman"/>
      <family val="1"/>
    </font>
    <font>
      <b/>
      <sz val="11"/>
      <color indexed="63"/>
      <name val="Calibri"/>
      <family val="2"/>
    </font>
    <font>
      <sz val="12"/>
      <color indexed="8"/>
      <name val="Times New Roman"/>
      <family val="1"/>
    </font>
    <font>
      <sz val="10"/>
      <name val="Arial MT"/>
      <family val="2"/>
    </font>
    <font>
      <sz val="10"/>
      <name val="Arial MT"/>
    </font>
    <font>
      <b/>
      <sz val="18"/>
      <color indexed="56"/>
      <name val="Cambria"/>
      <family val="1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2"/>
      <color indexed="20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8"/>
      <color indexed="56"/>
      <name val="新細明體"/>
      <family val="1"/>
      <charset val="136"/>
    </font>
    <font>
      <i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theme="9" tint="-0.249977111117893"/>
      <name val="Calibri"/>
      <family val="2"/>
      <scheme val="minor"/>
    </font>
    <font>
      <sz val="9"/>
      <color theme="2" tint="-0.499984740745262"/>
      <name val="Calibri"/>
      <family val="2"/>
      <scheme val="minor"/>
    </font>
  </fonts>
  <fills count="5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49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49"/>
      </top>
      <bottom style="double">
        <color indexed="49"/>
      </bottom>
      <diagonal/>
    </border>
  </borders>
  <cellStyleXfs count="4392">
    <xf numFmtId="0" fontId="0" fillId="0" borderId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6" fillId="0" borderId="0"/>
    <xf numFmtId="0" fontId="16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7" fillId="22" borderId="0" applyNumberFormat="0" applyBorder="0" applyAlignment="0" applyProtection="0"/>
    <xf numFmtId="0" fontId="1" fillId="10" borderId="0" applyNumberFormat="0" applyBorder="0" applyAlignment="0" applyProtection="0"/>
    <xf numFmtId="0" fontId="17" fillId="23" borderId="0" applyNumberFormat="0" applyBorder="0" applyAlignment="0" applyProtection="0"/>
    <xf numFmtId="0" fontId="17" fillId="24" borderId="0" applyNumberFormat="0" applyBorder="0" applyAlignment="0" applyProtection="0"/>
    <xf numFmtId="0" fontId="1" fillId="11" borderId="0" applyNumberFormat="0" applyBorder="0" applyAlignment="0" applyProtection="0"/>
    <xf numFmtId="0" fontId="17" fillId="25" borderId="0" applyNumberFormat="0" applyBorder="0" applyAlignment="0" applyProtection="0"/>
    <xf numFmtId="0" fontId="17" fillId="20" borderId="0" applyNumberFormat="0" applyBorder="0" applyAlignment="0" applyProtection="0"/>
    <xf numFmtId="0" fontId="1" fillId="15" borderId="0" applyNumberFormat="0" applyBorder="0" applyAlignment="0" applyProtection="0"/>
    <xf numFmtId="0" fontId="17" fillId="26" borderId="0" applyNumberFormat="0" applyBorder="0" applyAlignment="0" applyProtection="0"/>
    <xf numFmtId="0" fontId="17" fillId="22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7" fillId="23" borderId="0" applyNumberFormat="0" applyBorder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2" borderId="0" applyNumberFormat="0" applyBorder="0" applyAlignment="0" applyProtection="0"/>
    <xf numFmtId="0" fontId="17" fillId="27" borderId="0" applyNumberFormat="0" applyBorder="0" applyAlignment="0" applyProtection="0"/>
    <xf numFmtId="0" fontId="17" fillId="28" borderId="0" applyNumberFormat="0" applyBorder="0" applyAlignment="0" applyProtection="0"/>
    <xf numFmtId="0" fontId="1" fillId="8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" fillId="12" borderId="0" applyNumberFormat="0" applyBorder="0" applyAlignment="0" applyProtection="0"/>
    <xf numFmtId="0" fontId="17" fillId="25" borderId="0" applyNumberFormat="0" applyBorder="0" applyAlignment="0" applyProtection="0"/>
    <xf numFmtId="0" fontId="17" fillId="28" borderId="0" applyNumberFormat="0" applyBorder="0" applyAlignment="0" applyProtection="0"/>
    <xf numFmtId="0" fontId="1" fillId="16" borderId="0" applyNumberFormat="0" applyBorder="0" applyAlignment="0" applyProtection="0"/>
    <xf numFmtId="0" fontId="17" fillId="27" borderId="0" applyNumberFormat="0" applyBorder="0" applyAlignment="0" applyProtection="0"/>
    <xf numFmtId="0" fontId="17" fillId="32" borderId="0" applyNumberFormat="0" applyBorder="0" applyAlignment="0" applyProtection="0"/>
    <xf numFmtId="0" fontId="17" fillId="22" borderId="0" applyNumberFormat="0" applyBorder="0" applyAlignment="0" applyProtection="0"/>
    <xf numFmtId="0" fontId="1" fillId="18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25" borderId="0" applyNumberFormat="0" applyBorder="0" applyAlignment="0" applyProtection="0"/>
    <xf numFmtId="0" fontId="17" fillId="27" borderId="0" applyNumberFormat="0" applyBorder="0" applyAlignment="0" applyProtection="0"/>
    <xf numFmtId="0" fontId="17" fillId="32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3" fillId="9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3" fillId="13" borderId="0" applyNumberFormat="0" applyBorder="0" applyAlignment="0" applyProtection="0"/>
    <xf numFmtId="0" fontId="18" fillId="35" borderId="0" applyNumberFormat="0" applyBorder="0" applyAlignment="0" applyProtection="0"/>
    <xf numFmtId="0" fontId="18" fillId="28" borderId="0" applyNumberFormat="0" applyBorder="0" applyAlignment="0" applyProtection="0"/>
    <xf numFmtId="0" fontId="13" fillId="17" borderId="0" applyNumberFormat="0" applyBorder="0" applyAlignment="0" applyProtection="0"/>
    <xf numFmtId="0" fontId="18" fillId="34" borderId="0" applyNumberFormat="0" applyBorder="0" applyAlignment="0" applyProtection="0"/>
    <xf numFmtId="0" fontId="18" fillId="36" borderId="0" applyNumberFormat="0" applyBorder="0" applyAlignment="0" applyProtection="0"/>
    <xf numFmtId="0" fontId="18" fillId="22" borderId="0" applyNumberFormat="0" applyBorder="0" applyAlignment="0" applyProtection="0"/>
    <xf numFmtId="0" fontId="13" fillId="19" borderId="0" applyNumberFormat="0" applyBorder="0" applyAlignment="0" applyProtection="0"/>
    <xf numFmtId="0" fontId="18" fillId="33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5" borderId="0" applyNumberFormat="0" applyBorder="0" applyAlignment="0" applyProtection="0"/>
    <xf numFmtId="0" fontId="18" fillId="34" borderId="0" applyNumberFormat="0" applyBorder="0" applyAlignment="0" applyProtection="0"/>
    <xf numFmtId="0" fontId="18" fillId="36" borderId="0" applyNumberFormat="0" applyBorder="0" applyAlignment="0" applyProtection="0"/>
    <xf numFmtId="0" fontId="18" fillId="37" borderId="0" applyNumberFormat="0" applyBorder="0" applyAlignment="0" applyProtection="0"/>
    <xf numFmtId="0" fontId="18" fillId="34" borderId="0" applyNumberFormat="0" applyBorder="0" applyAlignment="0" applyProtection="0"/>
    <xf numFmtId="0" fontId="13" fillId="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35" borderId="0" applyNumberFormat="0" applyBorder="0" applyAlignment="0" applyProtection="0"/>
    <xf numFmtId="0" fontId="18" fillId="40" borderId="0" applyNumberFormat="0" applyBorder="0" applyAlignment="0" applyProtection="0"/>
    <xf numFmtId="0" fontId="13" fillId="14" borderId="0" applyNumberFormat="0" applyBorder="0" applyAlignment="0" applyProtection="0"/>
    <xf numFmtId="0" fontId="18" fillId="34" borderId="0" applyNumberFormat="0" applyBorder="0" applyAlignment="0" applyProtection="0"/>
    <xf numFmtId="0" fontId="18" fillId="41" borderId="0" applyNumberFormat="0" applyBorder="0" applyAlignment="0" applyProtection="0"/>
    <xf numFmtId="0" fontId="19" fillId="21" borderId="0" applyNumberFormat="0" applyBorder="0" applyAlignment="0" applyProtection="0"/>
    <xf numFmtId="172" fontId="20" fillId="0" borderId="0" applyFill="0" applyBorder="0" applyAlignment="0"/>
    <xf numFmtId="173" fontId="21" fillId="0" borderId="0" applyFill="0" applyBorder="0" applyAlignment="0"/>
    <xf numFmtId="169" fontId="21" fillId="0" borderId="0" applyFill="0" applyBorder="0" applyAlignment="0"/>
    <xf numFmtId="174" fontId="22" fillId="0" borderId="0" applyFill="0" applyBorder="0" applyAlignment="0"/>
    <xf numFmtId="175" fontId="22" fillId="0" borderId="0" applyFill="0" applyBorder="0" applyAlignment="0"/>
    <xf numFmtId="172" fontId="20" fillId="0" borderId="0" applyFill="0" applyBorder="0" applyAlignment="0"/>
    <xf numFmtId="176" fontId="20" fillId="0" borderId="0" applyFill="0" applyBorder="0" applyAlignment="0"/>
    <xf numFmtId="173" fontId="21" fillId="0" borderId="0" applyFill="0" applyBorder="0" applyAlignment="0"/>
    <xf numFmtId="0" fontId="23" fillId="28" borderId="15" applyNumberFormat="0" applyAlignment="0" applyProtection="0"/>
    <xf numFmtId="0" fontId="23" fillId="42" borderId="15" applyNumberFormat="0" applyAlignment="0" applyProtection="0"/>
    <xf numFmtId="0" fontId="12" fillId="5" borderId="11" applyNumberFormat="0" applyAlignment="0" applyProtection="0"/>
    <xf numFmtId="0" fontId="24" fillId="43" borderId="16" applyNumberFormat="0" applyAlignment="0" applyProtection="0"/>
    <xf numFmtId="177" fontId="25" fillId="0" borderId="0" applyFont="0" applyFill="0" applyBorder="0" applyAlignment="0" applyProtection="0">
      <alignment vertical="center"/>
    </xf>
    <xf numFmtId="170" fontId="20" fillId="0" borderId="0" applyFont="0" applyFill="0" applyBorder="0" applyAlignment="0" applyProtection="0"/>
    <xf numFmtId="172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166" fontId="26" fillId="0" borderId="0" applyFont="0" applyFill="0" applyBorder="0" applyAlignment="0" applyProtection="0">
      <alignment vertical="top"/>
    </xf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66" fontId="17" fillId="0" borderId="0" applyFont="0" applyFill="0" applyBorder="0" applyAlignment="0" applyProtection="0"/>
    <xf numFmtId="43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78" fontId="1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78" fontId="1" fillId="0" borderId="0" applyFont="0" applyFill="0" applyBorder="0" applyAlignment="0" applyProtection="0"/>
    <xf numFmtId="166" fontId="17" fillId="0" borderId="0" applyFont="0" applyFill="0" applyBorder="0" applyAlignment="0" applyProtection="0"/>
    <xf numFmtId="178" fontId="1" fillId="0" borderId="0" applyFont="0" applyFill="0" applyBorder="0" applyAlignment="0" applyProtection="0"/>
    <xf numFmtId="166" fontId="17" fillId="0" borderId="0" applyFont="0" applyFill="0" applyBorder="0" applyAlignment="0" applyProtection="0"/>
    <xf numFmtId="178" fontId="1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73" fontId="21" fillId="0" borderId="0" applyFont="0" applyFill="0" applyBorder="0" applyAlignment="0" applyProtection="0"/>
    <xf numFmtId="14" fontId="26" fillId="0" borderId="0" applyFill="0" applyBorder="0" applyAlignment="0"/>
    <xf numFmtId="179" fontId="20" fillId="0" borderId="17">
      <alignment vertical="center"/>
    </xf>
    <xf numFmtId="172" fontId="20" fillId="0" borderId="0" applyFill="0" applyBorder="0" applyAlignment="0"/>
    <xf numFmtId="173" fontId="21" fillId="0" borderId="0" applyFill="0" applyBorder="0" applyAlignment="0"/>
    <xf numFmtId="172" fontId="20" fillId="0" borderId="0" applyFill="0" applyBorder="0" applyAlignment="0"/>
    <xf numFmtId="176" fontId="20" fillId="0" borderId="0" applyFill="0" applyBorder="0" applyAlignment="0"/>
    <xf numFmtId="173" fontId="21" fillId="0" borderId="0" applyFill="0" applyBorder="0" applyAlignment="0"/>
    <xf numFmtId="0" fontId="27" fillId="0" borderId="0" applyNumberFormat="0" applyFill="0" applyBorder="0" applyAlignment="0" applyProtection="0"/>
    <xf numFmtId="0" fontId="28" fillId="0" borderId="0"/>
    <xf numFmtId="180" fontId="28" fillId="0" borderId="0"/>
    <xf numFmtId="180" fontId="29" fillId="0" borderId="0"/>
    <xf numFmtId="0" fontId="30" fillId="23" borderId="0" applyNumberFormat="0" applyBorder="0" applyAlignment="0" applyProtection="0"/>
    <xf numFmtId="38" fontId="31" fillId="44" borderId="0" applyNumberFormat="0" applyBorder="0" applyAlignment="0" applyProtection="0"/>
    <xf numFmtId="0" fontId="32" fillId="0" borderId="18" applyNumberFormat="0" applyAlignment="0" applyProtection="0">
      <alignment horizontal="left" vertical="center"/>
    </xf>
    <xf numFmtId="0" fontId="32" fillId="0" borderId="19">
      <alignment horizontal="left" vertical="center"/>
    </xf>
    <xf numFmtId="0" fontId="33" fillId="0" borderId="20" applyNumberFormat="0" applyFill="0" applyAlignment="0" applyProtection="0"/>
    <xf numFmtId="0" fontId="34" fillId="0" borderId="21" applyNumberFormat="0" applyFill="0" applyAlignment="0" applyProtection="0"/>
    <xf numFmtId="0" fontId="8" fillId="0" borderId="8" applyNumberFormat="0" applyFill="0" applyAlignment="0" applyProtection="0"/>
    <xf numFmtId="0" fontId="35" fillId="0" borderId="22" applyNumberFormat="0" applyFill="0" applyAlignment="0" applyProtection="0"/>
    <xf numFmtId="0" fontId="36" fillId="0" borderId="22" applyNumberFormat="0" applyFill="0" applyAlignment="0" applyProtection="0"/>
    <xf numFmtId="0" fontId="9" fillId="0" borderId="9" applyNumberFormat="0" applyFill="0" applyAlignment="0" applyProtection="0"/>
    <xf numFmtId="0" fontId="37" fillId="0" borderId="23" applyNumberFormat="0" applyFill="0" applyAlignment="0" applyProtection="0"/>
    <xf numFmtId="0" fontId="38" fillId="0" borderId="24" applyNumberFormat="0" applyFill="0" applyAlignment="0" applyProtection="0"/>
    <xf numFmtId="0" fontId="10" fillId="0" borderId="10" applyNumberFormat="0" applyFill="0" applyAlignment="0" applyProtection="0"/>
    <xf numFmtId="0" fontId="37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9" fillId="0" borderId="0" applyNumberFormat="0" applyFill="0" applyBorder="0" applyAlignment="0" applyProtection="0">
      <alignment vertical="top"/>
      <protection locked="0"/>
    </xf>
    <xf numFmtId="0" fontId="40" fillId="0" borderId="0" applyNumberFormat="0" applyFill="0" applyBorder="0" applyAlignment="0" applyProtection="0">
      <alignment vertical="top"/>
      <protection locked="0"/>
    </xf>
    <xf numFmtId="10" fontId="31" fillId="45" borderId="1" applyNumberFormat="0" applyBorder="0" applyAlignment="0" applyProtection="0"/>
    <xf numFmtId="0" fontId="41" fillId="22" borderId="15" applyNumberFormat="0" applyAlignment="0" applyProtection="0"/>
    <xf numFmtId="0" fontId="41" fillId="22" borderId="15" applyNumberFormat="0" applyAlignment="0" applyProtection="0"/>
    <xf numFmtId="172" fontId="20" fillId="0" borderId="0" applyFill="0" applyBorder="0" applyAlignment="0"/>
    <xf numFmtId="173" fontId="21" fillId="0" borderId="0" applyFill="0" applyBorder="0" applyAlignment="0"/>
    <xf numFmtId="172" fontId="20" fillId="0" borderId="0" applyFill="0" applyBorder="0" applyAlignment="0"/>
    <xf numFmtId="176" fontId="20" fillId="0" borderId="0" applyFill="0" applyBorder="0" applyAlignment="0"/>
    <xf numFmtId="173" fontId="21" fillId="0" borderId="0" applyFill="0" applyBorder="0" applyAlignment="0"/>
    <xf numFmtId="0" fontId="42" fillId="0" borderId="25" applyNumberFormat="0" applyFill="0" applyAlignment="0" applyProtection="0"/>
    <xf numFmtId="38" fontId="43" fillId="0" borderId="0" applyFont="0" applyFill="0" applyBorder="0" applyAlignment="0" applyProtection="0"/>
    <xf numFmtId="40" fontId="43" fillId="0" borderId="0" applyFont="0" applyFill="0" applyBorder="0" applyAlignment="0" applyProtection="0"/>
    <xf numFmtId="181" fontId="43" fillId="0" borderId="0" applyFont="0" applyFill="0" applyBorder="0" applyAlignment="0" applyProtection="0"/>
    <xf numFmtId="182" fontId="43" fillId="0" borderId="0" applyFont="0" applyFill="0" applyBorder="0" applyAlignment="0" applyProtection="0"/>
    <xf numFmtId="0" fontId="16" fillId="31" borderId="0" applyNumberFormat="0" applyBorder="0" applyAlignment="0" applyProtection="0"/>
    <xf numFmtId="183" fontId="44" fillId="0" borderId="0"/>
    <xf numFmtId="0" fontId="1" fillId="0" borderId="0"/>
    <xf numFmtId="0" fontId="4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6" fillId="0" borderId="0">
      <alignment vertical="top"/>
    </xf>
    <xf numFmtId="0" fontId="1" fillId="0" borderId="0"/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1" fillId="0" borderId="0"/>
    <xf numFmtId="0" fontId="47" fillId="0" borderId="0"/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1" fillId="0" borderId="0"/>
    <xf numFmtId="0" fontId="47" fillId="0" borderId="0"/>
    <xf numFmtId="0" fontId="26" fillId="0" borderId="0">
      <alignment vertical="top"/>
    </xf>
    <xf numFmtId="0" fontId="1" fillId="0" borderId="0"/>
    <xf numFmtId="0" fontId="1" fillId="0" borderId="0"/>
    <xf numFmtId="0" fontId="26" fillId="0" borderId="0">
      <alignment vertical="top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" fillId="0" borderId="0"/>
    <xf numFmtId="0" fontId="17" fillId="0" borderId="0"/>
    <xf numFmtId="0" fontId="20" fillId="0" borderId="0"/>
    <xf numFmtId="0" fontId="1" fillId="0" borderId="0"/>
    <xf numFmtId="0" fontId="20" fillId="0" borderId="0"/>
    <xf numFmtId="0" fontId="48" fillId="0" borderId="0"/>
    <xf numFmtId="0" fontId="17" fillId="0" borderId="0"/>
    <xf numFmtId="0" fontId="20" fillId="0" borderId="0"/>
    <xf numFmtId="0" fontId="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9" fillId="0" borderId="0"/>
    <xf numFmtId="0" fontId="20" fillId="0" borderId="0"/>
    <xf numFmtId="0" fontId="1" fillId="0" borderId="0"/>
    <xf numFmtId="0" fontId="1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26" fillId="0" borderId="0">
      <alignment vertical="top"/>
    </xf>
    <xf numFmtId="0" fontId="5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" fillId="0" borderId="0"/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31" fillId="24" borderId="26" applyNumberFormat="0" applyFont="0" applyAlignment="0" applyProtection="0"/>
    <xf numFmtId="0" fontId="17" fillId="6" borderId="13" applyNumberFormat="0" applyFont="0" applyAlignment="0" applyProtection="0"/>
    <xf numFmtId="0" fontId="31" fillId="24" borderId="26" applyNumberFormat="0" applyFont="0" applyAlignment="0" applyProtection="0"/>
    <xf numFmtId="0" fontId="1" fillId="6" borderId="13" applyNumberFormat="0" applyFont="0" applyAlignment="0" applyProtection="0"/>
    <xf numFmtId="0" fontId="17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17" fillId="24" borderId="26" applyNumberFormat="0" applyFont="0" applyAlignment="0" applyProtection="0"/>
    <xf numFmtId="0" fontId="20" fillId="24" borderId="26" applyNumberFormat="0" applyFont="0" applyAlignment="0" applyProtection="0"/>
    <xf numFmtId="0" fontId="17" fillId="24" borderId="26" applyNumberFormat="0" applyFont="0" applyAlignment="0" applyProtection="0"/>
    <xf numFmtId="0" fontId="17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52" fillId="28" borderId="27" applyNumberFormat="0" applyAlignment="0" applyProtection="0"/>
    <xf numFmtId="0" fontId="52" fillId="42" borderId="27" applyNumberFormat="0" applyAlignment="0" applyProtection="0"/>
    <xf numFmtId="0" fontId="11" fillId="5" borderId="12" applyNumberFormat="0" applyAlignment="0" applyProtection="0"/>
    <xf numFmtId="0" fontId="53" fillId="46" borderId="0"/>
    <xf numFmtId="175" fontId="22" fillId="0" borderId="0" applyFont="0" applyFill="0" applyBorder="0" applyAlignment="0" applyProtection="0"/>
    <xf numFmtId="184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43" fillId="0" borderId="28" applyNumberFormat="0" applyBorder="0"/>
    <xf numFmtId="172" fontId="20" fillId="0" borderId="0" applyFill="0" applyBorder="0" applyAlignment="0"/>
    <xf numFmtId="173" fontId="21" fillId="0" borderId="0" applyFill="0" applyBorder="0" applyAlignment="0"/>
    <xf numFmtId="172" fontId="20" fillId="0" borderId="0" applyFill="0" applyBorder="0" applyAlignment="0"/>
    <xf numFmtId="176" fontId="20" fillId="0" borderId="0" applyFill="0" applyBorder="0" applyAlignment="0"/>
    <xf numFmtId="173" fontId="21" fillId="0" borderId="0" applyFill="0" applyBorder="0" applyAlignment="0"/>
    <xf numFmtId="0" fontId="43" fillId="0" borderId="0" applyNumberFormat="0" applyFont="0" applyFill="0" applyBorder="0" applyAlignment="0" applyProtection="0">
      <alignment horizontal="left"/>
    </xf>
    <xf numFmtId="15" fontId="43" fillId="0" borderId="0" applyFont="0" applyFill="0" applyBorder="0" applyAlignment="0" applyProtection="0"/>
    <xf numFmtId="3" fontId="43" fillId="0" borderId="0" applyFont="0" applyFill="0" applyBorder="0" applyAlignment="0" applyProtection="0"/>
    <xf numFmtId="0" fontId="54" fillId="0" borderId="0"/>
    <xf numFmtId="0" fontId="5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49" fontId="26" fillId="0" borderId="0" applyFill="0" applyBorder="0" applyAlignment="0"/>
    <xf numFmtId="185" fontId="20" fillId="0" borderId="0" applyFill="0" applyBorder="0" applyAlignment="0"/>
    <xf numFmtId="186" fontId="20" fillId="0" borderId="0" applyFill="0" applyBorder="0" applyAlignment="0"/>
    <xf numFmtId="0" fontId="56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58" fillId="0" borderId="29" applyNumberFormat="0" applyFill="0" applyAlignment="0" applyProtection="0"/>
    <xf numFmtId="0" fontId="58" fillId="0" borderId="30" applyNumberFormat="0" applyFill="0" applyAlignment="0" applyProtection="0"/>
    <xf numFmtId="0" fontId="2" fillId="0" borderId="14" applyNumberFormat="0" applyFill="0" applyAlignment="0" applyProtection="0"/>
    <xf numFmtId="41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70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0" fontId="59" fillId="0" borderId="0" applyNumberFormat="0" applyFill="0" applyBorder="0" applyAlignment="0" applyProtection="0"/>
    <xf numFmtId="39" fontId="31" fillId="0" borderId="0"/>
    <xf numFmtId="0" fontId="16" fillId="31" borderId="0" applyNumberFormat="0" applyBorder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166" fontId="20" fillId="0" borderId="0" applyFont="0" applyFill="0" applyBorder="0" applyAlignment="0" applyProtection="0"/>
    <xf numFmtId="0" fontId="58" fillId="0" borderId="29" applyNumberFormat="0" applyFill="0" applyAlignment="0" applyProtection="0"/>
    <xf numFmtId="0" fontId="58" fillId="0" borderId="29" applyNumberFormat="0" applyFill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60" fillId="21" borderId="0" applyNumberFormat="0" applyBorder="0" applyAlignment="0" applyProtection="0">
      <alignment vertical="center"/>
    </xf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30" fillId="23" borderId="0" applyNumberFormat="0" applyBorder="0" applyAlignment="0" applyProtection="0"/>
    <xf numFmtId="0" fontId="30" fillId="23" borderId="0" applyNumberFormat="0" applyBorder="0" applyAlignment="0" applyProtection="0"/>
    <xf numFmtId="0" fontId="30" fillId="23" borderId="0" applyNumberFormat="0" applyBorder="0" applyAlignment="0" applyProtection="0"/>
    <xf numFmtId="0" fontId="30" fillId="23" borderId="0" applyNumberFormat="0" applyBorder="0" applyAlignment="0" applyProtection="0"/>
    <xf numFmtId="0" fontId="61" fillId="23" borderId="0" applyNumberFormat="0" applyBorder="0" applyAlignment="0" applyProtection="0">
      <alignment vertical="center"/>
    </xf>
    <xf numFmtId="0" fontId="30" fillId="23" borderId="0" applyNumberFormat="0" applyBorder="0" applyAlignment="0" applyProtection="0"/>
    <xf numFmtId="0" fontId="30" fillId="23" borderId="0" applyNumberFormat="0" applyBorder="0" applyAlignment="0" applyProtection="0"/>
    <xf numFmtId="0" fontId="30" fillId="23" borderId="0" applyNumberFormat="0" applyBorder="0" applyAlignment="0" applyProtection="0"/>
    <xf numFmtId="0" fontId="49" fillId="0" borderId="0"/>
    <xf numFmtId="0" fontId="56" fillId="0" borderId="0" applyNumberFormat="0" applyFill="0" applyBorder="0" applyAlignment="0" applyProtection="0"/>
    <xf numFmtId="0" fontId="33" fillId="0" borderId="20" applyNumberFormat="0" applyFill="0" applyAlignment="0" applyProtection="0"/>
    <xf numFmtId="0" fontId="35" fillId="0" borderId="22" applyNumberFormat="0" applyFill="0" applyAlignment="0" applyProtection="0"/>
    <xf numFmtId="0" fontId="37" fillId="0" borderId="23" applyNumberFormat="0" applyFill="0" applyAlignment="0" applyProtection="0"/>
    <xf numFmtId="0" fontId="37" fillId="0" borderId="0" applyNumberFormat="0" applyFill="0" applyBorder="0" applyAlignment="0" applyProtection="0"/>
    <xf numFmtId="0" fontId="62" fillId="0" borderId="0" applyNumberFormat="0" applyFill="0" applyBorder="0" applyAlignment="0" applyProtection="0">
      <alignment vertical="center"/>
    </xf>
    <xf numFmtId="0" fontId="24" fillId="43" borderId="16" applyNumberFormat="0" applyAlignment="0" applyProtection="0"/>
    <xf numFmtId="0" fontId="23" fillId="28" borderId="15" applyNumberFormat="0" applyAlignment="0" applyProtection="0"/>
    <xf numFmtId="0" fontId="23" fillId="28" borderId="15" applyNumberFormat="0" applyAlignment="0" applyProtection="0"/>
    <xf numFmtId="0" fontId="27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35" borderId="0" applyNumberFormat="0" applyBorder="0" applyAlignment="0" applyProtection="0"/>
    <xf numFmtId="0" fontId="18" fillId="34" borderId="0" applyNumberFormat="0" applyBorder="0" applyAlignment="0" applyProtection="0"/>
    <xf numFmtId="0" fontId="18" fillId="41" borderId="0" applyNumberFormat="0" applyBorder="0" applyAlignment="0" applyProtection="0"/>
    <xf numFmtId="0" fontId="41" fillId="22" borderId="15" applyNumberFormat="0" applyAlignment="0" applyProtection="0"/>
    <xf numFmtId="0" fontId="41" fillId="22" borderId="15" applyNumberFormat="0" applyAlignment="0" applyProtection="0"/>
    <xf numFmtId="0" fontId="52" fillId="28" borderId="27" applyNumberFormat="0" applyAlignment="0" applyProtection="0"/>
    <xf numFmtId="0" fontId="52" fillId="28" borderId="27" applyNumberFormat="0" applyAlignment="0" applyProtection="0"/>
    <xf numFmtId="0" fontId="42" fillId="0" borderId="25" applyNumberFormat="0" applyFill="0" applyAlignment="0" applyProtection="0"/>
  </cellStyleXfs>
  <cellXfs count="108">
    <xf numFmtId="0" fontId="0" fillId="0" borderId="0" xfId="0"/>
    <xf numFmtId="166" fontId="0" fillId="3" borderId="0" xfId="1" applyFont="1" applyFill="1"/>
    <xf numFmtId="0" fontId="0" fillId="0" borderId="0" xfId="0" quotePrefix="1"/>
    <xf numFmtId="10" fontId="0" fillId="0" borderId="0" xfId="0" applyNumberFormat="1"/>
    <xf numFmtId="0" fontId="0" fillId="0" borderId="0" xfId="0" applyFill="1"/>
    <xf numFmtId="167" fontId="0" fillId="0" borderId="0" xfId="0" applyNumberFormat="1" applyFill="1"/>
    <xf numFmtId="166" fontId="0" fillId="0" borderId="0" xfId="1" applyFont="1"/>
    <xf numFmtId="167" fontId="0" fillId="0" borderId="0" xfId="1" applyNumberFormat="1" applyFont="1"/>
    <xf numFmtId="10" fontId="0" fillId="0" borderId="0" xfId="0" applyNumberFormat="1"/>
    <xf numFmtId="10" fontId="0" fillId="0" borderId="0" xfId="2" applyNumberFormat="1" applyFont="1"/>
    <xf numFmtId="168" fontId="0" fillId="0" borderId="0" xfId="1" applyNumberFormat="1" applyFont="1"/>
    <xf numFmtId="168" fontId="0" fillId="3" borderId="0" xfId="1" applyNumberFormat="1" applyFont="1" applyFill="1"/>
    <xf numFmtId="167" fontId="0" fillId="3" borderId="0" xfId="1" applyNumberFormat="1" applyFont="1" applyFill="1"/>
    <xf numFmtId="167" fontId="0" fillId="0" borderId="0" xfId="1" applyNumberFormat="1" applyFont="1" applyFill="1"/>
    <xf numFmtId="0" fontId="0" fillId="0" borderId="0" xfId="0"/>
    <xf numFmtId="0" fontId="2" fillId="0" borderId="0" xfId="0" applyFont="1"/>
    <xf numFmtId="9" fontId="4" fillId="0" borderId="0" xfId="2" applyNumberFormat="1" applyFont="1"/>
    <xf numFmtId="0" fontId="6" fillId="0" borderId="1" xfId="0" applyFont="1" applyBorder="1"/>
    <xf numFmtId="0" fontId="0" fillId="0" borderId="0" xfId="0" applyAlignment="1">
      <alignment horizontal="left"/>
    </xf>
    <xf numFmtId="0" fontId="0" fillId="0" borderId="0" xfId="0"/>
    <xf numFmtId="0" fontId="3" fillId="0" borderId="0" xfId="0" applyFont="1"/>
    <xf numFmtId="167" fontId="0" fillId="0" borderId="0" xfId="1" applyNumberFormat="1" applyFont="1"/>
    <xf numFmtId="10" fontId="0" fillId="0" borderId="0" xfId="0" applyNumberFormat="1"/>
    <xf numFmtId="0" fontId="0" fillId="3" borderId="0" xfId="0" applyFill="1"/>
    <xf numFmtId="0" fontId="2" fillId="2" borderId="0" xfId="0" applyFont="1" applyFill="1" applyAlignment="1">
      <alignment horizontal="center" wrapText="1"/>
    </xf>
    <xf numFmtId="9" fontId="6" fillId="0" borderId="0" xfId="0" applyNumberFormat="1" applyFont="1" applyAlignment="1">
      <alignment horizontal="left"/>
    </xf>
    <xf numFmtId="0" fontId="0" fillId="0" borderId="2" xfId="0" applyBorder="1"/>
    <xf numFmtId="9" fontId="0" fillId="3" borderId="3" xfId="0" applyNumberFormat="1" applyFill="1" applyBorder="1"/>
    <xf numFmtId="0" fontId="0" fillId="0" borderId="4" xfId="0" applyBorder="1"/>
    <xf numFmtId="9" fontId="0" fillId="3" borderId="5" xfId="0" applyNumberFormat="1" applyFill="1" applyBorder="1"/>
    <xf numFmtId="0" fontId="0" fillId="0" borderId="6" xfId="0" applyBorder="1"/>
    <xf numFmtId="9" fontId="0" fillId="3" borderId="7" xfId="0" applyNumberFormat="1" applyFill="1" applyBorder="1"/>
    <xf numFmtId="169" fontId="5" fillId="0" borderId="0" xfId="0" applyNumberFormat="1" applyFont="1"/>
    <xf numFmtId="170" fontId="0" fillId="0" borderId="0" xfId="0" applyNumberFormat="1" applyFill="1"/>
    <xf numFmtId="171" fontId="0" fillId="0" borderId="0" xfId="0" applyNumberFormat="1" applyFill="1"/>
    <xf numFmtId="0" fontId="0" fillId="0" borderId="0" xfId="0" applyFill="1" applyBorder="1"/>
    <xf numFmtId="170" fontId="0" fillId="0" borderId="0" xfId="0" applyNumberFormat="1" applyFill="1" applyBorder="1"/>
    <xf numFmtId="171" fontId="0" fillId="0" borderId="0" xfId="0" applyNumberFormat="1" applyFill="1" applyBorder="1"/>
    <xf numFmtId="9" fontId="0" fillId="0" borderId="0" xfId="0" applyNumberFormat="1" applyFill="1"/>
    <xf numFmtId="0" fontId="2" fillId="0" borderId="0" xfId="0" applyFont="1" applyFill="1"/>
    <xf numFmtId="0" fontId="2" fillId="47" borderId="0" xfId="0" applyFont="1" applyFill="1"/>
    <xf numFmtId="0" fontId="2" fillId="47" borderId="0" xfId="0" applyFont="1" applyFill="1" applyAlignment="1">
      <alignment horizontal="center"/>
    </xf>
    <xf numFmtId="0" fontId="0" fillId="0" borderId="0" xfId="0" applyFill="1" applyAlignment="1">
      <alignment horizontal="right" vertical="center"/>
    </xf>
    <xf numFmtId="0" fontId="0" fillId="0" borderId="0" xfId="0" applyFill="1" applyBorder="1" applyAlignment="1">
      <alignment horizontal="right" vertical="center"/>
    </xf>
    <xf numFmtId="0" fontId="2" fillId="48" borderId="0" xfId="0" applyFont="1" applyFill="1"/>
    <xf numFmtId="0" fontId="0" fillId="47" borderId="0" xfId="0" applyFill="1"/>
    <xf numFmtId="0" fontId="66" fillId="0" borderId="1" xfId="0" applyFont="1" applyBorder="1"/>
    <xf numFmtId="166" fontId="67" fillId="0" borderId="1" xfId="1" applyNumberFormat="1" applyFont="1" applyFill="1" applyBorder="1"/>
    <xf numFmtId="0" fontId="4" fillId="0" borderId="0" xfId="0" applyFont="1"/>
    <xf numFmtId="0" fontId="67" fillId="0" borderId="0" xfId="0" applyFont="1" applyAlignment="1">
      <alignment wrapText="1"/>
    </xf>
    <xf numFmtId="0" fontId="67" fillId="0" borderId="0" xfId="0" applyFont="1" applyFill="1" applyAlignment="1">
      <alignment horizontal="center" wrapText="1"/>
    </xf>
    <xf numFmtId="0" fontId="67" fillId="0" borderId="0" xfId="0" applyFont="1" applyAlignment="1">
      <alignment horizontal="center" wrapText="1"/>
    </xf>
    <xf numFmtId="0" fontId="4" fillId="0" borderId="1" xfId="0" applyFont="1" applyBorder="1"/>
    <xf numFmtId="9" fontId="4" fillId="0" borderId="1" xfId="0" applyNumberFormat="1" applyFont="1" applyFill="1" applyBorder="1"/>
    <xf numFmtId="0" fontId="4" fillId="0" borderId="0" xfId="0" applyFont="1" applyAlignment="1">
      <alignment horizontal="left"/>
    </xf>
    <xf numFmtId="0" fontId="4" fillId="4" borderId="0" xfId="0" applyFont="1" applyFill="1"/>
    <xf numFmtId="166" fontId="4" fillId="0" borderId="1" xfId="1" applyNumberFormat="1" applyFont="1" applyFill="1" applyBorder="1"/>
    <xf numFmtId="9" fontId="4" fillId="0" borderId="0" xfId="0" applyNumberFormat="1" applyFont="1" applyBorder="1"/>
    <xf numFmtId="167" fontId="4" fillId="0" borderId="1" xfId="0" applyNumberFormat="1" applyFont="1" applyBorder="1"/>
    <xf numFmtId="10" fontId="4" fillId="3" borderId="0" xfId="2" applyNumberFormat="1" applyFont="1" applyFill="1"/>
    <xf numFmtId="188" fontId="4" fillId="0" borderId="0" xfId="0" applyNumberFormat="1" applyFont="1" applyAlignment="1">
      <alignment horizontal="left"/>
    </xf>
    <xf numFmtId="10" fontId="4" fillId="0" borderId="0" xfId="2" applyNumberFormat="1" applyFont="1"/>
    <xf numFmtId="187" fontId="4" fillId="0" borderId="0" xfId="0" applyNumberFormat="1" applyFont="1" applyAlignment="1">
      <alignment horizontal="left"/>
    </xf>
    <xf numFmtId="9" fontId="4" fillId="0" borderId="0" xfId="2" applyFont="1" applyAlignment="1">
      <alignment horizontal="left" wrapText="1"/>
    </xf>
    <xf numFmtId="9" fontId="4" fillId="0" borderId="1" xfId="0" applyNumberFormat="1" applyFont="1" applyBorder="1"/>
    <xf numFmtId="167" fontId="4" fillId="0" borderId="0" xfId="1" applyNumberFormat="1" applyFont="1"/>
    <xf numFmtId="0" fontId="67" fillId="0" borderId="0" xfId="0" applyFont="1" applyAlignment="1">
      <alignment horizontal="left" wrapText="1"/>
    </xf>
    <xf numFmtId="0" fontId="4" fillId="0" borderId="0" xfId="0" applyFont="1" applyBorder="1"/>
    <xf numFmtId="0" fontId="4" fillId="0" borderId="0" xfId="0" applyFont="1" applyFill="1" applyBorder="1"/>
    <xf numFmtId="9" fontId="4" fillId="0" borderId="0" xfId="0" applyNumberFormat="1" applyFont="1" applyFill="1" applyBorder="1"/>
    <xf numFmtId="9" fontId="4" fillId="0" borderId="0" xfId="2" applyFont="1"/>
    <xf numFmtId="166" fontId="4" fillId="0" borderId="0" xfId="1" applyFont="1"/>
    <xf numFmtId="0" fontId="4" fillId="47" borderId="0" xfId="0" applyFont="1" applyFill="1"/>
    <xf numFmtId="0" fontId="67" fillId="47" borderId="0" xfId="0" applyFont="1" applyFill="1"/>
    <xf numFmtId="0" fontId="4" fillId="47" borderId="0" xfId="0" applyFont="1" applyFill="1" applyAlignment="1">
      <alignment horizontal="left"/>
    </xf>
    <xf numFmtId="0" fontId="67" fillId="47" borderId="0" xfId="0" applyFont="1" applyFill="1" applyAlignment="1">
      <alignment wrapText="1"/>
    </xf>
    <xf numFmtId="0" fontId="67" fillId="47" borderId="0" xfId="0" applyFont="1" applyFill="1" applyAlignment="1">
      <alignment horizontal="center" wrapText="1"/>
    </xf>
    <xf numFmtId="0" fontId="4" fillId="47" borderId="1" xfId="0" applyFont="1" applyFill="1" applyBorder="1"/>
    <xf numFmtId="167" fontId="4" fillId="47" borderId="1" xfId="1" applyNumberFormat="1" applyFont="1" applyFill="1" applyBorder="1"/>
    <xf numFmtId="0" fontId="66" fillId="0" borderId="0" xfId="0" applyFont="1" applyBorder="1"/>
    <xf numFmtId="166" fontId="67" fillId="0" borderId="0" xfId="1" applyNumberFormat="1" applyFont="1" applyFill="1" applyBorder="1"/>
    <xf numFmtId="0" fontId="4" fillId="0" borderId="0" xfId="0" applyFont="1" applyBorder="1" applyAlignment="1">
      <alignment horizontal="left"/>
    </xf>
    <xf numFmtId="167" fontId="4" fillId="0" borderId="0" xfId="0" applyNumberFormat="1" applyFont="1" applyBorder="1"/>
    <xf numFmtId="9" fontId="6" fillId="0" borderId="0" xfId="0" applyNumberFormat="1" applyFont="1" applyBorder="1" applyAlignment="1">
      <alignment horizontal="left"/>
    </xf>
    <xf numFmtId="9" fontId="4" fillId="0" borderId="0" xfId="2" applyFont="1" applyBorder="1"/>
    <xf numFmtId="0" fontId="0" fillId="0" borderId="0" xfId="0" applyBorder="1"/>
    <xf numFmtId="9" fontId="6" fillId="0" borderId="1" xfId="2" applyFont="1" applyBorder="1"/>
    <xf numFmtId="167" fontId="4" fillId="0" borderId="1" xfId="1" applyNumberFormat="1" applyFont="1" applyFill="1" applyBorder="1"/>
    <xf numFmtId="167" fontId="4" fillId="49" borderId="1" xfId="1" applyNumberFormat="1" applyFont="1" applyFill="1" applyBorder="1"/>
    <xf numFmtId="166" fontId="4" fillId="49" borderId="1" xfId="1" applyNumberFormat="1" applyFont="1" applyFill="1" applyBorder="1"/>
    <xf numFmtId="9" fontId="6" fillId="49" borderId="1" xfId="2" applyFont="1" applyFill="1" applyBorder="1"/>
    <xf numFmtId="166" fontId="67" fillId="49" borderId="1" xfId="1" applyNumberFormat="1" applyFont="1" applyFill="1" applyBorder="1"/>
    <xf numFmtId="167" fontId="4" fillId="50" borderId="1" xfId="1" applyNumberFormat="1" applyFont="1" applyFill="1" applyBorder="1"/>
    <xf numFmtId="166" fontId="4" fillId="50" borderId="1" xfId="1" applyNumberFormat="1" applyFont="1" applyFill="1" applyBorder="1"/>
    <xf numFmtId="9" fontId="6" fillId="50" borderId="1" xfId="2" applyFont="1" applyFill="1" applyBorder="1"/>
    <xf numFmtId="166" fontId="67" fillId="50" borderId="1" xfId="1" applyNumberFormat="1" applyFont="1" applyFill="1" applyBorder="1"/>
    <xf numFmtId="175" fontId="4" fillId="0" borderId="0" xfId="0" applyNumberFormat="1" applyFont="1" applyAlignment="1">
      <alignment horizontal="left"/>
    </xf>
    <xf numFmtId="0" fontId="68" fillId="0" borderId="0" xfId="0" applyFont="1" applyAlignment="1">
      <alignment horizontal="left"/>
    </xf>
    <xf numFmtId="166" fontId="4" fillId="47" borderId="1" xfId="1" applyNumberFormat="1" applyFont="1" applyFill="1" applyBorder="1"/>
    <xf numFmtId="0" fontId="6" fillId="47" borderId="1" xfId="0" applyFont="1" applyFill="1" applyBorder="1"/>
    <xf numFmtId="9" fontId="6" fillId="47" borderId="1" xfId="2" applyFont="1" applyFill="1" applyBorder="1"/>
    <xf numFmtId="0" fontId="0" fillId="47" borderId="0" xfId="0" applyFill="1" applyAlignment="1">
      <alignment horizontal="left"/>
    </xf>
    <xf numFmtId="0" fontId="66" fillId="47" borderId="1" xfId="0" applyFont="1" applyFill="1" applyBorder="1"/>
    <xf numFmtId="166" fontId="67" fillId="47" borderId="1" xfId="1" applyNumberFormat="1" applyFont="1" applyFill="1" applyBorder="1"/>
    <xf numFmtId="0" fontId="66" fillId="47" borderId="0" xfId="0" applyFont="1" applyFill="1" applyBorder="1"/>
    <xf numFmtId="166" fontId="67" fillId="47" borderId="0" xfId="1" applyNumberFormat="1" applyFont="1" applyFill="1" applyBorder="1"/>
    <xf numFmtId="0" fontId="69" fillId="0" borderId="0" xfId="0" applyFont="1" applyAlignment="1">
      <alignment wrapText="1"/>
    </xf>
    <xf numFmtId="0" fontId="63" fillId="0" borderId="0" xfId="0" applyFont="1" applyFill="1" applyBorder="1" applyAlignment="1">
      <alignment horizontal="left" wrapText="1"/>
    </xf>
  </cellXfs>
  <cellStyles count="4392">
    <cellStyle name=" 1" xfId="3"/>
    <cellStyle name="_07PERIOD 10" xfId="4"/>
    <cellStyle name="_07PERIOD 11" xfId="5"/>
    <cellStyle name="_07PERIOD 12 ALL" xfId="6"/>
    <cellStyle name="_08PERIOD 01" xfId="7"/>
    <cellStyle name="_08PERIOD 02" xfId="8"/>
    <cellStyle name="_08PERIOD 03" xfId="9"/>
    <cellStyle name="_113-" xfId="10"/>
    <cellStyle name="_113-_AUHKNRl(1320113)P02- Mar 08" xfId="11"/>
    <cellStyle name="_113-_AUHKNRl(1320113)P03-APR 08" xfId="12"/>
    <cellStyle name="_113-_Book5" xfId="13"/>
    <cellStyle name="_113-_HK(1320113)P03- Apr 08" xfId="14"/>
    <cellStyle name="_113-_HK(1320113)P04- MAY 08R" xfId="15"/>
    <cellStyle name="_113-_HK_SH_TH AR P02_09(revised)" xfId="16"/>
    <cellStyle name="_113-_HK_SH_TH AR P03_09" xfId="17"/>
    <cellStyle name="_113-_Lipsy_AR - SH P12" xfId="18"/>
    <cellStyle name="_113-_TH_SCH PD03 (AR)" xfId="19"/>
    <cellStyle name="_113-_TH_SCH PD03 (AR)_OTH REC'B - UK DN" xfId="20"/>
    <cellStyle name="_113-_TH_SCH PD03 (AR)_副本Shanghai DN 20090731 (SH2F) (2)" xfId="21"/>
    <cellStyle name="_113-_UKDN" xfId="22"/>
    <cellStyle name="_113-_UKDN_SHANGHAI_300908 (REVISED ON 2.10.08)" xfId="23"/>
    <cellStyle name="_113-_UKDN_SHANGHAI_300908 (REVISED ON 2.10.08)_OTH REC'B - UK DN" xfId="24"/>
    <cellStyle name="_113-_UKDN_SHANGHAI_300908 (REVISED ON 2.10.08)_副本Shanghai DN 20090731 (SH2F) (2)" xfId="25"/>
    <cellStyle name="_113-_UKDN_SHANGHAI_310808" xfId="26"/>
    <cellStyle name="_113-_UKDN_SHANGHAI_310808_OTH REC'B - UK DN" xfId="27"/>
    <cellStyle name="_113-_UKDN_SHANGHAI_310808_副本Shanghai DN 20090731 (SH2F) (2)" xfId="28"/>
    <cellStyle name="_113-_UKDN_SHANGHAI_311208" xfId="29"/>
    <cellStyle name="_113-_UKDN_SHANGHAI_311208_OTH REC'B - UK DN" xfId="30"/>
    <cellStyle name="_113-_UKDN_SHANGHAI_311208_副本Shanghai DN 20090731 (SH2F) (2)" xfId="31"/>
    <cellStyle name="_113-_UKDN_SHANGHAI_P01-09" xfId="32"/>
    <cellStyle name="_113-_UKDN_SHANGHAI_P01-09_1415201 HK-PROV CLAIMS (P06_09)" xfId="33"/>
    <cellStyle name="_113-_UKDN_SHANGHAI_P01-09_OTH REC'B - UK DN" xfId="34"/>
    <cellStyle name="_113-_UKDN_SHANGHAI_P01-09_副本Shanghai DN 20090731 (SH2F) (2)" xfId="35"/>
    <cellStyle name="_113-_UKDN_SHANGHAI_P02-09" xfId="36"/>
    <cellStyle name="_113-_UKDN_SHANGHAI_P02-09_1415201 HK-PROV CLAIMS (P06_09)" xfId="37"/>
    <cellStyle name="_113-_UKDN_SHANGHAI_P02-09_OTH REC'B - UK DN" xfId="38"/>
    <cellStyle name="_113-_UKDN_SHANGHAI_P02-09_副本Shanghai DN 20090731 (SH2F) (2)" xfId="39"/>
    <cellStyle name="_113-_UKDN_SHANGHAI_P03-09" xfId="40"/>
    <cellStyle name="_113-_UKDN_SHANGHAI_P03-09_1415201 HK-PROV CLAIMS (P06_09)" xfId="41"/>
    <cellStyle name="_113-_UKDN_SHANGHAI_P03-09_OTH REC'B - UK DN" xfId="42"/>
    <cellStyle name="_113-_UKDN_SHANGHAI_P03-09_副本Shanghai DN 20090731 (SH2F) (2)" xfId="43"/>
    <cellStyle name="_113-_UKDN_SHANGHAI_P04-09" xfId="44"/>
    <cellStyle name="_113-_UKDN_SHANGHAI_P04-09 (Revised on 04.06.09)" xfId="45"/>
    <cellStyle name="_113-_UKDN_SHANGHAI_P04-09 (Revised on 04.06.09)_OTH REC'B - UK DN" xfId="46"/>
    <cellStyle name="_113-_UKDN_SHANGHAI_P04-09 (Revised on 04.06.09)_副本Shanghai DN 20090731 (SH2F) (2)" xfId="47"/>
    <cellStyle name="_113-_UKDN_SHANGHAI_P04-09_1415201 HK-PROV CLAIMS (P06_09)" xfId="48"/>
    <cellStyle name="_113-_UKDN_SHANGHAI_P12-08" xfId="49"/>
    <cellStyle name="_113-_UKDN_SHANGHAI_P12-08 (310109)" xfId="50"/>
    <cellStyle name="_113-_UKDN_SHANGHAI_P12-08 (310109)_1415201 HK-PROV CLAIMS (P06_09)" xfId="51"/>
    <cellStyle name="_113-_UKDN_SHANGHAI_P12-08 (310109)_OTH REC'B - UK DN" xfId="52"/>
    <cellStyle name="_113-_UKDN_SHANGHAI_P12-08 (310109)_副本Shanghai DN 20090731 (SH2F) (2)" xfId="53"/>
    <cellStyle name="_113-_UKDN_SHANGHAI_P12-08_1415201 HK-PROV CLAIMS (P06_09)" xfId="54"/>
    <cellStyle name="_113-_UKDN_SHANGHAI_P12-08_OTH REC'B - UK DN" xfId="55"/>
    <cellStyle name="_113-_UKDN_SHANGHAI_P12-08_副本Shanghai DN 20090731 (SH2F) (2)" xfId="56"/>
    <cellStyle name="_113-_UKDN_THAILAND P01-09" xfId="57"/>
    <cellStyle name="_113-_UKDN_THAILAND P01-09_1415201 HK-PROV CLAIMS (P06_09)" xfId="58"/>
    <cellStyle name="_113-_UKDN_THAILAND P01-09_OTH REC'B - UK DN" xfId="59"/>
    <cellStyle name="_113-_UKDN_THAILAND P01-09_副本Shanghai DN 20090731 (SH2F) (2)" xfId="60"/>
    <cellStyle name="_113-_UKDN_THAILAND P02-09" xfId="61"/>
    <cellStyle name="_113-_UKDN_THAILAND P02-09_1415201 HK-PROV CLAIMS (P06_09)" xfId="62"/>
    <cellStyle name="_113-_UKDN_THAILAND P02-09_OTH REC'B - UK DN" xfId="63"/>
    <cellStyle name="_113-_UKDN_THAILAND P02-09_副本Shanghai DN 20090731 (SH2F) (2)" xfId="64"/>
    <cellStyle name="_113-_UKDN_THAILAND P03-09" xfId="65"/>
    <cellStyle name="_113-_UKDN_THAILAND P03-09_1415201 HK-PROV CLAIMS (P06_09)" xfId="66"/>
    <cellStyle name="_113-_UKDN_THAILAND P03-09_OTH REC'B - UK DN" xfId="67"/>
    <cellStyle name="_113-_UKDN_THAILAND P03-09_副本Shanghai DN 20090731 (SH2F) (2)" xfId="68"/>
    <cellStyle name="_113-_UKDN_THAILAND P04-09" xfId="69"/>
    <cellStyle name="_113-_UKDN_THAILAND P04-09_1415201 HK-PROV CLAIMS (P06_09)" xfId="70"/>
    <cellStyle name="_113-_UKDN_THAILAND P05-09" xfId="71"/>
    <cellStyle name="_113-_UKDN_THAILAND P06-09" xfId="72"/>
    <cellStyle name="_113-_UKDN_THAILAND P07-09" xfId="73"/>
    <cellStyle name="_113-_UKDN_THAILAND P08-09" xfId="74"/>
    <cellStyle name="_113-_UKDN_THAILAND P09-09" xfId="75"/>
    <cellStyle name="_113-_UKDN_THAILAND P10-09" xfId="76"/>
    <cellStyle name="_113-_UKDN_THAILAND P11-09" xfId="77"/>
    <cellStyle name="_113-_UKDN_THAILAND P12" xfId="78"/>
    <cellStyle name="_113-_UKDN_THAILAND P12_1415201 HK-PROV CLAIMS (P06_09)" xfId="79"/>
    <cellStyle name="_113-_UKDN_THAILAND P12_OTH REC'B - UK DN" xfId="80"/>
    <cellStyle name="_113-_UKDN_THAILAND P12_副本Shanghai DN 20090731 (SH2F) (2)" xfId="81"/>
    <cellStyle name="_113-_UKDN_THAILAND P12-08 (310109)" xfId="82"/>
    <cellStyle name="_113-_UKDN_THAILAND P12-08 (310109)_1415201 HK-PROV CLAIMS (P06_09)" xfId="83"/>
    <cellStyle name="_113-_UKDN_THAILAND P12-08 (310109)_OTH REC'B - UK DN" xfId="84"/>
    <cellStyle name="_113-_UKDN_THAILAND P12-08 (310109)_副本Shanghai DN 20090731 (SH2F) (2)" xfId="85"/>
    <cellStyle name="_113-_UKDN_THAILAND P12-09" xfId="86"/>
    <cellStyle name="_113-_UKDN_TURKEY_290208" xfId="87"/>
    <cellStyle name="_113-_UKDN_TURKEY_290208_HK(1320113)P03- Apr 08" xfId="88"/>
    <cellStyle name="_113-_UKDN_TURKEY_290208_HK(1320113)P04- MAY 08R" xfId="89"/>
    <cellStyle name="_113-_UKDN_TURKEY_290208_UKDN_SHANGHAI_P02-09" xfId="90"/>
    <cellStyle name="_113-_UKDN_TURKEY_290208_UKDN_TURKEY_300408" xfId="91"/>
    <cellStyle name="_113-_UKDN_TURKEY_290208_UKDN_TURKEY_310508" xfId="92"/>
    <cellStyle name="_113-_UKDN_TURKEY_290208_UKDN-PD0209" xfId="93"/>
    <cellStyle name="_113-_UKDN_TURKEY_290208_UKDN-PD0209_1415201 HK-PROV CLAIMS (P06_09)" xfId="94"/>
    <cellStyle name="_113-_UKDN_TURKEY_290208_UKDN-PD0209_OTH REC'B - UK DN" xfId="95"/>
    <cellStyle name="_113-_UKDN_TURKEY_290208_UKDN-PD0209_副本Shanghai DN 20090731 (SH2F) (2)" xfId="96"/>
    <cellStyle name="_113-_UKDN_TURKEY_300408" xfId="97"/>
    <cellStyle name="_113-_UKDN_TURKEY_300408_1415201 HK-PROV CLAIMS (P06_09)" xfId="98"/>
    <cellStyle name="_113-_UKDN_TURKEY_300408_OTH REC'B - UK DN" xfId="99"/>
    <cellStyle name="_113-_UKDN_TURKEY_300408_副本Shanghai DN 20090731 (SH2F) (2)" xfId="100"/>
    <cellStyle name="_113-_UKDN_TURKEY_310308" xfId="101"/>
    <cellStyle name="_113-_UKDN_TURKEY_310308_HK(1320113)P03- Apr 08" xfId="102"/>
    <cellStyle name="_113-_UKDN_TURKEY_310308_HK(1320113)P04- MAY 08R" xfId="103"/>
    <cellStyle name="_113-_UKDN_TURKEY_310308_UKDN_SHANGHAI_P02-09" xfId="104"/>
    <cellStyle name="_113-_UKDN_TURKEY_310308_UKDN_TURKEY_300408" xfId="105"/>
    <cellStyle name="_113-_UKDN_TURKEY_310308_UKDN_TURKEY_310508" xfId="106"/>
    <cellStyle name="_113-_UKDN_TURKEY_310308_UKDN-PD0209" xfId="107"/>
    <cellStyle name="_113-_UKDN_TURKEY_310308_UKDN-PD0209_1415201 HK-PROV CLAIMS (P06_09)" xfId="108"/>
    <cellStyle name="_113-_UKDN_TURKEY_310308_UKDN-PD0209_OTH REC'B - UK DN" xfId="109"/>
    <cellStyle name="_113-_UKDN_TURKEY_310308_UKDN-PD0209_副本Shanghai DN 20090731 (SH2F) (2)" xfId="110"/>
    <cellStyle name="_113-_UKDN_TURKEY_310508" xfId="111"/>
    <cellStyle name="_113-_UKDN_TURKEY_310508_1415201 HK-PROV CLAIMS (P06_09)" xfId="112"/>
    <cellStyle name="_113-_UKDN_TURKEY_310508_OTH REC'B - UK DN" xfId="113"/>
    <cellStyle name="_113-_UKDN_TURKEY_310508_副本Shanghai DN 20090731 (SH2F) (2)" xfId="114"/>
    <cellStyle name="_113-_UKDN-PD0108" xfId="115"/>
    <cellStyle name="_113-_UKDN-PD0208 (Revised) - April 08" xfId="116"/>
    <cellStyle name="_113-_UKDN-PD0209" xfId="117"/>
    <cellStyle name="_113-_UKDN-PD0308 (2)" xfId="118"/>
    <cellStyle name="_113-_UKDN-PD0708" xfId="119"/>
    <cellStyle name="_1320113-NEXT OTHER EXP-PD0308" xfId="120"/>
    <cellStyle name="_1415201 HK-PROV CLAIMS (P06_09)" xfId="121"/>
    <cellStyle name="_Accrual_Henry per Hyp 04 03 2011" xfId="122"/>
    <cellStyle name="_Accrual_Henry per Hyp 04 03 2011 10" xfId="123"/>
    <cellStyle name="_Accrual_Henry per Hyp 04 03 2011 11" xfId="124"/>
    <cellStyle name="_Accrual_Henry per Hyp 04 03 2011 12" xfId="125"/>
    <cellStyle name="_Accrual_Henry per Hyp 04 03 2011 13" xfId="126"/>
    <cellStyle name="_Accrual_Henry per Hyp 04 03 2011 14" xfId="127"/>
    <cellStyle name="_Accrual_Henry per Hyp 04 03 2011 15" xfId="128"/>
    <cellStyle name="_Accrual_Henry per Hyp 04 03 2011 16" xfId="129"/>
    <cellStyle name="_Accrual_Henry per Hyp 04 03 2011 17" xfId="130"/>
    <cellStyle name="_Accrual_Henry per Hyp 04 03 2011 2" xfId="131"/>
    <cellStyle name="_Accrual_Henry per Hyp 04 03 2011 3" xfId="132"/>
    <cellStyle name="_Accrual_Henry per Hyp 04 03 2011 4" xfId="133"/>
    <cellStyle name="_Accrual_Henry per Hyp 04 03 2011 5" xfId="134"/>
    <cellStyle name="_Accrual_Henry per Hyp 04 03 2011 6" xfId="135"/>
    <cellStyle name="_Accrual_Henry per Hyp 04 03 2011 7" xfId="136"/>
    <cellStyle name="_Accrual_Henry per Hyp 04 03 2011 8" xfId="137"/>
    <cellStyle name="_Accrual_Henry per Hyp 04 03 2011 9" xfId="138"/>
    <cellStyle name="_Accrual_Henry per Hyp 04 03 2011_2011 P12 PnL Vision - with BD" xfId="139"/>
    <cellStyle name="_Accrual_Henry per Hyp 04 03 2011_6017.24" xfId="140"/>
    <cellStyle name="_Accrual_Henry per Hyp 04 03 2011_AccountP (Aug)" xfId="141"/>
    <cellStyle name="_Accrual_Henry per Hyp 04 03 2011_AccountP (Dec)" xfId="142"/>
    <cellStyle name="_Accrual_Henry per Hyp 04 03 2011_AccountP (Feb)" xfId="143"/>
    <cellStyle name="_Accrual_Henry per Hyp 04 03 2011_AccountP (Jan)" xfId="144"/>
    <cellStyle name="_Accrual_Henry per Hyp 04 03 2011_AccountP (Jul)" xfId="145"/>
    <cellStyle name="_Accrual_Henry per Hyp 04 03 2011_AccountP (Jun)" xfId="146"/>
    <cellStyle name="_Accrual_Henry per Hyp 04 03 2011_AccountP (Mar)" xfId="147"/>
    <cellStyle name="_Accrual_Henry per Hyp 04 03 2011_AccountP (Nov)" xfId="148"/>
    <cellStyle name="_Accrual_Henry per Hyp 04 03 2011_AccountP (Oct)" xfId="149"/>
    <cellStyle name="_Accrual_Henry per Hyp 04 03 2011_AccountP (Sep)" xfId="150"/>
    <cellStyle name="_Accrual_Henry per Hyp 04 03 2011_Accrual movement " xfId="151"/>
    <cellStyle name="_Accrual_Henry per Hyp 04 03 2011_Accrual movement  (2)" xfId="152"/>
    <cellStyle name="_Accrual_Henry per Hyp 04 03 2011_App1.3(Computer)" xfId="153"/>
    <cellStyle name="_Accrual_Henry per Hyp 04 03 2011_Appendix 10.1 " xfId="154"/>
    <cellStyle name="_Accrual_Henry per Hyp 04 03 2011_Appendix 10.1  (Apr)" xfId="155"/>
    <cellStyle name="_Accrual_Henry per Hyp 04 03 2011_Appendix 10.1  (Dec)" xfId="156"/>
    <cellStyle name="_Accrual_Henry per Hyp 04 03 2011_Appendix 10.1  (Feb)" xfId="157"/>
    <cellStyle name="_Accrual_Henry per Hyp 04 03 2011_Appendix 10.1  (Jul)" xfId="158"/>
    <cellStyle name="_Accrual_Henry per Hyp 04 03 2011_Appendix 10.1  (May)" xfId="159"/>
    <cellStyle name="_Accrual_Henry per Hyp 04 03 2011_Appendix 10.1  (Nov)" xfId="160"/>
    <cellStyle name="_Accrual_Henry per Hyp 04 03 2011_Appendix 10.1  (Oct)" xfId="161"/>
    <cellStyle name="_Accrual_Henry per Hyp 04 03 2011_Appendix 10.1  (Sep)" xfId="162"/>
    <cellStyle name="_Accrual_Henry per Hyp 04 03 2011_Appendix 10.2" xfId="163"/>
    <cellStyle name="_Accrual_Henry per Hyp 04 03 2011_Appendix 10.2 (Apr)" xfId="164"/>
    <cellStyle name="_Accrual_Henry per Hyp 04 03 2011_Appendix 10.2 (Aug)" xfId="165"/>
    <cellStyle name="_Accrual_Henry per Hyp 04 03 2011_Appendix 10.2 (Dec)" xfId="166"/>
    <cellStyle name="_Accrual_Henry per Hyp 04 03 2011_Appendix 10.2 (Feb)" xfId="167"/>
    <cellStyle name="_Accrual_Henry per Hyp 04 03 2011_Appendix 10.2 (Jul)" xfId="168"/>
    <cellStyle name="_Accrual_Henry per Hyp 04 03 2011_Appendix 10.2 (May)" xfId="169"/>
    <cellStyle name="_Accrual_Henry per Hyp 04 03 2011_Appendix 10.2 (Nov)" xfId="170"/>
    <cellStyle name="_Accrual_Henry per Hyp 04 03 2011_Appendix 10.2 (Oct)" xfId="171"/>
    <cellStyle name="_Accrual_Henry per Hyp 04 03 2011_Appendix 10.3 (Oct)" xfId="172"/>
    <cellStyle name="_Accrual_Henry per Hyp 04 03 2011_Appendix 11 (Aug)" xfId="173"/>
    <cellStyle name="_Accrual_Henry per Hyp 04 03 2011_Appendix 11 (Dec)" xfId="174"/>
    <cellStyle name="_Accrual_Henry per Hyp 04 03 2011_Appendix 11 (Jul)" xfId="175"/>
    <cellStyle name="_Accrual_Henry per Hyp 04 03 2011_Appendix 12.1" xfId="176"/>
    <cellStyle name="_Accrual_Henry per Hyp 04 03 2011_Appendix 12.1 (Aug)" xfId="177"/>
    <cellStyle name="_Accrual_Henry per Hyp 04 03 2011_Appendix 12.1 (Mar)" xfId="178"/>
    <cellStyle name="_Accrual_Henry per Hyp 04 03 2011_Appendix 12.1 (May)" xfId="179"/>
    <cellStyle name="_Accrual_Henry per Hyp 04 03 2011_Appendix 12.1 (Nov)" xfId="180"/>
    <cellStyle name="_Accrual_Henry per Hyp 04 03 2011_Appendix 12.1 (Oct)" xfId="181"/>
    <cellStyle name="_Accrual_Henry per Hyp 04 03 2011_Appendix 12.1 (Sep)" xfId="182"/>
    <cellStyle name="_Accrual_Henry per Hyp 04 03 2011_Appendix 12.13" xfId="183"/>
    <cellStyle name="_Accrual_Henry per Hyp 04 03 2011_Appendix 12.2 (May)" xfId="184"/>
    <cellStyle name="_Accrual_Henry per Hyp 04 03 2011_Appendix 12.4 (May)" xfId="185"/>
    <cellStyle name="_Accrual_Henry per Hyp 04 03 2011_Appendix 12.6 (May)" xfId="186"/>
    <cellStyle name="_Accrual_Henry per Hyp 04 03 2011_Appendix 12.7 (May)" xfId="187"/>
    <cellStyle name="_Accrual_Henry per Hyp 04 03 2011_Appendix 12.7 (Nov)" xfId="188"/>
    <cellStyle name="_Accrual_Henry per Hyp 04 03 2011_Appendix 12.9 (May)" xfId="189"/>
    <cellStyle name="_Accrual_Henry per Hyp 04 03 2011_Appendix 13" xfId="190"/>
    <cellStyle name="_Accrual_Henry per Hyp 04 03 2011_Appendix 14" xfId="191"/>
    <cellStyle name="_Accrual_Henry per Hyp 04 03 2011_Appendix 14 (JRS)" xfId="192"/>
    <cellStyle name="_Accrual_Henry per Hyp 04 03 2011_Appendix 15" xfId="193"/>
    <cellStyle name="_Accrual_Henry per Hyp 04 03 2011_Appendix 15.1" xfId="194"/>
    <cellStyle name="_Accrual_Henry per Hyp 04 03 2011_Appendix 16" xfId="195"/>
    <cellStyle name="_Accrual_Henry per Hyp 04 03 2011_Appendix 17" xfId="196"/>
    <cellStyle name="_Accrual_Henry per Hyp 04 03 2011_Appendix 18" xfId="197"/>
    <cellStyle name="_Accrual_Henry per Hyp 04 03 2011_Appendix 3" xfId="198"/>
    <cellStyle name="_Accrual_Henry per Hyp 04 03 2011_Appendix 3 (SA)" xfId="199"/>
    <cellStyle name="_Accrual_Henry per Hyp 04 03 2011_Appendix 3(SA-p9)" xfId="200"/>
    <cellStyle name="_Accrual_Henry per Hyp 04 03 2011_Appendix 3.1 " xfId="201"/>
    <cellStyle name="_Accrual_Henry per Hyp 04 03 2011_Appendix 3.1  (2)" xfId="202"/>
    <cellStyle name="_Accrual_Henry per Hyp 04 03 2011_Appendix 3.1 (sa)" xfId="203"/>
    <cellStyle name="_Accrual_Henry per Hyp 04 03 2011_Appendix 3.1 (sa) (2)" xfId="204"/>
    <cellStyle name="_Accrual_Henry per Hyp 04 03 2011_Appendix 3.1 (sa-P9)  " xfId="205"/>
    <cellStyle name="_Accrual_Henry per Hyp 04 03 2011_Appendix 5" xfId="206"/>
    <cellStyle name="_Accrual_Henry per Hyp 04 03 2011_Appendix 5 (Apr)" xfId="207"/>
    <cellStyle name="_Accrual_Henry per Hyp 04 03 2011_Appendix 5 (Jul)" xfId="208"/>
    <cellStyle name="_Accrual_Henry per Hyp 04 03 2011_Appendix 5 (Jun)" xfId="209"/>
    <cellStyle name="_Accrual_Henry per Hyp 04 03 2011_Appendix 5 (Oct)" xfId="210"/>
    <cellStyle name="_Accrual_Henry per Hyp 04 03 2011_Appendix 5 (Sep)" xfId="211"/>
    <cellStyle name="_Accrual_Henry per Hyp 04 03 2011_Appendix 6" xfId="212"/>
    <cellStyle name="_Accrual_Henry per Hyp 04 03 2011_Appendix 6 " xfId="213"/>
    <cellStyle name="_Accrual_Henry per Hyp 04 03 2011_Appendix 6 (2)" xfId="214"/>
    <cellStyle name="_Accrual_Henry per Hyp 04 03 2011_Appendix 6 (OK)" xfId="215"/>
    <cellStyle name="_Accrual_Henry per Hyp 04 03 2011_Appendix 7" xfId="216"/>
    <cellStyle name="_Accrual_Henry per Hyp 04 03 2011_Appendix 8 (2)" xfId="217"/>
    <cellStyle name="_Accrual_Henry per Hyp 04 03 2011_Appendix 8 (Aug)" xfId="218"/>
    <cellStyle name="_Accrual_Henry per Hyp 04 03 2011_Appendix 8 (Feb)" xfId="219"/>
    <cellStyle name="_Accrual_Henry per Hyp 04 03 2011_Appendix 8 (Jan)" xfId="220"/>
    <cellStyle name="_Accrual_Henry per Hyp 04 03 2011_Appendix 8 (Jul)" xfId="221"/>
    <cellStyle name="_Accrual_Henry per Hyp 04 03 2011_Appendix 8 (May)" xfId="222"/>
    <cellStyle name="_Accrual_Henry per Hyp 04 03 2011_Appendix 8 (Sep)" xfId="223"/>
    <cellStyle name="_Accrual_Henry per Hyp 04 03 2011_BS" xfId="224"/>
    <cellStyle name="_Accrual_Henry per Hyp 04 03 2011_Cash advance - GBP 5871 07 17 May2011" xfId="225"/>
    <cellStyle name="_Accrual_Henry per Hyp 04 03 2011_Currencylog 31Aug11(SA)" xfId="226"/>
    <cellStyle name="_Accrual_Henry per Hyp 04 03 2011_GBP" xfId="227"/>
    <cellStyle name="_Accrual_Henry per Hyp 04 03 2011_P03 UK -BS Yr11-12(SA)-for refesh" xfId="228"/>
    <cellStyle name="_Accrual_Henry per Hyp 04 03 2011_P1 UK -BS Yr12-13(Miu)" xfId="229"/>
    <cellStyle name="_Accrual_Henry per Hyp 04 03 2011_P10 UK -BS Yr12-13(SA)-for refesh" xfId="230"/>
    <cellStyle name="_Accrual_Henry per Hyp 04 03 2011_P12 2011 UK -BS Yr11-12(SA)-for refesh" xfId="231"/>
    <cellStyle name="_Accrual_Henry per Hyp 04 03 2011_P12 2011 UK -BS Yr11-12(SA)-for refesh-working for tax pack" xfId="232"/>
    <cellStyle name="_Accrual_Henry per Hyp 04 03 2011_P12 UK -BS Yr11-12(SA)-for refesh" xfId="233"/>
    <cellStyle name="_Accrual_Henry per Hyp 04 03 2011_P2 UK -BS Yr11-12 (SA)" xfId="234"/>
    <cellStyle name="_Accrual_Henry per Hyp 04 03 2011_P3 UK -BS Yr11-12 (SA)" xfId="235"/>
    <cellStyle name="_Accrual_Henry per Hyp 04 03 2011_P4 UK -BS Yr11-12" xfId="236"/>
    <cellStyle name="_Accrual_Henry per Hyp 04 03 2011_P4 UK -BS Yr11-12(Miu)" xfId="237"/>
    <cellStyle name="_Accrual_Henry per Hyp 04 03 2011_P4 UK -BS Yr11-12(Miu-1)" xfId="238"/>
    <cellStyle name="_Accrual_Henry per Hyp 04 03 2011_P4 UK -BS Yr11-12(SA)" xfId="239"/>
    <cellStyle name="_Accrual_Henry per Hyp 04 03 2011_P4 UK -BS Yr12-13(Miu)" xfId="240"/>
    <cellStyle name="_Accrual_Henry per Hyp 04 03 2011_P6 UK -BS Yr11-12(SA)" xfId="241"/>
    <cellStyle name="_Accrual_Henry per Hyp 04 03 2011_P7 UK -BS Yr11-12(SA)" xfId="242"/>
    <cellStyle name="_Accrual_Henry per Hyp 04 03 2011_P9 PnL BS only" xfId="243"/>
    <cellStyle name="_Accrual_Henry per Hyp 04 03 2011_P9 PnL BS only- testing" xfId="244"/>
    <cellStyle name="_Accrual_Henry per Hyp 04 03 2011_Petty Cash 30Aug2011(to Cindy)" xfId="245"/>
    <cellStyle name="_Accrual_Henry per Hyp 04 03 2011_temp - P4" xfId="246"/>
    <cellStyle name="_AUHKNRl(1320113)P12-26 JAN 08v1" xfId="247"/>
    <cellStyle name="_AUHKNRl(1320113)P12-26 JAN 08v1_113-" xfId="248"/>
    <cellStyle name="_AUHKNRl(1320113)P12-26 JAN 08v1_AUHKNRl(1320113)P01- FEB 08" xfId="249"/>
    <cellStyle name="_AUHKNRl(1320113)P12-26 JAN 08v1_AUHKNRl(1320113)P02- Mar 08" xfId="250"/>
    <cellStyle name="_AUHKNRl(1320113)P12-26 JAN 08v1_AUHKNRl(1320113)P03-APR 08" xfId="251"/>
    <cellStyle name="_AUHKNRl(1320113)P12-26 JAN 08v1_AUHKNRl(1320113)P12-31 JAN 08" xfId="252"/>
    <cellStyle name="_AUHKNRl(1320113)P12-26 JAN 08v1_AUHKNRl(1320113)P12-31 JAN 08w" xfId="253"/>
    <cellStyle name="_AUHKNRl(1320113)P12-26 JAN 08v1_Book5" xfId="254"/>
    <cellStyle name="_AUHKNRl(1320113)P12-26 JAN 08v1_HK(1320113)P03- Apr 08" xfId="255"/>
    <cellStyle name="_AUHKNRl(1320113)P12-26 JAN 08v1_HK(1320113)P04- MAY 08R" xfId="256"/>
    <cellStyle name="_AUHKNRl(1320113)P12-26 JAN 08v1_UKDN" xfId="257"/>
    <cellStyle name="_AUHKNRl(1320113)P12-26 JAN 08v1_UKDN_SHANGHAI_P02-09" xfId="258"/>
    <cellStyle name="_AUHKNRl(1320113)P12-26 JAN 08v1_UKDN_TURKEY_290208" xfId="259"/>
    <cellStyle name="_AUHKNRl(1320113)P12-26 JAN 08v1_UKDN_TURKEY_300408" xfId="260"/>
    <cellStyle name="_AUHKNRl(1320113)P12-26 JAN 08v1_UKDN_TURKEY_310308" xfId="261"/>
    <cellStyle name="_AUHKNRl(1320113)P12-26 JAN 08v1_UKDN_TURKEY_310508" xfId="262"/>
    <cellStyle name="_AUHKNRl(1320113)P12-26 JAN 08v1_UKDN-PD0108" xfId="263"/>
    <cellStyle name="_AUHKNRl(1320113)P12-26 JAN 08v1_UKDN-PD0209" xfId="264"/>
    <cellStyle name="_AUHKNRl(1320113)P12-26 JAN 08v1_UKDN-PD0308 (2)" xfId="265"/>
    <cellStyle name="_AUHKNRl(1320113)P12-26 JAN 08v1_UKDN-PD0708" xfId="266"/>
    <cellStyle name="_AUHKNRl(1320113)P12-31 JAN 08" xfId="267"/>
    <cellStyle name="_AUHKNRl(1320113)P12-31 JAN 08_AUHKNRl(1320113)P02- Mar 08" xfId="268"/>
    <cellStyle name="_AUHKNRl(1320113)P12-31 JAN 08_AUHKNRl(1320113)P03-APR 08" xfId="269"/>
    <cellStyle name="_AUHKNRl(1320113)P12-31 JAN 08_Book5" xfId="270"/>
    <cellStyle name="_AUHKNRl(1320113)P12-31 JAN 08_HK(1320113)P03- Apr 08" xfId="271"/>
    <cellStyle name="_AUHKNRl(1320113)P12-31 JAN 08_HK(1320113)P04- MAY 08R" xfId="272"/>
    <cellStyle name="_AUHKNRl(1320113)P12-31 JAN 08_HK_SH_TH AR P02_09(revised)" xfId="273"/>
    <cellStyle name="_AUHKNRl(1320113)P12-31 JAN 08_HK_SH_TH AR P03_09" xfId="274"/>
    <cellStyle name="_AUHKNRl(1320113)P12-31 JAN 08_Lipsy_AR - SH P12" xfId="275"/>
    <cellStyle name="_AUHKNRl(1320113)P12-31 JAN 08_TH_SCH PD03 (AR)" xfId="276"/>
    <cellStyle name="_AUHKNRl(1320113)P12-31 JAN 08_TH_SCH PD03 (AR)_OTH REC'B - UK DN" xfId="277"/>
    <cellStyle name="_AUHKNRl(1320113)P12-31 JAN 08_TH_SCH PD03 (AR)_副本Shanghai DN 20090731 (SH2F) (2)" xfId="278"/>
    <cellStyle name="_AUHKNRl(1320113)P12-31 JAN 08_UKDN" xfId="279"/>
    <cellStyle name="_AUHKNRl(1320113)P12-31 JAN 08_UKDN_SHANGHAI_300908 (REVISED ON 2.10.08)" xfId="280"/>
    <cellStyle name="_AUHKNRl(1320113)P12-31 JAN 08_UKDN_SHANGHAI_300908 (REVISED ON 2.10.08)_OTH REC'B - UK DN" xfId="281"/>
    <cellStyle name="_AUHKNRl(1320113)P12-31 JAN 08_UKDN_SHANGHAI_300908 (REVISED ON 2.10.08)_副本Shanghai DN 20090731 (SH2F) (2)" xfId="282"/>
    <cellStyle name="_AUHKNRl(1320113)P12-31 JAN 08_UKDN_SHANGHAI_310808" xfId="283"/>
    <cellStyle name="_AUHKNRl(1320113)P12-31 JAN 08_UKDN_SHANGHAI_310808_OTH REC'B - UK DN" xfId="284"/>
    <cellStyle name="_AUHKNRl(1320113)P12-31 JAN 08_UKDN_SHANGHAI_310808_副本Shanghai DN 20090731 (SH2F) (2)" xfId="285"/>
    <cellStyle name="_AUHKNRl(1320113)P12-31 JAN 08_UKDN_SHANGHAI_311208" xfId="286"/>
    <cellStyle name="_AUHKNRl(1320113)P12-31 JAN 08_UKDN_SHANGHAI_311208_OTH REC'B - UK DN" xfId="287"/>
    <cellStyle name="_AUHKNRl(1320113)P12-31 JAN 08_UKDN_SHANGHAI_311208_副本Shanghai DN 20090731 (SH2F) (2)" xfId="288"/>
    <cellStyle name="_AUHKNRl(1320113)P12-31 JAN 08_UKDN_SHANGHAI_P01-09" xfId="289"/>
    <cellStyle name="_AUHKNRl(1320113)P12-31 JAN 08_UKDN_SHANGHAI_P01-09_1415201 HK-PROV CLAIMS (P06_09)" xfId="290"/>
    <cellStyle name="_AUHKNRl(1320113)P12-31 JAN 08_UKDN_SHANGHAI_P01-09_OTH REC'B - UK DN" xfId="291"/>
    <cellStyle name="_AUHKNRl(1320113)P12-31 JAN 08_UKDN_SHANGHAI_P01-09_副本Shanghai DN 20090731 (SH2F) (2)" xfId="292"/>
    <cellStyle name="_AUHKNRl(1320113)P12-31 JAN 08_UKDN_SHANGHAI_P02-09" xfId="293"/>
    <cellStyle name="_AUHKNRl(1320113)P12-31 JAN 08_UKDN_SHANGHAI_P02-09_1415201 HK-PROV CLAIMS (P06_09)" xfId="294"/>
    <cellStyle name="_AUHKNRl(1320113)P12-31 JAN 08_UKDN_SHANGHAI_P02-09_OTH REC'B - UK DN" xfId="295"/>
    <cellStyle name="_AUHKNRl(1320113)P12-31 JAN 08_UKDN_SHANGHAI_P02-09_副本Shanghai DN 20090731 (SH2F) (2)" xfId="296"/>
    <cellStyle name="_AUHKNRl(1320113)P12-31 JAN 08_UKDN_SHANGHAI_P03-09" xfId="297"/>
    <cellStyle name="_AUHKNRl(1320113)P12-31 JAN 08_UKDN_SHANGHAI_P03-09_1415201 HK-PROV CLAIMS (P06_09)" xfId="298"/>
    <cellStyle name="_AUHKNRl(1320113)P12-31 JAN 08_UKDN_SHANGHAI_P03-09_OTH REC'B - UK DN" xfId="299"/>
    <cellStyle name="_AUHKNRl(1320113)P12-31 JAN 08_UKDN_SHANGHAI_P03-09_副本Shanghai DN 20090731 (SH2F) (2)" xfId="300"/>
    <cellStyle name="_AUHKNRl(1320113)P12-31 JAN 08_UKDN_SHANGHAI_P04-09" xfId="301"/>
    <cellStyle name="_AUHKNRl(1320113)P12-31 JAN 08_UKDN_SHANGHAI_P04-09 (Revised on 04.06.09)" xfId="302"/>
    <cellStyle name="_AUHKNRl(1320113)P12-31 JAN 08_UKDN_SHANGHAI_P04-09 (Revised on 04.06.09)_OTH REC'B - UK DN" xfId="303"/>
    <cellStyle name="_AUHKNRl(1320113)P12-31 JAN 08_UKDN_SHANGHAI_P04-09 (Revised on 04.06.09)_副本Shanghai DN 20090731 (SH2F) (2)" xfId="304"/>
    <cellStyle name="_AUHKNRl(1320113)P12-31 JAN 08_UKDN_SHANGHAI_P04-09_1415201 HK-PROV CLAIMS (P06_09)" xfId="305"/>
    <cellStyle name="_AUHKNRl(1320113)P12-31 JAN 08_UKDN_SHANGHAI_P12-08" xfId="306"/>
    <cellStyle name="_AUHKNRl(1320113)P12-31 JAN 08_UKDN_SHANGHAI_P12-08 (310109)" xfId="307"/>
    <cellStyle name="_AUHKNRl(1320113)P12-31 JAN 08_UKDN_SHANGHAI_P12-08 (310109)_1415201 HK-PROV CLAIMS (P06_09)" xfId="308"/>
    <cellStyle name="_AUHKNRl(1320113)P12-31 JAN 08_UKDN_SHANGHAI_P12-08 (310109)_OTH REC'B - UK DN" xfId="309"/>
    <cellStyle name="_AUHKNRl(1320113)P12-31 JAN 08_UKDN_SHANGHAI_P12-08 (310109)_副本Shanghai DN 20090731 (SH2F) (2)" xfId="310"/>
    <cellStyle name="_AUHKNRl(1320113)P12-31 JAN 08_UKDN_SHANGHAI_P12-08_1415201 HK-PROV CLAIMS (P06_09)" xfId="311"/>
    <cellStyle name="_AUHKNRl(1320113)P12-31 JAN 08_UKDN_SHANGHAI_P12-08_OTH REC'B - UK DN" xfId="312"/>
    <cellStyle name="_AUHKNRl(1320113)P12-31 JAN 08_UKDN_SHANGHAI_P12-08_副本Shanghai DN 20090731 (SH2F) (2)" xfId="313"/>
    <cellStyle name="_AUHKNRl(1320113)P12-31 JAN 08_UKDN_THAILAND P01-09" xfId="314"/>
    <cellStyle name="_AUHKNRl(1320113)P12-31 JAN 08_UKDN_THAILAND P01-09_1415201 HK-PROV CLAIMS (P06_09)" xfId="315"/>
    <cellStyle name="_AUHKNRl(1320113)P12-31 JAN 08_UKDN_THAILAND P01-09_OTH REC'B - UK DN" xfId="316"/>
    <cellStyle name="_AUHKNRl(1320113)P12-31 JAN 08_UKDN_THAILAND P01-09_副本Shanghai DN 20090731 (SH2F) (2)" xfId="317"/>
    <cellStyle name="_AUHKNRl(1320113)P12-31 JAN 08_UKDN_THAILAND P02-09" xfId="318"/>
    <cellStyle name="_AUHKNRl(1320113)P12-31 JAN 08_UKDN_THAILAND P02-09_1415201 HK-PROV CLAIMS (P06_09)" xfId="319"/>
    <cellStyle name="_AUHKNRl(1320113)P12-31 JAN 08_UKDN_THAILAND P02-09_OTH REC'B - UK DN" xfId="320"/>
    <cellStyle name="_AUHKNRl(1320113)P12-31 JAN 08_UKDN_THAILAND P02-09_副本Shanghai DN 20090731 (SH2F) (2)" xfId="321"/>
    <cellStyle name="_AUHKNRl(1320113)P12-31 JAN 08_UKDN_THAILAND P03-09" xfId="322"/>
    <cellStyle name="_AUHKNRl(1320113)P12-31 JAN 08_UKDN_THAILAND P03-09_1415201 HK-PROV CLAIMS (P06_09)" xfId="323"/>
    <cellStyle name="_AUHKNRl(1320113)P12-31 JAN 08_UKDN_THAILAND P03-09_OTH REC'B - UK DN" xfId="324"/>
    <cellStyle name="_AUHKNRl(1320113)P12-31 JAN 08_UKDN_THAILAND P03-09_副本Shanghai DN 20090731 (SH2F) (2)" xfId="325"/>
    <cellStyle name="_AUHKNRl(1320113)P12-31 JAN 08_UKDN_THAILAND P04-09" xfId="326"/>
    <cellStyle name="_AUHKNRl(1320113)P12-31 JAN 08_UKDN_THAILAND P04-09_1415201 HK-PROV CLAIMS (P06_09)" xfId="327"/>
    <cellStyle name="_AUHKNRl(1320113)P12-31 JAN 08_UKDN_THAILAND P05-09" xfId="328"/>
    <cellStyle name="_AUHKNRl(1320113)P12-31 JAN 08_UKDN_THAILAND P06-09" xfId="329"/>
    <cellStyle name="_AUHKNRl(1320113)P12-31 JAN 08_UKDN_THAILAND P07-09" xfId="330"/>
    <cellStyle name="_AUHKNRl(1320113)P12-31 JAN 08_UKDN_THAILAND P08-09" xfId="331"/>
    <cellStyle name="_AUHKNRl(1320113)P12-31 JAN 08_UKDN_THAILAND P09-09" xfId="332"/>
    <cellStyle name="_AUHKNRl(1320113)P12-31 JAN 08_UKDN_THAILAND P10-09" xfId="333"/>
    <cellStyle name="_AUHKNRl(1320113)P12-31 JAN 08_UKDN_THAILAND P11-09" xfId="334"/>
    <cellStyle name="_AUHKNRl(1320113)P12-31 JAN 08_UKDN_THAILAND P12" xfId="335"/>
    <cellStyle name="_AUHKNRl(1320113)P12-31 JAN 08_UKDN_THAILAND P12_1415201 HK-PROV CLAIMS (P06_09)" xfId="336"/>
    <cellStyle name="_AUHKNRl(1320113)P12-31 JAN 08_UKDN_THAILAND P12_OTH REC'B - UK DN" xfId="337"/>
    <cellStyle name="_AUHKNRl(1320113)P12-31 JAN 08_UKDN_THAILAND P12_副本Shanghai DN 20090731 (SH2F) (2)" xfId="338"/>
    <cellStyle name="_AUHKNRl(1320113)P12-31 JAN 08_UKDN_THAILAND P12-08 (310109)" xfId="339"/>
    <cellStyle name="_AUHKNRl(1320113)P12-31 JAN 08_UKDN_THAILAND P12-08 (310109)_1415201 HK-PROV CLAIMS (P06_09)" xfId="340"/>
    <cellStyle name="_AUHKNRl(1320113)P12-31 JAN 08_UKDN_THAILAND P12-08 (310109)_OTH REC'B - UK DN" xfId="341"/>
    <cellStyle name="_AUHKNRl(1320113)P12-31 JAN 08_UKDN_THAILAND P12-08 (310109)_副本Shanghai DN 20090731 (SH2F) (2)" xfId="342"/>
    <cellStyle name="_AUHKNRl(1320113)P12-31 JAN 08_UKDN_THAILAND P12-09" xfId="343"/>
    <cellStyle name="_AUHKNRl(1320113)P12-31 JAN 08_UKDN_TURKEY_290208" xfId="344"/>
    <cellStyle name="_AUHKNRl(1320113)P12-31 JAN 08_UKDN_TURKEY_290208_HK(1320113)P03- Apr 08" xfId="345"/>
    <cellStyle name="_AUHKNRl(1320113)P12-31 JAN 08_UKDN_TURKEY_290208_HK(1320113)P04- MAY 08R" xfId="346"/>
    <cellStyle name="_AUHKNRl(1320113)P12-31 JAN 08_UKDN_TURKEY_290208_UKDN_SHANGHAI_P02-09" xfId="347"/>
    <cellStyle name="_AUHKNRl(1320113)P12-31 JAN 08_UKDN_TURKEY_290208_UKDN_TURKEY_300408" xfId="348"/>
    <cellStyle name="_AUHKNRl(1320113)P12-31 JAN 08_UKDN_TURKEY_290208_UKDN_TURKEY_310508" xfId="349"/>
    <cellStyle name="_AUHKNRl(1320113)P12-31 JAN 08_UKDN_TURKEY_290208_UKDN-PD0209" xfId="350"/>
    <cellStyle name="_AUHKNRl(1320113)P12-31 JAN 08_UKDN_TURKEY_290208_UKDN-PD0209_1415201 HK-PROV CLAIMS (P06_09)" xfId="351"/>
    <cellStyle name="_AUHKNRl(1320113)P12-31 JAN 08_UKDN_TURKEY_290208_UKDN-PD0209_OTH REC'B - UK DN" xfId="352"/>
    <cellStyle name="_AUHKNRl(1320113)P12-31 JAN 08_UKDN_TURKEY_290208_UKDN-PD0209_副本Shanghai DN 20090731 (SH2F) (2)" xfId="353"/>
    <cellStyle name="_AUHKNRl(1320113)P12-31 JAN 08_UKDN_TURKEY_300408" xfId="354"/>
    <cellStyle name="_AUHKNRl(1320113)P12-31 JAN 08_UKDN_TURKEY_300408_1415201 HK-PROV CLAIMS (P06_09)" xfId="355"/>
    <cellStyle name="_AUHKNRl(1320113)P12-31 JAN 08_UKDN_TURKEY_300408_OTH REC'B - UK DN" xfId="356"/>
    <cellStyle name="_AUHKNRl(1320113)P12-31 JAN 08_UKDN_TURKEY_300408_副本Shanghai DN 20090731 (SH2F) (2)" xfId="357"/>
    <cellStyle name="_AUHKNRl(1320113)P12-31 JAN 08_UKDN_TURKEY_310308" xfId="358"/>
    <cellStyle name="_AUHKNRl(1320113)P12-31 JAN 08_UKDN_TURKEY_310308_HK(1320113)P03- Apr 08" xfId="359"/>
    <cellStyle name="_AUHKNRl(1320113)P12-31 JAN 08_UKDN_TURKEY_310308_HK(1320113)P04- MAY 08R" xfId="360"/>
    <cellStyle name="_AUHKNRl(1320113)P12-31 JAN 08_UKDN_TURKEY_310308_UKDN_SHANGHAI_P02-09" xfId="361"/>
    <cellStyle name="_AUHKNRl(1320113)P12-31 JAN 08_UKDN_TURKEY_310308_UKDN_TURKEY_300408" xfId="362"/>
    <cellStyle name="_AUHKNRl(1320113)P12-31 JAN 08_UKDN_TURKEY_310308_UKDN_TURKEY_310508" xfId="363"/>
    <cellStyle name="_AUHKNRl(1320113)P12-31 JAN 08_UKDN_TURKEY_310308_UKDN-PD0209" xfId="364"/>
    <cellStyle name="_AUHKNRl(1320113)P12-31 JAN 08_UKDN_TURKEY_310308_UKDN-PD0209_1415201 HK-PROV CLAIMS (P06_09)" xfId="365"/>
    <cellStyle name="_AUHKNRl(1320113)P12-31 JAN 08_UKDN_TURKEY_310308_UKDN-PD0209_OTH REC'B - UK DN" xfId="366"/>
    <cellStyle name="_AUHKNRl(1320113)P12-31 JAN 08_UKDN_TURKEY_310308_UKDN-PD0209_副本Shanghai DN 20090731 (SH2F) (2)" xfId="367"/>
    <cellStyle name="_AUHKNRl(1320113)P12-31 JAN 08_UKDN_TURKEY_310508" xfId="368"/>
    <cellStyle name="_AUHKNRl(1320113)P12-31 JAN 08_UKDN_TURKEY_310508_1415201 HK-PROV CLAIMS (P06_09)" xfId="369"/>
    <cellStyle name="_AUHKNRl(1320113)P12-31 JAN 08_UKDN_TURKEY_310508_OTH REC'B - UK DN" xfId="370"/>
    <cellStyle name="_AUHKNRl(1320113)P12-31 JAN 08_UKDN_TURKEY_310508_副本Shanghai DN 20090731 (SH2F) (2)" xfId="371"/>
    <cellStyle name="_AUHKNRl(1320113)P12-31 JAN 08_UKDN-PD0108" xfId="372"/>
    <cellStyle name="_AUHKNRl(1320113)P12-31 JAN 08_UKDN-PD0208 (Revised) - April 08" xfId="373"/>
    <cellStyle name="_AUHKNRl(1320113)P12-31 JAN 08_UKDN-PD0209" xfId="374"/>
    <cellStyle name="_AUHKNRl(1320113)P12-31 JAN 08_UKDN-PD0308 (2)" xfId="375"/>
    <cellStyle name="_AUHKNRl(1320113)P12-31 JAN 08_UKDN-PD0708" xfId="376"/>
    <cellStyle name="_AUHKNRl(1320113)P12-31 JAN 08w" xfId="377"/>
    <cellStyle name="_Barclaycard" xfId="378"/>
    <cellStyle name="_Barclaycard 10" xfId="379"/>
    <cellStyle name="_Barclaycard 11" xfId="380"/>
    <cellStyle name="_Barclaycard 12" xfId="381"/>
    <cellStyle name="_Barclaycard 13" xfId="382"/>
    <cellStyle name="_Barclaycard 14" xfId="383"/>
    <cellStyle name="_Barclaycard 15" xfId="384"/>
    <cellStyle name="_Barclaycard 16" xfId="385"/>
    <cellStyle name="_Barclaycard 17" xfId="386"/>
    <cellStyle name="_Barclaycard 2" xfId="387"/>
    <cellStyle name="_Barclaycard 3" xfId="388"/>
    <cellStyle name="_Barclaycard 4" xfId="389"/>
    <cellStyle name="_Barclaycard 5" xfId="390"/>
    <cellStyle name="_Barclaycard 6" xfId="391"/>
    <cellStyle name="_Barclaycard 7" xfId="392"/>
    <cellStyle name="_Barclaycard 8" xfId="393"/>
    <cellStyle name="_Barclaycard 9" xfId="394"/>
    <cellStyle name="_Barclaycard_2011 P12 PnL Vision - with BD" xfId="395"/>
    <cellStyle name="_Barclaycard_6017.24" xfId="396"/>
    <cellStyle name="_Barclaycard_AccountP (Aug)" xfId="397"/>
    <cellStyle name="_Barclaycard_AccountP (Dec)" xfId="398"/>
    <cellStyle name="_Barclaycard_AccountP (Feb)" xfId="399"/>
    <cellStyle name="_Barclaycard_AccountP (Jan)" xfId="400"/>
    <cellStyle name="_Barclaycard_AccountP (Jul)" xfId="401"/>
    <cellStyle name="_Barclaycard_AccountP (Jun)" xfId="402"/>
    <cellStyle name="_Barclaycard_AccountP (Mar)" xfId="403"/>
    <cellStyle name="_Barclaycard_AccountP (Nov)" xfId="404"/>
    <cellStyle name="_Barclaycard_AccountP (Oct)" xfId="405"/>
    <cellStyle name="_Barclaycard_AccountP (Sep)" xfId="406"/>
    <cellStyle name="_Barclaycard_Accrual movement " xfId="407"/>
    <cellStyle name="_Barclaycard_Accrual movement  (2)" xfId="408"/>
    <cellStyle name="_Barclaycard_App1.3(Computer)" xfId="409"/>
    <cellStyle name="_Barclaycard_Appendix 10.1 " xfId="410"/>
    <cellStyle name="_Barclaycard_Appendix 10.1  (Apr)" xfId="411"/>
    <cellStyle name="_Barclaycard_Appendix 10.1  (Dec)" xfId="412"/>
    <cellStyle name="_Barclaycard_Appendix 10.1  (Feb)" xfId="413"/>
    <cellStyle name="_Barclaycard_Appendix 10.1  (Jul)" xfId="414"/>
    <cellStyle name="_Barclaycard_Appendix 10.1  (May)" xfId="415"/>
    <cellStyle name="_Barclaycard_Appendix 10.1  (Nov)" xfId="416"/>
    <cellStyle name="_Barclaycard_Appendix 10.1  (Oct)" xfId="417"/>
    <cellStyle name="_Barclaycard_Appendix 10.1  (Sep)" xfId="418"/>
    <cellStyle name="_Barclaycard_Appendix 10.2" xfId="419"/>
    <cellStyle name="_Barclaycard_Appendix 10.2 (Apr)" xfId="420"/>
    <cellStyle name="_Barclaycard_Appendix 10.2 (Aug)" xfId="421"/>
    <cellStyle name="_Barclaycard_Appendix 10.2 (Dec)" xfId="422"/>
    <cellStyle name="_Barclaycard_Appendix 10.2 (Feb)" xfId="423"/>
    <cellStyle name="_Barclaycard_Appendix 10.2 (Jul)" xfId="424"/>
    <cellStyle name="_Barclaycard_Appendix 10.2 (May)" xfId="425"/>
    <cellStyle name="_Barclaycard_Appendix 10.2 (Nov)" xfId="426"/>
    <cellStyle name="_Barclaycard_Appendix 10.2 (Oct)" xfId="427"/>
    <cellStyle name="_Barclaycard_Appendix 10.3 (Oct)" xfId="428"/>
    <cellStyle name="_Barclaycard_Appendix 11 (Aug)" xfId="429"/>
    <cellStyle name="_Barclaycard_Appendix 11 (Dec)" xfId="430"/>
    <cellStyle name="_Barclaycard_Appendix 11 (Jul)" xfId="431"/>
    <cellStyle name="_Barclaycard_Appendix 12.1" xfId="432"/>
    <cellStyle name="_Barclaycard_Appendix 12.1 (Aug)" xfId="433"/>
    <cellStyle name="_Barclaycard_Appendix 12.1 (Mar)" xfId="434"/>
    <cellStyle name="_Barclaycard_Appendix 12.1 (May)" xfId="435"/>
    <cellStyle name="_Barclaycard_Appendix 12.1 (Nov)" xfId="436"/>
    <cellStyle name="_Barclaycard_Appendix 12.1 (Oct)" xfId="437"/>
    <cellStyle name="_Barclaycard_Appendix 12.1 (Sep)" xfId="438"/>
    <cellStyle name="_Barclaycard_Appendix 12.13" xfId="439"/>
    <cellStyle name="_Barclaycard_Appendix 12.2 (May)" xfId="440"/>
    <cellStyle name="_Barclaycard_Appendix 12.4 (May)" xfId="441"/>
    <cellStyle name="_Barclaycard_Appendix 12.6 (May)" xfId="442"/>
    <cellStyle name="_Barclaycard_Appendix 12.7 (May)" xfId="443"/>
    <cellStyle name="_Barclaycard_Appendix 12.7 (Nov)" xfId="444"/>
    <cellStyle name="_Barclaycard_Appendix 12.9 (May)" xfId="445"/>
    <cellStyle name="_Barclaycard_Appendix 13" xfId="446"/>
    <cellStyle name="_Barclaycard_Appendix 14" xfId="447"/>
    <cellStyle name="_Barclaycard_Appendix 14 (JRS)" xfId="448"/>
    <cellStyle name="_Barclaycard_Appendix 15" xfId="449"/>
    <cellStyle name="_Barclaycard_Appendix 15.1" xfId="450"/>
    <cellStyle name="_Barclaycard_Appendix 16" xfId="451"/>
    <cellStyle name="_Barclaycard_Appendix 17" xfId="452"/>
    <cellStyle name="_Barclaycard_Appendix 18" xfId="453"/>
    <cellStyle name="_Barclaycard_Appendix 3" xfId="454"/>
    <cellStyle name="_Barclaycard_Appendix 3 (SA)" xfId="455"/>
    <cellStyle name="_Barclaycard_Appendix 3(SA-p9)" xfId="456"/>
    <cellStyle name="_Barclaycard_Appendix 3.1 " xfId="457"/>
    <cellStyle name="_Barclaycard_Appendix 3.1  (2)" xfId="458"/>
    <cellStyle name="_Barclaycard_Appendix 3.1 (sa)" xfId="459"/>
    <cellStyle name="_Barclaycard_Appendix 3.1 (sa) (2)" xfId="460"/>
    <cellStyle name="_Barclaycard_Appendix 3.1 (sa-P9)  " xfId="461"/>
    <cellStyle name="_Barclaycard_Appendix 5" xfId="462"/>
    <cellStyle name="_Barclaycard_Appendix 5 (Apr)" xfId="463"/>
    <cellStyle name="_Barclaycard_Appendix 5 (Jul)" xfId="464"/>
    <cellStyle name="_Barclaycard_Appendix 5 (Jun)" xfId="465"/>
    <cellStyle name="_Barclaycard_Appendix 5 (Oct)" xfId="466"/>
    <cellStyle name="_Barclaycard_Appendix 5 (Sep)" xfId="467"/>
    <cellStyle name="_Barclaycard_Appendix 6" xfId="468"/>
    <cellStyle name="_Barclaycard_Appendix 6 " xfId="469"/>
    <cellStyle name="_Barclaycard_Appendix 6 (2)" xfId="470"/>
    <cellStyle name="_Barclaycard_Appendix 6 (OK)" xfId="471"/>
    <cellStyle name="_Barclaycard_Appendix 7" xfId="472"/>
    <cellStyle name="_Barclaycard_Appendix 8 (2)" xfId="473"/>
    <cellStyle name="_Barclaycard_Appendix 8 (Aug)" xfId="474"/>
    <cellStyle name="_Barclaycard_Appendix 8 (Feb)" xfId="475"/>
    <cellStyle name="_Barclaycard_Appendix 8 (Jan)" xfId="476"/>
    <cellStyle name="_Barclaycard_Appendix 8 (Jul)" xfId="477"/>
    <cellStyle name="_Barclaycard_Appendix 8 (May)" xfId="478"/>
    <cellStyle name="_Barclaycard_Appendix 8 (Sep)" xfId="479"/>
    <cellStyle name="_Barclaycard_BS" xfId="480"/>
    <cellStyle name="_Barclaycard_Cash advance - GBP 5871 07 17 May2011" xfId="481"/>
    <cellStyle name="_Barclaycard_Currencylog 31Aug11(SA)" xfId="482"/>
    <cellStyle name="_Barclaycard_GBP" xfId="483"/>
    <cellStyle name="_Barclaycard_P03 UK -BS Yr11-12(SA)-for refesh" xfId="484"/>
    <cellStyle name="_Barclaycard_P1 UK -BS Yr12-13(Miu)" xfId="485"/>
    <cellStyle name="_Barclaycard_P10 UK -BS Yr12-13(SA)-for refesh" xfId="486"/>
    <cellStyle name="_Barclaycard_P12 2011 UK -BS Yr11-12(SA)-for refesh" xfId="487"/>
    <cellStyle name="_Barclaycard_P12 2011 UK -BS Yr11-12(SA)-for refesh-working for tax pack" xfId="488"/>
    <cellStyle name="_Barclaycard_P12 UK -BS Yr11-12(SA)-for refesh" xfId="489"/>
    <cellStyle name="_Barclaycard_P2 UK -BS Yr11-12 (SA)" xfId="490"/>
    <cellStyle name="_Barclaycard_P3 UK -BS Yr11-12 (SA)" xfId="491"/>
    <cellStyle name="_Barclaycard_P4 UK -BS Yr11-12" xfId="492"/>
    <cellStyle name="_Barclaycard_P4 UK -BS Yr11-12(Miu)" xfId="493"/>
    <cellStyle name="_Barclaycard_P4 UK -BS Yr11-12(Miu-1)" xfId="494"/>
    <cellStyle name="_Barclaycard_P4 UK -BS Yr11-12(SA)" xfId="495"/>
    <cellStyle name="_Barclaycard_P4 UK -BS Yr12-13(Miu)" xfId="496"/>
    <cellStyle name="_Barclaycard_P6 UK -BS Yr11-12(SA)" xfId="497"/>
    <cellStyle name="_Barclaycard_P7 UK -BS Yr11-12(SA)" xfId="498"/>
    <cellStyle name="_Barclaycard_P9 PnL BS only" xfId="499"/>
    <cellStyle name="_Barclaycard_P9 PnL BS only- testing" xfId="500"/>
    <cellStyle name="_Barclaycard_Petty Cash 30Aug2011(to Cindy)" xfId="501"/>
    <cellStyle name="_Barclaycard_temp - P4" xfId="502"/>
    <cellStyle name="_Book2" xfId="503"/>
    <cellStyle name="_Book4" xfId="504"/>
    <cellStyle name="_BS+PL P02_1NI - Kapil" xfId="505"/>
    <cellStyle name="_C-86 NSL CURRENT ACCOUNT-P-11-2011-2012" xfId="506"/>
    <cellStyle name="_Copy of Balance Sheet Schedule P9 (3)" xfId="507"/>
    <cellStyle name="_Copy of Balance Sheet Schedule P9 (3)_Accrual movement " xfId="508"/>
    <cellStyle name="_DN_LISTING OCT07" xfId="509"/>
    <cellStyle name="_DN_LISTING OCT07_HK(1320113)P03- Apr 08" xfId="510"/>
    <cellStyle name="_DN_LISTING OCT07_HK(1320113)P04- MAY 08R" xfId="511"/>
    <cellStyle name="_DN_LISTING OCT07_HK_SH_TH AR P02_09(revised)" xfId="512"/>
    <cellStyle name="_DN_LISTING OCT07_HK_SH_TH AR P03_09" xfId="513"/>
    <cellStyle name="_DN_LISTING OCT07_Lipsy_AR - SH P12" xfId="514"/>
    <cellStyle name="_DN_LISTING OCT07_TH_SCH PD03 (AR)" xfId="515"/>
    <cellStyle name="_DN_LISTING OCT07_TH_SCH PD03 (AR)_OTH REC'B - UK DN" xfId="516"/>
    <cellStyle name="_DN_LISTING OCT07_TH_SCH PD03 (AR)_副本Shanghai DN 20090731 (SH2F) (2)" xfId="517"/>
    <cellStyle name="_DN_LISTING OCT07_UKDN_SHANGHAI_300908 (REVISED ON 2.10.08)" xfId="518"/>
    <cellStyle name="_DN_LISTING OCT07_UKDN_SHANGHAI_300908 (REVISED ON 2.10.08)_OTH REC'B - UK DN" xfId="519"/>
    <cellStyle name="_DN_LISTING OCT07_UKDN_SHANGHAI_300908 (REVISED ON 2.10.08)_副本Shanghai DN 20090731 (SH2F) (2)" xfId="520"/>
    <cellStyle name="_DN_LISTING OCT07_UKDN_SHANGHAI_310808" xfId="521"/>
    <cellStyle name="_DN_LISTING OCT07_UKDN_SHANGHAI_310808_OTH REC'B - UK DN" xfId="522"/>
    <cellStyle name="_DN_LISTING OCT07_UKDN_SHANGHAI_310808_副本Shanghai DN 20090731 (SH2F) (2)" xfId="523"/>
    <cellStyle name="_DN_LISTING OCT07_UKDN_SHANGHAI_311208" xfId="524"/>
    <cellStyle name="_DN_LISTING OCT07_UKDN_SHANGHAI_311208_OTH REC'B - UK DN" xfId="525"/>
    <cellStyle name="_DN_LISTING OCT07_UKDN_SHANGHAI_311208_副本Shanghai DN 20090731 (SH2F) (2)" xfId="526"/>
    <cellStyle name="_DN_LISTING OCT07_UKDN_SHANGHAI_P01-09" xfId="527"/>
    <cellStyle name="_DN_LISTING OCT07_UKDN_SHANGHAI_P01-09_1415201 HK-PROV CLAIMS (P06_09)" xfId="528"/>
    <cellStyle name="_DN_LISTING OCT07_UKDN_SHANGHAI_P01-09_OTH REC'B - UK DN" xfId="529"/>
    <cellStyle name="_DN_LISTING OCT07_UKDN_SHANGHAI_P01-09_副本Shanghai DN 20090731 (SH2F) (2)" xfId="530"/>
    <cellStyle name="_DN_LISTING OCT07_UKDN_SHANGHAI_P02-09" xfId="531"/>
    <cellStyle name="_DN_LISTING OCT07_UKDN_SHANGHAI_P02-09_1415201 HK-PROV CLAIMS (P06_09)" xfId="532"/>
    <cellStyle name="_DN_LISTING OCT07_UKDN_SHANGHAI_P02-09_OTH REC'B - UK DN" xfId="533"/>
    <cellStyle name="_DN_LISTING OCT07_UKDN_SHANGHAI_P02-09_副本Shanghai DN 20090731 (SH2F) (2)" xfId="534"/>
    <cellStyle name="_DN_LISTING OCT07_UKDN_SHANGHAI_P03-09" xfId="535"/>
    <cellStyle name="_DN_LISTING OCT07_UKDN_SHANGHAI_P03-09_1415201 HK-PROV CLAIMS (P06_09)" xfId="536"/>
    <cellStyle name="_DN_LISTING OCT07_UKDN_SHANGHAI_P03-09_OTH REC'B - UK DN" xfId="537"/>
    <cellStyle name="_DN_LISTING OCT07_UKDN_SHANGHAI_P03-09_副本Shanghai DN 20090731 (SH2F) (2)" xfId="538"/>
    <cellStyle name="_DN_LISTING OCT07_UKDN_SHANGHAI_P04-09" xfId="539"/>
    <cellStyle name="_DN_LISTING OCT07_UKDN_SHANGHAI_P04-09 (Revised on 04.06.09)" xfId="540"/>
    <cellStyle name="_DN_LISTING OCT07_UKDN_SHANGHAI_P04-09 (Revised on 04.06.09)_OTH REC'B - UK DN" xfId="541"/>
    <cellStyle name="_DN_LISTING OCT07_UKDN_SHANGHAI_P04-09 (Revised on 04.06.09)_副本Shanghai DN 20090731 (SH2F) (2)" xfId="542"/>
    <cellStyle name="_DN_LISTING OCT07_UKDN_SHANGHAI_P04-09_1415201 HK-PROV CLAIMS (P06_09)" xfId="543"/>
    <cellStyle name="_DN_LISTING OCT07_UKDN_SHANGHAI_P12-08" xfId="544"/>
    <cellStyle name="_DN_LISTING OCT07_UKDN_SHANGHAI_P12-08 (310109)" xfId="545"/>
    <cellStyle name="_DN_LISTING OCT07_UKDN_SHANGHAI_P12-08 (310109)_1415201 HK-PROV CLAIMS (P06_09)" xfId="546"/>
    <cellStyle name="_DN_LISTING OCT07_UKDN_SHANGHAI_P12-08 (310109)_OTH REC'B - UK DN" xfId="547"/>
    <cellStyle name="_DN_LISTING OCT07_UKDN_SHANGHAI_P12-08 (310109)_副本Shanghai DN 20090731 (SH2F) (2)" xfId="548"/>
    <cellStyle name="_DN_LISTING OCT07_UKDN_SHANGHAI_P12-08_1415201 HK-PROV CLAIMS (P06_09)" xfId="549"/>
    <cellStyle name="_DN_LISTING OCT07_UKDN_SHANGHAI_P12-08_OTH REC'B - UK DN" xfId="550"/>
    <cellStyle name="_DN_LISTING OCT07_UKDN_SHANGHAI_P12-08_副本Shanghai DN 20090731 (SH2F) (2)" xfId="551"/>
    <cellStyle name="_DN_LISTING OCT07_UKDN_THAILAND P01-09" xfId="552"/>
    <cellStyle name="_DN_LISTING OCT07_UKDN_THAILAND P01-09_1415201 HK-PROV CLAIMS (P06_09)" xfId="553"/>
    <cellStyle name="_DN_LISTING OCT07_UKDN_THAILAND P01-09_OTH REC'B - UK DN" xfId="554"/>
    <cellStyle name="_DN_LISTING OCT07_UKDN_THAILAND P01-09_副本Shanghai DN 20090731 (SH2F) (2)" xfId="555"/>
    <cellStyle name="_DN_LISTING OCT07_UKDN_THAILAND P02-09" xfId="556"/>
    <cellStyle name="_DN_LISTING OCT07_UKDN_THAILAND P02-09_1415201 HK-PROV CLAIMS (P06_09)" xfId="557"/>
    <cellStyle name="_DN_LISTING OCT07_UKDN_THAILAND P02-09_OTH REC'B - UK DN" xfId="558"/>
    <cellStyle name="_DN_LISTING OCT07_UKDN_THAILAND P02-09_副本Shanghai DN 20090731 (SH2F) (2)" xfId="559"/>
    <cellStyle name="_DN_LISTING OCT07_UKDN_THAILAND P03-09" xfId="560"/>
    <cellStyle name="_DN_LISTING OCT07_UKDN_THAILAND P03-09_1415201 HK-PROV CLAIMS (P06_09)" xfId="561"/>
    <cellStyle name="_DN_LISTING OCT07_UKDN_THAILAND P03-09_OTH REC'B - UK DN" xfId="562"/>
    <cellStyle name="_DN_LISTING OCT07_UKDN_THAILAND P03-09_副本Shanghai DN 20090731 (SH2F) (2)" xfId="563"/>
    <cellStyle name="_DN_LISTING OCT07_UKDN_THAILAND P04-09" xfId="564"/>
    <cellStyle name="_DN_LISTING OCT07_UKDN_THAILAND P04-09_1415201 HK-PROV CLAIMS (P06_09)" xfId="565"/>
    <cellStyle name="_DN_LISTING OCT07_UKDN_THAILAND P05-09" xfId="566"/>
    <cellStyle name="_DN_LISTING OCT07_UKDN_THAILAND P06-09" xfId="567"/>
    <cellStyle name="_DN_LISTING OCT07_UKDN_THAILAND P07-09" xfId="568"/>
    <cellStyle name="_DN_LISTING OCT07_UKDN_THAILAND P08-09" xfId="569"/>
    <cellStyle name="_DN_LISTING OCT07_UKDN_THAILAND P09-09" xfId="570"/>
    <cellStyle name="_DN_LISTING OCT07_UKDN_THAILAND P10-09" xfId="571"/>
    <cellStyle name="_DN_LISTING OCT07_UKDN_THAILAND P11-09" xfId="572"/>
    <cellStyle name="_DN_LISTING OCT07_UKDN_THAILAND P12" xfId="573"/>
    <cellStyle name="_DN_LISTING OCT07_UKDN_THAILAND P12_1415201 HK-PROV CLAIMS (P06_09)" xfId="574"/>
    <cellStyle name="_DN_LISTING OCT07_UKDN_THAILAND P12_OTH REC'B - UK DN" xfId="575"/>
    <cellStyle name="_DN_LISTING OCT07_UKDN_THAILAND P12_副本Shanghai DN 20090731 (SH2F) (2)" xfId="576"/>
    <cellStyle name="_DN_LISTING OCT07_UKDN_THAILAND P12-08 (310109)" xfId="577"/>
    <cellStyle name="_DN_LISTING OCT07_UKDN_THAILAND P12-08 (310109)_1415201 HK-PROV CLAIMS (P06_09)" xfId="578"/>
    <cellStyle name="_DN_LISTING OCT07_UKDN_THAILAND P12-08 (310109)_OTH REC'B - UK DN" xfId="579"/>
    <cellStyle name="_DN_LISTING OCT07_UKDN_THAILAND P12-08 (310109)_副本Shanghai DN 20090731 (SH2F) (2)" xfId="580"/>
    <cellStyle name="_DN_LISTING OCT07_UKDN_THAILAND P12-09" xfId="581"/>
    <cellStyle name="_DN_LISTING OCT07_UKDN-PD0208 (Revised) - April 08" xfId="582"/>
    <cellStyle name="_FOB-Next-2011_P01" xfId="583"/>
    <cellStyle name="_GL TK-HK" xfId="584"/>
    <cellStyle name="_GL TK-HK_AUHKNRl(1320113)P02- Mar 08" xfId="585"/>
    <cellStyle name="_GL TK-HK_AUHKNRl(1320113)P03-APR 08" xfId="586"/>
    <cellStyle name="_GL TK-HK_Book5" xfId="587"/>
    <cellStyle name="_GL TK-HK_HK(1320113)P03- Apr 08" xfId="588"/>
    <cellStyle name="_GL TK-HK_HK(1320113)P04- MAY 08R" xfId="589"/>
    <cellStyle name="_GL TK-HK_UKDN" xfId="590"/>
    <cellStyle name="_GL TK-HK_UKDN_SHANGHAI_P02-09" xfId="591"/>
    <cellStyle name="_GL TK-HK_UKDN_TURKEY_300408" xfId="592"/>
    <cellStyle name="_GL TK-HK_UKDN_TURKEY_310508" xfId="593"/>
    <cellStyle name="_GL TK-HK_UKDN-PD0108" xfId="594"/>
    <cellStyle name="_GL TK-HK_UKDN-PD0209" xfId="595"/>
    <cellStyle name="_GL TK-HK_UKDN-PD0308 (2)" xfId="596"/>
    <cellStyle name="_GL TK-HK_UKDN-PD0708" xfId="597"/>
    <cellStyle name="_HK(1320113)P04- MAY 08R" xfId="598"/>
    <cellStyle name="_HK(1320113)P05- JUN 08" xfId="599"/>
    <cellStyle name="_HK(1320113)P06- JUL 08" xfId="600"/>
    <cellStyle name="_HK(1320113)P06-07.08.2008" xfId="601"/>
    <cellStyle name="_HK(1320113)P11R-311208" xfId="602"/>
    <cellStyle name="_HK(1320113)P12" xfId="603"/>
    <cellStyle name="_Hyperion BS - P2 ACT" xfId="604"/>
    <cellStyle name="_Hyperion BS - P2 ACT 2" xfId="605"/>
    <cellStyle name="_Hyperion BS - P5 ACT" xfId="606"/>
    <cellStyle name="_Hyperion BS - P5 ACT 2" xfId="607"/>
    <cellStyle name="_Hyperion P5 Actual - 13 July" xfId="608"/>
    <cellStyle name="_Hyperion report_P6" xfId="609"/>
    <cellStyle name="_Hyperion report_P6_Hyperion-PL Mapping" xfId="610"/>
    <cellStyle name="_Hyperion report_P7" xfId="611"/>
    <cellStyle name="_Hyperion report_P7_Hyperion-PL Mapping" xfId="612"/>
    <cellStyle name="_interco of P5(part1) (2)" xfId="613"/>
    <cellStyle name="_LEDGER" xfId="614"/>
    <cellStyle name="_Ledger + Voucher Template" xfId="615"/>
    <cellStyle name="_Ledger FMT" xfId="616"/>
    <cellStyle name="_Ledger FMT 2" xfId="617"/>
    <cellStyle name="_Ledger FMT_#1310501 P4 (3)" xfId="618"/>
    <cellStyle name="_Ledger FMT_#1310501 P4 (3) 2" xfId="619"/>
    <cellStyle name="_Ledger FMT_#1310501 P4 (3)_ByAccount (10)" xfId="620"/>
    <cellStyle name="_Ledger FMT_#1310501 P4 (3)_ByAccount (12)" xfId="621"/>
    <cellStyle name="_Ledger FMT_#1310501 P4 (3)_ByVoucher" xfId="622"/>
    <cellStyle name="_Ledger FMT_#1310501 P4 (3)_ByVoucher (1NS)" xfId="623"/>
    <cellStyle name="_Ledger FMT_#1310501 P4 (3)_ByVoucher (2)" xfId="624"/>
    <cellStyle name="_Ledger FMT_#1310501 P4 (3)_ByVoucher (3)" xfId="625"/>
    <cellStyle name="_Ledger FMT_#1310501 P4 (3)_Copy of UIN P7 Miu" xfId="626"/>
    <cellStyle name="_Ledger FMT_#1310501 P4 (3)_Copy of UIN P8 Miu" xfId="627"/>
    <cellStyle name="_Ledger FMT_#1310501 P4 (3)_long" xfId="628"/>
    <cellStyle name="_Ledger FMT_#1310501 P4 (3)_Petty Cash (Feb)" xfId="629"/>
    <cellStyle name="_Ledger FMT_#1310501 P4 (3)_TEMP (4)" xfId="630"/>
    <cellStyle name="_Ledger FMT_#1310501 P4 (3)_UDN P6-LC,CC " xfId="631"/>
    <cellStyle name="_Ledger FMT_#1310501 P4 (3)_UDN P6-LC,CC  2" xfId="632"/>
    <cellStyle name="_Ledger FMT_#1310501 P4 (3)_UIN P10 Miu" xfId="633"/>
    <cellStyle name="_Ledger FMT_#1310501 P4 (3)_UIN P10 Miu-R1" xfId="634"/>
    <cellStyle name="_Ledger FMT_#1310501 P4 (3)_UIN P11 Miu" xfId="635"/>
    <cellStyle name="_Ledger FMT_#1310501 P4 (3)_UIN P4 Miu R2" xfId="636"/>
    <cellStyle name="_Ledger FMT_#1310501 P4 (3)_UIN P4 Miu R2 2" xfId="637"/>
    <cellStyle name="_Ledger FMT_#1310501 P4 (3)_UIN P6 Miu" xfId="638"/>
    <cellStyle name="_Ledger FMT_#1310501 P4 (3)_UIN P7 Miu" xfId="639"/>
    <cellStyle name="_Ledger FMT_#1310501 P4 (3)_UIN P8 Miu" xfId="640"/>
    <cellStyle name="_Ledger FMT_#1310501 P4 (3)_UIN P9 Miu" xfId="641"/>
    <cellStyle name="_Ledger FMT_#1310501 P4 (3)_UJV (6)" xfId="642"/>
    <cellStyle name="_Ledger FMT_#1310501 P4 (3)_UJV (6) 2" xfId="643"/>
    <cellStyle name="_Ledger FMT_#1310501 P4 (3)_UJV (Aug) (3)" xfId="644"/>
    <cellStyle name="_Ledger FMT_#1310501 P4 (3)_UJV (Aug) (3) 2" xfId="645"/>
    <cellStyle name="_Ledger FMT_#1310501 P4 (3)_UJV (Oct) (2)" xfId="646"/>
    <cellStyle name="_Ledger FMT_#1310501 P4 (3)_UJV (Oct) (2) 2" xfId="647"/>
    <cellStyle name="_Ledger FMT_#1310501 P4 (3)_VOUCHER PRINTING SA" xfId="648"/>
    <cellStyle name="_Ledger FMT_1410998 outstanding 2011P2" xfId="649"/>
    <cellStyle name="_Ledger FMT_1410998 outstanding 2011P2 2" xfId="650"/>
    <cellStyle name="_Ledger FMT_1410998 outstanding 2011P2_ByAccount (10)" xfId="651"/>
    <cellStyle name="_Ledger FMT_1410998 outstanding 2011P2_ByAccount (12)" xfId="652"/>
    <cellStyle name="_Ledger FMT_1410998 outstanding 2011P2_ByVoucher" xfId="653"/>
    <cellStyle name="_Ledger FMT_1410998 outstanding 2011P2_ByVoucher (1NS)" xfId="654"/>
    <cellStyle name="_Ledger FMT_1410998 outstanding 2011P2_ByVoucher (2)" xfId="655"/>
    <cellStyle name="_Ledger FMT_1410998 outstanding 2011P2_ByVoucher (3)" xfId="656"/>
    <cellStyle name="_Ledger FMT_1410998 outstanding 2011P2_Copy of UIN P7 Miu" xfId="657"/>
    <cellStyle name="_Ledger FMT_1410998 outstanding 2011P2_Copy of UIN P8 Miu" xfId="658"/>
    <cellStyle name="_Ledger FMT_1410998 outstanding 2011P2_long" xfId="659"/>
    <cellStyle name="_Ledger FMT_1410998 outstanding 2011P2_Petty Cash (Feb)" xfId="660"/>
    <cellStyle name="_Ledger FMT_1410998 outstanding 2011P2_TEMP (4)" xfId="661"/>
    <cellStyle name="_Ledger FMT_1410998 outstanding 2011P2_UDN P6-LC,CC " xfId="662"/>
    <cellStyle name="_Ledger FMT_1410998 outstanding 2011P2_UDN P6-LC,CC  2" xfId="663"/>
    <cellStyle name="_Ledger FMT_1410998 outstanding 2011P2_UIN P10 Miu" xfId="664"/>
    <cellStyle name="_Ledger FMT_1410998 outstanding 2011P2_UIN P10 Miu-R1" xfId="665"/>
    <cellStyle name="_Ledger FMT_1410998 outstanding 2011P2_UIN P11 Miu" xfId="666"/>
    <cellStyle name="_Ledger FMT_1410998 outstanding 2011P2_UIN P4 Miu R2" xfId="667"/>
    <cellStyle name="_Ledger FMT_1410998 outstanding 2011P2_UIN P4 Miu R2 2" xfId="668"/>
    <cellStyle name="_Ledger FMT_1410998 outstanding 2011P2_UIN P6 Miu" xfId="669"/>
    <cellStyle name="_Ledger FMT_1410998 outstanding 2011P2_UIN P7 Miu" xfId="670"/>
    <cellStyle name="_Ledger FMT_1410998 outstanding 2011P2_UIN P8 Miu" xfId="671"/>
    <cellStyle name="_Ledger FMT_1410998 outstanding 2011P2_UIN P9 Miu" xfId="672"/>
    <cellStyle name="_Ledger FMT_1410998 outstanding 2011P2_UJV (6)" xfId="673"/>
    <cellStyle name="_Ledger FMT_1410998 outstanding 2011P2_UJV (6) 2" xfId="674"/>
    <cellStyle name="_Ledger FMT_1410998 outstanding 2011P2_UJV (Aug) (3)" xfId="675"/>
    <cellStyle name="_Ledger FMT_1410998 outstanding 2011P2_UJV (Aug) (3) 2" xfId="676"/>
    <cellStyle name="_Ledger FMT_1410998 outstanding 2011P2_UJV (Oct) (2)" xfId="677"/>
    <cellStyle name="_Ledger FMT_1410998 outstanding 2011P2_UJV (Oct) (2) 2" xfId="678"/>
    <cellStyle name="_Ledger FMT_1410998 outstanding 2011P2_VOUCHER PRINTING SA" xfId="679"/>
    <cellStyle name="_Ledger FMT_15. Accruals_Workings" xfId="680"/>
    <cellStyle name="_Ledger FMT_15. Accruals_Workings (2)" xfId="681"/>
    <cellStyle name="_Ledger FMT_15. Accruals_Workings (2) 2" xfId="682"/>
    <cellStyle name="_Ledger FMT_15. Accruals_Workings (2)_ByAccount (10)" xfId="683"/>
    <cellStyle name="_Ledger FMT_15. Accruals_Workings (2)_ByAccount (12)" xfId="684"/>
    <cellStyle name="_Ledger FMT_15. Accruals_Workings (2)_ByVoucher" xfId="685"/>
    <cellStyle name="_Ledger FMT_15. Accruals_Workings (2)_ByVoucher (1NS)" xfId="686"/>
    <cellStyle name="_Ledger FMT_15. Accruals_Workings (2)_ByVoucher (2)" xfId="687"/>
    <cellStyle name="_Ledger FMT_15. Accruals_Workings (2)_ByVoucher (3)" xfId="688"/>
    <cellStyle name="_Ledger FMT_15. Accruals_Workings (2)_Copy of UIN P7 Miu" xfId="689"/>
    <cellStyle name="_Ledger FMT_15. Accruals_Workings (2)_Copy of UIN P8 Miu" xfId="690"/>
    <cellStyle name="_Ledger FMT_15. Accruals_Workings (2)_long" xfId="691"/>
    <cellStyle name="_Ledger FMT_15. Accruals_Workings (2)_Petty Cash (Feb)" xfId="692"/>
    <cellStyle name="_Ledger FMT_15. Accruals_Workings (2)_TEMP (4)" xfId="693"/>
    <cellStyle name="_Ledger FMT_15. Accruals_Workings (2)_UDN P6-LC,CC " xfId="694"/>
    <cellStyle name="_Ledger FMT_15. Accruals_Workings (2)_UDN P6-LC,CC  2" xfId="695"/>
    <cellStyle name="_Ledger FMT_15. Accruals_Workings (2)_UIN P10 Miu" xfId="696"/>
    <cellStyle name="_Ledger FMT_15. Accruals_Workings (2)_UIN P10 Miu-R1" xfId="697"/>
    <cellStyle name="_Ledger FMT_15. Accruals_Workings (2)_UIN P11 Miu" xfId="698"/>
    <cellStyle name="_Ledger FMT_15. Accruals_Workings (2)_UIN P6 Miu" xfId="699"/>
    <cellStyle name="_Ledger FMT_15. Accruals_Workings (2)_UIN P7 Miu" xfId="700"/>
    <cellStyle name="_Ledger FMT_15. Accruals_Workings (2)_UIN P8 Miu" xfId="701"/>
    <cellStyle name="_Ledger FMT_15. Accruals_Workings (2)_UIN P9 Miu" xfId="702"/>
    <cellStyle name="_Ledger FMT_15. Accruals_Workings (2)_UJV (6)" xfId="703"/>
    <cellStyle name="_Ledger FMT_15. Accruals_Workings (2)_UJV (6) 2" xfId="704"/>
    <cellStyle name="_Ledger FMT_15. Accruals_Workings (2)_UJV (Aug) (3)" xfId="705"/>
    <cellStyle name="_Ledger FMT_15. Accruals_Workings (2)_UJV (Aug) (3) 2" xfId="706"/>
    <cellStyle name="_Ledger FMT_15. Accruals_Workings (2)_UJV (Oct) (2)" xfId="707"/>
    <cellStyle name="_Ledger FMT_15. Accruals_Workings (2)_UJV (Oct) (2) 2" xfId="708"/>
    <cellStyle name="_Ledger FMT_15. Accruals_Workings (2)_VOUCHER PRINTING SA" xfId="709"/>
    <cellStyle name="_Ledger FMT_15. Accruals_Workings 10" xfId="710"/>
    <cellStyle name="_Ledger FMT_15. Accruals_Workings 11" xfId="711"/>
    <cellStyle name="_Ledger FMT_15. Accruals_Workings 12" xfId="712"/>
    <cellStyle name="_Ledger FMT_15. Accruals_Workings 13" xfId="713"/>
    <cellStyle name="_Ledger FMT_15. Accruals_Workings 14" xfId="714"/>
    <cellStyle name="_Ledger FMT_15. Accruals_Workings 15" xfId="715"/>
    <cellStyle name="_Ledger FMT_15. Accruals_Workings 16" xfId="716"/>
    <cellStyle name="_Ledger FMT_15. Accruals_Workings 17" xfId="717"/>
    <cellStyle name="_Ledger FMT_15. Accruals_Workings 18" xfId="718"/>
    <cellStyle name="_Ledger FMT_15. Accruals_Workings 19" xfId="719"/>
    <cellStyle name="_Ledger FMT_15. Accruals_Workings 2" xfId="720"/>
    <cellStyle name="_Ledger FMT_15. Accruals_Workings 20" xfId="721"/>
    <cellStyle name="_Ledger FMT_15. Accruals_Workings 21" xfId="722"/>
    <cellStyle name="_Ledger FMT_15. Accruals_Workings 3" xfId="723"/>
    <cellStyle name="_Ledger FMT_15. Accruals_Workings 4" xfId="724"/>
    <cellStyle name="_Ledger FMT_15. Accruals_Workings 5" xfId="725"/>
    <cellStyle name="_Ledger FMT_15. Accruals_Workings 6" xfId="726"/>
    <cellStyle name="_Ledger FMT_15. Accruals_Workings 7" xfId="727"/>
    <cellStyle name="_Ledger FMT_15. Accruals_Workings 8" xfId="728"/>
    <cellStyle name="_Ledger FMT_15. Accruals_Workings 9" xfId="729"/>
    <cellStyle name="_Ledger FMT_15. Accruals_Workings_ByAccount (10)" xfId="730"/>
    <cellStyle name="_Ledger FMT_15. Accruals_Workings_ByAccount (12)" xfId="731"/>
    <cellStyle name="_Ledger FMT_15. Accruals_Workings_ByVoucher" xfId="732"/>
    <cellStyle name="_Ledger FMT_15. Accruals_Workings_ByVoucher (1NS)" xfId="733"/>
    <cellStyle name="_Ledger FMT_15. Accruals_Workings_ByVoucher (2)" xfId="734"/>
    <cellStyle name="_Ledger FMT_15. Accruals_Workings_ByVoucher (3)" xfId="735"/>
    <cellStyle name="_Ledger FMT_15. Accruals_Workings_Copy of UIN P7 Miu" xfId="736"/>
    <cellStyle name="_Ledger FMT_15. Accruals_Workings_Copy of UIN P8 Miu" xfId="737"/>
    <cellStyle name="_Ledger FMT_15. Accruals_Workings_long" xfId="738"/>
    <cellStyle name="_Ledger FMT_15. Accruals_Workings_Petty Cash (Feb)" xfId="739"/>
    <cellStyle name="_Ledger FMT_15. Accruals_Workings_TEMP (4)" xfId="740"/>
    <cellStyle name="_Ledger FMT_15. Accruals_Workings_UDN P6-LC,CC " xfId="741"/>
    <cellStyle name="_Ledger FMT_15. Accruals_Workings_UDN P6-LC,CC  2" xfId="742"/>
    <cellStyle name="_Ledger FMT_15. Accruals_Workings_UIN P10 Miu" xfId="743"/>
    <cellStyle name="_Ledger FMT_15. Accruals_Workings_UIN P10 Miu-R1" xfId="744"/>
    <cellStyle name="_Ledger FMT_15. Accruals_Workings_UIN P11 Miu" xfId="745"/>
    <cellStyle name="_Ledger FMT_15. Accruals_Workings_UIN P6 Miu" xfId="746"/>
    <cellStyle name="_Ledger FMT_15. Accruals_Workings_UIN P7 Miu" xfId="747"/>
    <cellStyle name="_Ledger FMT_15. Accruals_Workings_UIN P8 Miu" xfId="748"/>
    <cellStyle name="_Ledger FMT_15. Accruals_Workings_UIN P9 Miu" xfId="749"/>
    <cellStyle name="_Ledger FMT_15. Accruals_Workings_UJV (6)" xfId="750"/>
    <cellStyle name="_Ledger FMT_15. Accruals_Workings_UJV (6) 2" xfId="751"/>
    <cellStyle name="_Ledger FMT_15. Accruals_Workings_UJV (Aug) (3)" xfId="752"/>
    <cellStyle name="_Ledger FMT_15. Accruals_Workings_UJV (Aug) (3) 2" xfId="753"/>
    <cellStyle name="_Ledger FMT_15. Accruals_Workings_UJV (Oct) (2)" xfId="754"/>
    <cellStyle name="_Ledger FMT_15. Accruals_Workings_UJV (Oct) (2) 2" xfId="755"/>
    <cellStyle name="_Ledger FMT_15. Accruals_Workings_VOUCHER PRINTING SA" xfId="756"/>
    <cellStyle name="_Ledger FMT_28 Dec 2011" xfId="757"/>
    <cellStyle name="_Ledger FMT_28 Dec 2011 2" xfId="758"/>
    <cellStyle name="_Ledger FMT_30 Nov 2011" xfId="759"/>
    <cellStyle name="_Ledger FMT_30 Nov 2011 2" xfId="760"/>
    <cellStyle name="_Ledger FMT_30 Sep 2011" xfId="761"/>
    <cellStyle name="_Ledger FMT_30 Sep 2011 2" xfId="762"/>
    <cellStyle name="_Ledger FMT_31 Oct 2011 (R1)" xfId="763"/>
    <cellStyle name="_Ledger FMT_31 Oct 2011 (R1) 2" xfId="764"/>
    <cellStyle name="_Ledger FMT_AccountP" xfId="765"/>
    <cellStyle name="_Ledger FMT_AccountP (Aug)" xfId="766"/>
    <cellStyle name="_Ledger FMT_AccountP (Aug) 2" xfId="767"/>
    <cellStyle name="_Ledger FMT_AccountP (Dec)" xfId="768"/>
    <cellStyle name="_Ledger FMT_AccountP (Dec) 2" xfId="769"/>
    <cellStyle name="_Ledger FMT_AccountP (Feb)" xfId="770"/>
    <cellStyle name="_Ledger FMT_AccountP (Feb) 2" xfId="771"/>
    <cellStyle name="_Ledger FMT_AccountP (Jan)" xfId="772"/>
    <cellStyle name="_Ledger FMT_AccountP (Jan) 2" xfId="773"/>
    <cellStyle name="_Ledger FMT_AccountP (Jul)" xfId="774"/>
    <cellStyle name="_Ledger FMT_AccountP (Jul) 2" xfId="775"/>
    <cellStyle name="_Ledger FMT_AccountP (Jun)" xfId="776"/>
    <cellStyle name="_Ledger FMT_AccountP (Jun) 2" xfId="777"/>
    <cellStyle name="_Ledger FMT_AccountP (Mar)" xfId="778"/>
    <cellStyle name="_Ledger FMT_AccountP (Mar) 2" xfId="779"/>
    <cellStyle name="_Ledger FMT_AccountP (Nov)" xfId="780"/>
    <cellStyle name="_Ledger FMT_AccountP (Nov) 2" xfId="781"/>
    <cellStyle name="_Ledger FMT_AccountP (Oct)" xfId="782"/>
    <cellStyle name="_Ledger FMT_AccountP (Oct) 2" xfId="783"/>
    <cellStyle name="_Ledger FMT_AccountP (Sep)" xfId="784"/>
    <cellStyle name="_Ledger FMT_AccountP (Sep) 2" xfId="785"/>
    <cellStyle name="_Ledger FMT_AccountP 10" xfId="786"/>
    <cellStyle name="_Ledger FMT_AccountP 11" xfId="787"/>
    <cellStyle name="_Ledger FMT_AccountP 12" xfId="788"/>
    <cellStyle name="_Ledger FMT_AccountP 13" xfId="789"/>
    <cellStyle name="_Ledger FMT_AccountP 14" xfId="790"/>
    <cellStyle name="_Ledger FMT_AccountP 15" xfId="791"/>
    <cellStyle name="_Ledger FMT_AccountP 16" xfId="792"/>
    <cellStyle name="_Ledger FMT_AccountP 17" xfId="793"/>
    <cellStyle name="_Ledger FMT_AccountP 18" xfId="794"/>
    <cellStyle name="_Ledger FMT_AccountP 19" xfId="795"/>
    <cellStyle name="_Ledger FMT_AccountP 2" xfId="796"/>
    <cellStyle name="_Ledger FMT_AccountP 20" xfId="797"/>
    <cellStyle name="_Ledger FMT_AccountP 21" xfId="798"/>
    <cellStyle name="_Ledger FMT_AccountP 3" xfId="799"/>
    <cellStyle name="_Ledger FMT_AccountP 4" xfId="800"/>
    <cellStyle name="_Ledger FMT_AccountP 5" xfId="801"/>
    <cellStyle name="_Ledger FMT_AccountP 6" xfId="802"/>
    <cellStyle name="_Ledger FMT_AccountP 7" xfId="803"/>
    <cellStyle name="_Ledger FMT_AccountP 8" xfId="804"/>
    <cellStyle name="_Ledger FMT_AccountP 9" xfId="805"/>
    <cellStyle name="_Ledger FMT_Accrual movement " xfId="806"/>
    <cellStyle name="_Ledger FMT_Accrual movement  (2)" xfId="807"/>
    <cellStyle name="_Ledger FMT_Accrual movement  (2) 2" xfId="808"/>
    <cellStyle name="_Ledger FMT_Accrual movement  10" xfId="809"/>
    <cellStyle name="_Ledger FMT_Accrual movement  11" xfId="810"/>
    <cellStyle name="_Ledger FMT_Accrual movement  12" xfId="811"/>
    <cellStyle name="_Ledger FMT_Accrual movement  13" xfId="812"/>
    <cellStyle name="_Ledger FMT_Accrual movement  14" xfId="813"/>
    <cellStyle name="_Ledger FMT_Accrual movement  15" xfId="814"/>
    <cellStyle name="_Ledger FMT_Accrual movement  16" xfId="815"/>
    <cellStyle name="_Ledger FMT_Accrual movement  17" xfId="816"/>
    <cellStyle name="_Ledger FMT_Accrual movement  18" xfId="817"/>
    <cellStyle name="_Ledger FMT_Accrual movement  19" xfId="818"/>
    <cellStyle name="_Ledger FMT_Accrual movement  2" xfId="819"/>
    <cellStyle name="_Ledger FMT_Accrual movement  20" xfId="820"/>
    <cellStyle name="_Ledger FMT_Accrual movement  21" xfId="821"/>
    <cellStyle name="_Ledger FMT_Accrual movement  3" xfId="822"/>
    <cellStyle name="_Ledger FMT_Accrual movement  4" xfId="823"/>
    <cellStyle name="_Ledger FMT_Accrual movement  5" xfId="824"/>
    <cellStyle name="_Ledger FMT_Accrual movement  6" xfId="825"/>
    <cellStyle name="_Ledger FMT_Accrual movement  7" xfId="826"/>
    <cellStyle name="_Ledger FMT_Accrual movement  8" xfId="827"/>
    <cellStyle name="_Ledger FMT_Accrual movement  9" xfId="828"/>
    <cellStyle name="_Ledger FMT_App1.3(Computer)" xfId="829"/>
    <cellStyle name="_Ledger FMT_App1.3(Computer) 2" xfId="830"/>
    <cellStyle name="_Ledger FMT_Appendix 10.1 " xfId="831"/>
    <cellStyle name="_Ledger FMT_Appendix 10.1  (Apr)" xfId="832"/>
    <cellStyle name="_Ledger FMT_Appendix 10.1  (Apr) 2" xfId="833"/>
    <cellStyle name="_Ledger FMT_Appendix 10.1  (Dec)" xfId="834"/>
    <cellStyle name="_Ledger FMT_Appendix 10.1  (Dec) 2" xfId="835"/>
    <cellStyle name="_Ledger FMT_Appendix 10.1  (Feb)" xfId="836"/>
    <cellStyle name="_Ledger FMT_Appendix 10.1  (Feb) 2" xfId="837"/>
    <cellStyle name="_Ledger FMT_Appendix 10.1  (Jul)" xfId="838"/>
    <cellStyle name="_Ledger FMT_Appendix 10.1  (May)" xfId="839"/>
    <cellStyle name="_Ledger FMT_Appendix 10.1  (May) 2" xfId="840"/>
    <cellStyle name="_Ledger FMT_Appendix 10.1  (Nov)" xfId="841"/>
    <cellStyle name="_Ledger FMT_Appendix 10.1  (Nov) 2" xfId="842"/>
    <cellStyle name="_Ledger FMT_Appendix 10.1  (Oct)" xfId="843"/>
    <cellStyle name="_Ledger FMT_Appendix 10.1  (Sep)" xfId="844"/>
    <cellStyle name="_Ledger FMT_Appendix 10.1  (Sep) 2" xfId="845"/>
    <cellStyle name="_Ledger FMT_Appendix 10.1  10" xfId="846"/>
    <cellStyle name="_Ledger FMT_Appendix 10.1  11" xfId="847"/>
    <cellStyle name="_Ledger FMT_Appendix 10.1  12" xfId="848"/>
    <cellStyle name="_Ledger FMT_Appendix 10.1  13" xfId="849"/>
    <cellStyle name="_Ledger FMT_Appendix 10.1  14" xfId="850"/>
    <cellStyle name="_Ledger FMT_Appendix 10.1  15" xfId="851"/>
    <cellStyle name="_Ledger FMT_Appendix 10.1  16" xfId="852"/>
    <cellStyle name="_Ledger FMT_Appendix 10.1  17" xfId="853"/>
    <cellStyle name="_Ledger FMT_Appendix 10.1  18" xfId="854"/>
    <cellStyle name="_Ledger FMT_Appendix 10.1  19" xfId="855"/>
    <cellStyle name="_Ledger FMT_Appendix 10.1  2" xfId="856"/>
    <cellStyle name="_Ledger FMT_Appendix 10.1  20" xfId="857"/>
    <cellStyle name="_Ledger FMT_Appendix 10.1  21" xfId="858"/>
    <cellStyle name="_Ledger FMT_Appendix 10.1  3" xfId="859"/>
    <cellStyle name="_Ledger FMT_Appendix 10.1  4" xfId="860"/>
    <cellStyle name="_Ledger FMT_Appendix 10.1  5" xfId="861"/>
    <cellStyle name="_Ledger FMT_Appendix 10.1  6" xfId="862"/>
    <cellStyle name="_Ledger FMT_Appendix 10.1  7" xfId="863"/>
    <cellStyle name="_Ledger FMT_Appendix 10.1  8" xfId="864"/>
    <cellStyle name="_Ledger FMT_Appendix 10.1  9" xfId="865"/>
    <cellStyle name="_Ledger FMT_Appendix 10.2" xfId="866"/>
    <cellStyle name="_Ledger FMT_Appendix 10.2 (Apr)" xfId="867"/>
    <cellStyle name="_Ledger FMT_Appendix 10.2 (Apr) 2" xfId="868"/>
    <cellStyle name="_Ledger FMT_Appendix 10.2 (Aug)" xfId="869"/>
    <cellStyle name="_Ledger FMT_Appendix 10.2 (Dec)" xfId="870"/>
    <cellStyle name="_Ledger FMT_Appendix 10.2 (Dec) 2" xfId="871"/>
    <cellStyle name="_Ledger FMT_Appendix 10.2 (Feb)" xfId="872"/>
    <cellStyle name="_Ledger FMT_Appendix 10.2 (Feb) 2" xfId="873"/>
    <cellStyle name="_Ledger FMT_Appendix 10.2 (Jul)" xfId="874"/>
    <cellStyle name="_Ledger FMT_Appendix 10.2 (May)" xfId="875"/>
    <cellStyle name="_Ledger FMT_Appendix 10.2 (May) 2" xfId="876"/>
    <cellStyle name="_Ledger FMT_Appendix 10.2 (Nov)" xfId="877"/>
    <cellStyle name="_Ledger FMT_Appendix 10.2 (Nov) 2" xfId="878"/>
    <cellStyle name="_Ledger FMT_Appendix 10.2 (Oct)" xfId="879"/>
    <cellStyle name="_Ledger FMT_Appendix 10.2 (Oct) 2" xfId="880"/>
    <cellStyle name="_Ledger FMT_Appendix 10.2 10" xfId="881"/>
    <cellStyle name="_Ledger FMT_Appendix 10.2 11" xfId="882"/>
    <cellStyle name="_Ledger FMT_Appendix 10.2 12" xfId="883"/>
    <cellStyle name="_Ledger FMT_Appendix 10.2 13" xfId="884"/>
    <cellStyle name="_Ledger FMT_Appendix 10.2 14" xfId="885"/>
    <cellStyle name="_Ledger FMT_Appendix 10.2 15" xfId="886"/>
    <cellStyle name="_Ledger FMT_Appendix 10.2 16" xfId="887"/>
    <cellStyle name="_Ledger FMT_Appendix 10.2 17" xfId="888"/>
    <cellStyle name="_Ledger FMT_Appendix 10.2 18" xfId="889"/>
    <cellStyle name="_Ledger FMT_Appendix 10.2 19" xfId="890"/>
    <cellStyle name="_Ledger FMT_Appendix 10.2 2" xfId="891"/>
    <cellStyle name="_Ledger FMT_Appendix 10.2 20" xfId="892"/>
    <cellStyle name="_Ledger FMT_Appendix 10.2 21" xfId="893"/>
    <cellStyle name="_Ledger FMT_Appendix 10.2 3" xfId="894"/>
    <cellStyle name="_Ledger FMT_Appendix 10.2 4" xfId="895"/>
    <cellStyle name="_Ledger FMT_Appendix 10.2 5" xfId="896"/>
    <cellStyle name="_Ledger FMT_Appendix 10.2 6" xfId="897"/>
    <cellStyle name="_Ledger FMT_Appendix 10.2 7" xfId="898"/>
    <cellStyle name="_Ledger FMT_Appendix 10.2 8" xfId="899"/>
    <cellStyle name="_Ledger FMT_Appendix 10.2 9" xfId="900"/>
    <cellStyle name="_Ledger FMT_Appendix 10.3 (Oct)" xfId="901"/>
    <cellStyle name="_Ledger FMT_Appendix 10.3 (Oct) 2" xfId="902"/>
    <cellStyle name="_Ledger FMT_Appendix 11 (Aug)" xfId="903"/>
    <cellStyle name="_Ledger FMT_Appendix 11 (Aug) 2" xfId="904"/>
    <cellStyle name="_Ledger FMT_Appendix 11 (Dec)" xfId="905"/>
    <cellStyle name="_Ledger FMT_Appendix 11 (Dec) 2" xfId="906"/>
    <cellStyle name="_Ledger FMT_Appendix 11 (Jul)" xfId="907"/>
    <cellStyle name="_Ledger FMT_Appendix 12.1" xfId="908"/>
    <cellStyle name="_Ledger FMT_Appendix 12.1 (Aug)" xfId="909"/>
    <cellStyle name="_Ledger FMT_Appendix 12.1 (Aug) 2" xfId="910"/>
    <cellStyle name="_Ledger FMT_Appendix 12.1 (May)" xfId="911"/>
    <cellStyle name="_Ledger FMT_Appendix 12.1 (May) 2" xfId="912"/>
    <cellStyle name="_Ledger FMT_Appendix 12.1 (May)_ByAccount (10)" xfId="913"/>
    <cellStyle name="_Ledger FMT_Appendix 12.1 (May)_ByAccount (12)" xfId="914"/>
    <cellStyle name="_Ledger FMT_Appendix 12.1 (May)_ByVoucher" xfId="915"/>
    <cellStyle name="_Ledger FMT_Appendix 12.1 (May)_ByVoucher (1NS)" xfId="916"/>
    <cellStyle name="_Ledger FMT_Appendix 12.1 (May)_ByVoucher (2)" xfId="917"/>
    <cellStyle name="_Ledger FMT_Appendix 12.1 (May)_ByVoucher (3)" xfId="918"/>
    <cellStyle name="_Ledger FMT_Appendix 12.1 (May)_Copy of UIN P7 Miu" xfId="919"/>
    <cellStyle name="_Ledger FMT_Appendix 12.1 (May)_Copy of UIN P8 Miu" xfId="920"/>
    <cellStyle name="_Ledger FMT_Appendix 12.1 (May)_long" xfId="921"/>
    <cellStyle name="_Ledger FMT_Appendix 12.1 (May)_Petty Cash (Feb)" xfId="922"/>
    <cellStyle name="_Ledger FMT_Appendix 12.1 (May)_TEMP (4)" xfId="923"/>
    <cellStyle name="_Ledger FMT_Appendix 12.1 (May)_UDN P6-LC,CC " xfId="924"/>
    <cellStyle name="_Ledger FMT_Appendix 12.1 (May)_UDN P6-LC,CC  2" xfId="925"/>
    <cellStyle name="_Ledger FMT_Appendix 12.1 (May)_UIN P10 Miu" xfId="926"/>
    <cellStyle name="_Ledger FMT_Appendix 12.1 (May)_UIN P10 Miu-R1" xfId="927"/>
    <cellStyle name="_Ledger FMT_Appendix 12.1 (May)_UIN P11 Miu" xfId="928"/>
    <cellStyle name="_Ledger FMT_Appendix 12.1 (May)_UIN P6 Miu" xfId="929"/>
    <cellStyle name="_Ledger FMT_Appendix 12.1 (May)_UIN P7 Miu" xfId="930"/>
    <cellStyle name="_Ledger FMT_Appendix 12.1 (May)_UIN P8 Miu" xfId="931"/>
    <cellStyle name="_Ledger FMT_Appendix 12.1 (May)_UIN P9 Miu" xfId="932"/>
    <cellStyle name="_Ledger FMT_Appendix 12.1 (May)_UJV (6)" xfId="933"/>
    <cellStyle name="_Ledger FMT_Appendix 12.1 (May)_UJV (6) 2" xfId="934"/>
    <cellStyle name="_Ledger FMT_Appendix 12.1 (May)_UJV (Aug) (3)" xfId="935"/>
    <cellStyle name="_Ledger FMT_Appendix 12.1 (May)_UJV (Aug) (3) 2" xfId="936"/>
    <cellStyle name="_Ledger FMT_Appendix 12.1 (May)_UJV (Oct) (2)" xfId="937"/>
    <cellStyle name="_Ledger FMT_Appendix 12.1 (May)_UJV (Oct) (2) 2" xfId="938"/>
    <cellStyle name="_Ledger FMT_Appendix 12.1 (May)_VOUCHER PRINTING SA" xfId="939"/>
    <cellStyle name="_Ledger FMT_Appendix 12.1 (Nov)" xfId="940"/>
    <cellStyle name="_Ledger FMT_Appendix 12.1 (Nov) 2" xfId="941"/>
    <cellStyle name="_Ledger FMT_Appendix 12.1 (Oct)" xfId="942"/>
    <cellStyle name="_Ledger FMT_Appendix 12.1 (Oct) 2" xfId="943"/>
    <cellStyle name="_Ledger FMT_Appendix 12.1 (Sep)" xfId="944"/>
    <cellStyle name="_Ledger FMT_Appendix 12.1 (Sep) 2" xfId="945"/>
    <cellStyle name="_Ledger FMT_Appendix 12.1 10" xfId="946"/>
    <cellStyle name="_Ledger FMT_Appendix 12.1 11" xfId="947"/>
    <cellStyle name="_Ledger FMT_Appendix 12.1 12" xfId="948"/>
    <cellStyle name="_Ledger FMT_Appendix 12.1 13" xfId="949"/>
    <cellStyle name="_Ledger FMT_Appendix 12.1 14" xfId="950"/>
    <cellStyle name="_Ledger FMT_Appendix 12.1 15" xfId="951"/>
    <cellStyle name="_Ledger FMT_Appendix 12.1 16" xfId="952"/>
    <cellStyle name="_Ledger FMT_Appendix 12.1 17" xfId="953"/>
    <cellStyle name="_Ledger FMT_Appendix 12.1 18" xfId="954"/>
    <cellStyle name="_Ledger FMT_Appendix 12.1 19" xfId="955"/>
    <cellStyle name="_Ledger FMT_Appendix 12.1 2" xfId="956"/>
    <cellStyle name="_Ledger FMT_Appendix 12.1 20" xfId="957"/>
    <cellStyle name="_Ledger FMT_Appendix 12.1 21" xfId="958"/>
    <cellStyle name="_Ledger FMT_Appendix 12.1 3" xfId="959"/>
    <cellStyle name="_Ledger FMT_Appendix 12.1 4" xfId="960"/>
    <cellStyle name="_Ledger FMT_Appendix 12.1 5" xfId="961"/>
    <cellStyle name="_Ledger FMT_Appendix 12.1 6" xfId="962"/>
    <cellStyle name="_Ledger FMT_Appendix 12.1 7" xfId="963"/>
    <cellStyle name="_Ledger FMT_Appendix 12.1 8" xfId="964"/>
    <cellStyle name="_Ledger FMT_Appendix 12.1 9" xfId="965"/>
    <cellStyle name="_Ledger FMT_Appendix 12.13" xfId="966"/>
    <cellStyle name="_Ledger FMT_Appendix 12.13 2" xfId="967"/>
    <cellStyle name="_Ledger FMT_Appendix 12.2 (May)" xfId="968"/>
    <cellStyle name="_Ledger FMT_Appendix 12.2 (May) 2" xfId="969"/>
    <cellStyle name="_Ledger FMT_Appendix 12.2 (May)_ByAccount (10)" xfId="970"/>
    <cellStyle name="_Ledger FMT_Appendix 12.2 (May)_ByAccount (12)" xfId="971"/>
    <cellStyle name="_Ledger FMT_Appendix 12.2 (May)_ByVoucher" xfId="972"/>
    <cellStyle name="_Ledger FMT_Appendix 12.2 (May)_ByVoucher (1NS)" xfId="973"/>
    <cellStyle name="_Ledger FMT_Appendix 12.2 (May)_ByVoucher (2)" xfId="974"/>
    <cellStyle name="_Ledger FMT_Appendix 12.2 (May)_ByVoucher (3)" xfId="975"/>
    <cellStyle name="_Ledger FMT_Appendix 12.2 (May)_Copy of UIN P7 Miu" xfId="976"/>
    <cellStyle name="_Ledger FMT_Appendix 12.2 (May)_Copy of UIN P8 Miu" xfId="977"/>
    <cellStyle name="_Ledger FMT_Appendix 12.2 (May)_long" xfId="978"/>
    <cellStyle name="_Ledger FMT_Appendix 12.2 (May)_Petty Cash (Feb)" xfId="979"/>
    <cellStyle name="_Ledger FMT_Appendix 12.2 (May)_TEMP (4)" xfId="980"/>
    <cellStyle name="_Ledger FMT_Appendix 12.2 (May)_UDN P6-LC,CC " xfId="981"/>
    <cellStyle name="_Ledger FMT_Appendix 12.2 (May)_UDN P6-LC,CC  2" xfId="982"/>
    <cellStyle name="_Ledger FMT_Appendix 12.2 (May)_UIN P10 Miu" xfId="983"/>
    <cellStyle name="_Ledger FMT_Appendix 12.2 (May)_UIN P10 Miu-R1" xfId="984"/>
    <cellStyle name="_Ledger FMT_Appendix 12.2 (May)_UIN P11 Miu" xfId="985"/>
    <cellStyle name="_Ledger FMT_Appendix 12.2 (May)_UIN P6 Miu" xfId="986"/>
    <cellStyle name="_Ledger FMT_Appendix 12.2 (May)_UIN P7 Miu" xfId="987"/>
    <cellStyle name="_Ledger FMT_Appendix 12.2 (May)_UIN P8 Miu" xfId="988"/>
    <cellStyle name="_Ledger FMT_Appendix 12.2 (May)_UIN P9 Miu" xfId="989"/>
    <cellStyle name="_Ledger FMT_Appendix 12.2 (May)_UJV (6)" xfId="990"/>
    <cellStyle name="_Ledger FMT_Appendix 12.2 (May)_UJV (6) 2" xfId="991"/>
    <cellStyle name="_Ledger FMT_Appendix 12.2 (May)_UJV (Aug) (3)" xfId="992"/>
    <cellStyle name="_Ledger FMT_Appendix 12.2 (May)_UJV (Aug) (3) 2" xfId="993"/>
    <cellStyle name="_Ledger FMT_Appendix 12.2 (May)_UJV (Oct) (2)" xfId="994"/>
    <cellStyle name="_Ledger FMT_Appendix 12.2 (May)_UJV (Oct) (2) 2" xfId="995"/>
    <cellStyle name="_Ledger FMT_Appendix 12.2 (May)_VOUCHER PRINTING SA" xfId="996"/>
    <cellStyle name="_Ledger FMT_Appendix 12.4 (May)" xfId="997"/>
    <cellStyle name="_Ledger FMT_Appendix 12.4 (May) 2" xfId="998"/>
    <cellStyle name="_Ledger FMT_Appendix 12.4 (May)_ByAccount (10)" xfId="999"/>
    <cellStyle name="_Ledger FMT_Appendix 12.4 (May)_ByAccount (12)" xfId="1000"/>
    <cellStyle name="_Ledger FMT_Appendix 12.4 (May)_ByVoucher" xfId="1001"/>
    <cellStyle name="_Ledger FMT_Appendix 12.4 (May)_ByVoucher (1NS)" xfId="1002"/>
    <cellStyle name="_Ledger FMT_Appendix 12.4 (May)_ByVoucher (2)" xfId="1003"/>
    <cellStyle name="_Ledger FMT_Appendix 12.4 (May)_ByVoucher (3)" xfId="1004"/>
    <cellStyle name="_Ledger FMT_Appendix 12.4 (May)_Copy of UIN P7 Miu" xfId="1005"/>
    <cellStyle name="_Ledger FMT_Appendix 12.4 (May)_Copy of UIN P8 Miu" xfId="1006"/>
    <cellStyle name="_Ledger FMT_Appendix 12.4 (May)_long" xfId="1007"/>
    <cellStyle name="_Ledger FMT_Appendix 12.4 (May)_Petty Cash (Feb)" xfId="1008"/>
    <cellStyle name="_Ledger FMT_Appendix 12.4 (May)_TEMP (4)" xfId="1009"/>
    <cellStyle name="_Ledger FMT_Appendix 12.4 (May)_UDN P6-LC,CC " xfId="1010"/>
    <cellStyle name="_Ledger FMT_Appendix 12.4 (May)_UDN P6-LC,CC  2" xfId="1011"/>
    <cellStyle name="_Ledger FMT_Appendix 12.4 (May)_UIN P10 Miu" xfId="1012"/>
    <cellStyle name="_Ledger FMT_Appendix 12.4 (May)_UIN P10 Miu-R1" xfId="1013"/>
    <cellStyle name="_Ledger FMT_Appendix 12.4 (May)_UIN P11 Miu" xfId="1014"/>
    <cellStyle name="_Ledger FMT_Appendix 12.4 (May)_UIN P6 Miu" xfId="1015"/>
    <cellStyle name="_Ledger FMT_Appendix 12.4 (May)_UIN P7 Miu" xfId="1016"/>
    <cellStyle name="_Ledger FMT_Appendix 12.4 (May)_UIN P8 Miu" xfId="1017"/>
    <cellStyle name="_Ledger FMT_Appendix 12.4 (May)_UIN P9 Miu" xfId="1018"/>
    <cellStyle name="_Ledger FMT_Appendix 12.4 (May)_UJV (6)" xfId="1019"/>
    <cellStyle name="_Ledger FMT_Appendix 12.4 (May)_UJV (6) 2" xfId="1020"/>
    <cellStyle name="_Ledger FMT_Appendix 12.4 (May)_UJV (Aug) (3)" xfId="1021"/>
    <cellStyle name="_Ledger FMT_Appendix 12.4 (May)_UJV (Aug) (3) 2" xfId="1022"/>
    <cellStyle name="_Ledger FMT_Appendix 12.4 (May)_UJV (Oct) (2)" xfId="1023"/>
    <cellStyle name="_Ledger FMT_Appendix 12.4 (May)_UJV (Oct) (2) 2" xfId="1024"/>
    <cellStyle name="_Ledger FMT_Appendix 12.4 (May)_VOUCHER PRINTING SA" xfId="1025"/>
    <cellStyle name="_Ledger FMT_Appendix 12.6 (May)" xfId="1026"/>
    <cellStyle name="_Ledger FMT_Appendix 12.6 (May) 2" xfId="1027"/>
    <cellStyle name="_Ledger FMT_Appendix 12.6 (May)_ByAccount (10)" xfId="1028"/>
    <cellStyle name="_Ledger FMT_Appendix 12.6 (May)_ByAccount (12)" xfId="1029"/>
    <cellStyle name="_Ledger FMT_Appendix 12.6 (May)_ByVoucher" xfId="1030"/>
    <cellStyle name="_Ledger FMT_Appendix 12.6 (May)_ByVoucher (1NS)" xfId="1031"/>
    <cellStyle name="_Ledger FMT_Appendix 12.6 (May)_ByVoucher (2)" xfId="1032"/>
    <cellStyle name="_Ledger FMT_Appendix 12.6 (May)_ByVoucher (3)" xfId="1033"/>
    <cellStyle name="_Ledger FMT_Appendix 12.6 (May)_Copy of UIN P7 Miu" xfId="1034"/>
    <cellStyle name="_Ledger FMT_Appendix 12.6 (May)_Copy of UIN P8 Miu" xfId="1035"/>
    <cellStyle name="_Ledger FMT_Appendix 12.6 (May)_long" xfId="1036"/>
    <cellStyle name="_Ledger FMT_Appendix 12.6 (May)_Petty Cash (Feb)" xfId="1037"/>
    <cellStyle name="_Ledger FMT_Appendix 12.6 (May)_TEMP (4)" xfId="1038"/>
    <cellStyle name="_Ledger FMT_Appendix 12.6 (May)_UDN P6-LC,CC " xfId="1039"/>
    <cellStyle name="_Ledger FMT_Appendix 12.6 (May)_UDN P6-LC,CC  2" xfId="1040"/>
    <cellStyle name="_Ledger FMT_Appendix 12.6 (May)_UIN P10 Miu" xfId="1041"/>
    <cellStyle name="_Ledger FMT_Appendix 12.6 (May)_UIN P10 Miu-R1" xfId="1042"/>
    <cellStyle name="_Ledger FMT_Appendix 12.6 (May)_UIN P11 Miu" xfId="1043"/>
    <cellStyle name="_Ledger FMT_Appendix 12.6 (May)_UIN P6 Miu" xfId="1044"/>
    <cellStyle name="_Ledger FMT_Appendix 12.6 (May)_UIN P7 Miu" xfId="1045"/>
    <cellStyle name="_Ledger FMT_Appendix 12.6 (May)_UIN P8 Miu" xfId="1046"/>
    <cellStyle name="_Ledger FMT_Appendix 12.6 (May)_UIN P9 Miu" xfId="1047"/>
    <cellStyle name="_Ledger FMT_Appendix 12.6 (May)_UJV (6)" xfId="1048"/>
    <cellStyle name="_Ledger FMT_Appendix 12.6 (May)_UJV (6) 2" xfId="1049"/>
    <cellStyle name="_Ledger FMT_Appendix 12.6 (May)_UJV (Aug) (3)" xfId="1050"/>
    <cellStyle name="_Ledger FMT_Appendix 12.6 (May)_UJV (Aug) (3) 2" xfId="1051"/>
    <cellStyle name="_Ledger FMT_Appendix 12.6 (May)_UJV (Oct) (2)" xfId="1052"/>
    <cellStyle name="_Ledger FMT_Appendix 12.6 (May)_UJV (Oct) (2) 2" xfId="1053"/>
    <cellStyle name="_Ledger FMT_Appendix 12.6 (May)_VOUCHER PRINTING SA" xfId="1054"/>
    <cellStyle name="_Ledger FMT_Appendix 12.7 (May)" xfId="1055"/>
    <cellStyle name="_Ledger FMT_Appendix 12.7 (May) 2" xfId="1056"/>
    <cellStyle name="_Ledger FMT_Appendix 12.7 (May)_ByAccount (10)" xfId="1057"/>
    <cellStyle name="_Ledger FMT_Appendix 12.7 (May)_ByAccount (12)" xfId="1058"/>
    <cellStyle name="_Ledger FMT_Appendix 12.7 (May)_ByVoucher" xfId="1059"/>
    <cellStyle name="_Ledger FMT_Appendix 12.7 (May)_ByVoucher (1NS)" xfId="1060"/>
    <cellStyle name="_Ledger FMT_Appendix 12.7 (May)_ByVoucher (2)" xfId="1061"/>
    <cellStyle name="_Ledger FMT_Appendix 12.7 (May)_ByVoucher (3)" xfId="1062"/>
    <cellStyle name="_Ledger FMT_Appendix 12.7 (May)_Copy of UIN P7 Miu" xfId="1063"/>
    <cellStyle name="_Ledger FMT_Appendix 12.7 (May)_Copy of UIN P8 Miu" xfId="1064"/>
    <cellStyle name="_Ledger FMT_Appendix 12.7 (May)_long" xfId="1065"/>
    <cellStyle name="_Ledger FMT_Appendix 12.7 (May)_Petty Cash (Feb)" xfId="1066"/>
    <cellStyle name="_Ledger FMT_Appendix 12.7 (May)_TEMP (4)" xfId="1067"/>
    <cellStyle name="_Ledger FMT_Appendix 12.7 (May)_UDN P6-LC,CC " xfId="1068"/>
    <cellStyle name="_Ledger FMT_Appendix 12.7 (May)_UDN P6-LC,CC  2" xfId="1069"/>
    <cellStyle name="_Ledger FMT_Appendix 12.7 (May)_UIN P10 Miu" xfId="1070"/>
    <cellStyle name="_Ledger FMT_Appendix 12.7 (May)_UIN P10 Miu-R1" xfId="1071"/>
    <cellStyle name="_Ledger FMT_Appendix 12.7 (May)_UIN P11 Miu" xfId="1072"/>
    <cellStyle name="_Ledger FMT_Appendix 12.7 (May)_UIN P6 Miu" xfId="1073"/>
    <cellStyle name="_Ledger FMT_Appendix 12.7 (May)_UIN P7 Miu" xfId="1074"/>
    <cellStyle name="_Ledger FMT_Appendix 12.7 (May)_UIN P8 Miu" xfId="1075"/>
    <cellStyle name="_Ledger FMT_Appendix 12.7 (May)_UIN P9 Miu" xfId="1076"/>
    <cellStyle name="_Ledger FMT_Appendix 12.7 (May)_UJV (6)" xfId="1077"/>
    <cellStyle name="_Ledger FMT_Appendix 12.7 (May)_UJV (6) 2" xfId="1078"/>
    <cellStyle name="_Ledger FMT_Appendix 12.7 (May)_UJV (Aug) (3)" xfId="1079"/>
    <cellStyle name="_Ledger FMT_Appendix 12.7 (May)_UJV (Aug) (3) 2" xfId="1080"/>
    <cellStyle name="_Ledger FMT_Appendix 12.7 (May)_UJV (Oct) (2)" xfId="1081"/>
    <cellStyle name="_Ledger FMT_Appendix 12.7 (May)_UJV (Oct) (2) 2" xfId="1082"/>
    <cellStyle name="_Ledger FMT_Appendix 12.7 (May)_VOUCHER PRINTING SA" xfId="1083"/>
    <cellStyle name="_Ledger FMT_Appendix 12.7 (Nov)" xfId="1084"/>
    <cellStyle name="_Ledger FMT_Appendix 12.7 (Nov) 2" xfId="1085"/>
    <cellStyle name="_Ledger FMT_Appendix 12.9 (May)" xfId="1086"/>
    <cellStyle name="_Ledger FMT_Appendix 12.9 (May) 2" xfId="1087"/>
    <cellStyle name="_Ledger FMT_Appendix 12.9 (May)_ByAccount (10)" xfId="1088"/>
    <cellStyle name="_Ledger FMT_Appendix 12.9 (May)_ByAccount (12)" xfId="1089"/>
    <cellStyle name="_Ledger FMT_Appendix 12.9 (May)_ByVoucher" xfId="1090"/>
    <cellStyle name="_Ledger FMT_Appendix 12.9 (May)_ByVoucher (1NS)" xfId="1091"/>
    <cellStyle name="_Ledger FMT_Appendix 12.9 (May)_ByVoucher (2)" xfId="1092"/>
    <cellStyle name="_Ledger FMT_Appendix 12.9 (May)_ByVoucher (3)" xfId="1093"/>
    <cellStyle name="_Ledger FMT_Appendix 12.9 (May)_Copy of UIN P7 Miu" xfId="1094"/>
    <cellStyle name="_Ledger FMT_Appendix 12.9 (May)_Copy of UIN P8 Miu" xfId="1095"/>
    <cellStyle name="_Ledger FMT_Appendix 12.9 (May)_long" xfId="1096"/>
    <cellStyle name="_Ledger FMT_Appendix 12.9 (May)_Petty Cash (Feb)" xfId="1097"/>
    <cellStyle name="_Ledger FMT_Appendix 12.9 (May)_TEMP (4)" xfId="1098"/>
    <cellStyle name="_Ledger FMT_Appendix 12.9 (May)_UDN P6-LC,CC " xfId="1099"/>
    <cellStyle name="_Ledger FMT_Appendix 12.9 (May)_UDN P6-LC,CC  2" xfId="1100"/>
    <cellStyle name="_Ledger FMT_Appendix 12.9 (May)_UIN P10 Miu" xfId="1101"/>
    <cellStyle name="_Ledger FMT_Appendix 12.9 (May)_UIN P10 Miu-R1" xfId="1102"/>
    <cellStyle name="_Ledger FMT_Appendix 12.9 (May)_UIN P11 Miu" xfId="1103"/>
    <cellStyle name="_Ledger FMT_Appendix 12.9 (May)_UIN P6 Miu" xfId="1104"/>
    <cellStyle name="_Ledger FMT_Appendix 12.9 (May)_UIN P7 Miu" xfId="1105"/>
    <cellStyle name="_Ledger FMT_Appendix 12.9 (May)_UIN P8 Miu" xfId="1106"/>
    <cellStyle name="_Ledger FMT_Appendix 12.9 (May)_UIN P9 Miu" xfId="1107"/>
    <cellStyle name="_Ledger FMT_Appendix 12.9 (May)_UJV (6)" xfId="1108"/>
    <cellStyle name="_Ledger FMT_Appendix 12.9 (May)_UJV (6) 2" xfId="1109"/>
    <cellStyle name="_Ledger FMT_Appendix 12.9 (May)_UJV (Aug) (3)" xfId="1110"/>
    <cellStyle name="_Ledger FMT_Appendix 12.9 (May)_UJV (Aug) (3) 2" xfId="1111"/>
    <cellStyle name="_Ledger FMT_Appendix 12.9 (May)_UJV (Oct) (2)" xfId="1112"/>
    <cellStyle name="_Ledger FMT_Appendix 12.9 (May)_UJV (Oct) (2) 2" xfId="1113"/>
    <cellStyle name="_Ledger FMT_Appendix 12.9 (May)_VOUCHER PRINTING SA" xfId="1114"/>
    <cellStyle name="_Ledger FMT_Appendix 13" xfId="1115"/>
    <cellStyle name="_Ledger FMT_Appendix 13 2" xfId="1116"/>
    <cellStyle name="_Ledger FMT_Appendix 13_ByAccount (10)" xfId="1117"/>
    <cellStyle name="_Ledger FMT_Appendix 13_ByAccount (12)" xfId="1118"/>
    <cellStyle name="_Ledger FMT_Appendix 13_ByVoucher" xfId="1119"/>
    <cellStyle name="_Ledger FMT_Appendix 13_ByVoucher (1NS)" xfId="1120"/>
    <cellStyle name="_Ledger FMT_Appendix 13_ByVoucher (2)" xfId="1121"/>
    <cellStyle name="_Ledger FMT_Appendix 13_ByVoucher (3)" xfId="1122"/>
    <cellStyle name="_Ledger FMT_Appendix 13_Copy of UIN P7 Miu" xfId="1123"/>
    <cellStyle name="_Ledger FMT_Appendix 13_Copy of UIN P8 Miu" xfId="1124"/>
    <cellStyle name="_Ledger FMT_Appendix 13_long" xfId="1125"/>
    <cellStyle name="_Ledger FMT_Appendix 13_Petty Cash (Feb)" xfId="1126"/>
    <cellStyle name="_Ledger FMT_Appendix 13_TEMP (4)" xfId="1127"/>
    <cellStyle name="_Ledger FMT_Appendix 13_UDN P6-LC,CC " xfId="1128"/>
    <cellStyle name="_Ledger FMT_Appendix 13_UDN P6-LC,CC  2" xfId="1129"/>
    <cellStyle name="_Ledger FMT_Appendix 13_UIN P10 Miu" xfId="1130"/>
    <cellStyle name="_Ledger FMT_Appendix 13_UIN P10 Miu-R1" xfId="1131"/>
    <cellStyle name="_Ledger FMT_Appendix 13_UIN P11 Miu" xfId="1132"/>
    <cellStyle name="_Ledger FMT_Appendix 13_UIN P4 Miu R2" xfId="1133"/>
    <cellStyle name="_Ledger FMT_Appendix 13_UIN P4 Miu R2 2" xfId="1134"/>
    <cellStyle name="_Ledger FMT_Appendix 13_UIN P6 Miu" xfId="1135"/>
    <cellStyle name="_Ledger FMT_Appendix 13_UIN P7 Miu" xfId="1136"/>
    <cellStyle name="_Ledger FMT_Appendix 13_UIN P8 Miu" xfId="1137"/>
    <cellStyle name="_Ledger FMT_Appendix 13_UIN P9 Miu" xfId="1138"/>
    <cellStyle name="_Ledger FMT_Appendix 13_UJV (6)" xfId="1139"/>
    <cellStyle name="_Ledger FMT_Appendix 13_UJV (6) 2" xfId="1140"/>
    <cellStyle name="_Ledger FMT_Appendix 13_UJV (Aug) (3)" xfId="1141"/>
    <cellStyle name="_Ledger FMT_Appendix 13_UJV (Aug) (3) 2" xfId="1142"/>
    <cellStyle name="_Ledger FMT_Appendix 13_UJV (Oct) (2)" xfId="1143"/>
    <cellStyle name="_Ledger FMT_Appendix 13_UJV (Oct) (2) 2" xfId="1144"/>
    <cellStyle name="_Ledger FMT_Appendix 13_VOUCHER PRINTING SA" xfId="1145"/>
    <cellStyle name="_Ledger FMT_Appendix 14" xfId="1146"/>
    <cellStyle name="_Ledger FMT_Appendix 14 (JRS)" xfId="1147"/>
    <cellStyle name="_Ledger FMT_Appendix 14 10" xfId="1148"/>
    <cellStyle name="_Ledger FMT_Appendix 14 11" xfId="1149"/>
    <cellStyle name="_Ledger FMT_Appendix 14 12" xfId="1150"/>
    <cellStyle name="_Ledger FMT_Appendix 14 13" xfId="1151"/>
    <cellStyle name="_Ledger FMT_Appendix 14 14" xfId="1152"/>
    <cellStyle name="_Ledger FMT_Appendix 14 15" xfId="1153"/>
    <cellStyle name="_Ledger FMT_Appendix 14 16" xfId="1154"/>
    <cellStyle name="_Ledger FMT_Appendix 14 17" xfId="1155"/>
    <cellStyle name="_Ledger FMT_Appendix 14 18" xfId="1156"/>
    <cellStyle name="_Ledger FMT_Appendix 14 19" xfId="1157"/>
    <cellStyle name="_Ledger FMT_Appendix 14 2" xfId="1158"/>
    <cellStyle name="_Ledger FMT_Appendix 14 20" xfId="1159"/>
    <cellStyle name="_Ledger FMT_Appendix 14 21" xfId="1160"/>
    <cellStyle name="_Ledger FMT_Appendix 14 3" xfId="1161"/>
    <cellStyle name="_Ledger FMT_Appendix 14 4" xfId="1162"/>
    <cellStyle name="_Ledger FMT_Appendix 14 5" xfId="1163"/>
    <cellStyle name="_Ledger FMT_Appendix 14 6" xfId="1164"/>
    <cellStyle name="_Ledger FMT_Appendix 14 7" xfId="1165"/>
    <cellStyle name="_Ledger FMT_Appendix 14 8" xfId="1166"/>
    <cellStyle name="_Ledger FMT_Appendix 14 9" xfId="1167"/>
    <cellStyle name="_Ledger FMT_Appendix 14_ByAccount (10)" xfId="1168"/>
    <cellStyle name="_Ledger FMT_Appendix 14_ByAccount (12)" xfId="1169"/>
    <cellStyle name="_Ledger FMT_Appendix 14_ByVoucher" xfId="1170"/>
    <cellStyle name="_Ledger FMT_Appendix 14_ByVoucher (1NS)" xfId="1171"/>
    <cellStyle name="_Ledger FMT_Appendix 14_ByVoucher (2)" xfId="1172"/>
    <cellStyle name="_Ledger FMT_Appendix 14_ByVoucher (3)" xfId="1173"/>
    <cellStyle name="_Ledger FMT_Appendix 14_Copy of UIN P7 Miu" xfId="1174"/>
    <cellStyle name="_Ledger FMT_Appendix 14_Copy of UIN P8 Miu" xfId="1175"/>
    <cellStyle name="_Ledger FMT_Appendix 14_long" xfId="1176"/>
    <cellStyle name="_Ledger FMT_Appendix 14_Petty Cash (Feb)" xfId="1177"/>
    <cellStyle name="_Ledger FMT_Appendix 14_TEMP (4)" xfId="1178"/>
    <cellStyle name="_Ledger FMT_Appendix 14_UDN P6-LC,CC " xfId="1179"/>
    <cellStyle name="_Ledger FMT_Appendix 14_UDN P6-LC,CC  2" xfId="1180"/>
    <cellStyle name="_Ledger FMT_Appendix 14_UIN P10 Miu" xfId="1181"/>
    <cellStyle name="_Ledger FMT_Appendix 14_UIN P10 Miu-R1" xfId="1182"/>
    <cellStyle name="_Ledger FMT_Appendix 14_UIN P11 Miu" xfId="1183"/>
    <cellStyle name="_Ledger FMT_Appendix 14_UIN P6 Miu" xfId="1184"/>
    <cellStyle name="_Ledger FMT_Appendix 14_UIN P7 Miu" xfId="1185"/>
    <cellStyle name="_Ledger FMT_Appendix 14_UIN P8 Miu" xfId="1186"/>
    <cellStyle name="_Ledger FMT_Appendix 14_UIN P9 Miu" xfId="1187"/>
    <cellStyle name="_Ledger FMT_Appendix 14_UJV (6)" xfId="1188"/>
    <cellStyle name="_Ledger FMT_Appendix 14_UJV (6) 2" xfId="1189"/>
    <cellStyle name="_Ledger FMT_Appendix 14_UJV (Aug) (3)" xfId="1190"/>
    <cellStyle name="_Ledger FMT_Appendix 14_UJV (Aug) (3) 2" xfId="1191"/>
    <cellStyle name="_Ledger FMT_Appendix 14_UJV (Oct) (2)" xfId="1192"/>
    <cellStyle name="_Ledger FMT_Appendix 14_UJV (Oct) (2) 2" xfId="1193"/>
    <cellStyle name="_Ledger FMT_Appendix 14_VOUCHER PRINTING SA" xfId="1194"/>
    <cellStyle name="_Ledger FMT_Appendix 15.1" xfId="1195"/>
    <cellStyle name="_Ledger FMT_Appendix 15.1 2" xfId="1196"/>
    <cellStyle name="_Ledger FMT_Appendix 16" xfId="1197"/>
    <cellStyle name="_Ledger FMT_Appendix 16 2" xfId="1198"/>
    <cellStyle name="_Ledger FMT_Appendix 16_ByAccount (10)" xfId="1199"/>
    <cellStyle name="_Ledger FMT_Appendix 16_ByAccount (12)" xfId="1200"/>
    <cellStyle name="_Ledger FMT_Appendix 16_ByVoucher" xfId="1201"/>
    <cellStyle name="_Ledger FMT_Appendix 16_ByVoucher (1NS)" xfId="1202"/>
    <cellStyle name="_Ledger FMT_Appendix 16_ByVoucher (2)" xfId="1203"/>
    <cellStyle name="_Ledger FMT_Appendix 16_ByVoucher (3)" xfId="1204"/>
    <cellStyle name="_Ledger FMT_Appendix 16_Copy of UIN P7 Miu" xfId="1205"/>
    <cellStyle name="_Ledger FMT_Appendix 16_Copy of UIN P8 Miu" xfId="1206"/>
    <cellStyle name="_Ledger FMT_Appendix 16_long" xfId="1207"/>
    <cellStyle name="_Ledger FMT_Appendix 16_Petty Cash (Feb)" xfId="1208"/>
    <cellStyle name="_Ledger FMT_Appendix 16_TEMP (4)" xfId="1209"/>
    <cellStyle name="_Ledger FMT_Appendix 16_UDN P6-LC,CC " xfId="1210"/>
    <cellStyle name="_Ledger FMT_Appendix 16_UDN P6-LC,CC  2" xfId="1211"/>
    <cellStyle name="_Ledger FMT_Appendix 16_UIN P10 Miu" xfId="1212"/>
    <cellStyle name="_Ledger FMT_Appendix 16_UIN P10 Miu-R1" xfId="1213"/>
    <cellStyle name="_Ledger FMT_Appendix 16_UIN P11 Miu" xfId="1214"/>
    <cellStyle name="_Ledger FMT_Appendix 16_UIN P6 Miu" xfId="1215"/>
    <cellStyle name="_Ledger FMT_Appendix 16_UIN P7 Miu" xfId="1216"/>
    <cellStyle name="_Ledger FMT_Appendix 16_UIN P8 Miu" xfId="1217"/>
    <cellStyle name="_Ledger FMT_Appendix 16_UIN P9 Miu" xfId="1218"/>
    <cellStyle name="_Ledger FMT_Appendix 16_UJV (6)" xfId="1219"/>
    <cellStyle name="_Ledger FMT_Appendix 16_UJV (6) 2" xfId="1220"/>
    <cellStyle name="_Ledger FMT_Appendix 16_UJV (Aug) (3)" xfId="1221"/>
    <cellStyle name="_Ledger FMT_Appendix 16_UJV (Aug) (3) 2" xfId="1222"/>
    <cellStyle name="_Ledger FMT_Appendix 16_UJV (Oct) (2)" xfId="1223"/>
    <cellStyle name="_Ledger FMT_Appendix 16_UJV (Oct) (2) 2" xfId="1224"/>
    <cellStyle name="_Ledger FMT_Appendix 16_VOUCHER PRINTING SA" xfId="1225"/>
    <cellStyle name="_Ledger FMT_Appendix 17" xfId="1226"/>
    <cellStyle name="_Ledger FMT_Appendix 17 2" xfId="1227"/>
    <cellStyle name="_Ledger FMT_Appendix 17_ByAccount (10)" xfId="1228"/>
    <cellStyle name="_Ledger FMT_Appendix 17_ByAccount (12)" xfId="1229"/>
    <cellStyle name="_Ledger FMT_Appendix 17_ByVoucher" xfId="1230"/>
    <cellStyle name="_Ledger FMT_Appendix 17_ByVoucher (1NS)" xfId="1231"/>
    <cellStyle name="_Ledger FMT_Appendix 17_ByVoucher (2)" xfId="1232"/>
    <cellStyle name="_Ledger FMT_Appendix 17_ByVoucher (3)" xfId="1233"/>
    <cellStyle name="_Ledger FMT_Appendix 17_Copy of UIN P7 Miu" xfId="1234"/>
    <cellStyle name="_Ledger FMT_Appendix 17_Copy of UIN P8 Miu" xfId="1235"/>
    <cellStyle name="_Ledger FMT_Appendix 17_long" xfId="1236"/>
    <cellStyle name="_Ledger FMT_Appendix 17_Petty Cash (Feb)" xfId="1237"/>
    <cellStyle name="_Ledger FMT_Appendix 17_TEMP (4)" xfId="1238"/>
    <cellStyle name="_Ledger FMT_Appendix 17_UDN P6-LC,CC " xfId="1239"/>
    <cellStyle name="_Ledger FMT_Appendix 17_UDN P6-LC,CC  2" xfId="1240"/>
    <cellStyle name="_Ledger FMT_Appendix 17_UIN P10 Miu" xfId="1241"/>
    <cellStyle name="_Ledger FMT_Appendix 17_UIN P10 Miu-R1" xfId="1242"/>
    <cellStyle name="_Ledger FMT_Appendix 17_UIN P11 Miu" xfId="1243"/>
    <cellStyle name="_Ledger FMT_Appendix 17_UIN P6 Miu" xfId="1244"/>
    <cellStyle name="_Ledger FMT_Appendix 17_UIN P7 Miu" xfId="1245"/>
    <cellStyle name="_Ledger FMT_Appendix 17_UIN P8 Miu" xfId="1246"/>
    <cellStyle name="_Ledger FMT_Appendix 17_UIN P9 Miu" xfId="1247"/>
    <cellStyle name="_Ledger FMT_Appendix 17_UJV (6)" xfId="1248"/>
    <cellStyle name="_Ledger FMT_Appendix 17_UJV (6) 2" xfId="1249"/>
    <cellStyle name="_Ledger FMT_Appendix 17_UJV (Aug) (3)" xfId="1250"/>
    <cellStyle name="_Ledger FMT_Appendix 17_UJV (Aug) (3) 2" xfId="1251"/>
    <cellStyle name="_Ledger FMT_Appendix 17_UJV (Oct) (2)" xfId="1252"/>
    <cellStyle name="_Ledger FMT_Appendix 17_UJV (Oct) (2) 2" xfId="1253"/>
    <cellStyle name="_Ledger FMT_Appendix 17_VOUCHER PRINTING SA" xfId="1254"/>
    <cellStyle name="_Ledger FMT_Appendix 18" xfId="1255"/>
    <cellStyle name="_Ledger FMT_Appendix 18 2" xfId="1256"/>
    <cellStyle name="_Ledger FMT_Appendix 18_ByAccount (10)" xfId="1257"/>
    <cellStyle name="_Ledger FMT_Appendix 18_ByAccount (12)" xfId="1258"/>
    <cellStyle name="_Ledger FMT_Appendix 18_ByVoucher" xfId="1259"/>
    <cellStyle name="_Ledger FMT_Appendix 18_ByVoucher (1NS)" xfId="1260"/>
    <cellStyle name="_Ledger FMT_Appendix 18_ByVoucher (2)" xfId="1261"/>
    <cellStyle name="_Ledger FMT_Appendix 18_ByVoucher (3)" xfId="1262"/>
    <cellStyle name="_Ledger FMT_Appendix 18_Copy of UIN P7 Miu" xfId="1263"/>
    <cellStyle name="_Ledger FMT_Appendix 18_Copy of UIN P8 Miu" xfId="1264"/>
    <cellStyle name="_Ledger FMT_Appendix 18_long" xfId="1265"/>
    <cellStyle name="_Ledger FMT_Appendix 18_Petty Cash (Feb)" xfId="1266"/>
    <cellStyle name="_Ledger FMT_Appendix 18_TEMP (4)" xfId="1267"/>
    <cellStyle name="_Ledger FMT_Appendix 18_UDN P6-LC,CC " xfId="1268"/>
    <cellStyle name="_Ledger FMT_Appendix 18_UDN P6-LC,CC  2" xfId="1269"/>
    <cellStyle name="_Ledger FMT_Appendix 18_UIN P10 Miu" xfId="1270"/>
    <cellStyle name="_Ledger FMT_Appendix 18_UIN P10 Miu-R1" xfId="1271"/>
    <cellStyle name="_Ledger FMT_Appendix 18_UIN P11 Miu" xfId="1272"/>
    <cellStyle name="_Ledger FMT_Appendix 18_UIN P6 Miu" xfId="1273"/>
    <cellStyle name="_Ledger FMT_Appendix 18_UIN P7 Miu" xfId="1274"/>
    <cellStyle name="_Ledger FMT_Appendix 18_UIN P8 Miu" xfId="1275"/>
    <cellStyle name="_Ledger FMT_Appendix 18_UIN P9 Miu" xfId="1276"/>
    <cellStyle name="_Ledger FMT_Appendix 18_UJV (6)" xfId="1277"/>
    <cellStyle name="_Ledger FMT_Appendix 18_UJV (6) 2" xfId="1278"/>
    <cellStyle name="_Ledger FMT_Appendix 18_UJV (Aug) (3)" xfId="1279"/>
    <cellStyle name="_Ledger FMT_Appendix 18_UJV (Aug) (3) 2" xfId="1280"/>
    <cellStyle name="_Ledger FMT_Appendix 18_UJV (Oct) (2)" xfId="1281"/>
    <cellStyle name="_Ledger FMT_Appendix 18_UJV (Oct) (2) 2" xfId="1282"/>
    <cellStyle name="_Ledger FMT_Appendix 18_VOUCHER PRINTING SA" xfId="1283"/>
    <cellStyle name="_Ledger FMT_Appendix 3" xfId="1284"/>
    <cellStyle name="_Ledger FMT_Appendix 3 (SA)" xfId="1285"/>
    <cellStyle name="_Ledger FMT_Appendix 3 (SA) 2" xfId="1286"/>
    <cellStyle name="_Ledger FMT_Appendix 3 10" xfId="1287"/>
    <cellStyle name="_Ledger FMT_Appendix 3 11" xfId="1288"/>
    <cellStyle name="_Ledger FMT_Appendix 3 12" xfId="1289"/>
    <cellStyle name="_Ledger FMT_Appendix 3 13" xfId="1290"/>
    <cellStyle name="_Ledger FMT_Appendix 3 14" xfId="1291"/>
    <cellStyle name="_Ledger FMT_Appendix 3 15" xfId="1292"/>
    <cellStyle name="_Ledger FMT_Appendix 3 16" xfId="1293"/>
    <cellStyle name="_Ledger FMT_Appendix 3 17" xfId="1294"/>
    <cellStyle name="_Ledger FMT_Appendix 3 18" xfId="1295"/>
    <cellStyle name="_Ledger FMT_Appendix 3 19" xfId="1296"/>
    <cellStyle name="_Ledger FMT_Appendix 3 2" xfId="1297"/>
    <cellStyle name="_Ledger FMT_Appendix 3 20" xfId="1298"/>
    <cellStyle name="_Ledger FMT_Appendix 3 21" xfId="1299"/>
    <cellStyle name="_Ledger FMT_Appendix 3 3" xfId="1300"/>
    <cellStyle name="_Ledger FMT_Appendix 3 4" xfId="1301"/>
    <cellStyle name="_Ledger FMT_Appendix 3 5" xfId="1302"/>
    <cellStyle name="_Ledger FMT_Appendix 3 6" xfId="1303"/>
    <cellStyle name="_Ledger FMT_Appendix 3 7" xfId="1304"/>
    <cellStyle name="_Ledger FMT_Appendix 3 8" xfId="1305"/>
    <cellStyle name="_Ledger FMT_Appendix 3 9" xfId="1306"/>
    <cellStyle name="_Ledger FMT_Appendix 3(SA-p9)" xfId="1307"/>
    <cellStyle name="_Ledger FMT_Appendix 3(SA-p9) 2" xfId="1308"/>
    <cellStyle name="_Ledger FMT_Appendix 3.1" xfId="1309"/>
    <cellStyle name="_Ledger FMT_Appendix 3.1 " xfId="1310"/>
    <cellStyle name="_Ledger FMT_Appendix 3.1  (2)" xfId="1311"/>
    <cellStyle name="_Ledger FMT_Appendix 3.1  (2) 2" xfId="1312"/>
    <cellStyle name="_Ledger FMT_Appendix 3.1  10" xfId="1313"/>
    <cellStyle name="_Ledger FMT_Appendix 3.1  11" xfId="1314"/>
    <cellStyle name="_Ledger FMT_Appendix 3.1  12" xfId="1315"/>
    <cellStyle name="_Ledger FMT_Appendix 3.1  13" xfId="1316"/>
    <cellStyle name="_Ledger FMT_Appendix 3.1  14" xfId="1317"/>
    <cellStyle name="_Ledger FMT_Appendix 3.1  15" xfId="1318"/>
    <cellStyle name="_Ledger FMT_Appendix 3.1  16" xfId="1319"/>
    <cellStyle name="_Ledger FMT_Appendix 3.1  17" xfId="1320"/>
    <cellStyle name="_Ledger FMT_Appendix 3.1  18" xfId="1321"/>
    <cellStyle name="_Ledger FMT_Appendix 3.1  19" xfId="1322"/>
    <cellStyle name="_Ledger FMT_Appendix 3.1  2" xfId="1323"/>
    <cellStyle name="_Ledger FMT_Appendix 3.1  20" xfId="1324"/>
    <cellStyle name="_Ledger FMT_Appendix 3.1  21" xfId="1325"/>
    <cellStyle name="_Ledger FMT_Appendix 3.1  3" xfId="1326"/>
    <cellStyle name="_Ledger FMT_Appendix 3.1  4" xfId="1327"/>
    <cellStyle name="_Ledger FMT_Appendix 3.1  5" xfId="1328"/>
    <cellStyle name="_Ledger FMT_Appendix 3.1  6" xfId="1329"/>
    <cellStyle name="_Ledger FMT_Appendix 3.1  7" xfId="1330"/>
    <cellStyle name="_Ledger FMT_Appendix 3.1  8" xfId="1331"/>
    <cellStyle name="_Ledger FMT_Appendix 3.1  9" xfId="1332"/>
    <cellStyle name="_Ledger FMT_Appendix 3.1 (sa)" xfId="1333"/>
    <cellStyle name="_Ledger FMT_Appendix 3.1 (sa) (2)" xfId="1334"/>
    <cellStyle name="_Ledger FMT_Appendix 3.1 (sa) (2) 2" xfId="1335"/>
    <cellStyle name="_Ledger FMT_Appendix 3.1 (sa) 10" xfId="1336"/>
    <cellStyle name="_Ledger FMT_Appendix 3.1 (sa) 11" xfId="1337"/>
    <cellStyle name="_Ledger FMT_Appendix 3.1 (sa) 12" xfId="1338"/>
    <cellStyle name="_Ledger FMT_Appendix 3.1 (sa) 13" xfId="1339"/>
    <cellStyle name="_Ledger FMT_Appendix 3.1 (sa) 14" xfId="1340"/>
    <cellStyle name="_Ledger FMT_Appendix 3.1 (sa) 15" xfId="1341"/>
    <cellStyle name="_Ledger FMT_Appendix 3.1 (sa) 16" xfId="1342"/>
    <cellStyle name="_Ledger FMT_Appendix 3.1 (sa) 17" xfId="1343"/>
    <cellStyle name="_Ledger FMT_Appendix 3.1 (sa) 18" xfId="1344"/>
    <cellStyle name="_Ledger FMT_Appendix 3.1 (sa) 19" xfId="1345"/>
    <cellStyle name="_Ledger FMT_Appendix 3.1 (sa) 2" xfId="1346"/>
    <cellStyle name="_Ledger FMT_Appendix 3.1 (sa) 20" xfId="1347"/>
    <cellStyle name="_Ledger FMT_Appendix 3.1 (sa) 21" xfId="1348"/>
    <cellStyle name="_Ledger FMT_Appendix 3.1 (sa) 3" xfId="1349"/>
    <cellStyle name="_Ledger FMT_Appendix 3.1 (sa) 4" xfId="1350"/>
    <cellStyle name="_Ledger FMT_Appendix 3.1 (sa) 5" xfId="1351"/>
    <cellStyle name="_Ledger FMT_Appendix 3.1 (sa) 6" xfId="1352"/>
    <cellStyle name="_Ledger FMT_Appendix 3.1 (sa) 7" xfId="1353"/>
    <cellStyle name="_Ledger FMT_Appendix 3.1 (sa) 8" xfId="1354"/>
    <cellStyle name="_Ledger FMT_Appendix 3.1 (sa) 9" xfId="1355"/>
    <cellStyle name="_Ledger FMT_Appendix 3.1 (sa-P9)  " xfId="1356"/>
    <cellStyle name="_Ledger FMT_Appendix 3.1 (sa-P9)   2" xfId="1357"/>
    <cellStyle name="_Ledger FMT_Appendix 3.1 10" xfId="1358"/>
    <cellStyle name="_Ledger FMT_Appendix 3.1 11" xfId="1359"/>
    <cellStyle name="_Ledger FMT_Appendix 3.1 12" xfId="1360"/>
    <cellStyle name="_Ledger FMT_Appendix 3.1 13" xfId="1361"/>
    <cellStyle name="_Ledger FMT_Appendix 3.1 14" xfId="1362"/>
    <cellStyle name="_Ledger FMT_Appendix 3.1 15" xfId="1363"/>
    <cellStyle name="_Ledger FMT_Appendix 3.1 16" xfId="1364"/>
    <cellStyle name="_Ledger FMT_Appendix 3.1 17" xfId="1365"/>
    <cellStyle name="_Ledger FMT_Appendix 3.1 18" xfId="1366"/>
    <cellStyle name="_Ledger FMT_Appendix 3.1 19" xfId="1367"/>
    <cellStyle name="_Ledger FMT_Appendix 3.1 2" xfId="1368"/>
    <cellStyle name="_Ledger FMT_Appendix 3.1 20" xfId="1369"/>
    <cellStyle name="_Ledger FMT_Appendix 3.1 21" xfId="1370"/>
    <cellStyle name="_Ledger FMT_Appendix 3.1 3" xfId="1371"/>
    <cellStyle name="_Ledger FMT_Appendix 3.1 4" xfId="1372"/>
    <cellStyle name="_Ledger FMT_Appendix 3.1 5" xfId="1373"/>
    <cellStyle name="_Ledger FMT_Appendix 3.1 6" xfId="1374"/>
    <cellStyle name="_Ledger FMT_Appendix 3.1 7" xfId="1375"/>
    <cellStyle name="_Ledger FMT_Appendix 3.1 8" xfId="1376"/>
    <cellStyle name="_Ledger FMT_Appendix 3.1 9" xfId="1377"/>
    <cellStyle name="_Ledger FMT_Appendix 3.1_ByAccount (10)" xfId="1378"/>
    <cellStyle name="_Ledger FMT_Appendix 3.1_ByAccount (12)" xfId="1379"/>
    <cellStyle name="_Ledger FMT_Appendix 3.1_ByVoucher" xfId="1380"/>
    <cellStyle name="_Ledger FMT_Appendix 3.1_ByVoucher (1NS)" xfId="1381"/>
    <cellStyle name="_Ledger FMT_Appendix 3.1_ByVoucher (2)" xfId="1382"/>
    <cellStyle name="_Ledger FMT_Appendix 3.1_ByVoucher (3)" xfId="1383"/>
    <cellStyle name="_Ledger FMT_Appendix 3.1_Copy of UIN P7 Miu" xfId="1384"/>
    <cellStyle name="_Ledger FMT_Appendix 3.1_Copy of UIN P8 Miu" xfId="1385"/>
    <cellStyle name="_Ledger FMT_Appendix 3.1_long" xfId="1386"/>
    <cellStyle name="_Ledger FMT_Appendix 3.1_Petty Cash (Feb)" xfId="1387"/>
    <cellStyle name="_Ledger FMT_Appendix 3.1_TEMP (4)" xfId="1388"/>
    <cellStyle name="_Ledger FMT_Appendix 3.1_UDN P6-LC,CC " xfId="1389"/>
    <cellStyle name="_Ledger FMT_Appendix 3.1_UDN P6-LC,CC  2" xfId="1390"/>
    <cellStyle name="_Ledger FMT_Appendix 3.1_UIN P10 Miu" xfId="1391"/>
    <cellStyle name="_Ledger FMT_Appendix 3.1_UIN P10 Miu-R1" xfId="1392"/>
    <cellStyle name="_Ledger FMT_Appendix 3.1_UIN P11 Miu" xfId="1393"/>
    <cellStyle name="_Ledger FMT_Appendix 3.1_UIN P6 Miu" xfId="1394"/>
    <cellStyle name="_Ledger FMT_Appendix 3.1_UIN P7 Miu" xfId="1395"/>
    <cellStyle name="_Ledger FMT_Appendix 3.1_UIN P8 Miu" xfId="1396"/>
    <cellStyle name="_Ledger FMT_Appendix 3.1_UIN P9 Miu" xfId="1397"/>
    <cellStyle name="_Ledger FMT_Appendix 3.1_UJV (6)" xfId="1398"/>
    <cellStyle name="_Ledger FMT_Appendix 3.1_UJV (6) 2" xfId="1399"/>
    <cellStyle name="_Ledger FMT_Appendix 3.1_UJV (Aug) (3)" xfId="1400"/>
    <cellStyle name="_Ledger FMT_Appendix 3.1_UJV (Aug) (3) 2" xfId="1401"/>
    <cellStyle name="_Ledger FMT_Appendix 3.1_UJV (Oct) (2)" xfId="1402"/>
    <cellStyle name="_Ledger FMT_Appendix 3.1_UJV (Oct) (2) 2" xfId="1403"/>
    <cellStyle name="_Ledger FMT_Appendix 3.1_VOUCHER PRINTING SA" xfId="1404"/>
    <cellStyle name="_Ledger FMT_Appendix 3_ByAccount (10)" xfId="1405"/>
    <cellStyle name="_Ledger FMT_Appendix 3_ByAccount (12)" xfId="1406"/>
    <cellStyle name="_Ledger FMT_Appendix 3_ByVoucher" xfId="1407"/>
    <cellStyle name="_Ledger FMT_Appendix 3_ByVoucher (1NS)" xfId="1408"/>
    <cellStyle name="_Ledger FMT_Appendix 3_ByVoucher (2)" xfId="1409"/>
    <cellStyle name="_Ledger FMT_Appendix 3_ByVoucher (3)" xfId="1410"/>
    <cellStyle name="_Ledger FMT_Appendix 3_Copy of UIN P7 Miu" xfId="1411"/>
    <cellStyle name="_Ledger FMT_Appendix 3_Copy of UIN P8 Miu" xfId="1412"/>
    <cellStyle name="_Ledger FMT_Appendix 3_long" xfId="1413"/>
    <cellStyle name="_Ledger FMT_Appendix 3_Petty Cash (Feb)" xfId="1414"/>
    <cellStyle name="_Ledger FMT_Appendix 3_TEMP (4)" xfId="1415"/>
    <cellStyle name="_Ledger FMT_Appendix 3_UDN P6-LC,CC " xfId="1416"/>
    <cellStyle name="_Ledger FMT_Appendix 3_UDN P6-LC,CC  2" xfId="1417"/>
    <cellStyle name="_Ledger FMT_Appendix 3_UIN P10 Miu" xfId="1418"/>
    <cellStyle name="_Ledger FMT_Appendix 3_UIN P10 Miu-R1" xfId="1419"/>
    <cellStyle name="_Ledger FMT_Appendix 3_UIN P11 Miu" xfId="1420"/>
    <cellStyle name="_Ledger FMT_Appendix 3_UIN P6 Miu" xfId="1421"/>
    <cellStyle name="_Ledger FMT_Appendix 3_UIN P7 Miu" xfId="1422"/>
    <cellStyle name="_Ledger FMT_Appendix 3_UIN P8 Miu" xfId="1423"/>
    <cellStyle name="_Ledger FMT_Appendix 3_UIN P9 Miu" xfId="1424"/>
    <cellStyle name="_Ledger FMT_Appendix 3_UJV (6)" xfId="1425"/>
    <cellStyle name="_Ledger FMT_Appendix 3_UJV (6) 2" xfId="1426"/>
    <cellStyle name="_Ledger FMT_Appendix 3_UJV (Aug) (3)" xfId="1427"/>
    <cellStyle name="_Ledger FMT_Appendix 3_UJV (Aug) (3) 2" xfId="1428"/>
    <cellStyle name="_Ledger FMT_Appendix 3_UJV (Oct) (2)" xfId="1429"/>
    <cellStyle name="_Ledger FMT_Appendix 3_UJV (Oct) (2) 2" xfId="1430"/>
    <cellStyle name="_Ledger FMT_Appendix 3_VOUCHER PRINTING SA" xfId="1431"/>
    <cellStyle name="_Ledger FMT_Appendix 5" xfId="1432"/>
    <cellStyle name="_Ledger FMT_Appendix 5 (4)" xfId="1433"/>
    <cellStyle name="_Ledger FMT_Appendix 5 (4) 2" xfId="1434"/>
    <cellStyle name="_Ledger FMT_Appendix 5 (4)_ByAccount (10)" xfId="1435"/>
    <cellStyle name="_Ledger FMT_Appendix 5 (4)_ByAccount (12)" xfId="1436"/>
    <cellStyle name="_Ledger FMT_Appendix 5 (4)_ByVoucher" xfId="1437"/>
    <cellStyle name="_Ledger FMT_Appendix 5 (4)_ByVoucher (1NS)" xfId="1438"/>
    <cellStyle name="_Ledger FMT_Appendix 5 (4)_ByVoucher (2)" xfId="1439"/>
    <cellStyle name="_Ledger FMT_Appendix 5 (4)_ByVoucher (3)" xfId="1440"/>
    <cellStyle name="_Ledger FMT_Appendix 5 (4)_Copy of UIN P7 Miu" xfId="1441"/>
    <cellStyle name="_Ledger FMT_Appendix 5 (4)_Copy of UIN P8 Miu" xfId="1442"/>
    <cellStyle name="_Ledger FMT_Appendix 5 (4)_long" xfId="1443"/>
    <cellStyle name="_Ledger FMT_Appendix 5 (4)_Petty Cash (Feb)" xfId="1444"/>
    <cellStyle name="_Ledger FMT_Appendix 5 (4)_TEMP (4)" xfId="1445"/>
    <cellStyle name="_Ledger FMT_Appendix 5 (4)_UDN P6-LC,CC " xfId="1446"/>
    <cellStyle name="_Ledger FMT_Appendix 5 (4)_UDN P6-LC,CC  2" xfId="1447"/>
    <cellStyle name="_Ledger FMT_Appendix 5 (4)_UIN P10 Miu" xfId="1448"/>
    <cellStyle name="_Ledger FMT_Appendix 5 (4)_UIN P10 Miu-R1" xfId="1449"/>
    <cellStyle name="_Ledger FMT_Appendix 5 (4)_UIN P11 Miu" xfId="1450"/>
    <cellStyle name="_Ledger FMT_Appendix 5 (4)_UIN P4 Miu R2" xfId="1451"/>
    <cellStyle name="_Ledger FMT_Appendix 5 (4)_UIN P4 Miu R2 2" xfId="1452"/>
    <cellStyle name="_Ledger FMT_Appendix 5 (4)_UIN P6 Miu" xfId="1453"/>
    <cellStyle name="_Ledger FMT_Appendix 5 (4)_UIN P7 Miu" xfId="1454"/>
    <cellStyle name="_Ledger FMT_Appendix 5 (4)_UIN P8 Miu" xfId="1455"/>
    <cellStyle name="_Ledger FMT_Appendix 5 (4)_UIN P9 Miu" xfId="1456"/>
    <cellStyle name="_Ledger FMT_Appendix 5 (4)_UJV (6)" xfId="1457"/>
    <cellStyle name="_Ledger FMT_Appendix 5 (4)_UJV (6) 2" xfId="1458"/>
    <cellStyle name="_Ledger FMT_Appendix 5 (4)_UJV (Aug) (3)" xfId="1459"/>
    <cellStyle name="_Ledger FMT_Appendix 5 (4)_UJV (Aug) (3) 2" xfId="1460"/>
    <cellStyle name="_Ledger FMT_Appendix 5 (4)_UJV (Oct) (2)" xfId="1461"/>
    <cellStyle name="_Ledger FMT_Appendix 5 (4)_UJV (Oct) (2) 2" xfId="1462"/>
    <cellStyle name="_Ledger FMT_Appendix 5 (4)_VOUCHER PRINTING SA" xfId="1463"/>
    <cellStyle name="_Ledger FMT_Appendix 5 (Apr)" xfId="1464"/>
    <cellStyle name="_Ledger FMT_Appendix 5 (Apr) 2" xfId="1465"/>
    <cellStyle name="_Ledger FMT_Appendix 5 (Jul)" xfId="1466"/>
    <cellStyle name="_Ledger FMT_Appendix 5 (Jun)" xfId="1467"/>
    <cellStyle name="_Ledger FMT_Appendix 5 (Jun) 2" xfId="1468"/>
    <cellStyle name="_Ledger FMT_Appendix 5 (Oct)" xfId="1469"/>
    <cellStyle name="_Ledger FMT_Appendix 5 (Sep)" xfId="1470"/>
    <cellStyle name="_Ledger FMT_Appendix 5 10" xfId="1471"/>
    <cellStyle name="_Ledger FMT_Appendix 5 11" xfId="1472"/>
    <cellStyle name="_Ledger FMT_Appendix 5 12" xfId="1473"/>
    <cellStyle name="_Ledger FMT_Appendix 5 13" xfId="1474"/>
    <cellStyle name="_Ledger FMT_Appendix 5 14" xfId="1475"/>
    <cellStyle name="_Ledger FMT_Appendix 5 15" xfId="1476"/>
    <cellStyle name="_Ledger FMT_Appendix 5 16" xfId="1477"/>
    <cellStyle name="_Ledger FMT_Appendix 5 17" xfId="1478"/>
    <cellStyle name="_Ledger FMT_Appendix 5 18" xfId="1479"/>
    <cellStyle name="_Ledger FMT_Appendix 5 19" xfId="1480"/>
    <cellStyle name="_Ledger FMT_Appendix 5 2" xfId="1481"/>
    <cellStyle name="_Ledger FMT_Appendix 5 20" xfId="1482"/>
    <cellStyle name="_Ledger FMT_Appendix 5 21" xfId="1483"/>
    <cellStyle name="_Ledger FMT_Appendix 5 3" xfId="1484"/>
    <cellStyle name="_Ledger FMT_Appendix 5 4" xfId="1485"/>
    <cellStyle name="_Ledger FMT_Appendix 5 5" xfId="1486"/>
    <cellStyle name="_Ledger FMT_Appendix 5 6" xfId="1487"/>
    <cellStyle name="_Ledger FMT_Appendix 5 7" xfId="1488"/>
    <cellStyle name="_Ledger FMT_Appendix 5 8" xfId="1489"/>
    <cellStyle name="_Ledger FMT_Appendix 5 9" xfId="1490"/>
    <cellStyle name="_Ledger FMT_Appendix 6" xfId="1491"/>
    <cellStyle name="_Ledger FMT_Appendix 6 " xfId="1492"/>
    <cellStyle name="_Ledger FMT_Appendix 6  2" xfId="1493"/>
    <cellStyle name="_Ledger FMT_Appendix 6 (2)" xfId="1494"/>
    <cellStyle name="_Ledger FMT_Appendix 6 (2) 2" xfId="1495"/>
    <cellStyle name="_Ledger FMT_Appendix 6 (OK)" xfId="1496"/>
    <cellStyle name="_Ledger FMT_Appendix 6 (OK) 2" xfId="1497"/>
    <cellStyle name="_Ledger FMT_Appendix 6 10" xfId="1498"/>
    <cellStyle name="_Ledger FMT_Appendix 6 11" xfId="1499"/>
    <cellStyle name="_Ledger FMT_Appendix 6 12" xfId="1500"/>
    <cellStyle name="_Ledger FMT_Appendix 6 13" xfId="1501"/>
    <cellStyle name="_Ledger FMT_Appendix 6 14" xfId="1502"/>
    <cellStyle name="_Ledger FMT_Appendix 6 15" xfId="1503"/>
    <cellStyle name="_Ledger FMT_Appendix 6 16" xfId="1504"/>
    <cellStyle name="_Ledger FMT_Appendix 6 17" xfId="1505"/>
    <cellStyle name="_Ledger FMT_Appendix 6 18" xfId="1506"/>
    <cellStyle name="_Ledger FMT_Appendix 6 19" xfId="1507"/>
    <cellStyle name="_Ledger FMT_Appendix 6 2" xfId="1508"/>
    <cellStyle name="_Ledger FMT_Appendix 6 20" xfId="1509"/>
    <cellStyle name="_Ledger FMT_Appendix 6 21" xfId="1510"/>
    <cellStyle name="_Ledger FMT_Appendix 6 3" xfId="1511"/>
    <cellStyle name="_Ledger FMT_Appendix 6 4" xfId="1512"/>
    <cellStyle name="_Ledger FMT_Appendix 6 5" xfId="1513"/>
    <cellStyle name="_Ledger FMT_Appendix 6 6" xfId="1514"/>
    <cellStyle name="_Ledger FMT_Appendix 6 7" xfId="1515"/>
    <cellStyle name="_Ledger FMT_Appendix 6 8" xfId="1516"/>
    <cellStyle name="_Ledger FMT_Appendix 6 9" xfId="1517"/>
    <cellStyle name="_Ledger FMT_Appendix 7" xfId="1518"/>
    <cellStyle name="_Ledger FMT_Appendix 7 2" xfId="1519"/>
    <cellStyle name="_Ledger FMT_Appendix 8 (2)" xfId="1520"/>
    <cellStyle name="_Ledger FMT_Appendix 8 (2) 2" xfId="1521"/>
    <cellStyle name="_Ledger FMT_Appendix 8 (2)_ByAccount (10)" xfId="1522"/>
    <cellStyle name="_Ledger FMT_Appendix 8 (2)_ByAccount (12)" xfId="1523"/>
    <cellStyle name="_Ledger FMT_Appendix 8 (2)_ByVoucher" xfId="1524"/>
    <cellStyle name="_Ledger FMT_Appendix 8 (2)_ByVoucher (1NS)" xfId="1525"/>
    <cellStyle name="_Ledger FMT_Appendix 8 (2)_ByVoucher (2)" xfId="1526"/>
    <cellStyle name="_Ledger FMT_Appendix 8 (2)_ByVoucher (3)" xfId="1527"/>
    <cellStyle name="_Ledger FMT_Appendix 8 (2)_Copy of UIN P7 Miu" xfId="1528"/>
    <cellStyle name="_Ledger FMT_Appendix 8 (2)_Copy of UIN P8 Miu" xfId="1529"/>
    <cellStyle name="_Ledger FMT_Appendix 8 (2)_long" xfId="1530"/>
    <cellStyle name="_Ledger FMT_Appendix 8 (2)_Petty Cash (Feb)" xfId="1531"/>
    <cellStyle name="_Ledger FMT_Appendix 8 (2)_TEMP (4)" xfId="1532"/>
    <cellStyle name="_Ledger FMT_Appendix 8 (2)_UDN P6-LC,CC " xfId="1533"/>
    <cellStyle name="_Ledger FMT_Appendix 8 (2)_UDN P6-LC,CC  2" xfId="1534"/>
    <cellStyle name="_Ledger FMT_Appendix 8 (2)_UIN P10 Miu" xfId="1535"/>
    <cellStyle name="_Ledger FMT_Appendix 8 (2)_UIN P10 Miu-R1" xfId="1536"/>
    <cellStyle name="_Ledger FMT_Appendix 8 (2)_UIN P11 Miu" xfId="1537"/>
    <cellStyle name="_Ledger FMT_Appendix 8 (2)_UIN P6 Miu" xfId="1538"/>
    <cellStyle name="_Ledger FMT_Appendix 8 (2)_UIN P7 Miu" xfId="1539"/>
    <cellStyle name="_Ledger FMT_Appendix 8 (2)_UIN P8 Miu" xfId="1540"/>
    <cellStyle name="_Ledger FMT_Appendix 8 (2)_UIN P9 Miu" xfId="1541"/>
    <cellStyle name="_Ledger FMT_Appendix 8 (2)_UJV (6)" xfId="1542"/>
    <cellStyle name="_Ledger FMT_Appendix 8 (2)_UJV (6) 2" xfId="1543"/>
    <cellStyle name="_Ledger FMT_Appendix 8 (2)_UJV (Aug) (3)" xfId="1544"/>
    <cellStyle name="_Ledger FMT_Appendix 8 (2)_UJV (Aug) (3) 2" xfId="1545"/>
    <cellStyle name="_Ledger FMT_Appendix 8 (2)_UJV (Oct) (2)" xfId="1546"/>
    <cellStyle name="_Ledger FMT_Appendix 8 (2)_UJV (Oct) (2) 2" xfId="1547"/>
    <cellStyle name="_Ledger FMT_Appendix 8 (2)_VOUCHER PRINTING SA" xfId="1548"/>
    <cellStyle name="_Ledger FMT_Appendix 8 (Aug)" xfId="1549"/>
    <cellStyle name="_Ledger FMT_Appendix 8 (Feb)" xfId="1550"/>
    <cellStyle name="_Ledger FMT_Appendix 8 (Feb) 2" xfId="1551"/>
    <cellStyle name="_Ledger FMT_Appendix 8 (Jan)" xfId="1552"/>
    <cellStyle name="_Ledger FMT_Appendix 8 (Jan) 2" xfId="1553"/>
    <cellStyle name="_Ledger FMT_Appendix 8 (Jul)" xfId="1554"/>
    <cellStyle name="_Ledger FMT_Appendix 8 (May)" xfId="1555"/>
    <cellStyle name="_Ledger FMT_Appendix 8 (May) 2" xfId="1556"/>
    <cellStyle name="_Ledger FMT_Appendix 8 (May)_ByAccount (10)" xfId="1557"/>
    <cellStyle name="_Ledger FMT_Appendix 8 (May)_ByAccount (12)" xfId="1558"/>
    <cellStyle name="_Ledger FMT_Appendix 8 (May)_ByVoucher" xfId="1559"/>
    <cellStyle name="_Ledger FMT_Appendix 8 (May)_ByVoucher (1NS)" xfId="1560"/>
    <cellStyle name="_Ledger FMT_Appendix 8 (May)_ByVoucher (2)" xfId="1561"/>
    <cellStyle name="_Ledger FMT_Appendix 8 (May)_ByVoucher (3)" xfId="1562"/>
    <cellStyle name="_Ledger FMT_Appendix 8 (May)_Copy of UIN P7 Miu" xfId="1563"/>
    <cellStyle name="_Ledger FMT_Appendix 8 (May)_Copy of UIN P8 Miu" xfId="1564"/>
    <cellStyle name="_Ledger FMT_Appendix 8 (May)_long" xfId="1565"/>
    <cellStyle name="_Ledger FMT_Appendix 8 (May)_Petty Cash (Feb)" xfId="1566"/>
    <cellStyle name="_Ledger FMT_Appendix 8 (May)_TEMP (4)" xfId="1567"/>
    <cellStyle name="_Ledger FMT_Appendix 8 (May)_UDN P6-LC,CC " xfId="1568"/>
    <cellStyle name="_Ledger FMT_Appendix 8 (May)_UDN P6-LC,CC  2" xfId="1569"/>
    <cellStyle name="_Ledger FMT_Appendix 8 (May)_UIN P10 Miu" xfId="1570"/>
    <cellStyle name="_Ledger FMT_Appendix 8 (May)_UIN P10 Miu-R1" xfId="1571"/>
    <cellStyle name="_Ledger FMT_Appendix 8 (May)_UIN P11 Miu" xfId="1572"/>
    <cellStyle name="_Ledger FMT_Appendix 8 (May)_UIN P6 Miu" xfId="1573"/>
    <cellStyle name="_Ledger FMT_Appendix 8 (May)_UIN P7 Miu" xfId="1574"/>
    <cellStyle name="_Ledger FMT_Appendix 8 (May)_UIN P8 Miu" xfId="1575"/>
    <cellStyle name="_Ledger FMT_Appendix 8 (May)_UIN P9 Miu" xfId="1576"/>
    <cellStyle name="_Ledger FMT_Appendix 8 (May)_UJV (6)" xfId="1577"/>
    <cellStyle name="_Ledger FMT_Appendix 8 (May)_UJV (6) 2" xfId="1578"/>
    <cellStyle name="_Ledger FMT_Appendix 8 (May)_UJV (Aug) (3)" xfId="1579"/>
    <cellStyle name="_Ledger FMT_Appendix 8 (May)_UJV (Aug) (3) 2" xfId="1580"/>
    <cellStyle name="_Ledger FMT_Appendix 8 (May)_UJV (Oct) (2)" xfId="1581"/>
    <cellStyle name="_Ledger FMT_Appendix 8 (May)_UJV (Oct) (2) 2" xfId="1582"/>
    <cellStyle name="_Ledger FMT_Appendix 8 (May)_VOUCHER PRINTING SA" xfId="1583"/>
    <cellStyle name="_Ledger FMT_Appendix 8 (Sep)" xfId="1584"/>
    <cellStyle name="_Ledger FMT_Appendix 8 (Sep) 2" xfId="1585"/>
    <cellStyle name="_Ledger FMT_ByAccount" xfId="1586"/>
    <cellStyle name="_Ledger FMT_ByAccount (10)" xfId="1587"/>
    <cellStyle name="_Ledger FMT_ByAccount (12)" xfId="1588"/>
    <cellStyle name="_Ledger FMT_ByAccount (2)" xfId="1589"/>
    <cellStyle name="_Ledger FMT_ByAccount (3)" xfId="1590"/>
    <cellStyle name="_Ledger FMT_ByAccount (4)" xfId="1591"/>
    <cellStyle name="_Ledger FMT_ByAccount (5)" xfId="1592"/>
    <cellStyle name="_Ledger FMT_ByAccount (8)" xfId="1593"/>
    <cellStyle name="_Ledger FMT_ByAccount (9)" xfId="1594"/>
    <cellStyle name="_Ledger FMT_ByVoucher" xfId="1595"/>
    <cellStyle name="_Ledger FMT_ByVoucher (1NS)" xfId="1596"/>
    <cellStyle name="_Ledger FMT_ByVoucher (2)" xfId="1597"/>
    <cellStyle name="_Ledger FMT_ByVoucher (3)" xfId="1598"/>
    <cellStyle name="_Ledger FMT_ByVoucher (5)" xfId="1599"/>
    <cellStyle name="_Ledger FMT_ByVoucher(long)" xfId="1600"/>
    <cellStyle name="_Ledger FMT_ByVoucher_1" xfId="1601"/>
    <cellStyle name="_Ledger FMT_ByVoucher_1 2" xfId="1602"/>
    <cellStyle name="_Ledger FMT_ByVoucher_1_ByAccount (10)" xfId="1603"/>
    <cellStyle name="_Ledger FMT_ByVoucher_1_ByAccount (12)" xfId="1604"/>
    <cellStyle name="_Ledger FMT_ByVoucher_1_ByVoucher" xfId="1605"/>
    <cellStyle name="_Ledger FMT_ByVoucher_1_ByVoucher (1NS)" xfId="1606"/>
    <cellStyle name="_Ledger FMT_ByVoucher_1_ByVoucher (2)" xfId="1607"/>
    <cellStyle name="_Ledger FMT_ByVoucher_1_ByVoucher (3)" xfId="1608"/>
    <cellStyle name="_Ledger FMT_ByVoucher_1_Copy of UIN P7 Miu" xfId="1609"/>
    <cellStyle name="_Ledger FMT_ByVoucher_1_Copy of UIN P8 Miu" xfId="1610"/>
    <cellStyle name="_Ledger FMT_ByVoucher_1_long" xfId="1611"/>
    <cellStyle name="_Ledger FMT_ByVoucher_1_Petty Cash (Feb)" xfId="1612"/>
    <cellStyle name="_Ledger FMT_ByVoucher_1_TEMP (4)" xfId="1613"/>
    <cellStyle name="_Ledger FMT_ByVoucher_1_UDN P6-LC,CC " xfId="1614"/>
    <cellStyle name="_Ledger FMT_ByVoucher_1_UDN P6-LC,CC  2" xfId="1615"/>
    <cellStyle name="_Ledger FMT_ByVoucher_1_UIN P10 Miu" xfId="1616"/>
    <cellStyle name="_Ledger FMT_ByVoucher_1_UIN P10 Miu-R1" xfId="1617"/>
    <cellStyle name="_Ledger FMT_ByVoucher_1_UIN P11 Miu" xfId="1618"/>
    <cellStyle name="_Ledger FMT_ByVoucher_1_UIN P6 Miu" xfId="1619"/>
    <cellStyle name="_Ledger FMT_ByVoucher_1_UIN P7 Miu" xfId="1620"/>
    <cellStyle name="_Ledger FMT_ByVoucher_1_UIN P8 Miu" xfId="1621"/>
    <cellStyle name="_Ledger FMT_ByVoucher_1_UIN P9 Miu" xfId="1622"/>
    <cellStyle name="_Ledger FMT_ByVoucher_1_UJV (6)" xfId="1623"/>
    <cellStyle name="_Ledger FMT_ByVoucher_1_UJV (6) 2" xfId="1624"/>
    <cellStyle name="_Ledger FMT_ByVoucher_1_UJV (Aug) (3)" xfId="1625"/>
    <cellStyle name="_Ledger FMT_ByVoucher_1_UJV (Aug) (3) 2" xfId="1626"/>
    <cellStyle name="_Ledger FMT_ByVoucher_1_UJV (Oct) (2)" xfId="1627"/>
    <cellStyle name="_Ledger FMT_ByVoucher_1_UJV (Oct) (2) 2" xfId="1628"/>
    <cellStyle name="_Ledger FMT_ByVoucher_1_VOUCHER PRINTING SA" xfId="1629"/>
    <cellStyle name="_Ledger FMT_cash A KS" xfId="1630"/>
    <cellStyle name="_Ledger FMT_COA" xfId="1631"/>
    <cellStyle name="_Ledger FMT_Entries (Teresa)" xfId="1632"/>
    <cellStyle name="_Ledger FMT_Entries (Teresa) 2" xfId="1633"/>
    <cellStyle name="_Ledger FMT_Fixed G acc P10" xfId="1634"/>
    <cellStyle name="_Ledger FMT_GBP" xfId="1635"/>
    <cellStyle name="_Ledger FMT_GBP 2" xfId="1636"/>
    <cellStyle name="_Ledger FMT_GBP_ByAccount (10)" xfId="1637"/>
    <cellStyle name="_Ledger FMT_GBP_ByAccount (12)" xfId="1638"/>
    <cellStyle name="_Ledger FMT_GBP_ByVoucher" xfId="1639"/>
    <cellStyle name="_Ledger FMT_GBP_ByVoucher (1NS)" xfId="1640"/>
    <cellStyle name="_Ledger FMT_GBP_ByVoucher (2)" xfId="1641"/>
    <cellStyle name="_Ledger FMT_GBP_ByVoucher (3)" xfId="1642"/>
    <cellStyle name="_Ledger FMT_GBP_Copy of UIN P7 Miu" xfId="1643"/>
    <cellStyle name="_Ledger FMT_GBP_Copy of UIN P8 Miu" xfId="1644"/>
    <cellStyle name="_Ledger FMT_GBP_long" xfId="1645"/>
    <cellStyle name="_Ledger FMT_GBP_Petty Cash (Feb)" xfId="1646"/>
    <cellStyle name="_Ledger FMT_GBP_TEMP (4)" xfId="1647"/>
    <cellStyle name="_Ledger FMT_GBP_UDN P6-LC,CC " xfId="1648"/>
    <cellStyle name="_Ledger FMT_GBP_UDN P6-LC,CC  2" xfId="1649"/>
    <cellStyle name="_Ledger FMT_GBP_UIN P10 Miu" xfId="1650"/>
    <cellStyle name="_Ledger FMT_GBP_UIN P10 Miu-R1" xfId="1651"/>
    <cellStyle name="_Ledger FMT_GBP_UIN P11 Miu" xfId="1652"/>
    <cellStyle name="_Ledger FMT_GBP_UIN P6 Miu" xfId="1653"/>
    <cellStyle name="_Ledger FMT_GBP_UIN P7 Miu" xfId="1654"/>
    <cellStyle name="_Ledger FMT_GBP_UIN P8 Miu" xfId="1655"/>
    <cellStyle name="_Ledger FMT_GBP_UIN P9 Miu" xfId="1656"/>
    <cellStyle name="_Ledger FMT_GBP_UJV (6)" xfId="1657"/>
    <cellStyle name="_Ledger FMT_GBP_UJV (6) 2" xfId="1658"/>
    <cellStyle name="_Ledger FMT_GBP_UJV (Aug) (3)" xfId="1659"/>
    <cellStyle name="_Ledger FMT_GBP_UJV (Aug) (3) 2" xfId="1660"/>
    <cellStyle name="_Ledger FMT_GBP_UJV (Oct) (2)" xfId="1661"/>
    <cellStyle name="_Ledger FMT_GBP_UJV (Oct) (2) 2" xfId="1662"/>
    <cellStyle name="_Ledger FMT_GBP_VOUCHER PRINTING SA" xfId="1663"/>
    <cellStyle name="_Ledger FMT_Ledger + Voucher Template base" xfId="1664"/>
    <cellStyle name="_Ledger FMT_Ledger + Voucher Template base 2" xfId="1665"/>
    <cellStyle name="_Ledger FMT_Ledger + Voucher Template base_ByAccount (10)" xfId="1666"/>
    <cellStyle name="_Ledger FMT_Ledger + Voucher Template base_ByAccount (12)" xfId="1667"/>
    <cellStyle name="_Ledger FMT_Ledger + Voucher Template base_ByVoucher" xfId="1668"/>
    <cellStyle name="_Ledger FMT_Ledger + Voucher Template base_ByVoucher (1NS)" xfId="1669"/>
    <cellStyle name="_Ledger FMT_Ledger + Voucher Template base_ByVoucher (2)" xfId="1670"/>
    <cellStyle name="_Ledger FMT_Ledger + Voucher Template base_ByVoucher (3)" xfId="1671"/>
    <cellStyle name="_Ledger FMT_Ledger + Voucher Template base_Copy of UIN P7 Miu" xfId="1672"/>
    <cellStyle name="_Ledger FMT_Ledger + Voucher Template base_Copy of UIN P8 Miu" xfId="1673"/>
    <cellStyle name="_Ledger FMT_Ledger + Voucher Template base_long" xfId="1674"/>
    <cellStyle name="_Ledger FMT_Ledger + Voucher Template base_Petty Cash (Feb)" xfId="1675"/>
    <cellStyle name="_Ledger FMT_Ledger + Voucher Template base_TEMP (4)" xfId="1676"/>
    <cellStyle name="_Ledger FMT_Ledger + Voucher Template base_UDN P6-LC,CC " xfId="1677"/>
    <cellStyle name="_Ledger FMT_Ledger + Voucher Template base_UDN P6-LC,CC  2" xfId="1678"/>
    <cellStyle name="_Ledger FMT_Ledger + Voucher Template base_UIN P10 Miu" xfId="1679"/>
    <cellStyle name="_Ledger FMT_Ledger + Voucher Template base_UIN P10 Miu-R1" xfId="1680"/>
    <cellStyle name="_Ledger FMT_Ledger + Voucher Template base_UIN P11 Miu" xfId="1681"/>
    <cellStyle name="_Ledger FMT_Ledger + Voucher Template base_UIN P4 Miu R2" xfId="1682"/>
    <cellStyle name="_Ledger FMT_Ledger + Voucher Template base_UIN P4 Miu R2 2" xfId="1683"/>
    <cellStyle name="_Ledger FMT_Ledger + Voucher Template base_UIN P6 Miu" xfId="1684"/>
    <cellStyle name="_Ledger FMT_Ledger + Voucher Template base_UIN P7 Miu" xfId="1685"/>
    <cellStyle name="_Ledger FMT_Ledger + Voucher Template base_UIN P8 Miu" xfId="1686"/>
    <cellStyle name="_Ledger FMT_Ledger + Voucher Template base_UIN P9 Miu" xfId="1687"/>
    <cellStyle name="_Ledger FMT_Ledger + Voucher Template base_UJV (6)" xfId="1688"/>
    <cellStyle name="_Ledger FMT_Ledger + Voucher Template base_UJV (6) 2" xfId="1689"/>
    <cellStyle name="_Ledger FMT_Ledger + Voucher Template base_UJV (Aug) (3)" xfId="1690"/>
    <cellStyle name="_Ledger FMT_Ledger + Voucher Template base_UJV (Aug) (3) 2" xfId="1691"/>
    <cellStyle name="_Ledger FMT_Ledger + Voucher Template base_UJV (Oct) (2)" xfId="1692"/>
    <cellStyle name="_Ledger FMT_Ledger + Voucher Template base_UJV (Oct) (2) 2" xfId="1693"/>
    <cellStyle name="_Ledger FMT_Ledger + Voucher Template base_VOUCHER PRINTING SA" xfId="1694"/>
    <cellStyle name="_Ledger FMT_Ledger + Voucher Template Miu R1" xfId="1695"/>
    <cellStyle name="_Ledger FMT_Ledger + Voucher Template Miu R1 2" xfId="1696"/>
    <cellStyle name="_Ledger FMT_Ledger + Voucher Template Miu R1_ByAccount (10)" xfId="1697"/>
    <cellStyle name="_Ledger FMT_Ledger + Voucher Template Miu R1_ByAccount (12)" xfId="1698"/>
    <cellStyle name="_Ledger FMT_Ledger + Voucher Template Miu R1_ByVoucher" xfId="1699"/>
    <cellStyle name="_Ledger FMT_Ledger + Voucher Template Miu R1_ByVoucher (1NS)" xfId="1700"/>
    <cellStyle name="_Ledger FMT_Ledger + Voucher Template Miu R1_ByVoucher (2)" xfId="1701"/>
    <cellStyle name="_Ledger FMT_Ledger + Voucher Template Miu R1_ByVoucher (3)" xfId="1702"/>
    <cellStyle name="_Ledger FMT_Ledger + Voucher Template Miu R1_Copy of UIN P7 Miu" xfId="1703"/>
    <cellStyle name="_Ledger FMT_Ledger + Voucher Template Miu R1_Copy of UIN P8 Miu" xfId="1704"/>
    <cellStyle name="_Ledger FMT_Ledger + Voucher Template Miu R1_long" xfId="1705"/>
    <cellStyle name="_Ledger FMT_Ledger + Voucher Template Miu R1_Petty Cash (Feb)" xfId="1706"/>
    <cellStyle name="_Ledger FMT_Ledger + Voucher Template Miu R1_TEMP (4)" xfId="1707"/>
    <cellStyle name="_Ledger FMT_Ledger + Voucher Template Miu R1_UDN P6-LC,CC " xfId="1708"/>
    <cellStyle name="_Ledger FMT_Ledger + Voucher Template Miu R1_UDN P6-LC,CC  2" xfId="1709"/>
    <cellStyle name="_Ledger FMT_Ledger + Voucher Template Miu R1_UIN P10 Miu" xfId="1710"/>
    <cellStyle name="_Ledger FMT_Ledger + Voucher Template Miu R1_UIN P10 Miu-R1" xfId="1711"/>
    <cellStyle name="_Ledger FMT_Ledger + Voucher Template Miu R1_UIN P11 Miu" xfId="1712"/>
    <cellStyle name="_Ledger FMT_Ledger + Voucher Template Miu R1_UIN P4 Miu R2" xfId="1713"/>
    <cellStyle name="_Ledger FMT_Ledger + Voucher Template Miu R1_UIN P4 Miu R2 2" xfId="1714"/>
    <cellStyle name="_Ledger FMT_Ledger + Voucher Template Miu R1_UIN P6 Miu" xfId="1715"/>
    <cellStyle name="_Ledger FMT_Ledger + Voucher Template Miu R1_UIN P7 Miu" xfId="1716"/>
    <cellStyle name="_Ledger FMT_Ledger + Voucher Template Miu R1_UIN P8 Miu" xfId="1717"/>
    <cellStyle name="_Ledger FMT_Ledger + Voucher Template Miu R1_UIN P9 Miu" xfId="1718"/>
    <cellStyle name="_Ledger FMT_Ledger + Voucher Template Miu R1_UJV (6)" xfId="1719"/>
    <cellStyle name="_Ledger FMT_Ledger + Voucher Template Miu R1_UJV (6) 2" xfId="1720"/>
    <cellStyle name="_Ledger FMT_Ledger + Voucher Template Miu R1_UJV (Aug) (3)" xfId="1721"/>
    <cellStyle name="_Ledger FMT_Ledger + Voucher Template Miu R1_UJV (Aug) (3) 2" xfId="1722"/>
    <cellStyle name="_Ledger FMT_Ledger + Voucher Template Miu R1_UJV (Oct) (2)" xfId="1723"/>
    <cellStyle name="_Ledger FMT_Ledger + Voucher Template Miu R1_UJV (Oct) (2) 2" xfId="1724"/>
    <cellStyle name="_Ledger FMT_Ledger + Voucher Template Miu R1_VOUCHER PRINTING SA" xfId="1725"/>
    <cellStyle name="_Ledger FMT_NSL (1320114) P3 - from 1NS" xfId="1726"/>
    <cellStyle name="_Ledger FMT_NSL (1320114) P3 - from 1NS 2" xfId="1727"/>
    <cellStyle name="_Ledger FMT_NSL (1320114) P3 - from 1NS_ByAccount (10)" xfId="1728"/>
    <cellStyle name="_Ledger FMT_NSL (1320114) P3 - from 1NS_ByAccount (12)" xfId="1729"/>
    <cellStyle name="_Ledger FMT_NSL (1320114) P3 - from 1NS_ByVoucher" xfId="1730"/>
    <cellStyle name="_Ledger FMT_NSL (1320114) P3 - from 1NS_ByVoucher (1NS)" xfId="1731"/>
    <cellStyle name="_Ledger FMT_NSL (1320114) P3 - from 1NS_ByVoucher (2)" xfId="1732"/>
    <cellStyle name="_Ledger FMT_NSL (1320114) P3 - from 1NS_ByVoucher (3)" xfId="1733"/>
    <cellStyle name="_Ledger FMT_NSL (1320114) P3 - from 1NS_Copy of UIN P7 Miu" xfId="1734"/>
    <cellStyle name="_Ledger FMT_NSL (1320114) P3 - from 1NS_Copy of UIN P8 Miu" xfId="1735"/>
    <cellStyle name="_Ledger FMT_NSL (1320114) P3 - from 1NS_long" xfId="1736"/>
    <cellStyle name="_Ledger FMT_NSL (1320114) P3 - from 1NS_Petty Cash (Feb)" xfId="1737"/>
    <cellStyle name="_Ledger FMT_NSL (1320114) P3 - from 1NS_TEMP (4)" xfId="1738"/>
    <cellStyle name="_Ledger FMT_NSL (1320114) P3 - from 1NS_UDN P6-LC,CC " xfId="1739"/>
    <cellStyle name="_Ledger FMT_NSL (1320114) P3 - from 1NS_UDN P6-LC,CC  2" xfId="1740"/>
    <cellStyle name="_Ledger FMT_NSL (1320114) P3 - from 1NS_UIN P10 Miu" xfId="1741"/>
    <cellStyle name="_Ledger FMT_NSL (1320114) P3 - from 1NS_UIN P10 Miu-R1" xfId="1742"/>
    <cellStyle name="_Ledger FMT_NSL (1320114) P3 - from 1NS_UIN P11 Miu" xfId="1743"/>
    <cellStyle name="_Ledger FMT_NSL (1320114) P3 - from 1NS_UIN P4 Miu R2" xfId="1744"/>
    <cellStyle name="_Ledger FMT_NSL (1320114) P3 - from 1NS_UIN P4 Miu R2 2" xfId="1745"/>
    <cellStyle name="_Ledger FMT_NSL (1320114) P3 - from 1NS_UIN P6 Miu" xfId="1746"/>
    <cellStyle name="_Ledger FMT_NSL (1320114) P3 - from 1NS_UIN P7 Miu" xfId="1747"/>
    <cellStyle name="_Ledger FMT_NSL (1320114) P3 - from 1NS_UIN P8 Miu" xfId="1748"/>
    <cellStyle name="_Ledger FMT_NSL (1320114) P3 - from 1NS_UIN P9 Miu" xfId="1749"/>
    <cellStyle name="_Ledger FMT_NSL (1320114) P3 - from 1NS_UJV (6)" xfId="1750"/>
    <cellStyle name="_Ledger FMT_NSL (1320114) P3 - from 1NS_UJV (6) 2" xfId="1751"/>
    <cellStyle name="_Ledger FMT_NSL (1320114) P3 - from 1NS_UJV (Aug) (3)" xfId="1752"/>
    <cellStyle name="_Ledger FMT_NSL (1320114) P3 - from 1NS_UJV (Aug) (3) 2" xfId="1753"/>
    <cellStyle name="_Ledger FMT_NSL (1320114) P3 - from 1NS_UJV (Oct) (2)" xfId="1754"/>
    <cellStyle name="_Ledger FMT_NSL (1320114) P3 - from 1NS_UJV (Oct) (2) 2" xfId="1755"/>
    <cellStyle name="_Ledger FMT_NSL (1320114) P3 - from 1NS_VOUCHER PRINTING SA" xfId="1756"/>
    <cellStyle name="_Ledger FMT_NSL UK 1320114 (1NS) P3" xfId="1757"/>
    <cellStyle name="_Ledger FMT_NSL UK 1320114 (1NS) P3 2" xfId="1758"/>
    <cellStyle name="_Ledger FMT_NSL UK 1320114 (1NS) P3_ByAccount (10)" xfId="1759"/>
    <cellStyle name="_Ledger FMT_NSL UK 1320114 (1NS) P3_ByAccount (12)" xfId="1760"/>
    <cellStyle name="_Ledger FMT_NSL UK 1320114 (1NS) P3_ByVoucher" xfId="1761"/>
    <cellStyle name="_Ledger FMT_NSL UK 1320114 (1NS) P3_ByVoucher (1NS)" xfId="1762"/>
    <cellStyle name="_Ledger FMT_NSL UK 1320114 (1NS) P3_ByVoucher (2)" xfId="1763"/>
    <cellStyle name="_Ledger FMT_NSL UK 1320114 (1NS) P3_ByVoucher (3)" xfId="1764"/>
    <cellStyle name="_Ledger FMT_NSL UK 1320114 (1NS) P3_Copy of UIN P7 Miu" xfId="1765"/>
    <cellStyle name="_Ledger FMT_NSL UK 1320114 (1NS) P3_Copy of UIN P8 Miu" xfId="1766"/>
    <cellStyle name="_Ledger FMT_NSL UK 1320114 (1NS) P3_long" xfId="1767"/>
    <cellStyle name="_Ledger FMT_NSL UK 1320114 (1NS) P3_Petty Cash (Feb)" xfId="1768"/>
    <cellStyle name="_Ledger FMT_NSL UK 1320114 (1NS) P3_TEMP (4)" xfId="1769"/>
    <cellStyle name="_Ledger FMT_NSL UK 1320114 (1NS) P3_UDN P6-LC,CC " xfId="1770"/>
    <cellStyle name="_Ledger FMT_NSL UK 1320114 (1NS) P3_UDN P6-LC,CC  2" xfId="1771"/>
    <cellStyle name="_Ledger FMT_NSL UK 1320114 (1NS) P3_UIN P10 Miu" xfId="1772"/>
    <cellStyle name="_Ledger FMT_NSL UK 1320114 (1NS) P3_UIN P10 Miu-R1" xfId="1773"/>
    <cellStyle name="_Ledger FMT_NSL UK 1320114 (1NS) P3_UIN P11 Miu" xfId="1774"/>
    <cellStyle name="_Ledger FMT_NSL UK 1320114 (1NS) P3_UIN P4 Miu R2" xfId="1775"/>
    <cellStyle name="_Ledger FMT_NSL UK 1320114 (1NS) P3_UIN P4 Miu R2 2" xfId="1776"/>
    <cellStyle name="_Ledger FMT_NSL UK 1320114 (1NS) P3_UIN P6 Miu" xfId="1777"/>
    <cellStyle name="_Ledger FMT_NSL UK 1320114 (1NS) P3_UIN P7 Miu" xfId="1778"/>
    <cellStyle name="_Ledger FMT_NSL UK 1320114 (1NS) P3_UIN P8 Miu" xfId="1779"/>
    <cellStyle name="_Ledger FMT_NSL UK 1320114 (1NS) P3_UIN P9 Miu" xfId="1780"/>
    <cellStyle name="_Ledger FMT_NSL UK 1320114 (1NS) P3_UJV (6)" xfId="1781"/>
    <cellStyle name="_Ledger FMT_NSL UK 1320114 (1NS) P3_UJV (6) 2" xfId="1782"/>
    <cellStyle name="_Ledger FMT_NSL UK 1320114 (1NS) P3_UJV (Aug) (3)" xfId="1783"/>
    <cellStyle name="_Ledger FMT_NSL UK 1320114 (1NS) P3_UJV (Aug) (3) 2" xfId="1784"/>
    <cellStyle name="_Ledger FMT_NSL UK 1320114 (1NS) P3_UJV (Oct) (2)" xfId="1785"/>
    <cellStyle name="_Ledger FMT_NSL UK 1320114 (1NS) P3_UJV (Oct) (2) 2" xfId="1786"/>
    <cellStyle name="_Ledger FMT_NSL UK 1320114 (1NS) P3_VOUCHER PRINTING SA" xfId="1787"/>
    <cellStyle name="_Ledger FMT_NUK NRL" xfId="1788"/>
    <cellStyle name="_Ledger FMT_P4 UK -BS Yr11-12(SA)" xfId="1789"/>
    <cellStyle name="_Ledger FMT_Petty Cash (Feb)" xfId="1790"/>
    <cellStyle name="_Ledger FMT_prepaid" xfId="1791"/>
    <cellStyle name="_Ledger FMT_prepaid 2" xfId="1792"/>
    <cellStyle name="_Ledger FMT_prepaid_ByAccount (10)" xfId="1793"/>
    <cellStyle name="_Ledger FMT_prepaid_ByAccount (12)" xfId="1794"/>
    <cellStyle name="_Ledger FMT_prepaid_ByVoucher" xfId="1795"/>
    <cellStyle name="_Ledger FMT_prepaid_ByVoucher (1NS)" xfId="1796"/>
    <cellStyle name="_Ledger FMT_prepaid_ByVoucher (2)" xfId="1797"/>
    <cellStyle name="_Ledger FMT_prepaid_ByVoucher (3)" xfId="1798"/>
    <cellStyle name="_Ledger FMT_prepaid_Copy of UIN P7 Miu" xfId="1799"/>
    <cellStyle name="_Ledger FMT_prepaid_Copy of UIN P8 Miu" xfId="1800"/>
    <cellStyle name="_Ledger FMT_prepaid_long" xfId="1801"/>
    <cellStyle name="_Ledger FMT_prepaid_Petty Cash (Feb)" xfId="1802"/>
    <cellStyle name="_Ledger FMT_prepaid_TEMP (4)" xfId="1803"/>
    <cellStyle name="_Ledger FMT_prepaid_UDN P6-LC,CC " xfId="1804"/>
    <cellStyle name="_Ledger FMT_prepaid_UDN P6-LC,CC  2" xfId="1805"/>
    <cellStyle name="_Ledger FMT_prepaid_UIN P10 Miu" xfId="1806"/>
    <cellStyle name="_Ledger FMT_prepaid_UIN P10 Miu-R1" xfId="1807"/>
    <cellStyle name="_Ledger FMT_prepaid_UIN P11 Miu" xfId="1808"/>
    <cellStyle name="_Ledger FMT_prepaid_UIN P4 Miu R2" xfId="1809"/>
    <cellStyle name="_Ledger FMT_prepaid_UIN P4 Miu R2 2" xfId="1810"/>
    <cellStyle name="_Ledger FMT_prepaid_UIN P6 Miu" xfId="1811"/>
    <cellStyle name="_Ledger FMT_prepaid_UIN P7 Miu" xfId="1812"/>
    <cellStyle name="_Ledger FMT_prepaid_UIN P8 Miu" xfId="1813"/>
    <cellStyle name="_Ledger FMT_prepaid_UIN P9 Miu" xfId="1814"/>
    <cellStyle name="_Ledger FMT_prepaid_UJV (6)" xfId="1815"/>
    <cellStyle name="_Ledger FMT_prepaid_UJV (6) 2" xfId="1816"/>
    <cellStyle name="_Ledger FMT_prepaid_UJV (Aug) (3)" xfId="1817"/>
    <cellStyle name="_Ledger FMT_prepaid_UJV (Aug) (3) 2" xfId="1818"/>
    <cellStyle name="_Ledger FMT_prepaid_UJV (Oct) (2)" xfId="1819"/>
    <cellStyle name="_Ledger FMT_prepaid_UJV (Oct) (2) 2" xfId="1820"/>
    <cellStyle name="_Ledger FMT_prepaid_VOUCHER PRINTING SA" xfId="1821"/>
    <cellStyle name="_Ledger FMT_prepay (2)" xfId="1822"/>
    <cellStyle name="_Ledger FMT_prepay (travel P10)" xfId="1823"/>
    <cellStyle name="_Ledger FMT_prepay (travel P11)" xfId="1824"/>
    <cellStyle name="_Ledger FMT_prepay travel" xfId="1825"/>
    <cellStyle name="_Ledger FMT_sa" xfId="1826"/>
    <cellStyle name="_Ledger FMT_sa (2)" xfId="1827"/>
    <cellStyle name="_Ledger FMT_sa (2) 2" xfId="1828"/>
    <cellStyle name="_Ledger FMT_sa (2)_ByAccount (10)" xfId="1829"/>
    <cellStyle name="_Ledger FMT_sa (2)_ByAccount (12)" xfId="1830"/>
    <cellStyle name="_Ledger FMT_sa (2)_ByVoucher" xfId="1831"/>
    <cellStyle name="_Ledger FMT_sa (2)_ByVoucher (1NS)" xfId="1832"/>
    <cellStyle name="_Ledger FMT_sa (2)_ByVoucher (2)" xfId="1833"/>
    <cellStyle name="_Ledger FMT_sa (2)_ByVoucher (3)" xfId="1834"/>
    <cellStyle name="_Ledger FMT_sa (2)_Copy of UIN P7 Miu" xfId="1835"/>
    <cellStyle name="_Ledger FMT_sa (2)_Copy of UIN P8 Miu" xfId="1836"/>
    <cellStyle name="_Ledger FMT_sa (2)_long" xfId="1837"/>
    <cellStyle name="_Ledger FMT_sa (2)_Petty Cash (Feb)" xfId="1838"/>
    <cellStyle name="_Ledger FMT_sa (2)_TEMP (4)" xfId="1839"/>
    <cellStyle name="_Ledger FMT_sa (2)_UDN P6-LC,CC " xfId="1840"/>
    <cellStyle name="_Ledger FMT_sa (2)_UDN P6-LC,CC  2" xfId="1841"/>
    <cellStyle name="_Ledger FMT_sa (2)_UIN P10 Miu" xfId="1842"/>
    <cellStyle name="_Ledger FMT_sa (2)_UIN P10 Miu-R1" xfId="1843"/>
    <cellStyle name="_Ledger FMT_sa (2)_UIN P11 Miu" xfId="1844"/>
    <cellStyle name="_Ledger FMT_sa (2)_UIN P6 Miu" xfId="1845"/>
    <cellStyle name="_Ledger FMT_sa (2)_UIN P7 Miu" xfId="1846"/>
    <cellStyle name="_Ledger FMT_sa (2)_UIN P8 Miu" xfId="1847"/>
    <cellStyle name="_Ledger FMT_sa (2)_UIN P9 Miu" xfId="1848"/>
    <cellStyle name="_Ledger FMT_sa (2)_UJV (6)" xfId="1849"/>
    <cellStyle name="_Ledger FMT_sa (2)_UJV (6) 2" xfId="1850"/>
    <cellStyle name="_Ledger FMT_sa (2)_UJV (Aug) (3)" xfId="1851"/>
    <cellStyle name="_Ledger FMT_sa (2)_UJV (Aug) (3) 2" xfId="1852"/>
    <cellStyle name="_Ledger FMT_sa (2)_UJV (Oct) (2)" xfId="1853"/>
    <cellStyle name="_Ledger FMT_sa (2)_UJV (Oct) (2) 2" xfId="1854"/>
    <cellStyle name="_Ledger FMT_sa (2)_VOUCHER PRINTING SA" xfId="1855"/>
    <cellStyle name="_Ledger FMT_sa (3)" xfId="1856"/>
    <cellStyle name="_Ledger FMT_sa (3) 2" xfId="1857"/>
    <cellStyle name="_Ledger FMT_sa (3)_ByAccount (10)" xfId="1858"/>
    <cellStyle name="_Ledger FMT_sa (3)_ByAccount (12)" xfId="1859"/>
    <cellStyle name="_Ledger FMT_sa (3)_ByVoucher" xfId="1860"/>
    <cellStyle name="_Ledger FMT_sa (3)_ByVoucher (1NS)" xfId="1861"/>
    <cellStyle name="_Ledger FMT_sa (3)_ByVoucher (2)" xfId="1862"/>
    <cellStyle name="_Ledger FMT_sa (3)_ByVoucher (3)" xfId="1863"/>
    <cellStyle name="_Ledger FMT_sa (3)_Copy of UIN P7 Miu" xfId="1864"/>
    <cellStyle name="_Ledger FMT_sa (3)_Copy of UIN P8 Miu" xfId="1865"/>
    <cellStyle name="_Ledger FMT_sa (3)_long" xfId="1866"/>
    <cellStyle name="_Ledger FMT_sa (3)_Petty Cash (Feb)" xfId="1867"/>
    <cellStyle name="_Ledger FMT_sa (3)_TEMP (4)" xfId="1868"/>
    <cellStyle name="_Ledger FMT_sa (3)_UDN P6-LC,CC " xfId="1869"/>
    <cellStyle name="_Ledger FMT_sa (3)_UDN P6-LC,CC  2" xfId="1870"/>
    <cellStyle name="_Ledger FMT_sa (3)_UIN P10 Miu" xfId="1871"/>
    <cellStyle name="_Ledger FMT_sa (3)_UIN P10 Miu-R1" xfId="1872"/>
    <cellStyle name="_Ledger FMT_sa (3)_UIN P11 Miu" xfId="1873"/>
    <cellStyle name="_Ledger FMT_sa (3)_UIN P6 Miu" xfId="1874"/>
    <cellStyle name="_Ledger FMT_sa (3)_UIN P7 Miu" xfId="1875"/>
    <cellStyle name="_Ledger FMT_sa (3)_UIN P8 Miu" xfId="1876"/>
    <cellStyle name="_Ledger FMT_sa (3)_UIN P9 Miu" xfId="1877"/>
    <cellStyle name="_Ledger FMT_sa (3)_UJV (6)" xfId="1878"/>
    <cellStyle name="_Ledger FMT_sa (3)_UJV (6) 2" xfId="1879"/>
    <cellStyle name="_Ledger FMT_sa (3)_UJV (Aug) (3)" xfId="1880"/>
    <cellStyle name="_Ledger FMT_sa (3)_UJV (Aug) (3) 2" xfId="1881"/>
    <cellStyle name="_Ledger FMT_sa (3)_UJV (Oct) (2)" xfId="1882"/>
    <cellStyle name="_Ledger FMT_sa (3)_UJV (Oct) (2) 2" xfId="1883"/>
    <cellStyle name="_Ledger FMT_sa (3)_VOUCHER PRINTING SA" xfId="1884"/>
    <cellStyle name="_Ledger FMT_sa 10" xfId="1885"/>
    <cellStyle name="_Ledger FMT_sa 11" xfId="1886"/>
    <cellStyle name="_Ledger FMT_sa 12" xfId="1887"/>
    <cellStyle name="_Ledger FMT_sa 13" xfId="1888"/>
    <cellStyle name="_Ledger FMT_sa 14" xfId="1889"/>
    <cellStyle name="_Ledger FMT_sa 15" xfId="1890"/>
    <cellStyle name="_Ledger FMT_sa 16" xfId="1891"/>
    <cellStyle name="_Ledger FMT_sa 17" xfId="1892"/>
    <cellStyle name="_Ledger FMT_sa 18" xfId="1893"/>
    <cellStyle name="_Ledger FMT_sa 19" xfId="1894"/>
    <cellStyle name="_Ledger FMT_sa 2" xfId="1895"/>
    <cellStyle name="_Ledger FMT_sa 20" xfId="1896"/>
    <cellStyle name="_Ledger FMT_sa 21" xfId="1897"/>
    <cellStyle name="_Ledger FMT_sa 3" xfId="1898"/>
    <cellStyle name="_Ledger FMT_sa 4" xfId="1899"/>
    <cellStyle name="_Ledger FMT_sa 5" xfId="1900"/>
    <cellStyle name="_Ledger FMT_sa 6" xfId="1901"/>
    <cellStyle name="_Ledger FMT_sa 7" xfId="1902"/>
    <cellStyle name="_Ledger FMT_sa 8" xfId="1903"/>
    <cellStyle name="_Ledger FMT_sa 9" xfId="1904"/>
    <cellStyle name="_Ledger FMT_sa_ByAccount (10)" xfId="1905"/>
    <cellStyle name="_Ledger FMT_sa_ByAccount (12)" xfId="1906"/>
    <cellStyle name="_Ledger FMT_sa_ByVoucher" xfId="1907"/>
    <cellStyle name="_Ledger FMT_sa_ByVoucher (1NS)" xfId="1908"/>
    <cellStyle name="_Ledger FMT_sa_ByVoucher (2)" xfId="1909"/>
    <cellStyle name="_Ledger FMT_sa_ByVoucher (3)" xfId="1910"/>
    <cellStyle name="_Ledger FMT_sa_Copy of UIN P7 Miu" xfId="1911"/>
    <cellStyle name="_Ledger FMT_sa_Copy of UIN P8 Miu" xfId="1912"/>
    <cellStyle name="_Ledger FMT_sa_long" xfId="1913"/>
    <cellStyle name="_Ledger FMT_sa_Petty Cash (Feb)" xfId="1914"/>
    <cellStyle name="_Ledger FMT_sa_TEMP (4)" xfId="1915"/>
    <cellStyle name="_Ledger FMT_sa_UDN P6-LC,CC " xfId="1916"/>
    <cellStyle name="_Ledger FMT_sa_UDN P6-LC,CC  2" xfId="1917"/>
    <cellStyle name="_Ledger FMT_sa_UIN P10 Miu" xfId="1918"/>
    <cellStyle name="_Ledger FMT_sa_UIN P10 Miu-R1" xfId="1919"/>
    <cellStyle name="_Ledger FMT_sa_UIN P11 Miu" xfId="1920"/>
    <cellStyle name="_Ledger FMT_sa_UIN P6 Miu" xfId="1921"/>
    <cellStyle name="_Ledger FMT_sa_UIN P7 Miu" xfId="1922"/>
    <cellStyle name="_Ledger FMT_sa_UIN P8 Miu" xfId="1923"/>
    <cellStyle name="_Ledger FMT_sa_UIN P9 Miu" xfId="1924"/>
    <cellStyle name="_Ledger FMT_sa_UJV (6)" xfId="1925"/>
    <cellStyle name="_Ledger FMT_sa_UJV (6) 2" xfId="1926"/>
    <cellStyle name="_Ledger FMT_sa_UJV (Aug) (3)" xfId="1927"/>
    <cellStyle name="_Ledger FMT_sa_UJV (Aug) (3) 2" xfId="1928"/>
    <cellStyle name="_Ledger FMT_sa_UJV (Oct) (2)" xfId="1929"/>
    <cellStyle name="_Ledger FMT_sa_UJV (Oct) (2) 2" xfId="1930"/>
    <cellStyle name="_Ledger FMT_sa_VOUCHER PRINTING SA" xfId="1931"/>
    <cellStyle name="_Ledger FMT_Sales" xfId="1932"/>
    <cellStyle name="_Ledger FMT_sarah todd car" xfId="1933"/>
    <cellStyle name="_Ledger FMT_Sheet1" xfId="1934"/>
    <cellStyle name="_Ledger FMT_Sheet4" xfId="1935"/>
    <cellStyle name="_Ledger FMT_Sheet4 2" xfId="1936"/>
    <cellStyle name="_Ledger FMT_Sheet4_ByAccount (10)" xfId="1937"/>
    <cellStyle name="_Ledger FMT_Sheet4_ByAccount (12)" xfId="1938"/>
    <cellStyle name="_Ledger FMT_Sheet4_ByVoucher" xfId="1939"/>
    <cellStyle name="_Ledger FMT_Sheet4_ByVoucher (1NS)" xfId="1940"/>
    <cellStyle name="_Ledger FMT_Sheet4_ByVoucher (2)" xfId="1941"/>
    <cellStyle name="_Ledger FMT_Sheet4_ByVoucher (3)" xfId="1942"/>
    <cellStyle name="_Ledger FMT_Sheet4_Copy of UIN P7 Miu" xfId="1943"/>
    <cellStyle name="_Ledger FMT_Sheet4_Copy of UIN P8 Miu" xfId="1944"/>
    <cellStyle name="_Ledger FMT_Sheet4_long" xfId="1945"/>
    <cellStyle name="_Ledger FMT_Sheet4_Petty Cash (Feb)" xfId="1946"/>
    <cellStyle name="_Ledger FMT_Sheet4_TEMP (4)" xfId="1947"/>
    <cellStyle name="_Ledger FMT_Sheet4_UDN P6-LC,CC " xfId="1948"/>
    <cellStyle name="_Ledger FMT_Sheet4_UDN P6-LC,CC  2" xfId="1949"/>
    <cellStyle name="_Ledger FMT_Sheet4_UIN P10 Miu" xfId="1950"/>
    <cellStyle name="_Ledger FMT_Sheet4_UIN P10 Miu-R1" xfId="1951"/>
    <cellStyle name="_Ledger FMT_Sheet4_UIN P11 Miu" xfId="1952"/>
    <cellStyle name="_Ledger FMT_Sheet4_UIN P6 Miu" xfId="1953"/>
    <cellStyle name="_Ledger FMT_Sheet4_UIN P7 Miu" xfId="1954"/>
    <cellStyle name="_Ledger FMT_Sheet4_UIN P8 Miu" xfId="1955"/>
    <cellStyle name="_Ledger FMT_Sheet4_UIN P9 Miu" xfId="1956"/>
    <cellStyle name="_Ledger FMT_Sheet4_UJV (6)" xfId="1957"/>
    <cellStyle name="_Ledger FMT_Sheet4_UJV (6) 2" xfId="1958"/>
    <cellStyle name="_Ledger FMT_Sheet4_UJV (Aug) (3)" xfId="1959"/>
    <cellStyle name="_Ledger FMT_Sheet4_UJV (Aug) (3) 2" xfId="1960"/>
    <cellStyle name="_Ledger FMT_Sheet4_UJV (Oct) (2)" xfId="1961"/>
    <cellStyle name="_Ledger FMT_Sheet4_UJV (Oct) (2) 2" xfId="1962"/>
    <cellStyle name="_Ledger FMT_Sheet4_VOUCHER PRINTING SA" xfId="1963"/>
    <cellStyle name="_Ledger FMT_SML adj (2)" xfId="1964"/>
    <cellStyle name="_Ledger FMT_temp" xfId="1965"/>
    <cellStyle name="_Ledger FMT_TEMP (4)" xfId="1966"/>
    <cellStyle name="_Ledger FMT_travel acc (P09)" xfId="1967"/>
    <cellStyle name="_Ledger FMT_UDN (Aug) (4)" xfId="1968"/>
    <cellStyle name="_Ledger FMT_UDN (Aug) (4) 2" xfId="1969"/>
    <cellStyle name="_Ledger FMT_UDN (Dec)  (5)" xfId="1970"/>
    <cellStyle name="_Ledger FMT_UDN (Dec)  (5) 2" xfId="1971"/>
    <cellStyle name="_Ledger FMT_UDN (Jul)" xfId="1972"/>
    <cellStyle name="_Ledger FMT_UDN (Jul) (2)" xfId="1973"/>
    <cellStyle name="_Ledger FMT_UDN (Jul) (2)_Copy of UIN P7 Miu" xfId="1974"/>
    <cellStyle name="_Ledger FMT_UDN (Jul) (2)_Copy of UIN P8 Miu" xfId="1975"/>
    <cellStyle name="_Ledger FMT_UDN (Jul) (2)_UDN P6-LC,CC " xfId="1976"/>
    <cellStyle name="_Ledger FMT_UDN (Jul) (2)_UDN P6-LC,CC  2" xfId="1977"/>
    <cellStyle name="_Ledger FMT_UDN (Jul) (2)_UIN P10 Miu" xfId="1978"/>
    <cellStyle name="_Ledger FMT_UDN (Jul) (2)_UIN P10 Miu-R1" xfId="1979"/>
    <cellStyle name="_Ledger FMT_UDN (Jul) (2)_UIN P11 Miu" xfId="1980"/>
    <cellStyle name="_Ledger FMT_UDN (Jul) (2)_UIN P6 Miu" xfId="1981"/>
    <cellStyle name="_Ledger FMT_UDN (Jul) (2)_UIN P7 Miu" xfId="1982"/>
    <cellStyle name="_Ledger FMT_UDN (Jul) (2)_UIN P8 Miu" xfId="1983"/>
    <cellStyle name="_Ledger FMT_UDN (Jul) (2)_UIN P9 Miu" xfId="1984"/>
    <cellStyle name="_Ledger FMT_UDN (Jul) (2)_UJV (6)" xfId="1985"/>
    <cellStyle name="_Ledger FMT_UDN (Jul) (2)_UJV (Aug) (3)" xfId="1986"/>
    <cellStyle name="_Ledger FMT_UDN (Jul) (2)_UJV (Aug) (3) 2" xfId="1987"/>
    <cellStyle name="_Ledger FMT_UDN (Jul)_Copy of UIN P7 Miu" xfId="1988"/>
    <cellStyle name="_Ledger FMT_UDN (Jul)_Copy of UIN P8 Miu" xfId="1989"/>
    <cellStyle name="_Ledger FMT_UDN (Jul)_UDN P6-LC,CC " xfId="1990"/>
    <cellStyle name="_Ledger FMT_UDN (Jul)_UDN P6-LC,CC  2" xfId="1991"/>
    <cellStyle name="_Ledger FMT_UDN (Jul)_UIN P10 Miu" xfId="1992"/>
    <cellStyle name="_Ledger FMT_UDN (Jul)_UIN P10 Miu-R1" xfId="1993"/>
    <cellStyle name="_Ledger FMT_UDN (Jul)_UIN P11 Miu" xfId="1994"/>
    <cellStyle name="_Ledger FMT_UDN (Jul)_UIN P6 Miu" xfId="1995"/>
    <cellStyle name="_Ledger FMT_UDN (Jul)_UIN P7 Miu" xfId="1996"/>
    <cellStyle name="_Ledger FMT_UDN (Jul)_UIN P8 Miu" xfId="1997"/>
    <cellStyle name="_Ledger FMT_UDN (Jul)_UIN P9 Miu" xfId="1998"/>
    <cellStyle name="_Ledger FMT_UDN (Jul)_UJV (6)" xfId="1999"/>
    <cellStyle name="_Ledger FMT_UDN (Jul)_UJV (Aug) (3)" xfId="2000"/>
    <cellStyle name="_Ledger FMT_UDN (Jul)_UJV (Aug) (3) 2" xfId="2001"/>
    <cellStyle name="_Ledger FMT_UDN (Jun) 2" xfId="2002"/>
    <cellStyle name="_Ledger FMT_UDN (Jun) 2 2" xfId="2003"/>
    <cellStyle name="_Ledger FMT_UDN (Jun) 2_ByAccount (10)" xfId="2004"/>
    <cellStyle name="_Ledger FMT_UDN (Jun) 2_ByAccount (12)" xfId="2005"/>
    <cellStyle name="_Ledger FMT_UDN (Jun) 2_ByVoucher" xfId="2006"/>
    <cellStyle name="_Ledger FMT_UDN (Jun) 2_ByVoucher (1NS)" xfId="2007"/>
    <cellStyle name="_Ledger FMT_UDN (Jun) 2_ByVoucher (2)" xfId="2008"/>
    <cellStyle name="_Ledger FMT_UDN (Jun) 2_ByVoucher (3)" xfId="2009"/>
    <cellStyle name="_Ledger FMT_UDN (Jun) 2_Copy of UIN P7 Miu" xfId="2010"/>
    <cellStyle name="_Ledger FMT_UDN (Jun) 2_Copy of UIN P8 Miu" xfId="2011"/>
    <cellStyle name="_Ledger FMT_UDN (Jun) 2_long" xfId="2012"/>
    <cellStyle name="_Ledger FMT_UDN (Jun) 2_Petty Cash (Feb)" xfId="2013"/>
    <cellStyle name="_Ledger FMT_UDN (Jun) 2_TEMP (4)" xfId="2014"/>
    <cellStyle name="_Ledger FMT_UDN (Jun) 2_UDN P6-LC,CC " xfId="2015"/>
    <cellStyle name="_Ledger FMT_UDN (Jun) 2_UDN P6-LC,CC  2" xfId="2016"/>
    <cellStyle name="_Ledger FMT_UDN (Jun) 2_UIN P10 Miu" xfId="2017"/>
    <cellStyle name="_Ledger FMT_UDN (Jun) 2_UIN P10 Miu-R1" xfId="2018"/>
    <cellStyle name="_Ledger FMT_UDN (Jun) 2_UIN P11 Miu" xfId="2019"/>
    <cellStyle name="_Ledger FMT_UDN (Jun) 2_UIN P6 Miu" xfId="2020"/>
    <cellStyle name="_Ledger FMT_UDN (Jun) 2_UIN P7 Miu" xfId="2021"/>
    <cellStyle name="_Ledger FMT_UDN (Jun) 2_UIN P8 Miu" xfId="2022"/>
    <cellStyle name="_Ledger FMT_UDN (Jun) 2_UIN P9 Miu" xfId="2023"/>
    <cellStyle name="_Ledger FMT_UDN (Jun) 2_UJV (6)" xfId="2024"/>
    <cellStyle name="_Ledger FMT_UDN (Jun) 2_UJV (6) 2" xfId="2025"/>
    <cellStyle name="_Ledger FMT_UDN (Jun) 2_UJV (Aug) (3)" xfId="2026"/>
    <cellStyle name="_Ledger FMT_UDN (Jun) 2_UJV (Aug) (3) 2" xfId="2027"/>
    <cellStyle name="_Ledger FMT_UDN (Jun) 2_UJV (Oct) (2)" xfId="2028"/>
    <cellStyle name="_Ledger FMT_UDN (Jun) 2_UJV (Oct) (2) 2" xfId="2029"/>
    <cellStyle name="_Ledger FMT_UDN (Jun) 2_VOUCHER PRINTING SA" xfId="2030"/>
    <cellStyle name="_Ledger FMT_UDN (Jun) 3" xfId="2031"/>
    <cellStyle name="_Ledger FMT_UDN (Jun) 3_Copy of UIN P7 Miu" xfId="2032"/>
    <cellStyle name="_Ledger FMT_UDN (Jun) 3_Copy of UIN P8 Miu" xfId="2033"/>
    <cellStyle name="_Ledger FMT_UDN (Jun) 3_UDN P6-LC,CC " xfId="2034"/>
    <cellStyle name="_Ledger FMT_UDN (Jun) 3_UDN P6-LC,CC  2" xfId="2035"/>
    <cellStyle name="_Ledger FMT_UDN (Jun) 3_UIN P10 Miu" xfId="2036"/>
    <cellStyle name="_Ledger FMT_UDN (Jun) 3_UIN P10 Miu-R1" xfId="2037"/>
    <cellStyle name="_Ledger FMT_UDN (Jun) 3_UIN P11 Miu" xfId="2038"/>
    <cellStyle name="_Ledger FMT_UDN (Jun) 3_UIN P6 Miu" xfId="2039"/>
    <cellStyle name="_Ledger FMT_UDN (Jun) 3_UIN P7 Miu" xfId="2040"/>
    <cellStyle name="_Ledger FMT_UDN (Jun) 3_UIN P8 Miu" xfId="2041"/>
    <cellStyle name="_Ledger FMT_UDN (Jun) 3_UIN P9 Miu" xfId="2042"/>
    <cellStyle name="_Ledger FMT_UDN (Jun) 3_UJV (6)" xfId="2043"/>
    <cellStyle name="_Ledger FMT_UDN (Jun) 3_UJV (Aug) (3)" xfId="2044"/>
    <cellStyle name="_Ledger FMT_UDN (Jun) 3_UJV (Aug) (3) 2" xfId="2045"/>
    <cellStyle name="_Ledger FMT_UDN (Jun) 5" xfId="2046"/>
    <cellStyle name="_Ledger FMT_UDN (Jun) 5_Copy of UIN P7 Miu" xfId="2047"/>
    <cellStyle name="_Ledger FMT_UDN (Jun) 5_Copy of UIN P8 Miu" xfId="2048"/>
    <cellStyle name="_Ledger FMT_UDN (Jun) 5_UDN P6-LC,CC " xfId="2049"/>
    <cellStyle name="_Ledger FMT_UDN (Jun) 5_UDN P6-LC,CC  2" xfId="2050"/>
    <cellStyle name="_Ledger FMT_UDN (Jun) 5_UIN P10 Miu" xfId="2051"/>
    <cellStyle name="_Ledger FMT_UDN (Jun) 5_UIN P10 Miu-R1" xfId="2052"/>
    <cellStyle name="_Ledger FMT_UDN (Jun) 5_UIN P11 Miu" xfId="2053"/>
    <cellStyle name="_Ledger FMT_UDN (Jun) 5_UIN P6 Miu" xfId="2054"/>
    <cellStyle name="_Ledger FMT_UDN (Jun) 5_UIN P7 Miu" xfId="2055"/>
    <cellStyle name="_Ledger FMT_UDN (Jun) 5_UIN P8 Miu" xfId="2056"/>
    <cellStyle name="_Ledger FMT_UDN (Jun) 5_UIN P9 Miu" xfId="2057"/>
    <cellStyle name="_Ledger FMT_UDN (Jun) 5_UJV (6)" xfId="2058"/>
    <cellStyle name="_Ledger FMT_UDN (Jun) 5_UJV (Aug) (3)" xfId="2059"/>
    <cellStyle name="_Ledger FMT_UDN (Jun) 5_UJV (Aug) (3) 2" xfId="2060"/>
    <cellStyle name="_Ledger FMT_UDN (Jun) 6" xfId="2061"/>
    <cellStyle name="_Ledger FMT_UDN (Jun) 6_Copy of UIN P7 Miu" xfId="2062"/>
    <cellStyle name="_Ledger FMT_UDN (Jun) 6_Copy of UIN P8 Miu" xfId="2063"/>
    <cellStyle name="_Ledger FMT_UDN (Jun) 6_UDN P6-LC,CC " xfId="2064"/>
    <cellStyle name="_Ledger FMT_UDN (Jun) 6_UDN P6-LC,CC  2" xfId="2065"/>
    <cellStyle name="_Ledger FMT_UDN (Jun) 6_UIN P10 Miu" xfId="2066"/>
    <cellStyle name="_Ledger FMT_UDN (Jun) 6_UIN P10 Miu-R1" xfId="2067"/>
    <cellStyle name="_Ledger FMT_UDN (Jun) 6_UIN P11 Miu" xfId="2068"/>
    <cellStyle name="_Ledger FMT_UDN (Jun) 6_UIN P6 Miu" xfId="2069"/>
    <cellStyle name="_Ledger FMT_UDN (Jun) 6_UIN P7 Miu" xfId="2070"/>
    <cellStyle name="_Ledger FMT_UDN (Jun) 6_UIN P8 Miu" xfId="2071"/>
    <cellStyle name="_Ledger FMT_UDN (Jun) 6_UIN P9 Miu" xfId="2072"/>
    <cellStyle name="_Ledger FMT_UDN (Jun) 6_UJV (6)" xfId="2073"/>
    <cellStyle name="_Ledger FMT_UDN (Jun) 6_UJV (Aug) (3)" xfId="2074"/>
    <cellStyle name="_Ledger FMT_UDN (Jun) 6_UJV (Aug) (3) 2" xfId="2075"/>
    <cellStyle name="_Ledger FMT_UDN (May) 8" xfId="2076"/>
    <cellStyle name="_Ledger FMT_UDN (May) 8 (2)" xfId="2077"/>
    <cellStyle name="_Ledger FMT_UDN (May) 8 (2) 2" xfId="2078"/>
    <cellStyle name="_Ledger FMT_UDN (May) 8 10" xfId="2079"/>
    <cellStyle name="_Ledger FMT_UDN (May) 8 11" xfId="2080"/>
    <cellStyle name="_Ledger FMT_UDN (May) 8 12" xfId="2081"/>
    <cellStyle name="_Ledger FMT_UDN (May) 8 13" xfId="2082"/>
    <cellStyle name="_Ledger FMT_UDN (May) 8 14" xfId="2083"/>
    <cellStyle name="_Ledger FMT_UDN (May) 8 15" xfId="2084"/>
    <cellStyle name="_Ledger FMT_UDN (May) 8 16" xfId="2085"/>
    <cellStyle name="_Ledger FMT_UDN (May) 8 17" xfId="2086"/>
    <cellStyle name="_Ledger FMT_UDN (May) 8 18" xfId="2087"/>
    <cellStyle name="_Ledger FMT_UDN (May) 8 19" xfId="2088"/>
    <cellStyle name="_Ledger FMT_UDN (May) 8 2" xfId="2089"/>
    <cellStyle name="_Ledger FMT_UDN (May) 8 20" xfId="2090"/>
    <cellStyle name="_Ledger FMT_UDN (May) 8 21" xfId="2091"/>
    <cellStyle name="_Ledger FMT_UDN (May) 8 3" xfId="2092"/>
    <cellStyle name="_Ledger FMT_UDN (May) 8 4" xfId="2093"/>
    <cellStyle name="_Ledger FMT_UDN (May) 8 5" xfId="2094"/>
    <cellStyle name="_Ledger FMT_UDN (May) 8 6" xfId="2095"/>
    <cellStyle name="_Ledger FMT_UDN (May) 8 7" xfId="2096"/>
    <cellStyle name="_Ledger FMT_UDN (May) 8 8" xfId="2097"/>
    <cellStyle name="_Ledger FMT_UDN (May) 8 9" xfId="2098"/>
    <cellStyle name="_Ledger FMT_UDN (May) 8_ByAccount (10)" xfId="2099"/>
    <cellStyle name="_Ledger FMT_UDN (May) 8_ByAccount (12)" xfId="2100"/>
    <cellStyle name="_Ledger FMT_UDN (May) 8_ByVoucher" xfId="2101"/>
    <cellStyle name="_Ledger FMT_UDN (May) 8_ByVoucher (1NS)" xfId="2102"/>
    <cellStyle name="_Ledger FMT_UDN (May) 8_ByVoucher (2)" xfId="2103"/>
    <cellStyle name="_Ledger FMT_UDN (May) 8_ByVoucher (3)" xfId="2104"/>
    <cellStyle name="_Ledger FMT_UDN (May) 8_Copy of UIN P7 Miu" xfId="2105"/>
    <cellStyle name="_Ledger FMT_UDN (May) 8_Copy of UIN P8 Miu" xfId="2106"/>
    <cellStyle name="_Ledger FMT_UDN (May) 8_long" xfId="2107"/>
    <cellStyle name="_Ledger FMT_UDN (May) 8_Petty Cash (Feb)" xfId="2108"/>
    <cellStyle name="_Ledger FMT_UDN (May) 8_TEMP (4)" xfId="2109"/>
    <cellStyle name="_Ledger FMT_UDN (May) 8_UDN P6-LC,CC " xfId="2110"/>
    <cellStyle name="_Ledger FMT_UDN (May) 8_UDN P6-LC,CC  2" xfId="2111"/>
    <cellStyle name="_Ledger FMT_UDN (May) 8_UIN P10 Miu" xfId="2112"/>
    <cellStyle name="_Ledger FMT_UDN (May) 8_UIN P10 Miu-R1" xfId="2113"/>
    <cellStyle name="_Ledger FMT_UDN (May) 8_UIN P11 Miu" xfId="2114"/>
    <cellStyle name="_Ledger FMT_UDN (May) 8_UIN P4 Miu R2" xfId="2115"/>
    <cellStyle name="_Ledger FMT_UDN (May) 8_UIN P4 Miu R2 2" xfId="2116"/>
    <cellStyle name="_Ledger FMT_UDN (May) 8_UIN P6 Miu" xfId="2117"/>
    <cellStyle name="_Ledger FMT_UDN (May) 8_UIN P7 Miu" xfId="2118"/>
    <cellStyle name="_Ledger FMT_UDN (May) 8_UIN P8 Miu" xfId="2119"/>
    <cellStyle name="_Ledger FMT_UDN (May) 8_UIN P9 Miu" xfId="2120"/>
    <cellStyle name="_Ledger FMT_UDN (May) 8_UJV (6)" xfId="2121"/>
    <cellStyle name="_Ledger FMT_UDN (May) 8_UJV (6) 2" xfId="2122"/>
    <cellStyle name="_Ledger FMT_UDN (May) 8_UJV (Aug) (3)" xfId="2123"/>
    <cellStyle name="_Ledger FMT_UDN (May) 8_UJV (Aug) (3) 2" xfId="2124"/>
    <cellStyle name="_Ledger FMT_UDN (May) 8_UJV (Oct) (2)" xfId="2125"/>
    <cellStyle name="_Ledger FMT_UDN (May) 8_UJV (Oct) (2) 2" xfId="2126"/>
    <cellStyle name="_Ledger FMT_UDN (May) 8_VOUCHER PRINTING SA" xfId="2127"/>
    <cellStyle name="_Ledger FMT_UDN (Nov)  (2)" xfId="2128"/>
    <cellStyle name="_Ledger FMT_UDN (Nov)  (2) 2" xfId="2129"/>
    <cellStyle name="_Ledger FMT_UDN (Sep)" xfId="2130"/>
    <cellStyle name="_Ledger FMT_UDN (Sep) 2" xfId="2131"/>
    <cellStyle name="_Ledger FMT_UIN (Sep) (4)" xfId="2132"/>
    <cellStyle name="_Ledger FMT_UIN (Sep) (4) 2" xfId="2133"/>
    <cellStyle name="_Ledger FMT_UJV" xfId="2134"/>
    <cellStyle name="_Ledger FMT_UJV (6)" xfId="2135"/>
    <cellStyle name="_Ledger FMT_UJV (6) 2" xfId="2136"/>
    <cellStyle name="_Ledger FMT_UJV (Dec) 2" xfId="2137"/>
    <cellStyle name="_Ledger FMT_UJV (Dec) 2 2" xfId="2138"/>
    <cellStyle name="_Ledger FMT_UJV (Jul) " xfId="2139"/>
    <cellStyle name="_Ledger FMT_UJV (Jul) _Copy of UIN P7 Miu" xfId="2140"/>
    <cellStyle name="_Ledger FMT_UJV (Jul) _Copy of UIN P8 Miu" xfId="2141"/>
    <cellStyle name="_Ledger FMT_UJV (Jul) _UDN P6-LC,CC " xfId="2142"/>
    <cellStyle name="_Ledger FMT_UJV (Jul) _UDN P6-LC,CC  2" xfId="2143"/>
    <cellStyle name="_Ledger FMT_UJV (Jul) _UIN P10 Miu" xfId="2144"/>
    <cellStyle name="_Ledger FMT_UJV (Jul) _UIN P10 Miu-R1" xfId="2145"/>
    <cellStyle name="_Ledger FMT_UJV (Jul) _UIN P11 Miu" xfId="2146"/>
    <cellStyle name="_Ledger FMT_UJV (Jul) _UIN P6 Miu" xfId="2147"/>
    <cellStyle name="_Ledger FMT_UJV (Jul) _UIN P7 Miu" xfId="2148"/>
    <cellStyle name="_Ledger FMT_UJV (Jul) _UIN P8 Miu" xfId="2149"/>
    <cellStyle name="_Ledger FMT_UJV (Jul) _UIN P9 Miu" xfId="2150"/>
    <cellStyle name="_Ledger FMT_UJV (Jul) _UJV (6)" xfId="2151"/>
    <cellStyle name="_Ledger FMT_UJV (Jul) _UJV (Aug) (3)" xfId="2152"/>
    <cellStyle name="_Ledger FMT_UJV (Jul) _UJV (Aug) (3) 2" xfId="2153"/>
    <cellStyle name="_Ledger FMT_UJV (Jun)" xfId="2154"/>
    <cellStyle name="_Ledger FMT_UJV (Jun) 2" xfId="2155"/>
    <cellStyle name="_Ledger FMT_UJV (Jun) 3" xfId="2156"/>
    <cellStyle name="_Ledger FMT_UJV (Jun) 3_Copy of UIN P7 Miu" xfId="2157"/>
    <cellStyle name="_Ledger FMT_UJV (Jun) 3_Copy of UIN P8 Miu" xfId="2158"/>
    <cellStyle name="_Ledger FMT_UJV (Jun) 3_UDN P6-LC,CC " xfId="2159"/>
    <cellStyle name="_Ledger FMT_UJV (Jun) 3_UIN P10 Miu" xfId="2160"/>
    <cellStyle name="_Ledger FMT_UJV (Jun) 3_UIN P10 Miu-R1" xfId="2161"/>
    <cellStyle name="_Ledger FMT_UJV (Jun) 3_UIN P11 Miu" xfId="2162"/>
    <cellStyle name="_Ledger FMT_UJV (Jun) 3_UIN P6 Miu" xfId="2163"/>
    <cellStyle name="_Ledger FMT_UJV (Jun) 3_UIN P7 Miu" xfId="2164"/>
    <cellStyle name="_Ledger FMT_UJV (Jun) 3_UIN P8 Miu" xfId="2165"/>
    <cellStyle name="_Ledger FMT_UJV (Jun) 3_UIN P9 Miu" xfId="2166"/>
    <cellStyle name="_Ledger FMT_UJV (Jun) 3_UJV (6)" xfId="2167"/>
    <cellStyle name="_Ledger FMT_UJV (Jun) 3_UJV (Aug) (3)" xfId="2168"/>
    <cellStyle name="_Ledger FMT_UJV (Jun)_ByAccount (10)" xfId="2169"/>
    <cellStyle name="_Ledger FMT_UJV (Jun)_ByAccount (12)" xfId="2170"/>
    <cellStyle name="_Ledger FMT_UJV (Jun)_ByVoucher" xfId="2171"/>
    <cellStyle name="_Ledger FMT_UJV (Jun)_ByVoucher (1NS)" xfId="2172"/>
    <cellStyle name="_Ledger FMT_UJV (Jun)_ByVoucher (2)" xfId="2173"/>
    <cellStyle name="_Ledger FMT_UJV (Jun)_ByVoucher (3)" xfId="2174"/>
    <cellStyle name="_Ledger FMT_UJV (Jun)_Copy of UIN P7 Miu" xfId="2175"/>
    <cellStyle name="_Ledger FMT_UJV (Jun)_Copy of UIN P8 Miu" xfId="2176"/>
    <cellStyle name="_Ledger FMT_UJV (Jun)_long" xfId="2177"/>
    <cellStyle name="_Ledger FMT_UJV (Jun)_Petty Cash (Feb)" xfId="2178"/>
    <cellStyle name="_Ledger FMT_UJV (Jun)_TEMP (4)" xfId="2179"/>
    <cellStyle name="_Ledger FMT_UJV (Jun)_UDN P6-LC,CC " xfId="2180"/>
    <cellStyle name="_Ledger FMT_UJV (Jun)_UDN P6-LC,CC  2" xfId="2181"/>
    <cellStyle name="_Ledger FMT_UJV (Jun)_UIN P10 Miu" xfId="2182"/>
    <cellStyle name="_Ledger FMT_UJV (Jun)_UIN P10 Miu-R1" xfId="2183"/>
    <cellStyle name="_Ledger FMT_UJV (Jun)_UIN P11 Miu" xfId="2184"/>
    <cellStyle name="_Ledger FMT_UJV (Jun)_UIN P6 Miu" xfId="2185"/>
    <cellStyle name="_Ledger FMT_UJV (Jun)_UIN P7 Miu" xfId="2186"/>
    <cellStyle name="_Ledger FMT_UJV (Jun)_UIN P8 Miu" xfId="2187"/>
    <cellStyle name="_Ledger FMT_UJV (Jun)_UIN P9 Miu" xfId="2188"/>
    <cellStyle name="_Ledger FMT_UJV (Jun)_UJV (6)" xfId="2189"/>
    <cellStyle name="_Ledger FMT_UJV (Jun)_UJV (6) 2" xfId="2190"/>
    <cellStyle name="_Ledger FMT_UJV (Jun)_UJV (Aug) (3)" xfId="2191"/>
    <cellStyle name="_Ledger FMT_UJV (Jun)_UJV (Aug) (3) 2" xfId="2192"/>
    <cellStyle name="_Ledger FMT_UJV (Jun)_UJV (Oct) (2)" xfId="2193"/>
    <cellStyle name="_Ledger FMT_UJV (Jun)_UJV (Oct) (2) 2" xfId="2194"/>
    <cellStyle name="_Ledger FMT_UJV (Jun)_VOUCHER PRINTING SA" xfId="2195"/>
    <cellStyle name="_Ledger FMT_UJV (Oct) (2)" xfId="2196"/>
    <cellStyle name="_Ledger FMT_UJV (Oct) (2) 2" xfId="2197"/>
    <cellStyle name="_Ledger FMT_UJV (Sep) (3)" xfId="2198"/>
    <cellStyle name="_Ledger FMT_UJV (Sep) (3) 2" xfId="2199"/>
    <cellStyle name="_Ledger FMT_UJV 10" xfId="2200"/>
    <cellStyle name="_Ledger FMT_UJV 11" xfId="2201"/>
    <cellStyle name="_Ledger FMT_UJV 12" xfId="2202"/>
    <cellStyle name="_Ledger FMT_UJV 13" xfId="2203"/>
    <cellStyle name="_Ledger FMT_UJV 14" xfId="2204"/>
    <cellStyle name="_Ledger FMT_UJV 15" xfId="2205"/>
    <cellStyle name="_Ledger FMT_UJV 16" xfId="2206"/>
    <cellStyle name="_Ledger FMT_UJV 17" xfId="2207"/>
    <cellStyle name="_Ledger FMT_UJV 18" xfId="2208"/>
    <cellStyle name="_Ledger FMT_UJV 19" xfId="2209"/>
    <cellStyle name="_Ledger FMT_UJV 2" xfId="2210"/>
    <cellStyle name="_Ledger FMT_UJV 20" xfId="2211"/>
    <cellStyle name="_Ledger FMT_UJV 21" xfId="2212"/>
    <cellStyle name="_Ledger FMT_UJV 3" xfId="2213"/>
    <cellStyle name="_Ledger FMT_UJV 4" xfId="2214"/>
    <cellStyle name="_Ledger FMT_UJV 5" xfId="2215"/>
    <cellStyle name="_Ledger FMT_UJV 6" xfId="2216"/>
    <cellStyle name="_Ledger FMT_UJV 7" xfId="2217"/>
    <cellStyle name="_Ledger FMT_UJV 8" xfId="2218"/>
    <cellStyle name="_Ledger FMT_UJV 9" xfId="2219"/>
    <cellStyle name="_Ledger FMT_UJV_ByAccount (10)" xfId="2220"/>
    <cellStyle name="_Ledger FMT_UJV_ByAccount (12)" xfId="2221"/>
    <cellStyle name="_Ledger FMT_UJV_ByVoucher" xfId="2222"/>
    <cellStyle name="_Ledger FMT_UJV_ByVoucher (1NS)" xfId="2223"/>
    <cellStyle name="_Ledger FMT_UJV_ByVoucher (2)" xfId="2224"/>
    <cellStyle name="_Ledger FMT_UJV_ByVoucher (3)" xfId="2225"/>
    <cellStyle name="_Ledger FMT_UJV_Copy of UIN P7 Miu" xfId="2226"/>
    <cellStyle name="_Ledger FMT_UJV_Copy of UIN P8 Miu" xfId="2227"/>
    <cellStyle name="_Ledger FMT_UJV_long" xfId="2228"/>
    <cellStyle name="_Ledger FMT_UJV_Petty Cash (Feb)" xfId="2229"/>
    <cellStyle name="_Ledger FMT_UJV_TEMP (4)" xfId="2230"/>
    <cellStyle name="_Ledger FMT_UJV_UDN P6-LC,CC " xfId="2231"/>
    <cellStyle name="_Ledger FMT_UJV_UDN P6-LC,CC  2" xfId="2232"/>
    <cellStyle name="_Ledger FMT_UJV_UIN P10 Miu" xfId="2233"/>
    <cellStyle name="_Ledger FMT_UJV_UIN P10 Miu-R1" xfId="2234"/>
    <cellStyle name="_Ledger FMT_UJV_UIN P11 Miu" xfId="2235"/>
    <cellStyle name="_Ledger FMT_UJV_UIN P4 Miu R2" xfId="2236"/>
    <cellStyle name="_Ledger FMT_UJV_UIN P4 Miu R2 2" xfId="2237"/>
    <cellStyle name="_Ledger FMT_UJV_UIN P6 Miu" xfId="2238"/>
    <cellStyle name="_Ledger FMT_UJV_UIN P7 Miu" xfId="2239"/>
    <cellStyle name="_Ledger FMT_UJV_UIN P8 Miu" xfId="2240"/>
    <cellStyle name="_Ledger FMT_UJV_UIN P9 Miu" xfId="2241"/>
    <cellStyle name="_Ledger FMT_UJV_UJV (6)" xfId="2242"/>
    <cellStyle name="_Ledger FMT_UJV_UJV (6) 2" xfId="2243"/>
    <cellStyle name="_Ledger FMT_UJV_UJV (Aug) (3)" xfId="2244"/>
    <cellStyle name="_Ledger FMT_UJV_UJV (Aug) (3) 2" xfId="2245"/>
    <cellStyle name="_Ledger FMT_UJV_UJV (Oct) (2)" xfId="2246"/>
    <cellStyle name="_Ledger FMT_UJV_UJV (Oct) (2) 2" xfId="2247"/>
    <cellStyle name="_Ledger FMT_UJV_VOUCHER PRINTING SA" xfId="2248"/>
    <cellStyle name="_Ledger FMT_UPV (Jan) Bank (2)" xfId="2249"/>
    <cellStyle name="_Ledger FMT_UPV (Jul) Bank" xfId="2250"/>
    <cellStyle name="_Ledger FMT_UPV (Jul) Bank_Copy of UIN P7 Miu" xfId="2251"/>
    <cellStyle name="_Ledger FMT_UPV (Jul) Bank_Copy of UIN P8 Miu" xfId="2252"/>
    <cellStyle name="_Ledger FMT_UPV (Jul) Bank_UDN P6-LC,CC " xfId="2253"/>
    <cellStyle name="_Ledger FMT_UPV (Jul) Bank_UDN P6-LC,CC  2" xfId="2254"/>
    <cellStyle name="_Ledger FMT_UPV (Jul) Bank_UIN P10 Miu" xfId="2255"/>
    <cellStyle name="_Ledger FMT_UPV (Jul) Bank_UIN P10 Miu-R1" xfId="2256"/>
    <cellStyle name="_Ledger FMT_UPV (Jul) Bank_UIN P11 Miu" xfId="2257"/>
    <cellStyle name="_Ledger FMT_UPV (Jul) Bank_UIN P6 Miu" xfId="2258"/>
    <cellStyle name="_Ledger FMT_UPV (Jul) Bank_UIN P7 Miu" xfId="2259"/>
    <cellStyle name="_Ledger FMT_UPV (Jul) Bank_UIN P8 Miu" xfId="2260"/>
    <cellStyle name="_Ledger FMT_UPV (Jul) Bank_UIN P9 Miu" xfId="2261"/>
    <cellStyle name="_Ledger FMT_UPV (Jul) Bank_UJV (6)" xfId="2262"/>
    <cellStyle name="_Ledger FMT_UPV (Jul) Bank_UJV (Aug) (3)" xfId="2263"/>
    <cellStyle name="_Ledger FMT_UPV (Jul) Bank_UJV (Aug) (3) 2" xfId="2264"/>
    <cellStyle name="_Ledger FMT_URE (Jul)" xfId="2265"/>
    <cellStyle name="_Ledger FMT_URE (Jul)_Copy of UIN P7 Miu" xfId="2266"/>
    <cellStyle name="_Ledger FMT_URE (Jul)_Copy of UIN P8 Miu" xfId="2267"/>
    <cellStyle name="_Ledger FMT_URE (Jul)_UDN P6-LC,CC " xfId="2268"/>
    <cellStyle name="_Ledger FMT_URE (Jul)_UDN P6-LC,CC  2" xfId="2269"/>
    <cellStyle name="_Ledger FMT_URE (Jul)_UIN P10 Miu" xfId="2270"/>
    <cellStyle name="_Ledger FMT_URE (Jul)_UIN P10 Miu-R1" xfId="2271"/>
    <cellStyle name="_Ledger FMT_URE (Jul)_UIN P11 Miu" xfId="2272"/>
    <cellStyle name="_Ledger FMT_URE (Jul)_UIN P6 Miu" xfId="2273"/>
    <cellStyle name="_Ledger FMT_URE (Jul)_UIN P7 Miu" xfId="2274"/>
    <cellStyle name="_Ledger FMT_URE (Jul)_UIN P8 Miu" xfId="2275"/>
    <cellStyle name="_Ledger FMT_URE (Jul)_UIN P9 Miu" xfId="2276"/>
    <cellStyle name="_Ledger FMT_URE (Jul)_UJV (6)" xfId="2277"/>
    <cellStyle name="_Ledger FMT_URE (Jul)_UJV (Aug) (3)" xfId="2278"/>
    <cellStyle name="_Ledger FMT_URE (Jul)_UJV (Aug) (3) 2" xfId="2279"/>
    <cellStyle name="_Ledger FMT_URE (Nov)  (8)" xfId="2280"/>
    <cellStyle name="_Ledger FMT_URE (Nov)  (8) 2" xfId="2281"/>
    <cellStyle name="_Ledger FMT_USD Bank Recon" xfId="2282"/>
    <cellStyle name="_Ledger FMT_USD Bank Recon 2" xfId="2283"/>
    <cellStyle name="_Ledger FMT_USD Bank Recon_ByAccount (10)" xfId="2284"/>
    <cellStyle name="_Ledger FMT_USD Bank Recon_ByAccount (12)" xfId="2285"/>
    <cellStyle name="_Ledger FMT_USD Bank Recon_ByVoucher" xfId="2286"/>
    <cellStyle name="_Ledger FMT_USD Bank Recon_ByVoucher (1NS)" xfId="2287"/>
    <cellStyle name="_Ledger FMT_USD Bank Recon_ByVoucher (2)" xfId="2288"/>
    <cellStyle name="_Ledger FMT_USD Bank Recon_ByVoucher (3)" xfId="2289"/>
    <cellStyle name="_Ledger FMT_USD Bank Recon_Copy of UIN P7 Miu" xfId="2290"/>
    <cellStyle name="_Ledger FMT_USD Bank Recon_Copy of UIN P8 Miu" xfId="2291"/>
    <cellStyle name="_Ledger FMT_USD Bank Recon_long" xfId="2292"/>
    <cellStyle name="_Ledger FMT_USD Bank Recon_Petty Cash (Feb)" xfId="2293"/>
    <cellStyle name="_Ledger FMT_USD Bank Recon_TEMP (4)" xfId="2294"/>
    <cellStyle name="_Ledger FMT_USD Bank Recon_UDN P6-LC,CC " xfId="2295"/>
    <cellStyle name="_Ledger FMT_USD Bank Recon_UDN P6-LC,CC  2" xfId="2296"/>
    <cellStyle name="_Ledger FMT_USD Bank Recon_UIN P10 Miu" xfId="2297"/>
    <cellStyle name="_Ledger FMT_USD Bank Recon_UIN P10 Miu-R1" xfId="2298"/>
    <cellStyle name="_Ledger FMT_USD Bank Recon_UIN P11 Miu" xfId="2299"/>
    <cellStyle name="_Ledger FMT_USD Bank Recon_UIN P4 Miu R2" xfId="2300"/>
    <cellStyle name="_Ledger FMT_USD Bank Recon_UIN P4 Miu R2 2" xfId="2301"/>
    <cellStyle name="_Ledger FMT_USD Bank Recon_UIN P6 Miu" xfId="2302"/>
    <cellStyle name="_Ledger FMT_USD Bank Recon_UIN P7 Miu" xfId="2303"/>
    <cellStyle name="_Ledger FMT_USD Bank Recon_UIN P8 Miu" xfId="2304"/>
    <cellStyle name="_Ledger FMT_USD Bank Recon_UIN P9 Miu" xfId="2305"/>
    <cellStyle name="_Ledger FMT_USD Bank Recon_UJV (6)" xfId="2306"/>
    <cellStyle name="_Ledger FMT_USD Bank Recon_UJV (6) 2" xfId="2307"/>
    <cellStyle name="_Ledger FMT_USD Bank Recon_UJV (Aug) (3)" xfId="2308"/>
    <cellStyle name="_Ledger FMT_USD Bank Recon_UJV (Aug) (3) 2" xfId="2309"/>
    <cellStyle name="_Ledger FMT_USD Bank Recon_UJV (Oct) (2)" xfId="2310"/>
    <cellStyle name="_Ledger FMT_USD Bank Recon_UJV (Oct) (2) 2" xfId="2311"/>
    <cellStyle name="_Ledger FMT_USD Bank Recon_VOUCHER PRINTING SA" xfId="2312"/>
    <cellStyle name="_LEDGER_HK(1320113)P03- Apr 08" xfId="2313"/>
    <cellStyle name="_LEDGER_HK(1320113)P04- MAY 08R" xfId="2314"/>
    <cellStyle name="_LEDGER_HK_SH_TH AR P02_09(revised)" xfId="2315"/>
    <cellStyle name="_LEDGER_HK_SH_TH AR P03_09" xfId="2316"/>
    <cellStyle name="_LEDGER_Lipsy_AR - SH P12" xfId="2317"/>
    <cellStyle name="_LEDGER_TH_SCH PD03 (AR)" xfId="2318"/>
    <cellStyle name="_LEDGER_TH_SCH PD03 (AR)_OTH REC'B - UK DN" xfId="2319"/>
    <cellStyle name="_LEDGER_TH_SCH PD03 (AR)_副本Shanghai DN 20090731 (SH2F) (2)" xfId="2320"/>
    <cellStyle name="_LEDGER_UKDN_SHANGHAI_300908 (REVISED ON 2.10.08)" xfId="2321"/>
    <cellStyle name="_LEDGER_UKDN_SHANGHAI_300908 (REVISED ON 2.10.08)_OTH REC'B - UK DN" xfId="2322"/>
    <cellStyle name="_LEDGER_UKDN_SHANGHAI_300908 (REVISED ON 2.10.08)_副本Shanghai DN 20090731 (SH2F) (2)" xfId="2323"/>
    <cellStyle name="_LEDGER_UKDN_SHANGHAI_310808" xfId="2324"/>
    <cellStyle name="_LEDGER_UKDN_SHANGHAI_310808_OTH REC'B - UK DN" xfId="2325"/>
    <cellStyle name="_LEDGER_UKDN_SHANGHAI_310808_副本Shanghai DN 20090731 (SH2F) (2)" xfId="2326"/>
    <cellStyle name="_LEDGER_UKDN_SHANGHAI_311208" xfId="2327"/>
    <cellStyle name="_LEDGER_UKDN_SHANGHAI_311208_OTH REC'B - UK DN" xfId="2328"/>
    <cellStyle name="_LEDGER_UKDN_SHANGHAI_311208_副本Shanghai DN 20090731 (SH2F) (2)" xfId="2329"/>
    <cellStyle name="_LEDGER_UKDN_SHANGHAI_P01-09" xfId="2330"/>
    <cellStyle name="_LEDGER_UKDN_SHANGHAI_P01-09_1415201 HK-PROV CLAIMS (P06_09)" xfId="2331"/>
    <cellStyle name="_LEDGER_UKDN_SHANGHAI_P01-09_OTH REC'B - UK DN" xfId="2332"/>
    <cellStyle name="_LEDGER_UKDN_SHANGHAI_P01-09_副本Shanghai DN 20090731 (SH2F) (2)" xfId="2333"/>
    <cellStyle name="_LEDGER_UKDN_SHANGHAI_P02-09" xfId="2334"/>
    <cellStyle name="_LEDGER_UKDN_SHANGHAI_P02-09_1415201 HK-PROV CLAIMS (P06_09)" xfId="2335"/>
    <cellStyle name="_LEDGER_UKDN_SHANGHAI_P02-09_OTH REC'B - UK DN" xfId="2336"/>
    <cellStyle name="_LEDGER_UKDN_SHANGHAI_P02-09_副本Shanghai DN 20090731 (SH2F) (2)" xfId="2337"/>
    <cellStyle name="_LEDGER_UKDN_SHANGHAI_P03-09" xfId="2338"/>
    <cellStyle name="_LEDGER_UKDN_SHANGHAI_P03-09_1415201 HK-PROV CLAIMS (P06_09)" xfId="2339"/>
    <cellStyle name="_LEDGER_UKDN_SHANGHAI_P03-09_OTH REC'B - UK DN" xfId="2340"/>
    <cellStyle name="_LEDGER_UKDN_SHANGHAI_P03-09_副本Shanghai DN 20090731 (SH2F) (2)" xfId="2341"/>
    <cellStyle name="_LEDGER_UKDN_SHANGHAI_P04-09" xfId="2342"/>
    <cellStyle name="_LEDGER_UKDN_SHANGHAI_P04-09 (Revised on 04.06.09)" xfId="2343"/>
    <cellStyle name="_LEDGER_UKDN_SHANGHAI_P04-09 (Revised on 04.06.09)_OTH REC'B - UK DN" xfId="2344"/>
    <cellStyle name="_LEDGER_UKDN_SHANGHAI_P04-09 (Revised on 04.06.09)_副本Shanghai DN 20090731 (SH2F) (2)" xfId="2345"/>
    <cellStyle name="_LEDGER_UKDN_SHANGHAI_P04-09_1415201 HK-PROV CLAIMS (P06_09)" xfId="2346"/>
    <cellStyle name="_LEDGER_UKDN_SHANGHAI_P12-08" xfId="2347"/>
    <cellStyle name="_LEDGER_UKDN_SHANGHAI_P12-08 (310109)" xfId="2348"/>
    <cellStyle name="_LEDGER_UKDN_SHANGHAI_P12-08 (310109)_1415201 HK-PROV CLAIMS (P06_09)" xfId="2349"/>
    <cellStyle name="_LEDGER_UKDN_SHANGHAI_P12-08 (310109)_OTH REC'B - UK DN" xfId="2350"/>
    <cellStyle name="_LEDGER_UKDN_SHANGHAI_P12-08 (310109)_副本Shanghai DN 20090731 (SH2F) (2)" xfId="2351"/>
    <cellStyle name="_LEDGER_UKDN_SHANGHAI_P12-08_1415201 HK-PROV CLAIMS (P06_09)" xfId="2352"/>
    <cellStyle name="_LEDGER_UKDN_SHANGHAI_P12-08_OTH REC'B - UK DN" xfId="2353"/>
    <cellStyle name="_LEDGER_UKDN_SHANGHAI_P12-08_副本Shanghai DN 20090731 (SH2F) (2)" xfId="2354"/>
    <cellStyle name="_LEDGER_UKDN_THAILAND P01-09" xfId="2355"/>
    <cellStyle name="_LEDGER_UKDN_THAILAND P01-09_1415201 HK-PROV CLAIMS (P06_09)" xfId="2356"/>
    <cellStyle name="_LEDGER_UKDN_THAILAND P01-09_OTH REC'B - UK DN" xfId="2357"/>
    <cellStyle name="_LEDGER_UKDN_THAILAND P01-09_副本Shanghai DN 20090731 (SH2F) (2)" xfId="2358"/>
    <cellStyle name="_LEDGER_UKDN_THAILAND P02-09" xfId="2359"/>
    <cellStyle name="_LEDGER_UKDN_THAILAND P02-09_1415201 HK-PROV CLAIMS (P06_09)" xfId="2360"/>
    <cellStyle name="_LEDGER_UKDN_THAILAND P02-09_OTH REC'B - UK DN" xfId="2361"/>
    <cellStyle name="_LEDGER_UKDN_THAILAND P02-09_副本Shanghai DN 20090731 (SH2F) (2)" xfId="2362"/>
    <cellStyle name="_LEDGER_UKDN_THAILAND P03-09" xfId="2363"/>
    <cellStyle name="_LEDGER_UKDN_THAILAND P03-09_1415201 HK-PROV CLAIMS (P06_09)" xfId="2364"/>
    <cellStyle name="_LEDGER_UKDN_THAILAND P03-09_OTH REC'B - UK DN" xfId="2365"/>
    <cellStyle name="_LEDGER_UKDN_THAILAND P03-09_副本Shanghai DN 20090731 (SH2F) (2)" xfId="2366"/>
    <cellStyle name="_LEDGER_UKDN_THAILAND P04-09" xfId="2367"/>
    <cellStyle name="_LEDGER_UKDN_THAILAND P04-09_1415201 HK-PROV CLAIMS (P06_09)" xfId="2368"/>
    <cellStyle name="_LEDGER_UKDN_THAILAND P05-09" xfId="2369"/>
    <cellStyle name="_LEDGER_UKDN_THAILAND P06-09" xfId="2370"/>
    <cellStyle name="_LEDGER_UKDN_THAILAND P07-09" xfId="2371"/>
    <cellStyle name="_LEDGER_UKDN_THAILAND P08-09" xfId="2372"/>
    <cellStyle name="_LEDGER_UKDN_THAILAND P09-09" xfId="2373"/>
    <cellStyle name="_LEDGER_UKDN_THAILAND P10-09" xfId="2374"/>
    <cellStyle name="_LEDGER_UKDN_THAILAND P11-09" xfId="2375"/>
    <cellStyle name="_LEDGER_UKDN_THAILAND P12" xfId="2376"/>
    <cellStyle name="_LEDGER_UKDN_THAILAND P12_1415201 HK-PROV CLAIMS (P06_09)" xfId="2377"/>
    <cellStyle name="_LEDGER_UKDN_THAILAND P12_OTH REC'B - UK DN" xfId="2378"/>
    <cellStyle name="_LEDGER_UKDN_THAILAND P12_副本Shanghai DN 20090731 (SH2F) (2)" xfId="2379"/>
    <cellStyle name="_LEDGER_UKDN_THAILAND P12-08 (310109)" xfId="2380"/>
    <cellStyle name="_LEDGER_UKDN_THAILAND P12-08 (310109)_1415201 HK-PROV CLAIMS (P06_09)" xfId="2381"/>
    <cellStyle name="_LEDGER_UKDN_THAILAND P12-08 (310109)_OTH REC'B - UK DN" xfId="2382"/>
    <cellStyle name="_LEDGER_UKDN_THAILAND P12-08 (310109)_副本Shanghai DN 20090731 (SH2F) (2)" xfId="2383"/>
    <cellStyle name="_LEDGER_UKDN_THAILAND P12-09" xfId="2384"/>
    <cellStyle name="_LEDGER_UKDN-PD0208 (Revised) - April 08" xfId="2385"/>
    <cellStyle name="_Next Sourcing VM - P5Working" xfId="2386"/>
    <cellStyle name="_Next Sourcing VM - P5Working 2" xfId="2387"/>
    <cellStyle name="_Notes" xfId="2388"/>
    <cellStyle name="_Notes_Hyperion-PL Mapping" xfId="2389"/>
    <cellStyle name="_OTH REC'B - UK DN" xfId="2390"/>
    <cellStyle name="_P04 1320171 Sales Interco with NML" xfId="2391"/>
    <cellStyle name="_P1 Prepayment Schedules" xfId="2392"/>
    <cellStyle name="_P1 Prepayment Schedules 10" xfId="2393"/>
    <cellStyle name="_P1 Prepayment Schedules 11" xfId="2394"/>
    <cellStyle name="_P1 Prepayment Schedules 12" xfId="2395"/>
    <cellStyle name="_P1 Prepayment Schedules 13" xfId="2396"/>
    <cellStyle name="_P1 Prepayment Schedules 14" xfId="2397"/>
    <cellStyle name="_P1 Prepayment Schedules 15" xfId="2398"/>
    <cellStyle name="_P1 Prepayment Schedules 16" xfId="2399"/>
    <cellStyle name="_P1 Prepayment Schedules 17" xfId="2400"/>
    <cellStyle name="_P1 Prepayment Schedules 2" xfId="2401"/>
    <cellStyle name="_P1 Prepayment Schedules 3" xfId="2402"/>
    <cellStyle name="_P1 Prepayment Schedules 4" xfId="2403"/>
    <cellStyle name="_P1 Prepayment Schedules 5" xfId="2404"/>
    <cellStyle name="_P1 Prepayment Schedules 6" xfId="2405"/>
    <cellStyle name="_P1 Prepayment Schedules 7" xfId="2406"/>
    <cellStyle name="_P1 Prepayment Schedules 8" xfId="2407"/>
    <cellStyle name="_P1 Prepayment Schedules 9" xfId="2408"/>
    <cellStyle name="_P1 Prepayment Schedules_2011 P12 PnL Vision - with BD" xfId="2409"/>
    <cellStyle name="_P1 Prepayment Schedules_6017.24" xfId="2410"/>
    <cellStyle name="_P1 Prepayment Schedules_AccountP (Aug)" xfId="2411"/>
    <cellStyle name="_P1 Prepayment Schedules_AccountP (Dec)" xfId="2412"/>
    <cellStyle name="_P1 Prepayment Schedules_AccountP (Feb)" xfId="2413"/>
    <cellStyle name="_P1 Prepayment Schedules_AccountP (Jan)" xfId="2414"/>
    <cellStyle name="_P1 Prepayment Schedules_AccountP (Jul)" xfId="2415"/>
    <cellStyle name="_P1 Prepayment Schedules_AccountP (Jun)" xfId="2416"/>
    <cellStyle name="_P1 Prepayment Schedules_AccountP (Mar)" xfId="2417"/>
    <cellStyle name="_P1 Prepayment Schedules_AccountP (Nov)" xfId="2418"/>
    <cellStyle name="_P1 Prepayment Schedules_AccountP (Oct)" xfId="2419"/>
    <cellStyle name="_P1 Prepayment Schedules_AccountP (Sep)" xfId="2420"/>
    <cellStyle name="_P1 Prepayment Schedules_Accrual movement " xfId="2421"/>
    <cellStyle name="_P1 Prepayment Schedules_Accrual movement  (2)" xfId="2422"/>
    <cellStyle name="_P1 Prepayment Schedules_App1.3(Computer)" xfId="2423"/>
    <cellStyle name="_P1 Prepayment Schedules_Appendix 10.1 " xfId="2424"/>
    <cellStyle name="_P1 Prepayment Schedules_Appendix 10.1  (Apr)" xfId="2425"/>
    <cellStyle name="_P1 Prepayment Schedules_Appendix 10.1  (Dec)" xfId="2426"/>
    <cellStyle name="_P1 Prepayment Schedules_Appendix 10.1  (Feb)" xfId="2427"/>
    <cellStyle name="_P1 Prepayment Schedules_Appendix 10.1  (Jul)" xfId="2428"/>
    <cellStyle name="_P1 Prepayment Schedules_Appendix 10.1  (May)" xfId="2429"/>
    <cellStyle name="_P1 Prepayment Schedules_Appendix 10.1  (Nov)" xfId="2430"/>
    <cellStyle name="_P1 Prepayment Schedules_Appendix 10.1  (Oct)" xfId="2431"/>
    <cellStyle name="_P1 Prepayment Schedules_Appendix 10.1  (Sep)" xfId="2432"/>
    <cellStyle name="_P1 Prepayment Schedules_Appendix 10.2" xfId="2433"/>
    <cellStyle name="_P1 Prepayment Schedules_Appendix 10.2 (Apr)" xfId="2434"/>
    <cellStyle name="_P1 Prepayment Schedules_Appendix 10.2 (Aug)" xfId="2435"/>
    <cellStyle name="_P1 Prepayment Schedules_Appendix 10.2 (Dec)" xfId="2436"/>
    <cellStyle name="_P1 Prepayment Schedules_Appendix 10.2 (Feb)" xfId="2437"/>
    <cellStyle name="_P1 Prepayment Schedules_Appendix 10.2 (Jul)" xfId="2438"/>
    <cellStyle name="_P1 Prepayment Schedules_Appendix 10.2 (May)" xfId="2439"/>
    <cellStyle name="_P1 Prepayment Schedules_Appendix 10.2 (Nov)" xfId="2440"/>
    <cellStyle name="_P1 Prepayment Schedules_Appendix 10.2 (Oct)" xfId="2441"/>
    <cellStyle name="_P1 Prepayment Schedules_Appendix 10.3 (Oct)" xfId="2442"/>
    <cellStyle name="_P1 Prepayment Schedules_Appendix 11 (Aug)" xfId="2443"/>
    <cellStyle name="_P1 Prepayment Schedules_Appendix 11 (Dec)" xfId="2444"/>
    <cellStyle name="_P1 Prepayment Schedules_Appendix 11 (Jul)" xfId="2445"/>
    <cellStyle name="_P1 Prepayment Schedules_Appendix 12.1" xfId="2446"/>
    <cellStyle name="_P1 Prepayment Schedules_Appendix 12.1 (Aug)" xfId="2447"/>
    <cellStyle name="_P1 Prepayment Schedules_Appendix 12.1 (Mar)" xfId="2448"/>
    <cellStyle name="_P1 Prepayment Schedules_Appendix 12.1 (May)" xfId="2449"/>
    <cellStyle name="_P1 Prepayment Schedules_Appendix 12.1 (Nov)" xfId="2450"/>
    <cellStyle name="_P1 Prepayment Schedules_Appendix 12.1 (Oct)" xfId="2451"/>
    <cellStyle name="_P1 Prepayment Schedules_Appendix 12.1 (Sep)" xfId="2452"/>
    <cellStyle name="_P1 Prepayment Schedules_Appendix 12.13" xfId="2453"/>
    <cellStyle name="_P1 Prepayment Schedules_Appendix 12.2 (May)" xfId="2454"/>
    <cellStyle name="_P1 Prepayment Schedules_Appendix 12.4 (May)" xfId="2455"/>
    <cellStyle name="_P1 Prepayment Schedules_Appendix 12.6 (May)" xfId="2456"/>
    <cellStyle name="_P1 Prepayment Schedules_Appendix 12.7 (May)" xfId="2457"/>
    <cellStyle name="_P1 Prepayment Schedules_Appendix 12.7 (Nov)" xfId="2458"/>
    <cellStyle name="_P1 Prepayment Schedules_Appendix 12.9 (May)" xfId="2459"/>
    <cellStyle name="_P1 Prepayment Schedules_Appendix 13" xfId="2460"/>
    <cellStyle name="_P1 Prepayment Schedules_Appendix 14" xfId="2461"/>
    <cellStyle name="_P1 Prepayment Schedules_Appendix 14 (JRS)" xfId="2462"/>
    <cellStyle name="_P1 Prepayment Schedules_Appendix 15" xfId="2463"/>
    <cellStyle name="_P1 Prepayment Schedules_Appendix 15.1" xfId="2464"/>
    <cellStyle name="_P1 Prepayment Schedules_Appendix 16" xfId="2465"/>
    <cellStyle name="_P1 Prepayment Schedules_Appendix 17" xfId="2466"/>
    <cellStyle name="_P1 Prepayment Schedules_Appendix 18" xfId="2467"/>
    <cellStyle name="_P1 Prepayment Schedules_Appendix 3" xfId="2468"/>
    <cellStyle name="_P1 Prepayment Schedules_Appendix 3 (SA)" xfId="2469"/>
    <cellStyle name="_P1 Prepayment Schedules_Appendix 3(SA-p9)" xfId="2470"/>
    <cellStyle name="_P1 Prepayment Schedules_Appendix 3.1 " xfId="2471"/>
    <cellStyle name="_P1 Prepayment Schedules_Appendix 3.1  (2)" xfId="2472"/>
    <cellStyle name="_P1 Prepayment Schedules_Appendix 3.1 (sa)" xfId="2473"/>
    <cellStyle name="_P1 Prepayment Schedules_Appendix 3.1 (sa) (2)" xfId="2474"/>
    <cellStyle name="_P1 Prepayment Schedules_Appendix 3.1 (sa-P9)  " xfId="2475"/>
    <cellStyle name="_P1 Prepayment Schedules_Appendix 5" xfId="2476"/>
    <cellStyle name="_P1 Prepayment Schedules_Appendix 5 (Apr)" xfId="2477"/>
    <cellStyle name="_P1 Prepayment Schedules_Appendix 5 (Jul)" xfId="2478"/>
    <cellStyle name="_P1 Prepayment Schedules_Appendix 5 (Jun)" xfId="2479"/>
    <cellStyle name="_P1 Prepayment Schedules_Appendix 5 (Oct)" xfId="2480"/>
    <cellStyle name="_P1 Prepayment Schedules_Appendix 5 (Sep)" xfId="2481"/>
    <cellStyle name="_P1 Prepayment Schedules_Appendix 6" xfId="2482"/>
    <cellStyle name="_P1 Prepayment Schedules_Appendix 6 " xfId="2483"/>
    <cellStyle name="_P1 Prepayment Schedules_Appendix 6 (2)" xfId="2484"/>
    <cellStyle name="_P1 Prepayment Schedules_Appendix 6 (OK)" xfId="2485"/>
    <cellStyle name="_P1 Prepayment Schedules_Appendix 7" xfId="2486"/>
    <cellStyle name="_P1 Prepayment Schedules_Appendix 8 (2)" xfId="2487"/>
    <cellStyle name="_P1 Prepayment Schedules_Appendix 8 (Aug)" xfId="2488"/>
    <cellStyle name="_P1 Prepayment Schedules_Appendix 8 (Feb)" xfId="2489"/>
    <cellStyle name="_P1 Prepayment Schedules_Appendix 8 (Jan)" xfId="2490"/>
    <cellStyle name="_P1 Prepayment Schedules_Appendix 8 (Jul)" xfId="2491"/>
    <cellStyle name="_P1 Prepayment Schedules_Appendix 8 (May)" xfId="2492"/>
    <cellStyle name="_P1 Prepayment Schedules_Appendix 8 (Sep)" xfId="2493"/>
    <cellStyle name="_P1 Prepayment Schedules_BS" xfId="2494"/>
    <cellStyle name="_P1 Prepayment Schedules_Cash advance - GBP 5871 07 17 May2011" xfId="2495"/>
    <cellStyle name="_P1 Prepayment Schedules_Currencylog 31Aug11(SA)" xfId="2496"/>
    <cellStyle name="_P1 Prepayment Schedules_GBP" xfId="2497"/>
    <cellStyle name="_P1 Prepayment Schedules_P03 UK -BS Yr11-12(SA)-for refesh" xfId="2498"/>
    <cellStyle name="_P1 Prepayment Schedules_P1 UK -BS Yr12-13(Miu)" xfId="2499"/>
    <cellStyle name="_P1 Prepayment Schedules_P10 UK -BS Yr12-13(SA)-for refesh" xfId="2500"/>
    <cellStyle name="_P1 Prepayment Schedules_P12 2011 UK -BS Yr11-12(SA)-for refesh" xfId="2501"/>
    <cellStyle name="_P1 Prepayment Schedules_P12 2011 UK -BS Yr11-12(SA)-for refesh-working for tax pack" xfId="2502"/>
    <cellStyle name="_P1 Prepayment Schedules_P12 UK -BS Yr11-12(SA)-for refesh" xfId="2503"/>
    <cellStyle name="_P1 Prepayment Schedules_P2 UK -BS Yr11-12 (SA)" xfId="2504"/>
    <cellStyle name="_P1 Prepayment Schedules_P3 UK -BS Yr11-12 (SA)" xfId="2505"/>
    <cellStyle name="_P1 Prepayment Schedules_P4 UK -BS Yr11-12" xfId="2506"/>
    <cellStyle name="_P1 Prepayment Schedules_P4 UK -BS Yr11-12(Miu)" xfId="2507"/>
    <cellStyle name="_P1 Prepayment Schedules_P4 UK -BS Yr11-12(Miu-1)" xfId="2508"/>
    <cellStyle name="_P1 Prepayment Schedules_P4 UK -BS Yr11-12(SA)" xfId="2509"/>
    <cellStyle name="_P1 Prepayment Schedules_P4 UK -BS Yr12-13(Miu)" xfId="2510"/>
    <cellStyle name="_P1 Prepayment Schedules_P6 UK -BS Yr11-12(SA)" xfId="2511"/>
    <cellStyle name="_P1 Prepayment Schedules_P7 UK -BS Yr11-12(SA)" xfId="2512"/>
    <cellStyle name="_P1 Prepayment Schedules_P9 PnL BS only" xfId="2513"/>
    <cellStyle name="_P1 Prepayment Schedules_P9 PnL BS only- testing" xfId="2514"/>
    <cellStyle name="_P1 Prepayment Schedules_Petty Cash 30Aug2011(to Cindy)" xfId="2515"/>
    <cellStyle name="_P1 Prepayment Schedules_temp - P4" xfId="2516"/>
    <cellStyle name="_P11 SL-CA 1320171 - NML LIST" xfId="2517"/>
    <cellStyle name="_P11 SL-CA 1320172 - NNEM Testing" xfId="2518"/>
    <cellStyle name="_P11 SL-CA 1320173 - NML DN &amp; OTHERS" xfId="2519"/>
    <cellStyle name="_P12 SL-ICO 1320171 - NML Sales" xfId="2520"/>
    <cellStyle name="_P2 UK -BS Yr11-12 (SA)" xfId="2521"/>
    <cellStyle name="_P25" xfId="2522"/>
    <cellStyle name="_P25_Hyperion P5 Actual" xfId="2523"/>
    <cellStyle name="_P25_Hyperion P5 Actual - 12 July - v" xfId="2524"/>
    <cellStyle name="_P25_Hyperion Pack" xfId="2525"/>
    <cellStyle name="_P25_Hyperion Pack 31.7.10 (v3)" xfId="2526"/>
    <cellStyle name="_P25_Hyperion Pack P6 2011 - update to P6" xfId="2527"/>
    <cellStyle name="_P25_Hyperion Pack P6 2011 (Full Formula Version) - UK - P6 (sa) B" xfId="2528"/>
    <cellStyle name="_P25_Management Accounts P4" xfId="2529"/>
    <cellStyle name="_P25_Sheet1" xfId="2530"/>
    <cellStyle name="_PREPAYMENTS_UK" xfId="2531"/>
    <cellStyle name="_PREPAYMENTS_UK 10" xfId="2532"/>
    <cellStyle name="_PREPAYMENTS_UK 11" xfId="2533"/>
    <cellStyle name="_PREPAYMENTS_UK 12" xfId="2534"/>
    <cellStyle name="_PREPAYMENTS_UK 13" xfId="2535"/>
    <cellStyle name="_PREPAYMENTS_UK 14" xfId="2536"/>
    <cellStyle name="_PREPAYMENTS_UK 15" xfId="2537"/>
    <cellStyle name="_PREPAYMENTS_UK 16" xfId="2538"/>
    <cellStyle name="_PREPAYMENTS_UK 17" xfId="2539"/>
    <cellStyle name="_PREPAYMENTS_UK 2" xfId="2540"/>
    <cellStyle name="_PREPAYMENTS_UK 3" xfId="2541"/>
    <cellStyle name="_PREPAYMENTS_UK 4" xfId="2542"/>
    <cellStyle name="_PREPAYMENTS_UK 5" xfId="2543"/>
    <cellStyle name="_PREPAYMENTS_UK 6" xfId="2544"/>
    <cellStyle name="_PREPAYMENTS_UK 7" xfId="2545"/>
    <cellStyle name="_PREPAYMENTS_UK 8" xfId="2546"/>
    <cellStyle name="_PREPAYMENTS_UK 9" xfId="2547"/>
    <cellStyle name="_PREPAYMENTS_UK_2011 P12 PnL Vision - with BD" xfId="2548"/>
    <cellStyle name="_PREPAYMENTS_UK_6017.24" xfId="2549"/>
    <cellStyle name="_PREPAYMENTS_UK_AccountP (Aug)" xfId="2550"/>
    <cellStyle name="_PREPAYMENTS_UK_AccountP (Dec)" xfId="2551"/>
    <cellStyle name="_PREPAYMENTS_UK_AccountP (Feb)" xfId="2552"/>
    <cellStyle name="_PREPAYMENTS_UK_AccountP (Jan)" xfId="2553"/>
    <cellStyle name="_PREPAYMENTS_UK_AccountP (Jul)" xfId="2554"/>
    <cellStyle name="_PREPAYMENTS_UK_AccountP (Jun)" xfId="2555"/>
    <cellStyle name="_PREPAYMENTS_UK_AccountP (Mar)" xfId="2556"/>
    <cellStyle name="_PREPAYMENTS_UK_AccountP (Nov)" xfId="2557"/>
    <cellStyle name="_PREPAYMENTS_UK_AccountP (Oct)" xfId="2558"/>
    <cellStyle name="_PREPAYMENTS_UK_AccountP (Sep)" xfId="2559"/>
    <cellStyle name="_PREPAYMENTS_UK_Accrual movement " xfId="2560"/>
    <cellStyle name="_PREPAYMENTS_UK_Accrual movement  (2)" xfId="2561"/>
    <cellStyle name="_PREPAYMENTS_UK_App1.3(Computer)" xfId="2562"/>
    <cellStyle name="_PREPAYMENTS_UK_Appendix 10.1 " xfId="2563"/>
    <cellStyle name="_PREPAYMENTS_UK_Appendix 10.1  (Apr)" xfId="2564"/>
    <cellStyle name="_PREPAYMENTS_UK_Appendix 10.1  (Dec)" xfId="2565"/>
    <cellStyle name="_PREPAYMENTS_UK_Appendix 10.1  (Feb)" xfId="2566"/>
    <cellStyle name="_PREPAYMENTS_UK_Appendix 10.1  (Jul)" xfId="2567"/>
    <cellStyle name="_PREPAYMENTS_UK_Appendix 10.1  (May)" xfId="2568"/>
    <cellStyle name="_PREPAYMENTS_UK_Appendix 10.1  (Nov)" xfId="2569"/>
    <cellStyle name="_PREPAYMENTS_UK_Appendix 10.1  (Oct)" xfId="2570"/>
    <cellStyle name="_PREPAYMENTS_UK_Appendix 10.1  (Sep)" xfId="2571"/>
    <cellStyle name="_PREPAYMENTS_UK_Appendix 10.2" xfId="2572"/>
    <cellStyle name="_PREPAYMENTS_UK_Appendix 10.2 (Apr)" xfId="2573"/>
    <cellStyle name="_PREPAYMENTS_UK_Appendix 10.2 (Aug)" xfId="2574"/>
    <cellStyle name="_PREPAYMENTS_UK_Appendix 10.2 (Dec)" xfId="2575"/>
    <cellStyle name="_PREPAYMENTS_UK_Appendix 10.2 (Feb)" xfId="2576"/>
    <cellStyle name="_PREPAYMENTS_UK_Appendix 10.2 (Jul)" xfId="2577"/>
    <cellStyle name="_PREPAYMENTS_UK_Appendix 10.2 (May)" xfId="2578"/>
    <cellStyle name="_PREPAYMENTS_UK_Appendix 10.2 (Nov)" xfId="2579"/>
    <cellStyle name="_PREPAYMENTS_UK_Appendix 10.2 (Oct)" xfId="2580"/>
    <cellStyle name="_PREPAYMENTS_UK_Appendix 10.3 (Oct)" xfId="2581"/>
    <cellStyle name="_PREPAYMENTS_UK_Appendix 11 (Aug)" xfId="2582"/>
    <cellStyle name="_PREPAYMENTS_UK_Appendix 11 (Dec)" xfId="2583"/>
    <cellStyle name="_PREPAYMENTS_UK_Appendix 11 (Jul)" xfId="2584"/>
    <cellStyle name="_PREPAYMENTS_UK_Appendix 12.1" xfId="2585"/>
    <cellStyle name="_PREPAYMENTS_UK_Appendix 12.1 (Aug)" xfId="2586"/>
    <cellStyle name="_PREPAYMENTS_UK_Appendix 12.1 (Mar)" xfId="2587"/>
    <cellStyle name="_PREPAYMENTS_UK_Appendix 12.1 (May)" xfId="2588"/>
    <cellStyle name="_PREPAYMENTS_UK_Appendix 12.1 (Nov)" xfId="2589"/>
    <cellStyle name="_PREPAYMENTS_UK_Appendix 12.1 (Oct)" xfId="2590"/>
    <cellStyle name="_PREPAYMENTS_UK_Appendix 12.1 (Sep)" xfId="2591"/>
    <cellStyle name="_PREPAYMENTS_UK_Appendix 12.13" xfId="2592"/>
    <cellStyle name="_PREPAYMENTS_UK_Appendix 12.2 (May)" xfId="2593"/>
    <cellStyle name="_PREPAYMENTS_UK_Appendix 12.4 (May)" xfId="2594"/>
    <cellStyle name="_PREPAYMENTS_UK_Appendix 12.6 (May)" xfId="2595"/>
    <cellStyle name="_PREPAYMENTS_UK_Appendix 12.7 (May)" xfId="2596"/>
    <cellStyle name="_PREPAYMENTS_UK_Appendix 12.7 (Nov)" xfId="2597"/>
    <cellStyle name="_PREPAYMENTS_UK_Appendix 12.9 (May)" xfId="2598"/>
    <cellStyle name="_PREPAYMENTS_UK_Appendix 13" xfId="2599"/>
    <cellStyle name="_PREPAYMENTS_UK_Appendix 14" xfId="2600"/>
    <cellStyle name="_PREPAYMENTS_UK_Appendix 14 (JRS)" xfId="2601"/>
    <cellStyle name="_PREPAYMENTS_UK_Appendix 15" xfId="2602"/>
    <cellStyle name="_PREPAYMENTS_UK_Appendix 15.1" xfId="2603"/>
    <cellStyle name="_PREPAYMENTS_UK_Appendix 16" xfId="2604"/>
    <cellStyle name="_PREPAYMENTS_UK_Appendix 17" xfId="2605"/>
    <cellStyle name="_PREPAYMENTS_UK_Appendix 18" xfId="2606"/>
    <cellStyle name="_PREPAYMENTS_UK_Appendix 3" xfId="2607"/>
    <cellStyle name="_PREPAYMENTS_UK_Appendix 3 (SA)" xfId="2608"/>
    <cellStyle name="_PREPAYMENTS_UK_Appendix 3(SA-p9)" xfId="2609"/>
    <cellStyle name="_PREPAYMENTS_UK_Appendix 3.1 " xfId="2610"/>
    <cellStyle name="_PREPAYMENTS_UK_Appendix 3.1  (2)" xfId="2611"/>
    <cellStyle name="_PREPAYMENTS_UK_Appendix 3.1 (sa)" xfId="2612"/>
    <cellStyle name="_PREPAYMENTS_UK_Appendix 3.1 (sa) (2)" xfId="2613"/>
    <cellStyle name="_PREPAYMENTS_UK_Appendix 3.1 (sa-P9)  " xfId="2614"/>
    <cellStyle name="_PREPAYMENTS_UK_Appendix 5" xfId="2615"/>
    <cellStyle name="_PREPAYMENTS_UK_Appendix 5 (Apr)" xfId="2616"/>
    <cellStyle name="_PREPAYMENTS_UK_Appendix 5 (Jul)" xfId="2617"/>
    <cellStyle name="_PREPAYMENTS_UK_Appendix 5 (Jun)" xfId="2618"/>
    <cellStyle name="_PREPAYMENTS_UK_Appendix 5 (Oct)" xfId="2619"/>
    <cellStyle name="_PREPAYMENTS_UK_Appendix 5 (Sep)" xfId="2620"/>
    <cellStyle name="_PREPAYMENTS_UK_Appendix 6" xfId="2621"/>
    <cellStyle name="_PREPAYMENTS_UK_Appendix 6 " xfId="2622"/>
    <cellStyle name="_PREPAYMENTS_UK_Appendix 6 (2)" xfId="2623"/>
    <cellStyle name="_PREPAYMENTS_UK_Appendix 6 (OK)" xfId="2624"/>
    <cellStyle name="_PREPAYMENTS_UK_Appendix 7" xfId="2625"/>
    <cellStyle name="_PREPAYMENTS_UK_Appendix 8 (2)" xfId="2626"/>
    <cellStyle name="_PREPAYMENTS_UK_Appendix 8 (Aug)" xfId="2627"/>
    <cellStyle name="_PREPAYMENTS_UK_Appendix 8 (Feb)" xfId="2628"/>
    <cellStyle name="_PREPAYMENTS_UK_Appendix 8 (Jan)" xfId="2629"/>
    <cellStyle name="_PREPAYMENTS_UK_Appendix 8 (Jul)" xfId="2630"/>
    <cellStyle name="_PREPAYMENTS_UK_Appendix 8 (May)" xfId="2631"/>
    <cellStyle name="_PREPAYMENTS_UK_Appendix 8 (Sep)" xfId="2632"/>
    <cellStyle name="_PREPAYMENTS_UK_BS" xfId="2633"/>
    <cellStyle name="_PREPAYMENTS_UK_Cash advance - GBP 5871 07 17 May2011" xfId="2634"/>
    <cellStyle name="_PREPAYMENTS_UK_Currencylog 31Aug11(SA)" xfId="2635"/>
    <cellStyle name="_PREPAYMENTS_UK_GBP" xfId="2636"/>
    <cellStyle name="_PREPAYMENTS_UK_P03 UK -BS Yr11-12(SA)-for refesh" xfId="2637"/>
    <cellStyle name="_PREPAYMENTS_UK_P1 UK -BS Yr12-13(Miu)" xfId="2638"/>
    <cellStyle name="_PREPAYMENTS_UK_P10 UK -BS Yr12-13(SA)-for refesh" xfId="2639"/>
    <cellStyle name="_PREPAYMENTS_UK_P12 2011 UK -BS Yr11-12(SA)-for refesh" xfId="2640"/>
    <cellStyle name="_PREPAYMENTS_UK_P12 2011 UK -BS Yr11-12(SA)-for refesh-working for tax pack" xfId="2641"/>
    <cellStyle name="_PREPAYMENTS_UK_P12 UK -BS Yr11-12(SA)-for refesh" xfId="2642"/>
    <cellStyle name="_PREPAYMENTS_UK_P2 UK -BS Yr11-12 (SA)" xfId="2643"/>
    <cellStyle name="_PREPAYMENTS_UK_P3 UK -BS Yr11-12 (SA)" xfId="2644"/>
    <cellStyle name="_PREPAYMENTS_UK_P4 UK -BS Yr11-12" xfId="2645"/>
    <cellStyle name="_PREPAYMENTS_UK_P4 UK -BS Yr11-12(Miu)" xfId="2646"/>
    <cellStyle name="_PREPAYMENTS_UK_P4 UK -BS Yr11-12(Miu-1)" xfId="2647"/>
    <cellStyle name="_PREPAYMENTS_UK_P4 UK -BS Yr11-12(SA)" xfId="2648"/>
    <cellStyle name="_PREPAYMENTS_UK_P4 UK -BS Yr12-13(Miu)" xfId="2649"/>
    <cellStyle name="_PREPAYMENTS_UK_P6 UK -BS Yr11-12(SA)" xfId="2650"/>
    <cellStyle name="_PREPAYMENTS_UK_P7 UK -BS Yr11-12(SA)" xfId="2651"/>
    <cellStyle name="_PREPAYMENTS_UK_P9 PnL BS only" xfId="2652"/>
    <cellStyle name="_PREPAYMENTS_UK_P9 PnL BS only- testing" xfId="2653"/>
    <cellStyle name="_PREPAYMENTS_UK_Petty Cash 30Aug2011(to Cindy)" xfId="2654"/>
    <cellStyle name="_PREPAYMENTS_UK_temp - P4" xfId="2655"/>
    <cellStyle name="_reconcilation-2011-April-direct" xfId="2656"/>
    <cellStyle name="_reconcilation-2011-August-direct" xfId="2657"/>
    <cellStyle name="_reconcilation-2011-August-NTN" xfId="2658"/>
    <cellStyle name="_reconcilation-2011-December-direct" xfId="2659"/>
    <cellStyle name="_reconcilation-2011-December-NTN" xfId="2660"/>
    <cellStyle name="_reconcilation-2011-July-direct" xfId="2661"/>
    <cellStyle name="_reconcilation-2011-July-NTN" xfId="2662"/>
    <cellStyle name="_reconcilation-2011-June-direct" xfId="2663"/>
    <cellStyle name="_reconcilation-2011-June-NTN" xfId="2664"/>
    <cellStyle name="_reconcilation-2011-September-direct" xfId="2665"/>
    <cellStyle name="_reconcilation-2011-September-NTN" xfId="2666"/>
    <cellStyle name="_reconcilation-2012-January-direct" xfId="2667"/>
    <cellStyle name="_reconcilation-2012-January-NTN" xfId="2668"/>
    <cellStyle name="_SCHEDULE 10.07" xfId="2669"/>
    <cellStyle name="_Shanghai DN08-09 (1)" xfId="2670"/>
    <cellStyle name="_SUN Ledger-1320113" xfId="2671"/>
    <cellStyle name="_SUN Ledger-1320113 2" xfId="2672"/>
    <cellStyle name="_SUN Ledger-1320113_1415201 HK-PROV CLAIMS (P06_09)" xfId="2673"/>
    <cellStyle name="_SUN Ledger-1320113_OTH REC'B - UK DN" xfId="2674"/>
    <cellStyle name="_SUN Ledger-1320113_副本Shanghai DN 20090731 (SH2F) (2)" xfId="2675"/>
    <cellStyle name="_TH outstanding DN" xfId="2676"/>
    <cellStyle name="_TH outstanding DN_1415201 HK-PROV CLAIMS (P06_09)" xfId="2677"/>
    <cellStyle name="_TH outstanding DN_OTH REC'B - UK DN" xfId="2678"/>
    <cellStyle name="_TH outstanding DN_副本Shanghai DN 20090731 (SH2F) (2)" xfId="2679"/>
    <cellStyle name="_TK FOB 07 P12 - 31JAN08" xfId="2680"/>
    <cellStyle name="_TK FOB 07 P12 - 31JAN08_HK(1320113)P03- Apr 08" xfId="2681"/>
    <cellStyle name="_TK FOB 07 P12 - 31JAN08_HK(1320113)P04- MAY 08R" xfId="2682"/>
    <cellStyle name="_TK FOB 07 P12 - 31JAN08_HK_SH_TH AR P02_09(revised)" xfId="2683"/>
    <cellStyle name="_TK FOB 07 P12 - 31JAN08_HK_SH_TH AR P03_09" xfId="2684"/>
    <cellStyle name="_TK FOB 07 P12 - 31JAN08_Lipsy_AR - SH P12" xfId="2685"/>
    <cellStyle name="_TK FOB 07 P12 - 31JAN08_TH_SCH PD03 (AR)" xfId="2686"/>
    <cellStyle name="_TK FOB 07 P12 - 31JAN08_TH_SCH PD03 (AR)_OTH REC'B - UK DN" xfId="2687"/>
    <cellStyle name="_TK FOB 07 P12 - 31JAN08_TH_SCH PD03 (AR)_副本Shanghai DN 20090731 (SH2F) (2)" xfId="2688"/>
    <cellStyle name="_TK FOB 07 P12 - 31JAN08_UKDN_SHANGHAI_300908 (REVISED ON 2.10.08)" xfId="2689"/>
    <cellStyle name="_TK FOB 07 P12 - 31JAN08_UKDN_SHANGHAI_300908 (REVISED ON 2.10.08)_OTH REC'B - UK DN" xfId="2690"/>
    <cellStyle name="_TK FOB 07 P12 - 31JAN08_UKDN_SHANGHAI_300908 (REVISED ON 2.10.08)_副本Shanghai DN 20090731 (SH2F) (2)" xfId="2691"/>
    <cellStyle name="_TK FOB 07 P12 - 31JAN08_UKDN_SHANGHAI_310808" xfId="2692"/>
    <cellStyle name="_TK FOB 07 P12 - 31JAN08_UKDN_SHANGHAI_310808_OTH REC'B - UK DN" xfId="2693"/>
    <cellStyle name="_TK FOB 07 P12 - 31JAN08_UKDN_SHANGHAI_310808_副本Shanghai DN 20090731 (SH2F) (2)" xfId="2694"/>
    <cellStyle name="_TK FOB 07 P12 - 31JAN08_UKDN_SHANGHAI_311208" xfId="2695"/>
    <cellStyle name="_TK FOB 07 P12 - 31JAN08_UKDN_SHANGHAI_311208_OTH REC'B - UK DN" xfId="2696"/>
    <cellStyle name="_TK FOB 07 P12 - 31JAN08_UKDN_SHANGHAI_311208_副本Shanghai DN 20090731 (SH2F) (2)" xfId="2697"/>
    <cellStyle name="_TK FOB 07 P12 - 31JAN08_UKDN_SHANGHAI_P01-09" xfId="2698"/>
    <cellStyle name="_TK FOB 07 P12 - 31JAN08_UKDN_SHANGHAI_P01-09_1415201 HK-PROV CLAIMS (P06_09)" xfId="2699"/>
    <cellStyle name="_TK FOB 07 P12 - 31JAN08_UKDN_SHANGHAI_P01-09_OTH REC'B - UK DN" xfId="2700"/>
    <cellStyle name="_TK FOB 07 P12 - 31JAN08_UKDN_SHANGHAI_P01-09_副本Shanghai DN 20090731 (SH2F) (2)" xfId="2701"/>
    <cellStyle name="_TK FOB 07 P12 - 31JAN08_UKDN_SHANGHAI_P02-09" xfId="2702"/>
    <cellStyle name="_TK FOB 07 P12 - 31JAN08_UKDN_SHANGHAI_P02-09_1415201 HK-PROV CLAIMS (P06_09)" xfId="2703"/>
    <cellStyle name="_TK FOB 07 P12 - 31JAN08_UKDN_SHANGHAI_P02-09_OTH REC'B - UK DN" xfId="2704"/>
    <cellStyle name="_TK FOB 07 P12 - 31JAN08_UKDN_SHANGHAI_P02-09_副本Shanghai DN 20090731 (SH2F) (2)" xfId="2705"/>
    <cellStyle name="_TK FOB 07 P12 - 31JAN08_UKDN_SHANGHAI_P03-09" xfId="2706"/>
    <cellStyle name="_TK FOB 07 P12 - 31JAN08_UKDN_SHANGHAI_P03-09_1415201 HK-PROV CLAIMS (P06_09)" xfId="2707"/>
    <cellStyle name="_TK FOB 07 P12 - 31JAN08_UKDN_SHANGHAI_P03-09_OTH REC'B - UK DN" xfId="2708"/>
    <cellStyle name="_TK FOB 07 P12 - 31JAN08_UKDN_SHANGHAI_P03-09_副本Shanghai DN 20090731 (SH2F) (2)" xfId="2709"/>
    <cellStyle name="_TK FOB 07 P12 - 31JAN08_UKDN_SHANGHAI_P04-09" xfId="2710"/>
    <cellStyle name="_TK FOB 07 P12 - 31JAN08_UKDN_SHANGHAI_P04-09 (Revised on 04.06.09)" xfId="2711"/>
    <cellStyle name="_TK FOB 07 P12 - 31JAN08_UKDN_SHANGHAI_P04-09 (Revised on 04.06.09)_OTH REC'B - UK DN" xfId="2712"/>
    <cellStyle name="_TK FOB 07 P12 - 31JAN08_UKDN_SHANGHAI_P04-09 (Revised on 04.06.09)_副本Shanghai DN 20090731 (SH2F) (2)" xfId="2713"/>
    <cellStyle name="_TK FOB 07 P12 - 31JAN08_UKDN_SHANGHAI_P04-09_1415201 HK-PROV CLAIMS (P06_09)" xfId="2714"/>
    <cellStyle name="_TK FOB 07 P12 - 31JAN08_UKDN_SHANGHAI_P12-08" xfId="2715"/>
    <cellStyle name="_TK FOB 07 P12 - 31JAN08_UKDN_SHANGHAI_P12-08 (310109)" xfId="2716"/>
    <cellStyle name="_TK FOB 07 P12 - 31JAN08_UKDN_SHANGHAI_P12-08 (310109)_1415201 HK-PROV CLAIMS (P06_09)" xfId="2717"/>
    <cellStyle name="_TK FOB 07 P12 - 31JAN08_UKDN_SHANGHAI_P12-08 (310109)_OTH REC'B - UK DN" xfId="2718"/>
    <cellStyle name="_TK FOB 07 P12 - 31JAN08_UKDN_SHANGHAI_P12-08 (310109)_副本Shanghai DN 20090731 (SH2F) (2)" xfId="2719"/>
    <cellStyle name="_TK FOB 07 P12 - 31JAN08_UKDN_SHANGHAI_P12-08_1415201 HK-PROV CLAIMS (P06_09)" xfId="2720"/>
    <cellStyle name="_TK FOB 07 P12 - 31JAN08_UKDN_SHANGHAI_P12-08_OTH REC'B - UK DN" xfId="2721"/>
    <cellStyle name="_TK FOB 07 P12 - 31JAN08_UKDN_SHANGHAI_P12-08_副本Shanghai DN 20090731 (SH2F) (2)" xfId="2722"/>
    <cellStyle name="_TK FOB 07 P12 - 31JAN08_UKDN_THAILAND P01-09" xfId="2723"/>
    <cellStyle name="_TK FOB 07 P12 - 31JAN08_UKDN_THAILAND P01-09_1415201 HK-PROV CLAIMS (P06_09)" xfId="2724"/>
    <cellStyle name="_TK FOB 07 P12 - 31JAN08_UKDN_THAILAND P01-09_OTH REC'B - UK DN" xfId="2725"/>
    <cellStyle name="_TK FOB 07 P12 - 31JAN08_UKDN_THAILAND P01-09_副本Shanghai DN 20090731 (SH2F) (2)" xfId="2726"/>
    <cellStyle name="_TK FOB 07 P12 - 31JAN08_UKDN_THAILAND P02-09" xfId="2727"/>
    <cellStyle name="_TK FOB 07 P12 - 31JAN08_UKDN_THAILAND P02-09_1415201 HK-PROV CLAIMS (P06_09)" xfId="2728"/>
    <cellStyle name="_TK FOB 07 P12 - 31JAN08_UKDN_THAILAND P02-09_OTH REC'B - UK DN" xfId="2729"/>
    <cellStyle name="_TK FOB 07 P12 - 31JAN08_UKDN_THAILAND P02-09_副本Shanghai DN 20090731 (SH2F) (2)" xfId="2730"/>
    <cellStyle name="_TK FOB 07 P12 - 31JAN08_UKDN_THAILAND P03-09" xfId="2731"/>
    <cellStyle name="_TK FOB 07 P12 - 31JAN08_UKDN_THAILAND P03-09_1415201 HK-PROV CLAIMS (P06_09)" xfId="2732"/>
    <cellStyle name="_TK FOB 07 P12 - 31JAN08_UKDN_THAILAND P03-09_OTH REC'B - UK DN" xfId="2733"/>
    <cellStyle name="_TK FOB 07 P12 - 31JAN08_UKDN_THAILAND P03-09_副本Shanghai DN 20090731 (SH2F) (2)" xfId="2734"/>
    <cellStyle name="_TK FOB 07 P12 - 31JAN08_UKDN_THAILAND P04-09" xfId="2735"/>
    <cellStyle name="_TK FOB 07 P12 - 31JAN08_UKDN_THAILAND P04-09_1415201 HK-PROV CLAIMS (P06_09)" xfId="2736"/>
    <cellStyle name="_TK FOB 07 P12 - 31JAN08_UKDN_THAILAND P05-09" xfId="2737"/>
    <cellStyle name="_TK FOB 07 P12 - 31JAN08_UKDN_THAILAND P06-09" xfId="2738"/>
    <cellStyle name="_TK FOB 07 P12 - 31JAN08_UKDN_THAILAND P07-09" xfId="2739"/>
    <cellStyle name="_TK FOB 07 P12 - 31JAN08_UKDN_THAILAND P08-09" xfId="2740"/>
    <cellStyle name="_TK FOB 07 P12 - 31JAN08_UKDN_THAILAND P09-09" xfId="2741"/>
    <cellStyle name="_TK FOB 07 P12 - 31JAN08_UKDN_THAILAND P10-09" xfId="2742"/>
    <cellStyle name="_TK FOB 07 P12 - 31JAN08_UKDN_THAILAND P11-09" xfId="2743"/>
    <cellStyle name="_TK FOB 07 P12 - 31JAN08_UKDN_THAILAND P12" xfId="2744"/>
    <cellStyle name="_TK FOB 07 P12 - 31JAN08_UKDN_THAILAND P12_1415201 HK-PROV CLAIMS (P06_09)" xfId="2745"/>
    <cellStyle name="_TK FOB 07 P12 - 31JAN08_UKDN_THAILAND P12_OTH REC'B - UK DN" xfId="2746"/>
    <cellStyle name="_TK FOB 07 P12 - 31JAN08_UKDN_THAILAND P12_副本Shanghai DN 20090731 (SH2F) (2)" xfId="2747"/>
    <cellStyle name="_TK FOB 07 P12 - 31JAN08_UKDN_THAILAND P12-08 (310109)" xfId="2748"/>
    <cellStyle name="_TK FOB 07 P12 - 31JAN08_UKDN_THAILAND P12-08 (310109)_1415201 HK-PROV CLAIMS (P06_09)" xfId="2749"/>
    <cellStyle name="_TK FOB 07 P12 - 31JAN08_UKDN_THAILAND P12-08 (310109)_OTH REC'B - UK DN" xfId="2750"/>
    <cellStyle name="_TK FOB 07 P12 - 31JAN08_UKDN_THAILAND P12-08 (310109)_副本Shanghai DN 20090731 (SH2F) (2)" xfId="2751"/>
    <cellStyle name="_TK FOB 07 P12 - 31JAN08_UKDN_THAILAND P12-09" xfId="2752"/>
    <cellStyle name="_TK FOB 07 P12 - 31JAN08_UKDN-PD0208 (Revised) - April 08" xfId="2753"/>
    <cellStyle name="_TK07 P08 07" xfId="2754"/>
    <cellStyle name="_TK07 P08 07_HK(1320113)P03- Apr 08" xfId="2755"/>
    <cellStyle name="_TK07 P08 07_HK(1320113)P04- MAY 08R" xfId="2756"/>
    <cellStyle name="_TK07 P08 07_HK_SH_TH AR P02_09(revised)" xfId="2757"/>
    <cellStyle name="_TK07 P08 07_HK_SH_TH AR P03_09" xfId="2758"/>
    <cellStyle name="_TK07 P08 07_Lipsy_AR - SH P12" xfId="2759"/>
    <cellStyle name="_TK07 P08 07_TH_SCH PD03 (AR)" xfId="2760"/>
    <cellStyle name="_TK07 P08 07_TH_SCH PD03 (AR)_OTH REC'B - UK DN" xfId="2761"/>
    <cellStyle name="_TK07 P08 07_TH_SCH PD03 (AR)_副本Shanghai DN 20090731 (SH2F) (2)" xfId="2762"/>
    <cellStyle name="_TK07 P08 07_UKDN_SHANGHAI_300908 (REVISED ON 2.10.08)" xfId="2763"/>
    <cellStyle name="_TK07 P08 07_UKDN_SHANGHAI_300908 (REVISED ON 2.10.08)_OTH REC'B - UK DN" xfId="2764"/>
    <cellStyle name="_TK07 P08 07_UKDN_SHANGHAI_300908 (REVISED ON 2.10.08)_副本Shanghai DN 20090731 (SH2F) (2)" xfId="2765"/>
    <cellStyle name="_TK07 P08 07_UKDN_SHANGHAI_310808" xfId="2766"/>
    <cellStyle name="_TK07 P08 07_UKDN_SHANGHAI_310808_OTH REC'B - UK DN" xfId="2767"/>
    <cellStyle name="_TK07 P08 07_UKDN_SHANGHAI_310808_副本Shanghai DN 20090731 (SH2F) (2)" xfId="2768"/>
    <cellStyle name="_TK07 P08 07_UKDN_SHANGHAI_311208" xfId="2769"/>
    <cellStyle name="_TK07 P08 07_UKDN_SHANGHAI_311208_OTH REC'B - UK DN" xfId="2770"/>
    <cellStyle name="_TK07 P08 07_UKDN_SHANGHAI_311208_副本Shanghai DN 20090731 (SH2F) (2)" xfId="2771"/>
    <cellStyle name="_TK07 P08 07_UKDN_SHANGHAI_P01-09" xfId="2772"/>
    <cellStyle name="_TK07 P08 07_UKDN_SHANGHAI_P01-09_1415201 HK-PROV CLAIMS (P06_09)" xfId="2773"/>
    <cellStyle name="_TK07 P08 07_UKDN_SHANGHAI_P01-09_OTH REC'B - UK DN" xfId="2774"/>
    <cellStyle name="_TK07 P08 07_UKDN_SHANGHAI_P01-09_副本Shanghai DN 20090731 (SH2F) (2)" xfId="2775"/>
    <cellStyle name="_TK07 P08 07_UKDN_SHANGHAI_P02-09" xfId="2776"/>
    <cellStyle name="_TK07 P08 07_UKDN_SHANGHAI_P02-09_1415201 HK-PROV CLAIMS (P06_09)" xfId="2777"/>
    <cellStyle name="_TK07 P08 07_UKDN_SHANGHAI_P02-09_OTH REC'B - UK DN" xfId="2778"/>
    <cellStyle name="_TK07 P08 07_UKDN_SHANGHAI_P02-09_副本Shanghai DN 20090731 (SH2F) (2)" xfId="2779"/>
    <cellStyle name="_TK07 P08 07_UKDN_SHANGHAI_P03-09" xfId="2780"/>
    <cellStyle name="_TK07 P08 07_UKDN_SHANGHAI_P03-09_1415201 HK-PROV CLAIMS (P06_09)" xfId="2781"/>
    <cellStyle name="_TK07 P08 07_UKDN_SHANGHAI_P03-09_OTH REC'B - UK DN" xfId="2782"/>
    <cellStyle name="_TK07 P08 07_UKDN_SHANGHAI_P03-09_副本Shanghai DN 20090731 (SH2F) (2)" xfId="2783"/>
    <cellStyle name="_TK07 P08 07_UKDN_SHANGHAI_P04-09" xfId="2784"/>
    <cellStyle name="_TK07 P08 07_UKDN_SHANGHAI_P04-09 (Revised on 04.06.09)" xfId="2785"/>
    <cellStyle name="_TK07 P08 07_UKDN_SHANGHAI_P04-09 (Revised on 04.06.09)_OTH REC'B - UK DN" xfId="2786"/>
    <cellStyle name="_TK07 P08 07_UKDN_SHANGHAI_P04-09 (Revised on 04.06.09)_副本Shanghai DN 20090731 (SH2F) (2)" xfId="2787"/>
    <cellStyle name="_TK07 P08 07_UKDN_SHANGHAI_P04-09_1415201 HK-PROV CLAIMS (P06_09)" xfId="2788"/>
    <cellStyle name="_TK07 P08 07_UKDN_SHANGHAI_P12-08" xfId="2789"/>
    <cellStyle name="_TK07 P08 07_UKDN_SHANGHAI_P12-08 (310109)" xfId="2790"/>
    <cellStyle name="_TK07 P08 07_UKDN_SHANGHAI_P12-08 (310109)_1415201 HK-PROV CLAIMS (P06_09)" xfId="2791"/>
    <cellStyle name="_TK07 P08 07_UKDN_SHANGHAI_P12-08 (310109)_OTH REC'B - UK DN" xfId="2792"/>
    <cellStyle name="_TK07 P08 07_UKDN_SHANGHAI_P12-08 (310109)_副本Shanghai DN 20090731 (SH2F) (2)" xfId="2793"/>
    <cellStyle name="_TK07 P08 07_UKDN_SHANGHAI_P12-08_1415201 HK-PROV CLAIMS (P06_09)" xfId="2794"/>
    <cellStyle name="_TK07 P08 07_UKDN_SHANGHAI_P12-08_OTH REC'B - UK DN" xfId="2795"/>
    <cellStyle name="_TK07 P08 07_UKDN_SHANGHAI_P12-08_副本Shanghai DN 20090731 (SH2F) (2)" xfId="2796"/>
    <cellStyle name="_TK07 P08 07_UKDN_THAILAND P01-09" xfId="2797"/>
    <cellStyle name="_TK07 P08 07_UKDN_THAILAND P01-09_1415201 HK-PROV CLAIMS (P06_09)" xfId="2798"/>
    <cellStyle name="_TK07 P08 07_UKDN_THAILAND P01-09_OTH REC'B - UK DN" xfId="2799"/>
    <cellStyle name="_TK07 P08 07_UKDN_THAILAND P01-09_副本Shanghai DN 20090731 (SH2F) (2)" xfId="2800"/>
    <cellStyle name="_TK07 P08 07_UKDN_THAILAND P02-09" xfId="2801"/>
    <cellStyle name="_TK07 P08 07_UKDN_THAILAND P02-09_1415201 HK-PROV CLAIMS (P06_09)" xfId="2802"/>
    <cellStyle name="_TK07 P08 07_UKDN_THAILAND P02-09_OTH REC'B - UK DN" xfId="2803"/>
    <cellStyle name="_TK07 P08 07_UKDN_THAILAND P02-09_副本Shanghai DN 20090731 (SH2F) (2)" xfId="2804"/>
    <cellStyle name="_TK07 P08 07_UKDN_THAILAND P03-09" xfId="2805"/>
    <cellStyle name="_TK07 P08 07_UKDN_THAILAND P03-09_1415201 HK-PROV CLAIMS (P06_09)" xfId="2806"/>
    <cellStyle name="_TK07 P08 07_UKDN_THAILAND P03-09_OTH REC'B - UK DN" xfId="2807"/>
    <cellStyle name="_TK07 P08 07_UKDN_THAILAND P03-09_副本Shanghai DN 20090731 (SH2F) (2)" xfId="2808"/>
    <cellStyle name="_TK07 P08 07_UKDN_THAILAND P04-09" xfId="2809"/>
    <cellStyle name="_TK07 P08 07_UKDN_THAILAND P04-09_1415201 HK-PROV CLAIMS (P06_09)" xfId="2810"/>
    <cellStyle name="_TK07 P08 07_UKDN_THAILAND P05-09" xfId="2811"/>
    <cellStyle name="_TK07 P08 07_UKDN_THAILAND P06-09" xfId="2812"/>
    <cellStyle name="_TK07 P08 07_UKDN_THAILAND P07-09" xfId="2813"/>
    <cellStyle name="_TK07 P08 07_UKDN_THAILAND P08-09" xfId="2814"/>
    <cellStyle name="_TK07 P08 07_UKDN_THAILAND P09-09" xfId="2815"/>
    <cellStyle name="_TK07 P08 07_UKDN_THAILAND P10-09" xfId="2816"/>
    <cellStyle name="_TK07 P08 07_UKDN_THAILAND P11-09" xfId="2817"/>
    <cellStyle name="_TK07 P08 07_UKDN_THAILAND P12" xfId="2818"/>
    <cellStyle name="_TK07 P08 07_UKDN_THAILAND P12_1415201 HK-PROV CLAIMS (P06_09)" xfId="2819"/>
    <cellStyle name="_TK07 P08 07_UKDN_THAILAND P12_OTH REC'B - UK DN" xfId="2820"/>
    <cellStyle name="_TK07 P08 07_UKDN_THAILAND P12_副本Shanghai DN 20090731 (SH2F) (2)" xfId="2821"/>
    <cellStyle name="_TK07 P08 07_UKDN_THAILAND P12-08 (310109)" xfId="2822"/>
    <cellStyle name="_TK07 P08 07_UKDN_THAILAND P12-08 (310109)_1415201 HK-PROV CLAIMS (P06_09)" xfId="2823"/>
    <cellStyle name="_TK07 P08 07_UKDN_THAILAND P12-08 (310109)_OTH REC'B - UK DN" xfId="2824"/>
    <cellStyle name="_TK07 P08 07_UKDN_THAILAND P12-08 (310109)_副本Shanghai DN 20090731 (SH2F) (2)" xfId="2825"/>
    <cellStyle name="_TK07 P08 07_UKDN_THAILAND P12-09" xfId="2826"/>
    <cellStyle name="_TK07 P08 07_UKDN-PD0208 (Revised) - April 08" xfId="2827"/>
    <cellStyle name="_TK07 P09 07" xfId="2828"/>
    <cellStyle name="_TK07 P09 07_HK(1320113)P03- Apr 08" xfId="2829"/>
    <cellStyle name="_TK07 P09 07_HK(1320113)P04- MAY 08R" xfId="2830"/>
    <cellStyle name="_TK07 P09 07_HK_SH_TH AR P02_09(revised)" xfId="2831"/>
    <cellStyle name="_TK07 P09 07_HK_SH_TH AR P03_09" xfId="2832"/>
    <cellStyle name="_TK07 P09 07_Lipsy_AR - SH P12" xfId="2833"/>
    <cellStyle name="_TK07 P09 07_TH_SCH PD03 (AR)" xfId="2834"/>
    <cellStyle name="_TK07 P09 07_TH_SCH PD03 (AR)_OTH REC'B - UK DN" xfId="2835"/>
    <cellStyle name="_TK07 P09 07_TH_SCH PD03 (AR)_副本Shanghai DN 20090731 (SH2F) (2)" xfId="2836"/>
    <cellStyle name="_TK07 P09 07_UKDN_SHANGHAI_300908 (REVISED ON 2.10.08)" xfId="2837"/>
    <cellStyle name="_TK07 P09 07_UKDN_SHANGHAI_300908 (REVISED ON 2.10.08)_OTH REC'B - UK DN" xfId="2838"/>
    <cellStyle name="_TK07 P09 07_UKDN_SHANGHAI_300908 (REVISED ON 2.10.08)_副本Shanghai DN 20090731 (SH2F) (2)" xfId="2839"/>
    <cellStyle name="_TK07 P09 07_UKDN_SHANGHAI_310808" xfId="2840"/>
    <cellStyle name="_TK07 P09 07_UKDN_SHANGHAI_310808_OTH REC'B - UK DN" xfId="2841"/>
    <cellStyle name="_TK07 P09 07_UKDN_SHANGHAI_310808_副本Shanghai DN 20090731 (SH2F) (2)" xfId="2842"/>
    <cellStyle name="_TK07 P09 07_UKDN_SHANGHAI_311208" xfId="2843"/>
    <cellStyle name="_TK07 P09 07_UKDN_SHANGHAI_311208_OTH REC'B - UK DN" xfId="2844"/>
    <cellStyle name="_TK07 P09 07_UKDN_SHANGHAI_311208_副本Shanghai DN 20090731 (SH2F) (2)" xfId="2845"/>
    <cellStyle name="_TK07 P09 07_UKDN_SHANGHAI_P01-09" xfId="2846"/>
    <cellStyle name="_TK07 P09 07_UKDN_SHANGHAI_P01-09_1415201 HK-PROV CLAIMS (P06_09)" xfId="2847"/>
    <cellStyle name="_TK07 P09 07_UKDN_SHANGHAI_P01-09_OTH REC'B - UK DN" xfId="2848"/>
    <cellStyle name="_TK07 P09 07_UKDN_SHANGHAI_P01-09_副本Shanghai DN 20090731 (SH2F) (2)" xfId="2849"/>
    <cellStyle name="_TK07 P09 07_UKDN_SHANGHAI_P02-09" xfId="2850"/>
    <cellStyle name="_TK07 P09 07_UKDN_SHANGHAI_P02-09_1415201 HK-PROV CLAIMS (P06_09)" xfId="2851"/>
    <cellStyle name="_TK07 P09 07_UKDN_SHANGHAI_P02-09_OTH REC'B - UK DN" xfId="2852"/>
    <cellStyle name="_TK07 P09 07_UKDN_SHANGHAI_P02-09_副本Shanghai DN 20090731 (SH2F) (2)" xfId="2853"/>
    <cellStyle name="_TK07 P09 07_UKDN_SHANGHAI_P03-09" xfId="2854"/>
    <cellStyle name="_TK07 P09 07_UKDN_SHANGHAI_P03-09_1415201 HK-PROV CLAIMS (P06_09)" xfId="2855"/>
    <cellStyle name="_TK07 P09 07_UKDN_SHANGHAI_P03-09_OTH REC'B - UK DN" xfId="2856"/>
    <cellStyle name="_TK07 P09 07_UKDN_SHANGHAI_P03-09_副本Shanghai DN 20090731 (SH2F) (2)" xfId="2857"/>
    <cellStyle name="_TK07 P09 07_UKDN_SHANGHAI_P04-09" xfId="2858"/>
    <cellStyle name="_TK07 P09 07_UKDN_SHANGHAI_P04-09 (Revised on 04.06.09)" xfId="2859"/>
    <cellStyle name="_TK07 P09 07_UKDN_SHANGHAI_P04-09 (Revised on 04.06.09)_OTH REC'B - UK DN" xfId="2860"/>
    <cellStyle name="_TK07 P09 07_UKDN_SHANGHAI_P04-09 (Revised on 04.06.09)_副本Shanghai DN 20090731 (SH2F) (2)" xfId="2861"/>
    <cellStyle name="_TK07 P09 07_UKDN_SHANGHAI_P04-09_1415201 HK-PROV CLAIMS (P06_09)" xfId="2862"/>
    <cellStyle name="_TK07 P09 07_UKDN_SHANGHAI_P12-08" xfId="2863"/>
    <cellStyle name="_TK07 P09 07_UKDN_SHANGHAI_P12-08 (310109)" xfId="2864"/>
    <cellStyle name="_TK07 P09 07_UKDN_SHANGHAI_P12-08 (310109)_1415201 HK-PROV CLAIMS (P06_09)" xfId="2865"/>
    <cellStyle name="_TK07 P09 07_UKDN_SHANGHAI_P12-08 (310109)_OTH REC'B - UK DN" xfId="2866"/>
    <cellStyle name="_TK07 P09 07_UKDN_SHANGHAI_P12-08 (310109)_副本Shanghai DN 20090731 (SH2F) (2)" xfId="2867"/>
    <cellStyle name="_TK07 P09 07_UKDN_SHANGHAI_P12-08_1415201 HK-PROV CLAIMS (P06_09)" xfId="2868"/>
    <cellStyle name="_TK07 P09 07_UKDN_SHANGHAI_P12-08_OTH REC'B - UK DN" xfId="2869"/>
    <cellStyle name="_TK07 P09 07_UKDN_SHANGHAI_P12-08_副本Shanghai DN 20090731 (SH2F) (2)" xfId="2870"/>
    <cellStyle name="_TK07 P09 07_UKDN_THAILAND P01-09" xfId="2871"/>
    <cellStyle name="_TK07 P09 07_UKDN_THAILAND P01-09_1415201 HK-PROV CLAIMS (P06_09)" xfId="2872"/>
    <cellStyle name="_TK07 P09 07_UKDN_THAILAND P01-09_OTH REC'B - UK DN" xfId="2873"/>
    <cellStyle name="_TK07 P09 07_UKDN_THAILAND P01-09_副本Shanghai DN 20090731 (SH2F) (2)" xfId="2874"/>
    <cellStyle name="_TK07 P09 07_UKDN_THAILAND P02-09" xfId="2875"/>
    <cellStyle name="_TK07 P09 07_UKDN_THAILAND P02-09_1415201 HK-PROV CLAIMS (P06_09)" xfId="2876"/>
    <cellStyle name="_TK07 P09 07_UKDN_THAILAND P02-09_OTH REC'B - UK DN" xfId="2877"/>
    <cellStyle name="_TK07 P09 07_UKDN_THAILAND P02-09_副本Shanghai DN 20090731 (SH2F) (2)" xfId="2878"/>
    <cellStyle name="_TK07 P09 07_UKDN_THAILAND P03-09" xfId="2879"/>
    <cellStyle name="_TK07 P09 07_UKDN_THAILAND P03-09_1415201 HK-PROV CLAIMS (P06_09)" xfId="2880"/>
    <cellStyle name="_TK07 P09 07_UKDN_THAILAND P03-09_OTH REC'B - UK DN" xfId="2881"/>
    <cellStyle name="_TK07 P09 07_UKDN_THAILAND P03-09_副本Shanghai DN 20090731 (SH2F) (2)" xfId="2882"/>
    <cellStyle name="_TK07 P09 07_UKDN_THAILAND P04-09" xfId="2883"/>
    <cellStyle name="_TK07 P09 07_UKDN_THAILAND P04-09_1415201 HK-PROV CLAIMS (P06_09)" xfId="2884"/>
    <cellStyle name="_TK07 P09 07_UKDN_THAILAND P05-09" xfId="2885"/>
    <cellStyle name="_TK07 P09 07_UKDN_THAILAND P06-09" xfId="2886"/>
    <cellStyle name="_TK07 P09 07_UKDN_THAILAND P07-09" xfId="2887"/>
    <cellStyle name="_TK07 P09 07_UKDN_THAILAND P08-09" xfId="2888"/>
    <cellStyle name="_TK07 P09 07_UKDN_THAILAND P09-09" xfId="2889"/>
    <cellStyle name="_TK07 P09 07_UKDN_THAILAND P10-09" xfId="2890"/>
    <cellStyle name="_TK07 P09 07_UKDN_THAILAND P11-09" xfId="2891"/>
    <cellStyle name="_TK07 P09 07_UKDN_THAILAND P12" xfId="2892"/>
    <cellStyle name="_TK07 P09 07_UKDN_THAILAND P12_1415201 HK-PROV CLAIMS (P06_09)" xfId="2893"/>
    <cellStyle name="_TK07 P09 07_UKDN_THAILAND P12_OTH REC'B - UK DN" xfId="2894"/>
    <cellStyle name="_TK07 P09 07_UKDN_THAILAND P12_副本Shanghai DN 20090731 (SH2F) (2)" xfId="2895"/>
    <cellStyle name="_TK07 P09 07_UKDN_THAILAND P12-08 (310109)" xfId="2896"/>
    <cellStyle name="_TK07 P09 07_UKDN_THAILAND P12-08 (310109)_1415201 HK-PROV CLAIMS (P06_09)" xfId="2897"/>
    <cellStyle name="_TK07 P09 07_UKDN_THAILAND P12-08 (310109)_OTH REC'B - UK DN" xfId="2898"/>
    <cellStyle name="_TK07 P09 07_UKDN_THAILAND P12-08 (310109)_副本Shanghai DN 20090731 (SH2F) (2)" xfId="2899"/>
    <cellStyle name="_TK07 P09 07_UKDN_THAILAND P12-09" xfId="2900"/>
    <cellStyle name="_TK07 P09 07_UKDN-PD0208 (Revised) - April 08" xfId="2901"/>
    <cellStyle name="_TK-Next Retail - OE-1320113" xfId="2902"/>
    <cellStyle name="_Turkey, JRS Interco" xfId="2903"/>
    <cellStyle name="_Turkey, JRS Interco_30 Nov 2011" xfId="2904"/>
    <cellStyle name="_Turkey, JRS Interco_30 Nov 2011 2" xfId="2905"/>
    <cellStyle name="_Turkey, JRS Interco_31 Oct 2011 (R1)" xfId="2906"/>
    <cellStyle name="_Turkey, JRS Interco_31 Oct 2011 (R1) 2" xfId="2907"/>
    <cellStyle name="_Turkey, JRS Interco_AccountP (Aug)" xfId="2908"/>
    <cellStyle name="_Turkey, JRS Interco_AccountP (Aug) 2" xfId="2909"/>
    <cellStyle name="_Turkey, JRS Interco_AccountP (Dec)" xfId="2910"/>
    <cellStyle name="_Turkey, JRS Interco_AccountP (Dec) 2" xfId="2911"/>
    <cellStyle name="_Turkey, JRS Interco_AccountP (Feb)" xfId="2912"/>
    <cellStyle name="_Turkey, JRS Interco_AccountP (Feb) 2" xfId="2913"/>
    <cellStyle name="_Turkey, JRS Interco_AccountP (Jan)" xfId="2914"/>
    <cellStyle name="_Turkey, JRS Interco_AccountP (Jan) 2" xfId="2915"/>
    <cellStyle name="_Turkey, JRS Interco_AccountP (Jul)" xfId="2916"/>
    <cellStyle name="_Turkey, JRS Interco_AccountP (Jul) 2" xfId="2917"/>
    <cellStyle name="_Turkey, JRS Interco_AccountP (Jun)" xfId="2918"/>
    <cellStyle name="_Turkey, JRS Interco_AccountP (Jun) 2" xfId="2919"/>
    <cellStyle name="_Turkey, JRS Interco_AccountP (Mar)" xfId="2920"/>
    <cellStyle name="_Turkey, JRS Interco_AccountP (Mar) 2" xfId="2921"/>
    <cellStyle name="_Turkey, JRS Interco_AccountP (Nov)" xfId="2922"/>
    <cellStyle name="_Turkey, JRS Interco_AccountP (Nov) 2" xfId="2923"/>
    <cellStyle name="_Turkey, JRS Interco_AccountP (Oct)" xfId="2924"/>
    <cellStyle name="_Turkey, JRS Interco_AccountP (Oct) 2" xfId="2925"/>
    <cellStyle name="_Turkey, JRS Interco_AccountP (Sep)" xfId="2926"/>
    <cellStyle name="_Turkey, JRS Interco_AccountP (Sep) 2" xfId="2927"/>
    <cellStyle name="_Turkey, JRS Interco_Accrual movement " xfId="2928"/>
    <cellStyle name="_Turkey, JRS Interco_Accrual movement  (2)" xfId="2929"/>
    <cellStyle name="_Turkey, JRS Interco_Accrual movement  (2) 2" xfId="2930"/>
    <cellStyle name="_Turkey, JRS Interco_Accrual movement  10" xfId="2931"/>
    <cellStyle name="_Turkey, JRS Interco_Accrual movement  11" xfId="2932"/>
    <cellStyle name="_Turkey, JRS Interco_Accrual movement  12" xfId="2933"/>
    <cellStyle name="_Turkey, JRS Interco_Accrual movement  13" xfId="2934"/>
    <cellStyle name="_Turkey, JRS Interco_Accrual movement  14" xfId="2935"/>
    <cellStyle name="_Turkey, JRS Interco_Accrual movement  15" xfId="2936"/>
    <cellStyle name="_Turkey, JRS Interco_Accrual movement  16" xfId="2937"/>
    <cellStyle name="_Turkey, JRS Interco_Accrual movement  17" xfId="2938"/>
    <cellStyle name="_Turkey, JRS Interco_Accrual movement  18" xfId="2939"/>
    <cellStyle name="_Turkey, JRS Interco_Accrual movement  19" xfId="2940"/>
    <cellStyle name="_Turkey, JRS Interco_Accrual movement  2" xfId="2941"/>
    <cellStyle name="_Turkey, JRS Interco_Accrual movement  20" xfId="2942"/>
    <cellStyle name="_Turkey, JRS Interco_Accrual movement  21" xfId="2943"/>
    <cellStyle name="_Turkey, JRS Interco_Accrual movement  3" xfId="2944"/>
    <cellStyle name="_Turkey, JRS Interco_Accrual movement  4" xfId="2945"/>
    <cellStyle name="_Turkey, JRS Interco_Accrual movement  5" xfId="2946"/>
    <cellStyle name="_Turkey, JRS Interco_Accrual movement  6" xfId="2947"/>
    <cellStyle name="_Turkey, JRS Interco_Accrual movement  7" xfId="2948"/>
    <cellStyle name="_Turkey, JRS Interco_Accrual movement  8" xfId="2949"/>
    <cellStyle name="_Turkey, JRS Interco_Accrual movement  9" xfId="2950"/>
    <cellStyle name="_Turkey, JRS Interco_Appendix 10.1 " xfId="2951"/>
    <cellStyle name="_Turkey, JRS Interco_Appendix 10.1  (Apr)" xfId="2952"/>
    <cellStyle name="_Turkey, JRS Interco_Appendix 10.1  (Apr) 2" xfId="2953"/>
    <cellStyle name="_Turkey, JRS Interco_Appendix 10.1  (Dec)" xfId="2954"/>
    <cellStyle name="_Turkey, JRS Interco_Appendix 10.1  (Dec) 2" xfId="2955"/>
    <cellStyle name="_Turkey, JRS Interco_Appendix 10.1  (Feb)" xfId="2956"/>
    <cellStyle name="_Turkey, JRS Interco_Appendix 10.1  (Feb) 2" xfId="2957"/>
    <cellStyle name="_Turkey, JRS Interco_Appendix 10.1  (Jul)" xfId="2958"/>
    <cellStyle name="_Turkey, JRS Interco_Appendix 10.1  (May)" xfId="2959"/>
    <cellStyle name="_Turkey, JRS Interco_Appendix 10.1  (May) 2" xfId="2960"/>
    <cellStyle name="_Turkey, JRS Interco_Appendix 10.1  (Nov)" xfId="2961"/>
    <cellStyle name="_Turkey, JRS Interco_Appendix 10.1  (Nov) 2" xfId="2962"/>
    <cellStyle name="_Turkey, JRS Interco_Appendix 10.1  (Oct)" xfId="2963"/>
    <cellStyle name="_Turkey, JRS Interco_Appendix 10.1  (Sep)" xfId="2964"/>
    <cellStyle name="_Turkey, JRS Interco_Appendix 10.1  (Sep) 2" xfId="2965"/>
    <cellStyle name="_Turkey, JRS Interco_Appendix 10.1  10" xfId="2966"/>
    <cellStyle name="_Turkey, JRS Interco_Appendix 10.1  11" xfId="2967"/>
    <cellStyle name="_Turkey, JRS Interco_Appendix 10.1  12" xfId="2968"/>
    <cellStyle name="_Turkey, JRS Interco_Appendix 10.1  13" xfId="2969"/>
    <cellStyle name="_Turkey, JRS Interco_Appendix 10.1  14" xfId="2970"/>
    <cellStyle name="_Turkey, JRS Interco_Appendix 10.1  15" xfId="2971"/>
    <cellStyle name="_Turkey, JRS Interco_Appendix 10.1  16" xfId="2972"/>
    <cellStyle name="_Turkey, JRS Interco_Appendix 10.1  17" xfId="2973"/>
    <cellStyle name="_Turkey, JRS Interco_Appendix 10.1  18" xfId="2974"/>
    <cellStyle name="_Turkey, JRS Interco_Appendix 10.1  19" xfId="2975"/>
    <cellStyle name="_Turkey, JRS Interco_Appendix 10.1  2" xfId="2976"/>
    <cellStyle name="_Turkey, JRS Interco_Appendix 10.1  20" xfId="2977"/>
    <cellStyle name="_Turkey, JRS Interco_Appendix 10.1  21" xfId="2978"/>
    <cellStyle name="_Turkey, JRS Interco_Appendix 10.1  3" xfId="2979"/>
    <cellStyle name="_Turkey, JRS Interco_Appendix 10.1  4" xfId="2980"/>
    <cellStyle name="_Turkey, JRS Interco_Appendix 10.1  5" xfId="2981"/>
    <cellStyle name="_Turkey, JRS Interco_Appendix 10.1  6" xfId="2982"/>
    <cellStyle name="_Turkey, JRS Interco_Appendix 10.1  7" xfId="2983"/>
    <cellStyle name="_Turkey, JRS Interco_Appendix 10.1  8" xfId="2984"/>
    <cellStyle name="_Turkey, JRS Interco_Appendix 10.1  9" xfId="2985"/>
    <cellStyle name="_Turkey, JRS Interco_Appendix 10.2" xfId="2986"/>
    <cellStyle name="_Turkey, JRS Interco_Appendix 10.2 (Apr)" xfId="2987"/>
    <cellStyle name="_Turkey, JRS Interco_Appendix 10.2 (Apr) 2" xfId="2988"/>
    <cellStyle name="_Turkey, JRS Interco_Appendix 10.2 (Aug)" xfId="2989"/>
    <cellStyle name="_Turkey, JRS Interco_Appendix 10.2 (Dec)" xfId="2990"/>
    <cellStyle name="_Turkey, JRS Interco_Appendix 10.2 (Dec) 2" xfId="2991"/>
    <cellStyle name="_Turkey, JRS Interco_Appendix 10.2 (Feb)" xfId="2992"/>
    <cellStyle name="_Turkey, JRS Interco_Appendix 10.2 (Feb) 2" xfId="2993"/>
    <cellStyle name="_Turkey, JRS Interco_Appendix 10.2 (Jul)" xfId="2994"/>
    <cellStyle name="_Turkey, JRS Interco_Appendix 10.2 (May)" xfId="2995"/>
    <cellStyle name="_Turkey, JRS Interco_Appendix 10.2 (May) 2" xfId="2996"/>
    <cellStyle name="_Turkey, JRS Interco_Appendix 10.2 (Nov)" xfId="2997"/>
    <cellStyle name="_Turkey, JRS Interco_Appendix 10.2 (Nov) 2" xfId="2998"/>
    <cellStyle name="_Turkey, JRS Interco_Appendix 10.2 (Oct)" xfId="2999"/>
    <cellStyle name="_Turkey, JRS Interco_Appendix 10.2 (Oct) 2" xfId="3000"/>
    <cellStyle name="_Turkey, JRS Interco_Appendix 10.2 10" xfId="3001"/>
    <cellStyle name="_Turkey, JRS Interco_Appendix 10.2 11" xfId="3002"/>
    <cellStyle name="_Turkey, JRS Interco_Appendix 10.2 12" xfId="3003"/>
    <cellStyle name="_Turkey, JRS Interco_Appendix 10.2 13" xfId="3004"/>
    <cellStyle name="_Turkey, JRS Interco_Appendix 10.2 14" xfId="3005"/>
    <cellStyle name="_Turkey, JRS Interco_Appendix 10.2 15" xfId="3006"/>
    <cellStyle name="_Turkey, JRS Interco_Appendix 10.2 16" xfId="3007"/>
    <cellStyle name="_Turkey, JRS Interco_Appendix 10.2 17" xfId="3008"/>
    <cellStyle name="_Turkey, JRS Interco_Appendix 10.2 18" xfId="3009"/>
    <cellStyle name="_Turkey, JRS Interco_Appendix 10.2 19" xfId="3010"/>
    <cellStyle name="_Turkey, JRS Interco_Appendix 10.2 2" xfId="3011"/>
    <cellStyle name="_Turkey, JRS Interco_Appendix 10.2 20" xfId="3012"/>
    <cellStyle name="_Turkey, JRS Interco_Appendix 10.2 21" xfId="3013"/>
    <cellStyle name="_Turkey, JRS Interco_Appendix 10.2 3" xfId="3014"/>
    <cellStyle name="_Turkey, JRS Interco_Appendix 10.2 4" xfId="3015"/>
    <cellStyle name="_Turkey, JRS Interco_Appendix 10.2 5" xfId="3016"/>
    <cellStyle name="_Turkey, JRS Interco_Appendix 10.2 6" xfId="3017"/>
    <cellStyle name="_Turkey, JRS Interco_Appendix 10.2 7" xfId="3018"/>
    <cellStyle name="_Turkey, JRS Interco_Appendix 10.2 8" xfId="3019"/>
    <cellStyle name="_Turkey, JRS Interco_Appendix 10.2 9" xfId="3020"/>
    <cellStyle name="_Turkey, JRS Interco_Appendix 10.3 (Oct)" xfId="3021"/>
    <cellStyle name="_Turkey, JRS Interco_Appendix 10.3 (Oct) 2" xfId="3022"/>
    <cellStyle name="_Turkey, JRS Interco_Appendix 11 (Aug)" xfId="3023"/>
    <cellStyle name="_Turkey, JRS Interco_Appendix 11 (Aug) 2" xfId="3024"/>
    <cellStyle name="_Turkey, JRS Interco_Appendix 11 (Dec)" xfId="3025"/>
    <cellStyle name="_Turkey, JRS Interco_Appendix 11 (Dec) 2" xfId="3026"/>
    <cellStyle name="_Turkey, JRS Interco_Appendix 11 (Jul)" xfId="3027"/>
    <cellStyle name="_Turkey, JRS Interco_Appendix 12.1 (Aug)" xfId="3028"/>
    <cellStyle name="_Turkey, JRS Interco_Appendix 12.1 (Aug) 2" xfId="3029"/>
    <cellStyle name="_Turkey, JRS Interco_Appendix 12.1 (May)" xfId="3030"/>
    <cellStyle name="_Turkey, JRS Interco_Appendix 12.1 (May) 2" xfId="3031"/>
    <cellStyle name="_Turkey, JRS Interco_Appendix 12.1 (May)_ByAccount (10)" xfId="3032"/>
    <cellStyle name="_Turkey, JRS Interco_Appendix 12.1 (May)_ByAccount (12)" xfId="3033"/>
    <cellStyle name="_Turkey, JRS Interco_Appendix 12.1 (May)_ByVoucher" xfId="3034"/>
    <cellStyle name="_Turkey, JRS Interco_Appendix 12.1 (May)_ByVoucher (1NS)" xfId="3035"/>
    <cellStyle name="_Turkey, JRS Interco_Appendix 12.1 (May)_ByVoucher (2)" xfId="3036"/>
    <cellStyle name="_Turkey, JRS Interco_Appendix 12.1 (May)_ByVoucher (3)" xfId="3037"/>
    <cellStyle name="_Turkey, JRS Interco_Appendix 12.1 (May)_Copy of UIN P7 Miu" xfId="3038"/>
    <cellStyle name="_Turkey, JRS Interco_Appendix 12.1 (May)_Copy of UIN P8 Miu" xfId="3039"/>
    <cellStyle name="_Turkey, JRS Interco_Appendix 12.1 (May)_long" xfId="3040"/>
    <cellStyle name="_Turkey, JRS Interco_Appendix 12.1 (May)_Petty Cash (Feb)" xfId="3041"/>
    <cellStyle name="_Turkey, JRS Interco_Appendix 12.1 (May)_TEMP (4)" xfId="3042"/>
    <cellStyle name="_Turkey, JRS Interco_Appendix 12.1 (May)_UDN P6-LC,CC " xfId="3043"/>
    <cellStyle name="_Turkey, JRS Interco_Appendix 12.1 (May)_UDN P6-LC,CC  2" xfId="3044"/>
    <cellStyle name="_Turkey, JRS Interco_Appendix 12.1 (May)_UIN P10 Miu" xfId="3045"/>
    <cellStyle name="_Turkey, JRS Interco_Appendix 12.1 (May)_UIN P10 Miu-R1" xfId="3046"/>
    <cellStyle name="_Turkey, JRS Interco_Appendix 12.1 (May)_UIN P11 Miu" xfId="3047"/>
    <cellStyle name="_Turkey, JRS Interco_Appendix 12.1 (May)_UIN P6 Miu" xfId="3048"/>
    <cellStyle name="_Turkey, JRS Interco_Appendix 12.1 (May)_UIN P7 Miu" xfId="3049"/>
    <cellStyle name="_Turkey, JRS Interco_Appendix 12.1 (May)_UIN P8 Miu" xfId="3050"/>
    <cellStyle name="_Turkey, JRS Interco_Appendix 12.1 (May)_UIN P9 Miu" xfId="3051"/>
    <cellStyle name="_Turkey, JRS Interco_Appendix 12.1 (May)_UJV (6)" xfId="3052"/>
    <cellStyle name="_Turkey, JRS Interco_Appendix 12.1 (May)_UJV (6) 2" xfId="3053"/>
    <cellStyle name="_Turkey, JRS Interco_Appendix 12.1 (May)_UJV (Aug) (3)" xfId="3054"/>
    <cellStyle name="_Turkey, JRS Interco_Appendix 12.1 (May)_UJV (Aug) (3) 2" xfId="3055"/>
    <cellStyle name="_Turkey, JRS Interco_Appendix 12.1 (May)_UJV (Oct) (2)" xfId="3056"/>
    <cellStyle name="_Turkey, JRS Interco_Appendix 12.1 (May)_UJV (Oct) (2) 2" xfId="3057"/>
    <cellStyle name="_Turkey, JRS Interco_Appendix 12.1 (May)_VOUCHER PRINTING SA" xfId="3058"/>
    <cellStyle name="_Turkey, JRS Interco_Appendix 12.1 (Nov)" xfId="3059"/>
    <cellStyle name="_Turkey, JRS Interco_Appendix 12.1 (Nov) 2" xfId="3060"/>
    <cellStyle name="_Turkey, JRS Interco_Appendix 12.1 (Oct)" xfId="3061"/>
    <cellStyle name="_Turkey, JRS Interco_Appendix 12.1 (Oct) 2" xfId="3062"/>
    <cellStyle name="_Turkey, JRS Interco_Appendix 12.1 (Sep)" xfId="3063"/>
    <cellStyle name="_Turkey, JRS Interco_Appendix 12.1 (Sep) 2" xfId="3064"/>
    <cellStyle name="_Turkey, JRS Interco_Appendix 12.13" xfId="3065"/>
    <cellStyle name="_Turkey, JRS Interco_Appendix 12.13 2" xfId="3066"/>
    <cellStyle name="_Turkey, JRS Interco_Appendix 12.2 (May)" xfId="3067"/>
    <cellStyle name="_Turkey, JRS Interco_Appendix 12.2 (May) 2" xfId="3068"/>
    <cellStyle name="_Turkey, JRS Interco_Appendix 12.2 (May)_ByAccount (10)" xfId="3069"/>
    <cellStyle name="_Turkey, JRS Interco_Appendix 12.2 (May)_ByAccount (12)" xfId="3070"/>
    <cellStyle name="_Turkey, JRS Interco_Appendix 12.2 (May)_ByVoucher" xfId="3071"/>
    <cellStyle name="_Turkey, JRS Interco_Appendix 12.2 (May)_ByVoucher (1NS)" xfId="3072"/>
    <cellStyle name="_Turkey, JRS Interco_Appendix 12.2 (May)_ByVoucher (2)" xfId="3073"/>
    <cellStyle name="_Turkey, JRS Interco_Appendix 12.2 (May)_ByVoucher (3)" xfId="3074"/>
    <cellStyle name="_Turkey, JRS Interco_Appendix 12.2 (May)_Copy of UIN P7 Miu" xfId="3075"/>
    <cellStyle name="_Turkey, JRS Interco_Appendix 12.2 (May)_Copy of UIN P8 Miu" xfId="3076"/>
    <cellStyle name="_Turkey, JRS Interco_Appendix 12.2 (May)_long" xfId="3077"/>
    <cellStyle name="_Turkey, JRS Interco_Appendix 12.2 (May)_Petty Cash (Feb)" xfId="3078"/>
    <cellStyle name="_Turkey, JRS Interco_Appendix 12.2 (May)_TEMP (4)" xfId="3079"/>
    <cellStyle name="_Turkey, JRS Interco_Appendix 12.2 (May)_UDN P6-LC,CC " xfId="3080"/>
    <cellStyle name="_Turkey, JRS Interco_Appendix 12.2 (May)_UDN P6-LC,CC  2" xfId="3081"/>
    <cellStyle name="_Turkey, JRS Interco_Appendix 12.2 (May)_UIN P10 Miu" xfId="3082"/>
    <cellStyle name="_Turkey, JRS Interco_Appendix 12.2 (May)_UIN P10 Miu-R1" xfId="3083"/>
    <cellStyle name="_Turkey, JRS Interco_Appendix 12.2 (May)_UIN P11 Miu" xfId="3084"/>
    <cellStyle name="_Turkey, JRS Interco_Appendix 12.2 (May)_UIN P6 Miu" xfId="3085"/>
    <cellStyle name="_Turkey, JRS Interco_Appendix 12.2 (May)_UIN P7 Miu" xfId="3086"/>
    <cellStyle name="_Turkey, JRS Interco_Appendix 12.2 (May)_UIN P8 Miu" xfId="3087"/>
    <cellStyle name="_Turkey, JRS Interco_Appendix 12.2 (May)_UIN P9 Miu" xfId="3088"/>
    <cellStyle name="_Turkey, JRS Interco_Appendix 12.2 (May)_UJV (6)" xfId="3089"/>
    <cellStyle name="_Turkey, JRS Interco_Appendix 12.2 (May)_UJV (6) 2" xfId="3090"/>
    <cellStyle name="_Turkey, JRS Interco_Appendix 12.2 (May)_UJV (Aug) (3)" xfId="3091"/>
    <cellStyle name="_Turkey, JRS Interco_Appendix 12.2 (May)_UJV (Aug) (3) 2" xfId="3092"/>
    <cellStyle name="_Turkey, JRS Interco_Appendix 12.2 (May)_UJV (Oct) (2)" xfId="3093"/>
    <cellStyle name="_Turkey, JRS Interco_Appendix 12.2 (May)_UJV (Oct) (2) 2" xfId="3094"/>
    <cellStyle name="_Turkey, JRS Interco_Appendix 12.2 (May)_VOUCHER PRINTING SA" xfId="3095"/>
    <cellStyle name="_Turkey, JRS Interco_Appendix 12.4 (May)" xfId="3096"/>
    <cellStyle name="_Turkey, JRS Interco_Appendix 12.4 (May) 2" xfId="3097"/>
    <cellStyle name="_Turkey, JRS Interco_Appendix 12.4 (May)_ByAccount (10)" xfId="3098"/>
    <cellStyle name="_Turkey, JRS Interco_Appendix 12.4 (May)_ByAccount (12)" xfId="3099"/>
    <cellStyle name="_Turkey, JRS Interco_Appendix 12.4 (May)_ByVoucher" xfId="3100"/>
    <cellStyle name="_Turkey, JRS Interco_Appendix 12.4 (May)_ByVoucher (1NS)" xfId="3101"/>
    <cellStyle name="_Turkey, JRS Interco_Appendix 12.4 (May)_ByVoucher (2)" xfId="3102"/>
    <cellStyle name="_Turkey, JRS Interco_Appendix 12.4 (May)_ByVoucher (3)" xfId="3103"/>
    <cellStyle name="_Turkey, JRS Interco_Appendix 12.4 (May)_Copy of UIN P7 Miu" xfId="3104"/>
    <cellStyle name="_Turkey, JRS Interco_Appendix 12.4 (May)_Copy of UIN P8 Miu" xfId="3105"/>
    <cellStyle name="_Turkey, JRS Interco_Appendix 12.4 (May)_long" xfId="3106"/>
    <cellStyle name="_Turkey, JRS Interco_Appendix 12.4 (May)_Petty Cash (Feb)" xfId="3107"/>
    <cellStyle name="_Turkey, JRS Interco_Appendix 12.4 (May)_TEMP (4)" xfId="3108"/>
    <cellStyle name="_Turkey, JRS Interco_Appendix 12.4 (May)_UDN P6-LC,CC " xfId="3109"/>
    <cellStyle name="_Turkey, JRS Interco_Appendix 12.4 (May)_UDN P6-LC,CC  2" xfId="3110"/>
    <cellStyle name="_Turkey, JRS Interco_Appendix 12.4 (May)_UIN P10 Miu" xfId="3111"/>
    <cellStyle name="_Turkey, JRS Interco_Appendix 12.4 (May)_UIN P10 Miu-R1" xfId="3112"/>
    <cellStyle name="_Turkey, JRS Interco_Appendix 12.4 (May)_UIN P11 Miu" xfId="3113"/>
    <cellStyle name="_Turkey, JRS Interco_Appendix 12.4 (May)_UIN P6 Miu" xfId="3114"/>
    <cellStyle name="_Turkey, JRS Interco_Appendix 12.4 (May)_UIN P7 Miu" xfId="3115"/>
    <cellStyle name="_Turkey, JRS Interco_Appendix 12.4 (May)_UIN P8 Miu" xfId="3116"/>
    <cellStyle name="_Turkey, JRS Interco_Appendix 12.4 (May)_UIN P9 Miu" xfId="3117"/>
    <cellStyle name="_Turkey, JRS Interco_Appendix 12.4 (May)_UJV (6)" xfId="3118"/>
    <cellStyle name="_Turkey, JRS Interco_Appendix 12.4 (May)_UJV (6) 2" xfId="3119"/>
    <cellStyle name="_Turkey, JRS Interco_Appendix 12.4 (May)_UJV (Aug) (3)" xfId="3120"/>
    <cellStyle name="_Turkey, JRS Interco_Appendix 12.4 (May)_UJV (Aug) (3) 2" xfId="3121"/>
    <cellStyle name="_Turkey, JRS Interco_Appendix 12.4 (May)_UJV (Oct) (2)" xfId="3122"/>
    <cellStyle name="_Turkey, JRS Interco_Appendix 12.4 (May)_UJV (Oct) (2) 2" xfId="3123"/>
    <cellStyle name="_Turkey, JRS Interco_Appendix 12.4 (May)_VOUCHER PRINTING SA" xfId="3124"/>
    <cellStyle name="_Turkey, JRS Interco_Appendix 12.6 (May)" xfId="3125"/>
    <cellStyle name="_Turkey, JRS Interco_Appendix 12.6 (May) 2" xfId="3126"/>
    <cellStyle name="_Turkey, JRS Interco_Appendix 12.6 (May)_ByAccount (10)" xfId="3127"/>
    <cellStyle name="_Turkey, JRS Interco_Appendix 12.6 (May)_ByAccount (12)" xfId="3128"/>
    <cellStyle name="_Turkey, JRS Interco_Appendix 12.6 (May)_ByVoucher" xfId="3129"/>
    <cellStyle name="_Turkey, JRS Interco_Appendix 12.6 (May)_ByVoucher (1NS)" xfId="3130"/>
    <cellStyle name="_Turkey, JRS Interco_Appendix 12.6 (May)_ByVoucher (2)" xfId="3131"/>
    <cellStyle name="_Turkey, JRS Interco_Appendix 12.6 (May)_ByVoucher (3)" xfId="3132"/>
    <cellStyle name="_Turkey, JRS Interco_Appendix 12.6 (May)_Copy of UIN P7 Miu" xfId="3133"/>
    <cellStyle name="_Turkey, JRS Interco_Appendix 12.6 (May)_Copy of UIN P8 Miu" xfId="3134"/>
    <cellStyle name="_Turkey, JRS Interco_Appendix 12.6 (May)_long" xfId="3135"/>
    <cellStyle name="_Turkey, JRS Interco_Appendix 12.6 (May)_Petty Cash (Feb)" xfId="3136"/>
    <cellStyle name="_Turkey, JRS Interco_Appendix 12.6 (May)_TEMP (4)" xfId="3137"/>
    <cellStyle name="_Turkey, JRS Interco_Appendix 12.6 (May)_UDN P6-LC,CC " xfId="3138"/>
    <cellStyle name="_Turkey, JRS Interco_Appendix 12.6 (May)_UDN P6-LC,CC  2" xfId="3139"/>
    <cellStyle name="_Turkey, JRS Interco_Appendix 12.6 (May)_UIN P10 Miu" xfId="3140"/>
    <cellStyle name="_Turkey, JRS Interco_Appendix 12.6 (May)_UIN P10 Miu-R1" xfId="3141"/>
    <cellStyle name="_Turkey, JRS Interco_Appendix 12.6 (May)_UIN P11 Miu" xfId="3142"/>
    <cellStyle name="_Turkey, JRS Interco_Appendix 12.6 (May)_UIN P6 Miu" xfId="3143"/>
    <cellStyle name="_Turkey, JRS Interco_Appendix 12.6 (May)_UIN P7 Miu" xfId="3144"/>
    <cellStyle name="_Turkey, JRS Interco_Appendix 12.6 (May)_UIN P8 Miu" xfId="3145"/>
    <cellStyle name="_Turkey, JRS Interco_Appendix 12.6 (May)_UIN P9 Miu" xfId="3146"/>
    <cellStyle name="_Turkey, JRS Interco_Appendix 12.6 (May)_UJV (6)" xfId="3147"/>
    <cellStyle name="_Turkey, JRS Interco_Appendix 12.6 (May)_UJV (6) 2" xfId="3148"/>
    <cellStyle name="_Turkey, JRS Interco_Appendix 12.6 (May)_UJV (Aug) (3)" xfId="3149"/>
    <cellStyle name="_Turkey, JRS Interco_Appendix 12.6 (May)_UJV (Aug) (3) 2" xfId="3150"/>
    <cellStyle name="_Turkey, JRS Interco_Appendix 12.6 (May)_UJV (Oct) (2)" xfId="3151"/>
    <cellStyle name="_Turkey, JRS Interco_Appendix 12.6 (May)_UJV (Oct) (2) 2" xfId="3152"/>
    <cellStyle name="_Turkey, JRS Interco_Appendix 12.6 (May)_VOUCHER PRINTING SA" xfId="3153"/>
    <cellStyle name="_Turkey, JRS Interco_Appendix 12.7 (May)" xfId="3154"/>
    <cellStyle name="_Turkey, JRS Interco_Appendix 12.7 (May) 2" xfId="3155"/>
    <cellStyle name="_Turkey, JRS Interco_Appendix 12.7 (May)_ByAccount (10)" xfId="3156"/>
    <cellStyle name="_Turkey, JRS Interco_Appendix 12.7 (May)_ByAccount (12)" xfId="3157"/>
    <cellStyle name="_Turkey, JRS Interco_Appendix 12.7 (May)_ByVoucher" xfId="3158"/>
    <cellStyle name="_Turkey, JRS Interco_Appendix 12.7 (May)_ByVoucher (1NS)" xfId="3159"/>
    <cellStyle name="_Turkey, JRS Interco_Appendix 12.7 (May)_ByVoucher (2)" xfId="3160"/>
    <cellStyle name="_Turkey, JRS Interco_Appendix 12.7 (May)_ByVoucher (3)" xfId="3161"/>
    <cellStyle name="_Turkey, JRS Interco_Appendix 12.7 (May)_Copy of UIN P7 Miu" xfId="3162"/>
    <cellStyle name="_Turkey, JRS Interco_Appendix 12.7 (May)_Copy of UIN P8 Miu" xfId="3163"/>
    <cellStyle name="_Turkey, JRS Interco_Appendix 12.7 (May)_long" xfId="3164"/>
    <cellStyle name="_Turkey, JRS Interco_Appendix 12.7 (May)_Petty Cash (Feb)" xfId="3165"/>
    <cellStyle name="_Turkey, JRS Interco_Appendix 12.7 (May)_TEMP (4)" xfId="3166"/>
    <cellStyle name="_Turkey, JRS Interco_Appendix 12.7 (May)_UDN P6-LC,CC " xfId="3167"/>
    <cellStyle name="_Turkey, JRS Interco_Appendix 12.7 (May)_UDN P6-LC,CC  2" xfId="3168"/>
    <cellStyle name="_Turkey, JRS Interco_Appendix 12.7 (May)_UIN P10 Miu" xfId="3169"/>
    <cellStyle name="_Turkey, JRS Interco_Appendix 12.7 (May)_UIN P10 Miu-R1" xfId="3170"/>
    <cellStyle name="_Turkey, JRS Interco_Appendix 12.7 (May)_UIN P11 Miu" xfId="3171"/>
    <cellStyle name="_Turkey, JRS Interco_Appendix 12.7 (May)_UIN P6 Miu" xfId="3172"/>
    <cellStyle name="_Turkey, JRS Interco_Appendix 12.7 (May)_UIN P7 Miu" xfId="3173"/>
    <cellStyle name="_Turkey, JRS Interco_Appendix 12.7 (May)_UIN P8 Miu" xfId="3174"/>
    <cellStyle name="_Turkey, JRS Interco_Appendix 12.7 (May)_UIN P9 Miu" xfId="3175"/>
    <cellStyle name="_Turkey, JRS Interco_Appendix 12.7 (May)_UJV (6)" xfId="3176"/>
    <cellStyle name="_Turkey, JRS Interco_Appendix 12.7 (May)_UJV (6) 2" xfId="3177"/>
    <cellStyle name="_Turkey, JRS Interco_Appendix 12.7 (May)_UJV (Aug) (3)" xfId="3178"/>
    <cellStyle name="_Turkey, JRS Interco_Appendix 12.7 (May)_UJV (Aug) (3) 2" xfId="3179"/>
    <cellStyle name="_Turkey, JRS Interco_Appendix 12.7 (May)_UJV (Oct) (2)" xfId="3180"/>
    <cellStyle name="_Turkey, JRS Interco_Appendix 12.7 (May)_UJV (Oct) (2) 2" xfId="3181"/>
    <cellStyle name="_Turkey, JRS Interco_Appendix 12.7 (May)_VOUCHER PRINTING SA" xfId="3182"/>
    <cellStyle name="_Turkey, JRS Interco_Appendix 12.7 (Nov)" xfId="3183"/>
    <cellStyle name="_Turkey, JRS Interco_Appendix 12.7 (Nov) 2" xfId="3184"/>
    <cellStyle name="_Turkey, JRS Interco_Appendix 12.9 (May)" xfId="3185"/>
    <cellStyle name="_Turkey, JRS Interco_Appendix 12.9 (May) 2" xfId="3186"/>
    <cellStyle name="_Turkey, JRS Interco_Appendix 12.9 (May)_ByAccount (10)" xfId="3187"/>
    <cellStyle name="_Turkey, JRS Interco_Appendix 12.9 (May)_ByAccount (12)" xfId="3188"/>
    <cellStyle name="_Turkey, JRS Interco_Appendix 12.9 (May)_ByVoucher" xfId="3189"/>
    <cellStyle name="_Turkey, JRS Interco_Appendix 12.9 (May)_ByVoucher (1NS)" xfId="3190"/>
    <cellStyle name="_Turkey, JRS Interco_Appendix 12.9 (May)_ByVoucher (2)" xfId="3191"/>
    <cellStyle name="_Turkey, JRS Interco_Appendix 12.9 (May)_ByVoucher (3)" xfId="3192"/>
    <cellStyle name="_Turkey, JRS Interco_Appendix 12.9 (May)_Copy of UIN P7 Miu" xfId="3193"/>
    <cellStyle name="_Turkey, JRS Interco_Appendix 12.9 (May)_Copy of UIN P8 Miu" xfId="3194"/>
    <cellStyle name="_Turkey, JRS Interco_Appendix 12.9 (May)_long" xfId="3195"/>
    <cellStyle name="_Turkey, JRS Interco_Appendix 12.9 (May)_Petty Cash (Feb)" xfId="3196"/>
    <cellStyle name="_Turkey, JRS Interco_Appendix 12.9 (May)_TEMP (4)" xfId="3197"/>
    <cellStyle name="_Turkey, JRS Interco_Appendix 12.9 (May)_UDN P6-LC,CC " xfId="3198"/>
    <cellStyle name="_Turkey, JRS Interco_Appendix 12.9 (May)_UDN P6-LC,CC  2" xfId="3199"/>
    <cellStyle name="_Turkey, JRS Interco_Appendix 12.9 (May)_UIN P10 Miu" xfId="3200"/>
    <cellStyle name="_Turkey, JRS Interco_Appendix 12.9 (May)_UIN P10 Miu-R1" xfId="3201"/>
    <cellStyle name="_Turkey, JRS Interco_Appendix 12.9 (May)_UIN P11 Miu" xfId="3202"/>
    <cellStyle name="_Turkey, JRS Interco_Appendix 12.9 (May)_UIN P6 Miu" xfId="3203"/>
    <cellStyle name="_Turkey, JRS Interco_Appendix 12.9 (May)_UIN P7 Miu" xfId="3204"/>
    <cellStyle name="_Turkey, JRS Interco_Appendix 12.9 (May)_UIN P8 Miu" xfId="3205"/>
    <cellStyle name="_Turkey, JRS Interco_Appendix 12.9 (May)_UIN P9 Miu" xfId="3206"/>
    <cellStyle name="_Turkey, JRS Interco_Appendix 12.9 (May)_UJV (6)" xfId="3207"/>
    <cellStyle name="_Turkey, JRS Interco_Appendix 12.9 (May)_UJV (6) 2" xfId="3208"/>
    <cellStyle name="_Turkey, JRS Interco_Appendix 12.9 (May)_UJV (Aug) (3)" xfId="3209"/>
    <cellStyle name="_Turkey, JRS Interco_Appendix 12.9 (May)_UJV (Aug) (3) 2" xfId="3210"/>
    <cellStyle name="_Turkey, JRS Interco_Appendix 12.9 (May)_UJV (Oct) (2)" xfId="3211"/>
    <cellStyle name="_Turkey, JRS Interco_Appendix 12.9 (May)_UJV (Oct) (2) 2" xfId="3212"/>
    <cellStyle name="_Turkey, JRS Interco_Appendix 12.9 (May)_VOUCHER PRINTING SA" xfId="3213"/>
    <cellStyle name="_Turkey, JRS Interco_Appendix 13" xfId="3214"/>
    <cellStyle name="_Turkey, JRS Interco_Appendix 13 2" xfId="3215"/>
    <cellStyle name="_Turkey, JRS Interco_Appendix 13_ByAccount (10)" xfId="3216"/>
    <cellStyle name="_Turkey, JRS Interco_Appendix 13_ByAccount (12)" xfId="3217"/>
    <cellStyle name="_Turkey, JRS Interco_Appendix 13_ByVoucher" xfId="3218"/>
    <cellStyle name="_Turkey, JRS Interco_Appendix 13_ByVoucher (1NS)" xfId="3219"/>
    <cellStyle name="_Turkey, JRS Interco_Appendix 13_ByVoucher (2)" xfId="3220"/>
    <cellStyle name="_Turkey, JRS Interco_Appendix 13_ByVoucher (3)" xfId="3221"/>
    <cellStyle name="_Turkey, JRS Interco_Appendix 13_Copy of UIN P7 Miu" xfId="3222"/>
    <cellStyle name="_Turkey, JRS Interco_Appendix 13_Copy of UIN P8 Miu" xfId="3223"/>
    <cellStyle name="_Turkey, JRS Interco_Appendix 13_long" xfId="3224"/>
    <cellStyle name="_Turkey, JRS Interco_Appendix 13_Petty Cash (Feb)" xfId="3225"/>
    <cellStyle name="_Turkey, JRS Interco_Appendix 13_TEMP (4)" xfId="3226"/>
    <cellStyle name="_Turkey, JRS Interco_Appendix 13_UDN P6-LC,CC " xfId="3227"/>
    <cellStyle name="_Turkey, JRS Interco_Appendix 13_UDN P6-LC,CC  2" xfId="3228"/>
    <cellStyle name="_Turkey, JRS Interco_Appendix 13_UIN P10 Miu" xfId="3229"/>
    <cellStyle name="_Turkey, JRS Interco_Appendix 13_UIN P10 Miu-R1" xfId="3230"/>
    <cellStyle name="_Turkey, JRS Interco_Appendix 13_UIN P11 Miu" xfId="3231"/>
    <cellStyle name="_Turkey, JRS Interco_Appendix 13_UIN P4 Miu R2" xfId="3232"/>
    <cellStyle name="_Turkey, JRS Interco_Appendix 13_UIN P4 Miu R2 2" xfId="3233"/>
    <cellStyle name="_Turkey, JRS Interco_Appendix 13_UIN P6 Miu" xfId="3234"/>
    <cellStyle name="_Turkey, JRS Interco_Appendix 13_UIN P7 Miu" xfId="3235"/>
    <cellStyle name="_Turkey, JRS Interco_Appendix 13_UIN P8 Miu" xfId="3236"/>
    <cellStyle name="_Turkey, JRS Interco_Appendix 13_UIN P9 Miu" xfId="3237"/>
    <cellStyle name="_Turkey, JRS Interco_Appendix 13_UJV (6)" xfId="3238"/>
    <cellStyle name="_Turkey, JRS Interco_Appendix 13_UJV (6) 2" xfId="3239"/>
    <cellStyle name="_Turkey, JRS Interco_Appendix 13_UJV (Aug) (3)" xfId="3240"/>
    <cellStyle name="_Turkey, JRS Interco_Appendix 13_UJV (Aug) (3) 2" xfId="3241"/>
    <cellStyle name="_Turkey, JRS Interco_Appendix 13_UJV (Oct) (2)" xfId="3242"/>
    <cellStyle name="_Turkey, JRS Interco_Appendix 13_UJV (Oct) (2) 2" xfId="3243"/>
    <cellStyle name="_Turkey, JRS Interco_Appendix 13_VOUCHER PRINTING SA" xfId="3244"/>
    <cellStyle name="_Turkey, JRS Interco_Appendix 14" xfId="3245"/>
    <cellStyle name="_Turkey, JRS Interco_Appendix 14 (JRS)" xfId="3246"/>
    <cellStyle name="_Turkey, JRS Interco_Appendix 14 10" xfId="3247"/>
    <cellStyle name="_Turkey, JRS Interco_Appendix 14 11" xfId="3248"/>
    <cellStyle name="_Turkey, JRS Interco_Appendix 14 12" xfId="3249"/>
    <cellStyle name="_Turkey, JRS Interco_Appendix 14 13" xfId="3250"/>
    <cellStyle name="_Turkey, JRS Interco_Appendix 14 14" xfId="3251"/>
    <cellStyle name="_Turkey, JRS Interco_Appendix 14 15" xfId="3252"/>
    <cellStyle name="_Turkey, JRS Interco_Appendix 14 16" xfId="3253"/>
    <cellStyle name="_Turkey, JRS Interco_Appendix 14 17" xfId="3254"/>
    <cellStyle name="_Turkey, JRS Interco_Appendix 14 18" xfId="3255"/>
    <cellStyle name="_Turkey, JRS Interco_Appendix 14 19" xfId="3256"/>
    <cellStyle name="_Turkey, JRS Interco_Appendix 14 2" xfId="3257"/>
    <cellStyle name="_Turkey, JRS Interco_Appendix 14 20" xfId="3258"/>
    <cellStyle name="_Turkey, JRS Interco_Appendix 14 21" xfId="3259"/>
    <cellStyle name="_Turkey, JRS Interco_Appendix 14 3" xfId="3260"/>
    <cellStyle name="_Turkey, JRS Interco_Appendix 14 4" xfId="3261"/>
    <cellStyle name="_Turkey, JRS Interco_Appendix 14 5" xfId="3262"/>
    <cellStyle name="_Turkey, JRS Interco_Appendix 14 6" xfId="3263"/>
    <cellStyle name="_Turkey, JRS Interco_Appendix 14 7" xfId="3264"/>
    <cellStyle name="_Turkey, JRS Interco_Appendix 14 8" xfId="3265"/>
    <cellStyle name="_Turkey, JRS Interco_Appendix 14 9" xfId="3266"/>
    <cellStyle name="_Turkey, JRS Interco_Appendix 15.1" xfId="3267"/>
    <cellStyle name="_Turkey, JRS Interco_Appendix 15.1 2" xfId="3268"/>
    <cellStyle name="_Turkey, JRS Interco_Appendix 16" xfId="3269"/>
    <cellStyle name="_Turkey, JRS Interco_Appendix 16 2" xfId="3270"/>
    <cellStyle name="_Turkey, JRS Interco_Appendix 17" xfId="3271"/>
    <cellStyle name="_Turkey, JRS Interco_Appendix 17 2" xfId="3272"/>
    <cellStyle name="_Turkey, JRS Interco_Appendix 18" xfId="3273"/>
    <cellStyle name="_Turkey, JRS Interco_Appendix 18 2" xfId="3274"/>
    <cellStyle name="_Turkey, JRS Interco_Appendix 3" xfId="3275"/>
    <cellStyle name="_Turkey, JRS Interco_Appendix 3 (SA)" xfId="3276"/>
    <cellStyle name="_Turkey, JRS Interco_Appendix 3 (SA) 2" xfId="3277"/>
    <cellStyle name="_Turkey, JRS Interco_Appendix 3 10" xfId="3278"/>
    <cellStyle name="_Turkey, JRS Interco_Appendix 3 11" xfId="3279"/>
    <cellStyle name="_Turkey, JRS Interco_Appendix 3 12" xfId="3280"/>
    <cellStyle name="_Turkey, JRS Interco_Appendix 3 13" xfId="3281"/>
    <cellStyle name="_Turkey, JRS Interco_Appendix 3 14" xfId="3282"/>
    <cellStyle name="_Turkey, JRS Interco_Appendix 3 15" xfId="3283"/>
    <cellStyle name="_Turkey, JRS Interco_Appendix 3 16" xfId="3284"/>
    <cellStyle name="_Turkey, JRS Interco_Appendix 3 17" xfId="3285"/>
    <cellStyle name="_Turkey, JRS Interco_Appendix 3 18" xfId="3286"/>
    <cellStyle name="_Turkey, JRS Interco_Appendix 3 19" xfId="3287"/>
    <cellStyle name="_Turkey, JRS Interco_Appendix 3 2" xfId="3288"/>
    <cellStyle name="_Turkey, JRS Interco_Appendix 3 20" xfId="3289"/>
    <cellStyle name="_Turkey, JRS Interco_Appendix 3 21" xfId="3290"/>
    <cellStyle name="_Turkey, JRS Interco_Appendix 3 3" xfId="3291"/>
    <cellStyle name="_Turkey, JRS Interco_Appendix 3 4" xfId="3292"/>
    <cellStyle name="_Turkey, JRS Interco_Appendix 3 5" xfId="3293"/>
    <cellStyle name="_Turkey, JRS Interco_Appendix 3 6" xfId="3294"/>
    <cellStyle name="_Turkey, JRS Interco_Appendix 3 7" xfId="3295"/>
    <cellStyle name="_Turkey, JRS Interco_Appendix 3 8" xfId="3296"/>
    <cellStyle name="_Turkey, JRS Interco_Appendix 3 9" xfId="3297"/>
    <cellStyle name="_Turkey, JRS Interco_Appendix 3(SA-p9)" xfId="3298"/>
    <cellStyle name="_Turkey, JRS Interco_Appendix 3(SA-p9) 2" xfId="3299"/>
    <cellStyle name="_Turkey, JRS Interco_Appendix 3.1 " xfId="3300"/>
    <cellStyle name="_Turkey, JRS Interco_Appendix 3.1  2" xfId="3301"/>
    <cellStyle name="_Turkey, JRS Interco_Appendix 3.1 (sa)" xfId="3302"/>
    <cellStyle name="_Turkey, JRS Interco_Appendix 3.1 (sa) 2" xfId="3303"/>
    <cellStyle name="_Turkey, JRS Interco_Appendix 3.1 (sa-P9)  " xfId="3304"/>
    <cellStyle name="_Turkey, JRS Interco_Appendix 3.1 (sa-P9)   2" xfId="3305"/>
    <cellStyle name="_Turkey, JRS Interco_Appendix 5" xfId="3306"/>
    <cellStyle name="_Turkey, JRS Interco_Appendix 5 (Apr)" xfId="3307"/>
    <cellStyle name="_Turkey, JRS Interco_Appendix 5 (Apr) 2" xfId="3308"/>
    <cellStyle name="_Turkey, JRS Interco_Appendix 5 (Jul)" xfId="3309"/>
    <cellStyle name="_Turkey, JRS Interco_Appendix 5 (Jun)" xfId="3310"/>
    <cellStyle name="_Turkey, JRS Interco_Appendix 5 (Jun) 2" xfId="3311"/>
    <cellStyle name="_Turkey, JRS Interco_Appendix 5 (Oct)" xfId="3312"/>
    <cellStyle name="_Turkey, JRS Interco_Appendix 5 (Sep)" xfId="3313"/>
    <cellStyle name="_Turkey, JRS Interco_Appendix 5 10" xfId="3314"/>
    <cellStyle name="_Turkey, JRS Interco_Appendix 5 11" xfId="3315"/>
    <cellStyle name="_Turkey, JRS Interco_Appendix 5 12" xfId="3316"/>
    <cellStyle name="_Turkey, JRS Interco_Appendix 5 13" xfId="3317"/>
    <cellStyle name="_Turkey, JRS Interco_Appendix 5 14" xfId="3318"/>
    <cellStyle name="_Turkey, JRS Interco_Appendix 5 15" xfId="3319"/>
    <cellStyle name="_Turkey, JRS Interco_Appendix 5 16" xfId="3320"/>
    <cellStyle name="_Turkey, JRS Interco_Appendix 5 17" xfId="3321"/>
    <cellStyle name="_Turkey, JRS Interco_Appendix 5 18" xfId="3322"/>
    <cellStyle name="_Turkey, JRS Interco_Appendix 5 19" xfId="3323"/>
    <cellStyle name="_Turkey, JRS Interco_Appendix 5 2" xfId="3324"/>
    <cellStyle name="_Turkey, JRS Interco_Appendix 5 20" xfId="3325"/>
    <cellStyle name="_Turkey, JRS Interco_Appendix 5 21" xfId="3326"/>
    <cellStyle name="_Turkey, JRS Interco_Appendix 5 3" xfId="3327"/>
    <cellStyle name="_Turkey, JRS Interco_Appendix 5 4" xfId="3328"/>
    <cellStyle name="_Turkey, JRS Interco_Appendix 5 5" xfId="3329"/>
    <cellStyle name="_Turkey, JRS Interco_Appendix 5 6" xfId="3330"/>
    <cellStyle name="_Turkey, JRS Interco_Appendix 5 7" xfId="3331"/>
    <cellStyle name="_Turkey, JRS Interco_Appendix 5 8" xfId="3332"/>
    <cellStyle name="_Turkey, JRS Interco_Appendix 5 9" xfId="3333"/>
    <cellStyle name="_Turkey, JRS Interco_Appendix 6" xfId="3334"/>
    <cellStyle name="_Turkey, JRS Interco_Appendix 6 (OK)" xfId="3335"/>
    <cellStyle name="_Turkey, JRS Interco_Appendix 6 (OK) 2" xfId="3336"/>
    <cellStyle name="_Turkey, JRS Interco_Appendix 6 10" xfId="3337"/>
    <cellStyle name="_Turkey, JRS Interco_Appendix 6 11" xfId="3338"/>
    <cellStyle name="_Turkey, JRS Interco_Appendix 6 12" xfId="3339"/>
    <cellStyle name="_Turkey, JRS Interco_Appendix 6 13" xfId="3340"/>
    <cellStyle name="_Turkey, JRS Interco_Appendix 6 14" xfId="3341"/>
    <cellStyle name="_Turkey, JRS Interco_Appendix 6 15" xfId="3342"/>
    <cellStyle name="_Turkey, JRS Interco_Appendix 6 16" xfId="3343"/>
    <cellStyle name="_Turkey, JRS Interco_Appendix 6 17" xfId="3344"/>
    <cellStyle name="_Turkey, JRS Interco_Appendix 6 18" xfId="3345"/>
    <cellStyle name="_Turkey, JRS Interco_Appendix 6 19" xfId="3346"/>
    <cellStyle name="_Turkey, JRS Interco_Appendix 6 2" xfId="3347"/>
    <cellStyle name="_Turkey, JRS Interco_Appendix 6 20" xfId="3348"/>
    <cellStyle name="_Turkey, JRS Interco_Appendix 6 21" xfId="3349"/>
    <cellStyle name="_Turkey, JRS Interco_Appendix 6 3" xfId="3350"/>
    <cellStyle name="_Turkey, JRS Interco_Appendix 6 4" xfId="3351"/>
    <cellStyle name="_Turkey, JRS Interco_Appendix 6 5" xfId="3352"/>
    <cellStyle name="_Turkey, JRS Interco_Appendix 6 6" xfId="3353"/>
    <cellStyle name="_Turkey, JRS Interco_Appendix 6 7" xfId="3354"/>
    <cellStyle name="_Turkey, JRS Interco_Appendix 6 8" xfId="3355"/>
    <cellStyle name="_Turkey, JRS Interco_Appendix 6 9" xfId="3356"/>
    <cellStyle name="_Turkey, JRS Interco_Appendix 7" xfId="3357"/>
    <cellStyle name="_Turkey, JRS Interco_Appendix 7 2" xfId="3358"/>
    <cellStyle name="_Turkey, JRS Interco_Appendix 8 (2)" xfId="3359"/>
    <cellStyle name="_Turkey, JRS Interco_Appendix 8 (2) 2" xfId="3360"/>
    <cellStyle name="_Turkey, JRS Interco_Appendix 8 (2)_ByAccount (10)" xfId="3361"/>
    <cellStyle name="_Turkey, JRS Interco_Appendix 8 (2)_ByAccount (12)" xfId="3362"/>
    <cellStyle name="_Turkey, JRS Interco_Appendix 8 (2)_ByVoucher" xfId="3363"/>
    <cellStyle name="_Turkey, JRS Interco_Appendix 8 (2)_ByVoucher (1NS)" xfId="3364"/>
    <cellStyle name="_Turkey, JRS Interco_Appendix 8 (2)_ByVoucher (2)" xfId="3365"/>
    <cellStyle name="_Turkey, JRS Interco_Appendix 8 (2)_ByVoucher (3)" xfId="3366"/>
    <cellStyle name="_Turkey, JRS Interco_Appendix 8 (2)_Copy of UIN P7 Miu" xfId="3367"/>
    <cellStyle name="_Turkey, JRS Interco_Appendix 8 (2)_Copy of UIN P8 Miu" xfId="3368"/>
    <cellStyle name="_Turkey, JRS Interco_Appendix 8 (2)_long" xfId="3369"/>
    <cellStyle name="_Turkey, JRS Interco_Appendix 8 (2)_Petty Cash (Feb)" xfId="3370"/>
    <cellStyle name="_Turkey, JRS Interco_Appendix 8 (2)_TEMP (4)" xfId="3371"/>
    <cellStyle name="_Turkey, JRS Interco_Appendix 8 (2)_UDN P6-LC,CC " xfId="3372"/>
    <cellStyle name="_Turkey, JRS Interco_Appendix 8 (2)_UDN P6-LC,CC  2" xfId="3373"/>
    <cellStyle name="_Turkey, JRS Interco_Appendix 8 (2)_UIN P10 Miu" xfId="3374"/>
    <cellStyle name="_Turkey, JRS Interco_Appendix 8 (2)_UIN P10 Miu-R1" xfId="3375"/>
    <cellStyle name="_Turkey, JRS Interco_Appendix 8 (2)_UIN P11 Miu" xfId="3376"/>
    <cellStyle name="_Turkey, JRS Interco_Appendix 8 (2)_UIN P6 Miu" xfId="3377"/>
    <cellStyle name="_Turkey, JRS Interco_Appendix 8 (2)_UIN P7 Miu" xfId="3378"/>
    <cellStyle name="_Turkey, JRS Interco_Appendix 8 (2)_UIN P8 Miu" xfId="3379"/>
    <cellStyle name="_Turkey, JRS Interco_Appendix 8 (2)_UIN P9 Miu" xfId="3380"/>
    <cellStyle name="_Turkey, JRS Interco_Appendix 8 (2)_UJV (6)" xfId="3381"/>
    <cellStyle name="_Turkey, JRS Interco_Appendix 8 (2)_UJV (6) 2" xfId="3382"/>
    <cellStyle name="_Turkey, JRS Interco_Appendix 8 (2)_UJV (Aug) (3)" xfId="3383"/>
    <cellStyle name="_Turkey, JRS Interco_Appendix 8 (2)_UJV (Aug) (3) 2" xfId="3384"/>
    <cellStyle name="_Turkey, JRS Interco_Appendix 8 (2)_UJV (Oct) (2)" xfId="3385"/>
    <cellStyle name="_Turkey, JRS Interco_Appendix 8 (2)_UJV (Oct) (2) 2" xfId="3386"/>
    <cellStyle name="_Turkey, JRS Interco_Appendix 8 (2)_VOUCHER PRINTING SA" xfId="3387"/>
    <cellStyle name="_Turkey, JRS Interco_Appendix 8 (Aug)" xfId="3388"/>
    <cellStyle name="_Turkey, JRS Interco_Appendix 8 (Feb)" xfId="3389"/>
    <cellStyle name="_Turkey, JRS Interco_Appendix 8 (Feb) 2" xfId="3390"/>
    <cellStyle name="_Turkey, JRS Interco_Appendix 8 (Jan)" xfId="3391"/>
    <cellStyle name="_Turkey, JRS Interco_Appendix 8 (Jan) 2" xfId="3392"/>
    <cellStyle name="_Turkey, JRS Interco_Appendix 8 (Jul)" xfId="3393"/>
    <cellStyle name="_Turkey, JRS Interco_Appendix 8 (May)" xfId="3394"/>
    <cellStyle name="_Turkey, JRS Interco_Appendix 8 (May) 2" xfId="3395"/>
    <cellStyle name="_Turkey, JRS Interco_Appendix 8 (May)_ByAccount (10)" xfId="3396"/>
    <cellStyle name="_Turkey, JRS Interco_Appendix 8 (May)_ByAccount (12)" xfId="3397"/>
    <cellStyle name="_Turkey, JRS Interco_Appendix 8 (May)_ByVoucher" xfId="3398"/>
    <cellStyle name="_Turkey, JRS Interco_Appendix 8 (May)_ByVoucher (1NS)" xfId="3399"/>
    <cellStyle name="_Turkey, JRS Interco_Appendix 8 (May)_ByVoucher (2)" xfId="3400"/>
    <cellStyle name="_Turkey, JRS Interco_Appendix 8 (May)_ByVoucher (3)" xfId="3401"/>
    <cellStyle name="_Turkey, JRS Interco_Appendix 8 (May)_Copy of UIN P7 Miu" xfId="3402"/>
    <cellStyle name="_Turkey, JRS Interco_Appendix 8 (May)_Copy of UIN P8 Miu" xfId="3403"/>
    <cellStyle name="_Turkey, JRS Interco_Appendix 8 (May)_long" xfId="3404"/>
    <cellStyle name="_Turkey, JRS Interco_Appendix 8 (May)_Petty Cash (Feb)" xfId="3405"/>
    <cellStyle name="_Turkey, JRS Interco_Appendix 8 (May)_TEMP (4)" xfId="3406"/>
    <cellStyle name="_Turkey, JRS Interco_Appendix 8 (May)_UDN P6-LC,CC " xfId="3407"/>
    <cellStyle name="_Turkey, JRS Interco_Appendix 8 (May)_UDN P6-LC,CC  2" xfId="3408"/>
    <cellStyle name="_Turkey, JRS Interco_Appendix 8 (May)_UIN P10 Miu" xfId="3409"/>
    <cellStyle name="_Turkey, JRS Interco_Appendix 8 (May)_UIN P10 Miu-R1" xfId="3410"/>
    <cellStyle name="_Turkey, JRS Interco_Appendix 8 (May)_UIN P11 Miu" xfId="3411"/>
    <cellStyle name="_Turkey, JRS Interco_Appendix 8 (May)_UIN P6 Miu" xfId="3412"/>
    <cellStyle name="_Turkey, JRS Interco_Appendix 8 (May)_UIN P7 Miu" xfId="3413"/>
    <cellStyle name="_Turkey, JRS Interco_Appendix 8 (May)_UIN P8 Miu" xfId="3414"/>
    <cellStyle name="_Turkey, JRS Interco_Appendix 8 (May)_UIN P9 Miu" xfId="3415"/>
    <cellStyle name="_Turkey, JRS Interco_Appendix 8 (May)_UJV (6)" xfId="3416"/>
    <cellStyle name="_Turkey, JRS Interco_Appendix 8 (May)_UJV (6) 2" xfId="3417"/>
    <cellStyle name="_Turkey, JRS Interco_Appendix 8 (May)_UJV (Aug) (3)" xfId="3418"/>
    <cellStyle name="_Turkey, JRS Interco_Appendix 8 (May)_UJV (Aug) (3) 2" xfId="3419"/>
    <cellStyle name="_Turkey, JRS Interco_Appendix 8 (May)_UJV (Oct) (2)" xfId="3420"/>
    <cellStyle name="_Turkey, JRS Interco_Appendix 8 (May)_UJV (Oct) (2) 2" xfId="3421"/>
    <cellStyle name="_Turkey, JRS Interco_Appendix 8 (May)_VOUCHER PRINTING SA" xfId="3422"/>
    <cellStyle name="_Turkey, JRS Interco_Appendix 8 (Sep)" xfId="3423"/>
    <cellStyle name="_Turkey, JRS Interco_Appendix 8 (Sep) 2" xfId="3424"/>
    <cellStyle name="_Turkey, JRS Interco_Bev" xfId="3425"/>
    <cellStyle name="_Turkey, JRS Interco_ByAccount" xfId="3426"/>
    <cellStyle name="_Turkey, JRS Interco_ByAccount (10)" xfId="3427"/>
    <cellStyle name="_Turkey, JRS Interco_ByAccount (12)" xfId="3428"/>
    <cellStyle name="_Turkey, JRS Interco_ByVoucher" xfId="3429"/>
    <cellStyle name="_Turkey, JRS Interco_ByVoucher (1NS)" xfId="3430"/>
    <cellStyle name="_Turkey, JRS Interco_ByVoucher (2)" xfId="3431"/>
    <cellStyle name="_Turkey, JRS Interco_ByVoucher (3)" xfId="3432"/>
    <cellStyle name="_Turkey, JRS Interco_ByVoucher (5)" xfId="3433"/>
    <cellStyle name="_Turkey, JRS Interco_ByVoucher(long)" xfId="3434"/>
    <cellStyle name="_Turkey, JRS Interco_cash A KS" xfId="3435"/>
    <cellStyle name="_Turkey, JRS Interco_COA" xfId="3436"/>
    <cellStyle name="_Turkey, JRS Interco_Copy of Ledger + Voucher Template basic" xfId="3437"/>
    <cellStyle name="_Turkey, JRS Interco_currency" xfId="3438"/>
    <cellStyle name="_Turkey, JRS Interco_Currency acc (P10)" xfId="3439"/>
    <cellStyle name="_Turkey, JRS Interco_Fixed G acc P10" xfId="3440"/>
    <cellStyle name="_Turkey, JRS Interco_GBP" xfId="3441"/>
    <cellStyle name="_Turkey, JRS Interco_GBP 2" xfId="3442"/>
    <cellStyle name="_Turkey, JRS Interco_GBP_ByAccount (10)" xfId="3443"/>
    <cellStyle name="_Turkey, JRS Interco_GBP_ByAccount (12)" xfId="3444"/>
    <cellStyle name="_Turkey, JRS Interco_GBP_ByVoucher" xfId="3445"/>
    <cellStyle name="_Turkey, JRS Interco_GBP_ByVoucher (1NS)" xfId="3446"/>
    <cellStyle name="_Turkey, JRS Interco_GBP_ByVoucher (2)" xfId="3447"/>
    <cellStyle name="_Turkey, JRS Interco_GBP_ByVoucher (3)" xfId="3448"/>
    <cellStyle name="_Turkey, JRS Interco_GBP_Copy of UIN P7 Miu" xfId="3449"/>
    <cellStyle name="_Turkey, JRS Interco_GBP_Copy of UIN P8 Miu" xfId="3450"/>
    <cellStyle name="_Turkey, JRS Interco_GBP_long" xfId="3451"/>
    <cellStyle name="_Turkey, JRS Interco_GBP_Petty Cash (Feb)" xfId="3452"/>
    <cellStyle name="_Turkey, JRS Interco_GBP_TEMP (4)" xfId="3453"/>
    <cellStyle name="_Turkey, JRS Interco_GBP_UDN P6-LC,CC " xfId="3454"/>
    <cellStyle name="_Turkey, JRS Interco_GBP_UDN P6-LC,CC  2" xfId="3455"/>
    <cellStyle name="_Turkey, JRS Interco_GBP_UIN P10 Miu" xfId="3456"/>
    <cellStyle name="_Turkey, JRS Interco_GBP_UIN P10 Miu-R1" xfId="3457"/>
    <cellStyle name="_Turkey, JRS Interco_GBP_UIN P11 Miu" xfId="3458"/>
    <cellStyle name="_Turkey, JRS Interco_GBP_UIN P6 Miu" xfId="3459"/>
    <cellStyle name="_Turkey, JRS Interco_GBP_UIN P7 Miu" xfId="3460"/>
    <cellStyle name="_Turkey, JRS Interco_GBP_UIN P8 Miu" xfId="3461"/>
    <cellStyle name="_Turkey, JRS Interco_GBP_UIN P9 Miu" xfId="3462"/>
    <cellStyle name="_Turkey, JRS Interco_GBP_UJV (6)" xfId="3463"/>
    <cellStyle name="_Turkey, JRS Interco_GBP_UJV (6) 2" xfId="3464"/>
    <cellStyle name="_Turkey, JRS Interco_GBP_UJV (Aug) (3)" xfId="3465"/>
    <cellStyle name="_Turkey, JRS Interco_GBP_UJV (Aug) (3) 2" xfId="3466"/>
    <cellStyle name="_Turkey, JRS Interco_GBP_UJV (Oct) (2)" xfId="3467"/>
    <cellStyle name="_Turkey, JRS Interco_GBP_UJV (Oct) (2) 2" xfId="3468"/>
    <cellStyle name="_Turkey, JRS Interco_GBP_VOUCHER PRINTING SA" xfId="3469"/>
    <cellStyle name="_Turkey, JRS Interco_general acc P8" xfId="3470"/>
    <cellStyle name="_Turkey, JRS Interco_Ledger + Voucher Template Miu R1" xfId="3471"/>
    <cellStyle name="_Turkey, JRS Interco_Ledger + Voucher Template Miu R1 2" xfId="3472"/>
    <cellStyle name="_Turkey, JRS Interco_Ledger + Voucher Template Miu R1_ByAccount (10)" xfId="3473"/>
    <cellStyle name="_Turkey, JRS Interco_Ledger + Voucher Template Miu R1_ByAccount (12)" xfId="3474"/>
    <cellStyle name="_Turkey, JRS Interco_Ledger + Voucher Template Miu R1_ByVoucher" xfId="3475"/>
    <cellStyle name="_Turkey, JRS Interco_Ledger + Voucher Template Miu R1_ByVoucher (1NS)" xfId="3476"/>
    <cellStyle name="_Turkey, JRS Interco_Ledger + Voucher Template Miu R1_ByVoucher (2)" xfId="3477"/>
    <cellStyle name="_Turkey, JRS Interco_Ledger + Voucher Template Miu R1_ByVoucher (3)" xfId="3478"/>
    <cellStyle name="_Turkey, JRS Interco_Ledger + Voucher Template Miu R1_Copy of UIN P7 Miu" xfId="3479"/>
    <cellStyle name="_Turkey, JRS Interco_Ledger + Voucher Template Miu R1_Copy of UIN P8 Miu" xfId="3480"/>
    <cellStyle name="_Turkey, JRS Interco_Ledger + Voucher Template Miu R1_long" xfId="3481"/>
    <cellStyle name="_Turkey, JRS Interco_Ledger + Voucher Template Miu R1_Petty Cash (Feb)" xfId="3482"/>
    <cellStyle name="_Turkey, JRS Interco_Ledger + Voucher Template Miu R1_TEMP (4)" xfId="3483"/>
    <cellStyle name="_Turkey, JRS Interco_Ledger + Voucher Template Miu R1_UDN P6-LC,CC " xfId="3484"/>
    <cellStyle name="_Turkey, JRS Interco_Ledger + Voucher Template Miu R1_UDN P6-LC,CC  2" xfId="3485"/>
    <cellStyle name="_Turkey, JRS Interco_Ledger + Voucher Template Miu R1_UIN P10 Miu" xfId="3486"/>
    <cellStyle name="_Turkey, JRS Interco_Ledger + Voucher Template Miu R1_UIN P10 Miu-R1" xfId="3487"/>
    <cellStyle name="_Turkey, JRS Interco_Ledger + Voucher Template Miu R1_UIN P11 Miu" xfId="3488"/>
    <cellStyle name="_Turkey, JRS Interco_Ledger + Voucher Template Miu R1_UIN P4 Miu R2" xfId="3489"/>
    <cellStyle name="_Turkey, JRS Interco_Ledger + Voucher Template Miu R1_UIN P4 Miu R2 2" xfId="3490"/>
    <cellStyle name="_Turkey, JRS Interco_Ledger + Voucher Template Miu R1_UIN P6 Miu" xfId="3491"/>
    <cellStyle name="_Turkey, JRS Interco_Ledger + Voucher Template Miu R1_UIN P7 Miu" xfId="3492"/>
    <cellStyle name="_Turkey, JRS Interco_Ledger + Voucher Template Miu R1_UIN P8 Miu" xfId="3493"/>
    <cellStyle name="_Turkey, JRS Interco_Ledger + Voucher Template Miu R1_UIN P9 Miu" xfId="3494"/>
    <cellStyle name="_Turkey, JRS Interco_Ledger + Voucher Template Miu R1_UJV (6)" xfId="3495"/>
    <cellStyle name="_Turkey, JRS Interco_Ledger + Voucher Template Miu R1_UJV (6) 2" xfId="3496"/>
    <cellStyle name="_Turkey, JRS Interco_Ledger + Voucher Template Miu R1_UJV (Aug) (3)" xfId="3497"/>
    <cellStyle name="_Turkey, JRS Interco_Ledger + Voucher Template Miu R1_UJV (Aug) (3) 2" xfId="3498"/>
    <cellStyle name="_Turkey, JRS Interco_Ledger + Voucher Template Miu R1_UJV (Oct) (2)" xfId="3499"/>
    <cellStyle name="_Turkey, JRS Interco_Ledger + Voucher Template Miu R1_UJV (Oct) (2) 2" xfId="3500"/>
    <cellStyle name="_Turkey, JRS Interco_Ledger + Voucher Template Miu R1_VOUCHER PRINTING SA" xfId="3501"/>
    <cellStyle name="_Turkey, JRS Interco_NUK NRL" xfId="3502"/>
    <cellStyle name="_Turkey, JRS Interco_P4 UK -BS Yr11-12(SA)" xfId="3503"/>
    <cellStyle name="_Turkey, JRS Interco_Petty Cash (Feb)" xfId="3504"/>
    <cellStyle name="_Turkey, JRS Interco_prepay (2)" xfId="3505"/>
    <cellStyle name="_Turkey, JRS Interco_prepay (travel P10)" xfId="3506"/>
    <cellStyle name="_Turkey, JRS Interco_prepay (travel P11)" xfId="3507"/>
    <cellStyle name="_Turkey, JRS Interco_prepay travel" xfId="3508"/>
    <cellStyle name="_Turkey, JRS Interco_Sales" xfId="3509"/>
    <cellStyle name="_Turkey, JRS Interco_sarah todd car" xfId="3510"/>
    <cellStyle name="_Turkey, JRS Interco_SML adj (2)" xfId="3511"/>
    <cellStyle name="_Turkey, JRS Interco_temp" xfId="3512"/>
    <cellStyle name="_Turkey, JRS Interco_TEMP (4)" xfId="3513"/>
    <cellStyle name="_Turkey, JRS Interco_travel acc (P09)" xfId="3514"/>
    <cellStyle name="_Turkey, JRS Interco_UDN (May) 8 (2)" xfId="3515"/>
    <cellStyle name="_Turkey, JRS Interco_UDN (May) 8 (2) 2" xfId="3516"/>
    <cellStyle name="_Turkey, JRS Interco_UDN HK SIG" xfId="3517"/>
    <cellStyle name="_Turkey, JRS Interco_UJV (6)" xfId="3518"/>
    <cellStyle name="_Turkey, JRS Interco_UJV (6) 2" xfId="3519"/>
    <cellStyle name="_Turkey, JRS Interco_UJV (Dec) 2" xfId="3520"/>
    <cellStyle name="_Turkey, JRS Interco_UJV (Dec) 2 2" xfId="3521"/>
    <cellStyle name="_Turkey, JRS Interco_VOUCHER PRINTING SA" xfId="3522"/>
    <cellStyle name="_UKDN_SHANGHAI_300908 (REVISED ON 2.10.08)" xfId="3523"/>
    <cellStyle name="_UKDN_SHANGHAI_310808" xfId="3524"/>
    <cellStyle name="_UKDN_SHANGHAI_311208" xfId="3525"/>
    <cellStyle name="_UKDN_SHANGHAI_P01-09" xfId="3526"/>
    <cellStyle name="_UKDN_SHANGHAI_P02-09" xfId="3527"/>
    <cellStyle name="_UKDN_SHANGHAI_P03-09" xfId="3528"/>
    <cellStyle name="_UKDN_SHANGHAI_P04-09" xfId="3529"/>
    <cellStyle name="_UKDN_SHANGHAI_P04-09 (Revised on 04.06.09)" xfId="3530"/>
    <cellStyle name="_UKDN_SHANGHAI_P12-08" xfId="3531"/>
    <cellStyle name="_UKDN_SHANGHAI_P12-08 (310109)" xfId="3532"/>
    <cellStyle name="_UKDN_THAILAND P01-09" xfId="3533"/>
    <cellStyle name="_UKDN_THAILAND P02-09" xfId="3534"/>
    <cellStyle name="_UKDN_THAILAND P03-09" xfId="3535"/>
    <cellStyle name="_UKDN_THAILAND P04-09" xfId="3536"/>
    <cellStyle name="_UKDN_THAILAND P05-09" xfId="3537"/>
    <cellStyle name="_UKDN_THAILAND P06-09" xfId="3538"/>
    <cellStyle name="_UKDN_THAILAND P07-09" xfId="3539"/>
    <cellStyle name="_UKDN_THAILAND P08-09" xfId="3540"/>
    <cellStyle name="_UKDN_THAILAND P09-09" xfId="3541"/>
    <cellStyle name="_UKDN_THAILAND P10-09" xfId="3542"/>
    <cellStyle name="_UKDN_THAILAND P11-09" xfId="3543"/>
    <cellStyle name="_UKDN_THAILAND P12" xfId="3544"/>
    <cellStyle name="_UKDN_THAILAND P12-08 (310109)" xfId="3545"/>
    <cellStyle name="_UKDN_THAILAND P12-09" xfId="3546"/>
    <cellStyle name="_UKDN_TURKEY_300408" xfId="3547"/>
    <cellStyle name="_UKDN_TURKEY_300608" xfId="3548"/>
    <cellStyle name="_UKDN_TURKEY_301108" xfId="3549"/>
    <cellStyle name="_UKDN_TURKEY_310109" xfId="3550"/>
    <cellStyle name="_UKDN_TURKEY_311208" xfId="3551"/>
    <cellStyle name="_UKDN_TURKEY_P01-09" xfId="3552"/>
    <cellStyle name="_UKDN_TURKEY_P02-09" xfId="3553"/>
    <cellStyle name="_UKDN_TURKEY_P03-09" xfId="3554"/>
    <cellStyle name="_UKDN_TURKEY_P05-09" xfId="3555"/>
    <cellStyle name="_UKDN_TURKEY_P06-09" xfId="3556"/>
    <cellStyle name="_UKDN_TURKEY_P07-09" xfId="3557"/>
    <cellStyle name="_UKDN_TURKEY_P08-09" xfId="3558"/>
    <cellStyle name="_UKDN_VM TURKEY_P03-09" xfId="3559"/>
    <cellStyle name="_UKDN-PD0208 (Revised) - April 08" xfId="3560"/>
    <cellStyle name="_VM TKY P02-09" xfId="3561"/>
    <cellStyle name="_副本Shanghai DN 20090731 (SH2F) (2)" xfId="3562"/>
    <cellStyle name="20% - Accent1 2" xfId="3563"/>
    <cellStyle name="20% - Accent2 2" xfId="3564"/>
    <cellStyle name="20% - Accent2 2 2" xfId="3565"/>
    <cellStyle name="20% - Accent2 3" xfId="3566"/>
    <cellStyle name="20% - Accent3 2" xfId="3567"/>
    <cellStyle name="20% - Accent3 2 2" xfId="3568"/>
    <cellStyle name="20% - Accent3 3" xfId="3569"/>
    <cellStyle name="20% - Accent4 2" xfId="3570"/>
    <cellStyle name="20% - Accent4 2 2" xfId="3571"/>
    <cellStyle name="20% - Accent4 3" xfId="3572"/>
    <cellStyle name="20% - Accent5 2" xfId="3573"/>
    <cellStyle name="20% - Accent6 2" xfId="3574"/>
    <cellStyle name="20% - 輔色1" xfId="3575"/>
    <cellStyle name="20% - 輔色2" xfId="3576"/>
    <cellStyle name="20% - 輔色3" xfId="3577"/>
    <cellStyle name="20% - 輔色4" xfId="3578"/>
    <cellStyle name="20% - 輔色5" xfId="3579"/>
    <cellStyle name="20% - 輔色6" xfId="3580"/>
    <cellStyle name="40% - Accent1 2" xfId="3581"/>
    <cellStyle name="40% - Accent1 2 2" xfId="3582"/>
    <cellStyle name="40% - Accent1 3" xfId="3583"/>
    <cellStyle name="40% - Accent2 2" xfId="3584"/>
    <cellStyle name="40% - Accent3 2" xfId="3585"/>
    <cellStyle name="40% - Accent3 2 2" xfId="3586"/>
    <cellStyle name="40% - Accent3 3" xfId="3587"/>
    <cellStyle name="40% - Accent4 2" xfId="3588"/>
    <cellStyle name="40% - Accent4 2 2" xfId="3589"/>
    <cellStyle name="40% - Accent4 3" xfId="3590"/>
    <cellStyle name="40% - Accent5 2" xfId="3591"/>
    <cellStyle name="40% - Accent6 2" xfId="3592"/>
    <cellStyle name="40% - Accent6 2 2" xfId="3593"/>
    <cellStyle name="40% - Accent6 3" xfId="3594"/>
    <cellStyle name="40% - 輔色1" xfId="3595"/>
    <cellStyle name="40% - 輔色2" xfId="3596"/>
    <cellStyle name="40% - 輔色3" xfId="3597"/>
    <cellStyle name="40% - 輔色4" xfId="3598"/>
    <cellStyle name="40% - 輔色5" xfId="3599"/>
    <cellStyle name="40% - 輔色6" xfId="3600"/>
    <cellStyle name="60% - Accent1 2" xfId="3601"/>
    <cellStyle name="60% - Accent1 2 2" xfId="3602"/>
    <cellStyle name="60% - Accent1 3" xfId="3603"/>
    <cellStyle name="60% - Accent2 2" xfId="3604"/>
    <cellStyle name="60% - Accent3 2" xfId="3605"/>
    <cellStyle name="60% - Accent3 2 2" xfId="3606"/>
    <cellStyle name="60% - Accent3 3" xfId="3607"/>
    <cellStyle name="60% - Accent4 2" xfId="3608"/>
    <cellStyle name="60% - Accent4 2 2" xfId="3609"/>
    <cellStyle name="60% - Accent4 3" xfId="3610"/>
    <cellStyle name="60% - Accent5 2" xfId="3611"/>
    <cellStyle name="60% - Accent6 2" xfId="3612"/>
    <cellStyle name="60% - Accent6 2 2" xfId="3613"/>
    <cellStyle name="60% - Accent6 3" xfId="3614"/>
    <cellStyle name="60% - 輔色1" xfId="3615"/>
    <cellStyle name="60% - 輔色2" xfId="3616"/>
    <cellStyle name="60% - 輔色3" xfId="3617"/>
    <cellStyle name="60% - 輔色4" xfId="3618"/>
    <cellStyle name="60% - 輔色5" xfId="3619"/>
    <cellStyle name="60% - 輔色6" xfId="3620"/>
    <cellStyle name="Accent1 2" xfId="3621"/>
    <cellStyle name="Accent1 2 2" xfId="3622"/>
    <cellStyle name="Accent1 3" xfId="3623"/>
    <cellStyle name="Accent2 2" xfId="3624"/>
    <cellStyle name="Accent3 2" xfId="3625"/>
    <cellStyle name="Accent4 2" xfId="3626"/>
    <cellStyle name="Accent4 2 2" xfId="3627"/>
    <cellStyle name="Accent4 3" xfId="3628"/>
    <cellStyle name="Accent5 2" xfId="3629"/>
    <cellStyle name="Accent6 2" xfId="3630"/>
    <cellStyle name="Bad 2" xfId="3631"/>
    <cellStyle name="Calc Currency (0)" xfId="3632"/>
    <cellStyle name="Calc Currency (2)" xfId="3633"/>
    <cellStyle name="Calc Percent (0)" xfId="3634"/>
    <cellStyle name="Calc Percent (1)" xfId="3635"/>
    <cellStyle name="Calc Percent (2)" xfId="3636"/>
    <cellStyle name="Calc Units (0)" xfId="3637"/>
    <cellStyle name="Calc Units (1)" xfId="3638"/>
    <cellStyle name="Calc Units (2)" xfId="3639"/>
    <cellStyle name="Calculation 2" xfId="3640"/>
    <cellStyle name="Calculation 2 2" xfId="3641"/>
    <cellStyle name="Calculation 3" xfId="3642"/>
    <cellStyle name="Check Cell 2" xfId="3643"/>
    <cellStyle name="Comma" xfId="1" builtinId="3"/>
    <cellStyle name="Comma [0] 2" xfId="3644"/>
    <cellStyle name="Comma [0] 3" xfId="3645"/>
    <cellStyle name="Comma [00]" xfId="3646"/>
    <cellStyle name="Comma 10" xfId="3647"/>
    <cellStyle name="Comma 10 2" xfId="3648"/>
    <cellStyle name="Comma 11" xfId="3649"/>
    <cellStyle name="Comma 11 2" xfId="3650"/>
    <cellStyle name="Comma 12" xfId="3651"/>
    <cellStyle name="Comma 12 2" xfId="3652"/>
    <cellStyle name="Comma 13" xfId="3653"/>
    <cellStyle name="Comma 13 2" xfId="3654"/>
    <cellStyle name="Comma 14" xfId="3655"/>
    <cellStyle name="Comma 14 2" xfId="3656"/>
    <cellStyle name="Comma 15" xfId="3657"/>
    <cellStyle name="Comma 15 2" xfId="3658"/>
    <cellStyle name="Comma 16" xfId="3659"/>
    <cellStyle name="Comma 16 2" xfId="3660"/>
    <cellStyle name="Comma 17" xfId="3661"/>
    <cellStyle name="Comma 17 2" xfId="3662"/>
    <cellStyle name="Comma 18" xfId="3663"/>
    <cellStyle name="Comma 18 2" xfId="3664"/>
    <cellStyle name="Comma 19" xfId="3665"/>
    <cellStyle name="Comma 19 2" xfId="3666"/>
    <cellStyle name="Comma 2" xfId="3667"/>
    <cellStyle name="Comma 2 10" xfId="3668"/>
    <cellStyle name="Comma 2 11" xfId="3669"/>
    <cellStyle name="Comma 2 12" xfId="3670"/>
    <cellStyle name="Comma 2 13" xfId="3671"/>
    <cellStyle name="Comma 2 14" xfId="3672"/>
    <cellStyle name="Comma 2 15" xfId="3673"/>
    <cellStyle name="Comma 2 16" xfId="3674"/>
    <cellStyle name="Comma 2 17" xfId="3675"/>
    <cellStyle name="Comma 2 18" xfId="3676"/>
    <cellStyle name="Comma 2 19" xfId="3677"/>
    <cellStyle name="Comma 2 2" xfId="3678"/>
    <cellStyle name="Comma 2 2 2" xfId="3679"/>
    <cellStyle name="Comma 2 3" xfId="3680"/>
    <cellStyle name="Comma 2 4" xfId="3681"/>
    <cellStyle name="Comma 2 5" xfId="3682"/>
    <cellStyle name="Comma 2 6" xfId="3683"/>
    <cellStyle name="Comma 2 7" xfId="3684"/>
    <cellStyle name="Comma 2 8" xfId="3685"/>
    <cellStyle name="Comma 2 9" xfId="3686"/>
    <cellStyle name="Comma 2_ByAccount (7)" xfId="3687"/>
    <cellStyle name="Comma 20" xfId="3688"/>
    <cellStyle name="Comma 21" xfId="3689"/>
    <cellStyle name="Comma 21 2" xfId="3690"/>
    <cellStyle name="Comma 21 2 2" xfId="3691"/>
    <cellStyle name="Comma 22" xfId="3692"/>
    <cellStyle name="Comma 22 2" xfId="3693"/>
    <cellStyle name="Comma 23" xfId="3694"/>
    <cellStyle name="Comma 23 2" xfId="3695"/>
    <cellStyle name="Comma 24" xfId="3696"/>
    <cellStyle name="Comma 24 2" xfId="3697"/>
    <cellStyle name="Comma 24 3" xfId="3698"/>
    <cellStyle name="Comma 25" xfId="3699"/>
    <cellStyle name="Comma 25 2" xfId="3700"/>
    <cellStyle name="Comma 26" xfId="3701"/>
    <cellStyle name="Comma 26 2" xfId="3702"/>
    <cellStyle name="Comma 27" xfId="3703"/>
    <cellStyle name="Comma 28" xfId="3704"/>
    <cellStyle name="Comma 29" xfId="3705"/>
    <cellStyle name="Comma 3" xfId="3706"/>
    <cellStyle name="Comma 3 2" xfId="3707"/>
    <cellStyle name="Comma 30" xfId="3708"/>
    <cellStyle name="Comma 31" xfId="3709"/>
    <cellStyle name="Comma 32" xfId="3710"/>
    <cellStyle name="Comma 33" xfId="3711"/>
    <cellStyle name="Comma 34" xfId="3712"/>
    <cellStyle name="Comma 35" xfId="3713"/>
    <cellStyle name="Comma 36" xfId="3714"/>
    <cellStyle name="Comma 37" xfId="3715"/>
    <cellStyle name="Comma 38" xfId="3716"/>
    <cellStyle name="Comma 39" xfId="3717"/>
    <cellStyle name="Comma 4" xfId="3718"/>
    <cellStyle name="Comma 4 2" xfId="3719"/>
    <cellStyle name="Comma 40" xfId="3720"/>
    <cellStyle name="Comma 41" xfId="3721"/>
    <cellStyle name="Comma 42" xfId="3722"/>
    <cellStyle name="Comma 43" xfId="3723"/>
    <cellStyle name="Comma 44" xfId="3724"/>
    <cellStyle name="Comma 45" xfId="3725"/>
    <cellStyle name="Comma 46" xfId="3726"/>
    <cellStyle name="Comma 47" xfId="3727"/>
    <cellStyle name="Comma 48" xfId="3728"/>
    <cellStyle name="Comma 49" xfId="3729"/>
    <cellStyle name="Comma 5" xfId="3730"/>
    <cellStyle name="Comma 5 2" xfId="3731"/>
    <cellStyle name="Comma 50" xfId="3732"/>
    <cellStyle name="Comma 51" xfId="3733"/>
    <cellStyle name="Comma 52" xfId="3734"/>
    <cellStyle name="Comma 53" xfId="3735"/>
    <cellStyle name="Comma 54" xfId="3736"/>
    <cellStyle name="Comma 55" xfId="3737"/>
    <cellStyle name="Comma 56" xfId="3738"/>
    <cellStyle name="Comma 57" xfId="3739"/>
    <cellStyle name="Comma 58" xfId="3740"/>
    <cellStyle name="Comma 59" xfId="3741"/>
    <cellStyle name="Comma 6" xfId="3742"/>
    <cellStyle name="Comma 6 10" xfId="3743"/>
    <cellStyle name="Comma 6 11" xfId="3744"/>
    <cellStyle name="Comma 6 12" xfId="3745"/>
    <cellStyle name="Comma 6 13" xfId="3746"/>
    <cellStyle name="Comma 6 14" xfId="3747"/>
    <cellStyle name="Comma 6 15" xfId="3748"/>
    <cellStyle name="Comma 6 16" xfId="3749"/>
    <cellStyle name="Comma 6 17" xfId="3750"/>
    <cellStyle name="Comma 6 2" xfId="3751"/>
    <cellStyle name="Comma 6 3" xfId="3752"/>
    <cellStyle name="Comma 6 4" xfId="3753"/>
    <cellStyle name="Comma 6 5" xfId="3754"/>
    <cellStyle name="Comma 6 6" xfId="3755"/>
    <cellStyle name="Comma 6 7" xfId="3756"/>
    <cellStyle name="Comma 6 8" xfId="3757"/>
    <cellStyle name="Comma 6 9" xfId="3758"/>
    <cellStyle name="Comma 60" xfId="3759"/>
    <cellStyle name="Comma 61" xfId="3760"/>
    <cellStyle name="Comma 62" xfId="3761"/>
    <cellStyle name="Comma 63" xfId="3762"/>
    <cellStyle name="Comma 64" xfId="3763"/>
    <cellStyle name="Comma 65" xfId="3764"/>
    <cellStyle name="Comma 66" xfId="3765"/>
    <cellStyle name="Comma 67" xfId="3766"/>
    <cellStyle name="Comma 68" xfId="3767"/>
    <cellStyle name="Comma 69" xfId="3768"/>
    <cellStyle name="Comma 7" xfId="3769"/>
    <cellStyle name="Comma 7 2" xfId="3770"/>
    <cellStyle name="Comma 70" xfId="3771"/>
    <cellStyle name="Comma 71" xfId="3772"/>
    <cellStyle name="Comma 72" xfId="3773"/>
    <cellStyle name="Comma 73" xfId="3774"/>
    <cellStyle name="Comma 74" xfId="3775"/>
    <cellStyle name="Comma 75" xfId="3776"/>
    <cellStyle name="Comma 76" xfId="3777"/>
    <cellStyle name="Comma 77" xfId="3778"/>
    <cellStyle name="Comma 78" xfId="3779"/>
    <cellStyle name="Comma 79" xfId="3780"/>
    <cellStyle name="Comma 8" xfId="3781"/>
    <cellStyle name="Comma 8 2" xfId="3782"/>
    <cellStyle name="Comma 80" xfId="3783"/>
    <cellStyle name="Comma 81" xfId="3784"/>
    <cellStyle name="Comma 82" xfId="3785"/>
    <cellStyle name="Comma 83" xfId="3786"/>
    <cellStyle name="Comma 84" xfId="3787"/>
    <cellStyle name="Comma 85" xfId="3788"/>
    <cellStyle name="Comma 86" xfId="3789"/>
    <cellStyle name="Comma 9" xfId="3790"/>
    <cellStyle name="Comma 9 2" xfId="3791"/>
    <cellStyle name="Currency [00]" xfId="3792"/>
    <cellStyle name="Date Short" xfId="3793"/>
    <cellStyle name="DELTA" xfId="3794"/>
    <cellStyle name="Enter Currency (0)" xfId="3795"/>
    <cellStyle name="Enter Currency (2)" xfId="3796"/>
    <cellStyle name="Enter Units (0)" xfId="3797"/>
    <cellStyle name="Enter Units (1)" xfId="3798"/>
    <cellStyle name="Enter Units (2)" xfId="3799"/>
    <cellStyle name="Explanatory Text 2" xfId="3800"/>
    <cellStyle name="F0" xfId="3801"/>
    <cellStyle name="F1" xfId="3802"/>
    <cellStyle name="F2" xfId="3803"/>
    <cellStyle name="Good 2" xfId="3804"/>
    <cellStyle name="Grey" xfId="3805"/>
    <cellStyle name="Header1" xfId="3806"/>
    <cellStyle name="Header2" xfId="3807"/>
    <cellStyle name="Heading 1 2" xfId="3808"/>
    <cellStyle name="Heading 1 2 2" xfId="3809"/>
    <cellStyle name="Heading 1 3" xfId="3810"/>
    <cellStyle name="Heading 2 2" xfId="3811"/>
    <cellStyle name="Heading 2 2 2" xfId="3812"/>
    <cellStyle name="Heading 2 3" xfId="3813"/>
    <cellStyle name="Heading 3 2" xfId="3814"/>
    <cellStyle name="Heading 3 2 2" xfId="3815"/>
    <cellStyle name="Heading 3 3" xfId="3816"/>
    <cellStyle name="Heading 4 2" xfId="3817"/>
    <cellStyle name="Heading 4 2 2" xfId="3818"/>
    <cellStyle name="Heading 4 3" xfId="3819"/>
    <cellStyle name="Hyperlink 2" xfId="3820"/>
    <cellStyle name="Hyperlink 2 2" xfId="3821"/>
    <cellStyle name="Input [yellow]" xfId="3822"/>
    <cellStyle name="Input 2" xfId="3823"/>
    <cellStyle name="Input 3" xfId="3824"/>
    <cellStyle name="Link Currency (0)" xfId="3825"/>
    <cellStyle name="Link Currency (2)" xfId="3826"/>
    <cellStyle name="Link Units (0)" xfId="3827"/>
    <cellStyle name="Link Units (1)" xfId="3828"/>
    <cellStyle name="Link Units (2)" xfId="3829"/>
    <cellStyle name="Linked Cell 2" xfId="3830"/>
    <cellStyle name="Milliers [0]_AR1194" xfId="3831"/>
    <cellStyle name="Milliers_AR1194" xfId="3832"/>
    <cellStyle name="Monétaire [0]_AR1194" xfId="3833"/>
    <cellStyle name="Monétaire_AR1194" xfId="3834"/>
    <cellStyle name="Neutral 2" xfId="3835"/>
    <cellStyle name="Normal" xfId="0" builtinId="0"/>
    <cellStyle name="Normal - Style1" xfId="3836"/>
    <cellStyle name="Normal 10" xfId="3837"/>
    <cellStyle name="Normal 10 2" xfId="3838"/>
    <cellStyle name="Normal 100" xfId="3839"/>
    <cellStyle name="Normal 101" xfId="3840"/>
    <cellStyle name="Normal 102" xfId="3841"/>
    <cellStyle name="Normal 103" xfId="3842"/>
    <cellStyle name="Normal 104" xfId="3843"/>
    <cellStyle name="Normal 105" xfId="3844"/>
    <cellStyle name="Normal 106" xfId="3845"/>
    <cellStyle name="Normal 107" xfId="3846"/>
    <cellStyle name="Normal 108" xfId="3847"/>
    <cellStyle name="Normal 109" xfId="3848"/>
    <cellStyle name="Normal 11" xfId="3849"/>
    <cellStyle name="Normal 11 2" xfId="3850"/>
    <cellStyle name="Normal 11 2 2" xfId="3851"/>
    <cellStyle name="Normal 110" xfId="3852"/>
    <cellStyle name="Normal 111" xfId="3853"/>
    <cellStyle name="Normal 112" xfId="3854"/>
    <cellStyle name="Normal 113" xfId="3855"/>
    <cellStyle name="Normal 114" xfId="3856"/>
    <cellStyle name="Normal 115" xfId="3857"/>
    <cellStyle name="Normal 116" xfId="3858"/>
    <cellStyle name="Normal 117" xfId="3859"/>
    <cellStyle name="Normal 118" xfId="3860"/>
    <cellStyle name="Normal 119" xfId="3861"/>
    <cellStyle name="Normal 12" xfId="3862"/>
    <cellStyle name="Normal 12 2" xfId="3863"/>
    <cellStyle name="Normal 12 3" xfId="3864"/>
    <cellStyle name="Normal 120" xfId="3865"/>
    <cellStyle name="Normal 121" xfId="3866"/>
    <cellStyle name="Normal 122" xfId="3867"/>
    <cellStyle name="Normal 123" xfId="3868"/>
    <cellStyle name="Normal 124" xfId="3869"/>
    <cellStyle name="Normal 125" xfId="3870"/>
    <cellStyle name="Normal 126" xfId="3871"/>
    <cellStyle name="Normal 127" xfId="3872"/>
    <cellStyle name="Normal 128" xfId="3873"/>
    <cellStyle name="Normal 129" xfId="3874"/>
    <cellStyle name="Normal 13" xfId="3875"/>
    <cellStyle name="Normal 13 2" xfId="3876"/>
    <cellStyle name="Normal 130" xfId="3877"/>
    <cellStyle name="Normal 131" xfId="3878"/>
    <cellStyle name="Normal 132" xfId="3879"/>
    <cellStyle name="Normal 133" xfId="3880"/>
    <cellStyle name="Normal 134" xfId="3881"/>
    <cellStyle name="Normal 135" xfId="3882"/>
    <cellStyle name="Normal 136" xfId="3883"/>
    <cellStyle name="Normal 137" xfId="3884"/>
    <cellStyle name="Normal 138" xfId="3885"/>
    <cellStyle name="Normal 139" xfId="3886"/>
    <cellStyle name="Normal 14" xfId="3887"/>
    <cellStyle name="Normal 14 2" xfId="3888"/>
    <cellStyle name="Normal 140" xfId="3889"/>
    <cellStyle name="Normal 141" xfId="3890"/>
    <cellStyle name="Normal 142" xfId="3891"/>
    <cellStyle name="Normal 143" xfId="3892"/>
    <cellStyle name="Normal 144" xfId="3893"/>
    <cellStyle name="Normal 145" xfId="3894"/>
    <cellStyle name="Normal 146" xfId="3895"/>
    <cellStyle name="Normal 147" xfId="3896"/>
    <cellStyle name="Normal 148" xfId="3897"/>
    <cellStyle name="Normal 149" xfId="3898"/>
    <cellStyle name="Normal 15" xfId="3899"/>
    <cellStyle name="Normal 15 2" xfId="3900"/>
    <cellStyle name="Normal 15 3" xfId="3901"/>
    <cellStyle name="Normal 15 4" xfId="3902"/>
    <cellStyle name="Normal 150" xfId="3903"/>
    <cellStyle name="Normal 151" xfId="3904"/>
    <cellStyle name="Normal 152" xfId="3905"/>
    <cellStyle name="Normal 153" xfId="3906"/>
    <cellStyle name="Normal 154" xfId="3907"/>
    <cellStyle name="Normal 155" xfId="3908"/>
    <cellStyle name="Normal 156" xfId="3909"/>
    <cellStyle name="Normal 157" xfId="3910"/>
    <cellStyle name="Normal 158" xfId="3911"/>
    <cellStyle name="Normal 159" xfId="3912"/>
    <cellStyle name="Normal 16" xfId="3913"/>
    <cellStyle name="Normal 16 2" xfId="3914"/>
    <cellStyle name="Normal 160" xfId="3915"/>
    <cellStyle name="Normal 161" xfId="3916"/>
    <cellStyle name="Normal 162" xfId="3917"/>
    <cellStyle name="Normal 163" xfId="3918"/>
    <cellStyle name="Normal 164" xfId="3919"/>
    <cellStyle name="Normal 165" xfId="3920"/>
    <cellStyle name="Normal 166" xfId="3921"/>
    <cellStyle name="Normal 167" xfId="3922"/>
    <cellStyle name="Normal 168" xfId="3923"/>
    <cellStyle name="Normal 169" xfId="3924"/>
    <cellStyle name="Normal 17" xfId="3925"/>
    <cellStyle name="Normal 17 2" xfId="3926"/>
    <cellStyle name="Normal 170" xfId="3927"/>
    <cellStyle name="Normal 18" xfId="3928"/>
    <cellStyle name="Normal 19" xfId="3929"/>
    <cellStyle name="Normal 2" xfId="3930"/>
    <cellStyle name="Normal 2 10" xfId="3931"/>
    <cellStyle name="Normal 2 11" xfId="3932"/>
    <cellStyle name="Normal 2 12" xfId="3933"/>
    <cellStyle name="Normal 2 13" xfId="3934"/>
    <cellStyle name="Normal 2 14" xfId="3935"/>
    <cellStyle name="Normal 2 15" xfId="3936"/>
    <cellStyle name="Normal 2 16" xfId="3937"/>
    <cellStyle name="Normal 2 17" xfId="3938"/>
    <cellStyle name="Normal 2 18" xfId="3939"/>
    <cellStyle name="Normal 2 19" xfId="3940"/>
    <cellStyle name="Normal 2 2" xfId="3941"/>
    <cellStyle name="Normal 2 2 2" xfId="3942"/>
    <cellStyle name="Normal 2 20" xfId="3943"/>
    <cellStyle name="Normal 2 21" xfId="3944"/>
    <cellStyle name="Normal 2 22" xfId="3945"/>
    <cellStyle name="Normal 2 3" xfId="3946"/>
    <cellStyle name="Normal 2 3 2" xfId="3947"/>
    <cellStyle name="Normal 2 4" xfId="3948"/>
    <cellStyle name="Normal 2 5" xfId="3949"/>
    <cellStyle name="Normal 2 6" xfId="3950"/>
    <cellStyle name="Normal 2 7" xfId="3951"/>
    <cellStyle name="Normal 2 8" xfId="3952"/>
    <cellStyle name="Normal 2 9" xfId="3953"/>
    <cellStyle name="Normal 2_30 Nov 2011" xfId="3954"/>
    <cellStyle name="Normal 20" xfId="3955"/>
    <cellStyle name="Normal 21" xfId="3956"/>
    <cellStyle name="Normal 22" xfId="3957"/>
    <cellStyle name="Normal 23" xfId="3958"/>
    <cellStyle name="Normal 24" xfId="3959"/>
    <cellStyle name="Normal 25" xfId="3960"/>
    <cellStyle name="Normal 26" xfId="3961"/>
    <cellStyle name="Normal 27" xfId="3962"/>
    <cellStyle name="Normal 28" xfId="3963"/>
    <cellStyle name="Normal 29" xfId="3964"/>
    <cellStyle name="Normal 3" xfId="3965"/>
    <cellStyle name="Normal 3 2" xfId="3966"/>
    <cellStyle name="Normal 3 2 2" xfId="3967"/>
    <cellStyle name="Normal 3 3" xfId="3968"/>
    <cellStyle name="Normal 3 3 2" xfId="3969"/>
    <cellStyle name="Normal 3 3 3" xfId="3970"/>
    <cellStyle name="Normal 3 3 4" xfId="3971"/>
    <cellStyle name="Normal 3 3 5" xfId="3972"/>
    <cellStyle name="Normal 3 4" xfId="3973"/>
    <cellStyle name="Normal 3 5" xfId="3974"/>
    <cellStyle name="Normal 3_Bev" xfId="3975"/>
    <cellStyle name="Normal 30" xfId="3976"/>
    <cellStyle name="Normal 31" xfId="3977"/>
    <cellStyle name="Normal 32" xfId="3978"/>
    <cellStyle name="Normal 33" xfId="3979"/>
    <cellStyle name="Normal 34" xfId="3980"/>
    <cellStyle name="Normal 35" xfId="3981"/>
    <cellStyle name="Normal 36" xfId="3982"/>
    <cellStyle name="Normal 37" xfId="3983"/>
    <cellStyle name="Normal 38" xfId="3984"/>
    <cellStyle name="Normal 39" xfId="3985"/>
    <cellStyle name="Normal 4" xfId="3986"/>
    <cellStyle name="Normal 4 10" xfId="3987"/>
    <cellStyle name="Normal 4 11" xfId="3988"/>
    <cellStyle name="Normal 4 12" xfId="3989"/>
    <cellStyle name="Normal 4 13" xfId="3990"/>
    <cellStyle name="Normal 4 14" xfId="3991"/>
    <cellStyle name="Normal 4 15" xfId="3992"/>
    <cellStyle name="Normal 4 16" xfId="3993"/>
    <cellStyle name="Normal 4 17" xfId="3994"/>
    <cellStyle name="Normal 4 18" xfId="3995"/>
    <cellStyle name="Normal 4 19" xfId="3996"/>
    <cellStyle name="Normal 4 19 2" xfId="3997"/>
    <cellStyle name="Normal 4 19 3" xfId="3998"/>
    <cellStyle name="Normal 4 19 4" xfId="3999"/>
    <cellStyle name="Normal 4 2" xfId="4000"/>
    <cellStyle name="Normal 4 3" xfId="4001"/>
    <cellStyle name="Normal 4 4" xfId="4002"/>
    <cellStyle name="Normal 4 5" xfId="4003"/>
    <cellStyle name="Normal 4 6" xfId="4004"/>
    <cellStyle name="Normal 4 7" xfId="4005"/>
    <cellStyle name="Normal 4 8" xfId="4006"/>
    <cellStyle name="Normal 4 9" xfId="4007"/>
    <cellStyle name="Normal 4_AccountP (Dec)" xfId="4008"/>
    <cellStyle name="Normal 40" xfId="4009"/>
    <cellStyle name="Normal 41" xfId="4010"/>
    <cellStyle name="Normal 42" xfId="4011"/>
    <cellStyle name="Normal 43" xfId="4012"/>
    <cellStyle name="Normal 44" xfId="4013"/>
    <cellStyle name="Normal 45" xfId="4014"/>
    <cellStyle name="Normal 46" xfId="4015"/>
    <cellStyle name="Normal 47" xfId="4016"/>
    <cellStyle name="Normal 48" xfId="4017"/>
    <cellStyle name="Normal 49" xfId="4018"/>
    <cellStyle name="Normal 5" xfId="4019"/>
    <cellStyle name="Normal 5 2" xfId="4020"/>
    <cellStyle name="Normal 50" xfId="4021"/>
    <cellStyle name="Normal 51" xfId="4022"/>
    <cellStyle name="Normal 52" xfId="4023"/>
    <cellStyle name="Normal 53" xfId="4024"/>
    <cellStyle name="Normal 54" xfId="4025"/>
    <cellStyle name="Normal 55" xfId="4026"/>
    <cellStyle name="Normal 56" xfId="4027"/>
    <cellStyle name="Normal 57" xfId="4028"/>
    <cellStyle name="Normal 58" xfId="4029"/>
    <cellStyle name="Normal 59" xfId="4030"/>
    <cellStyle name="Normal 6" xfId="4031"/>
    <cellStyle name="Normal 6 2" xfId="4032"/>
    <cellStyle name="Normal 60" xfId="4033"/>
    <cellStyle name="Normal 61" xfId="4034"/>
    <cellStyle name="Normal 62" xfId="4035"/>
    <cellStyle name="Normal 63" xfId="4036"/>
    <cellStyle name="Normal 64" xfId="4037"/>
    <cellStyle name="Normal 65" xfId="4038"/>
    <cellStyle name="Normal 66" xfId="4039"/>
    <cellStyle name="Normal 67" xfId="4040"/>
    <cellStyle name="Normal 68" xfId="4041"/>
    <cellStyle name="Normal 69" xfId="4042"/>
    <cellStyle name="Normal 7" xfId="4043"/>
    <cellStyle name="Normal 70" xfId="4044"/>
    <cellStyle name="Normal 71" xfId="4045"/>
    <cellStyle name="Normal 72" xfId="4046"/>
    <cellStyle name="Normal 73" xfId="4047"/>
    <cellStyle name="Normal 74" xfId="4048"/>
    <cellStyle name="Normal 75" xfId="4049"/>
    <cellStyle name="Normal 76" xfId="4050"/>
    <cellStyle name="Normal 77" xfId="4051"/>
    <cellStyle name="Normal 78" xfId="4052"/>
    <cellStyle name="Normal 79" xfId="4053"/>
    <cellStyle name="Normal 8" xfId="4054"/>
    <cellStyle name="Normal 80" xfId="4055"/>
    <cellStyle name="Normal 81" xfId="4056"/>
    <cellStyle name="Normal 82" xfId="4057"/>
    <cellStyle name="Normal 83" xfId="4058"/>
    <cellStyle name="Normal 84" xfId="4059"/>
    <cellStyle name="Normal 85" xfId="4060"/>
    <cellStyle name="Normal 86" xfId="4061"/>
    <cellStyle name="Normal 87" xfId="4062"/>
    <cellStyle name="Normal 88" xfId="4063"/>
    <cellStyle name="Normal 89" xfId="4064"/>
    <cellStyle name="Normal 9" xfId="4065"/>
    <cellStyle name="Normal 9 2" xfId="4066"/>
    <cellStyle name="Normal 90" xfId="4067"/>
    <cellStyle name="Normal 91" xfId="4068"/>
    <cellStyle name="Normal 92" xfId="4069"/>
    <cellStyle name="Normal 93" xfId="4070"/>
    <cellStyle name="Normal 94" xfId="4071"/>
    <cellStyle name="Normal 95" xfId="4072"/>
    <cellStyle name="Normal 96" xfId="4073"/>
    <cellStyle name="Normal 97" xfId="4074"/>
    <cellStyle name="Normal 98" xfId="4075"/>
    <cellStyle name="Normal 99" xfId="4076"/>
    <cellStyle name="Note 10" xfId="4077"/>
    <cellStyle name="Note 10 2" xfId="4078"/>
    <cellStyle name="Note 10 2 2" xfId="4079"/>
    <cellStyle name="Note 10 3" xfId="4080"/>
    <cellStyle name="Note 10 3 2" xfId="4081"/>
    <cellStyle name="Note 10 4" xfId="4082"/>
    <cellStyle name="Note 10 4 2" xfId="4083"/>
    <cellStyle name="Note 10 5" xfId="4084"/>
    <cellStyle name="Note 10 5 2" xfId="4085"/>
    <cellStyle name="Note 10 6" xfId="4086"/>
    <cellStyle name="Note 10_AccountP (Jun)" xfId="4087"/>
    <cellStyle name="Note 11" xfId="4088"/>
    <cellStyle name="Note 11 2" xfId="4089"/>
    <cellStyle name="Note 11 2 2" xfId="4090"/>
    <cellStyle name="Note 11 3" xfId="4091"/>
    <cellStyle name="Note 11 3 2" xfId="4092"/>
    <cellStyle name="Note 11 4" xfId="4093"/>
    <cellStyle name="Note 11 4 2" xfId="4094"/>
    <cellStyle name="Note 11 5" xfId="4095"/>
    <cellStyle name="Note 11 5 2" xfId="4096"/>
    <cellStyle name="Note 11 6" xfId="4097"/>
    <cellStyle name="Note 11_AccountP (Jun)" xfId="4098"/>
    <cellStyle name="Note 12" xfId="4099"/>
    <cellStyle name="Note 12 2" xfId="4100"/>
    <cellStyle name="Note 12 2 2" xfId="4101"/>
    <cellStyle name="Note 12 3" xfId="4102"/>
    <cellStyle name="Note 12 3 2" xfId="4103"/>
    <cellStyle name="Note 12 4" xfId="4104"/>
    <cellStyle name="Note 12 4 2" xfId="4105"/>
    <cellStyle name="Note 12 5" xfId="4106"/>
    <cellStyle name="Note 12 5 2" xfId="4107"/>
    <cellStyle name="Note 12 6" xfId="4108"/>
    <cellStyle name="Note 12_AccountP (Jun)" xfId="4109"/>
    <cellStyle name="Note 13" xfId="4110"/>
    <cellStyle name="Note 13 2" xfId="4111"/>
    <cellStyle name="Note 13 2 2" xfId="4112"/>
    <cellStyle name="Note 13 3" xfId="4113"/>
    <cellStyle name="Note 13 3 2" xfId="4114"/>
    <cellStyle name="Note 13 4" xfId="4115"/>
    <cellStyle name="Note 13 4 2" xfId="4116"/>
    <cellStyle name="Note 13 5" xfId="4117"/>
    <cellStyle name="Note 13_AccountP (Jun)" xfId="4118"/>
    <cellStyle name="Note 14" xfId="4119"/>
    <cellStyle name="Note 14 2" xfId="4120"/>
    <cellStyle name="Note 15" xfId="4121"/>
    <cellStyle name="Note 15 2" xfId="4122"/>
    <cellStyle name="Note 16" xfId="4123"/>
    <cellStyle name="Note 16 2" xfId="4124"/>
    <cellStyle name="Note 17" xfId="4125"/>
    <cellStyle name="Note 17 2" xfId="4126"/>
    <cellStyle name="Note 18" xfId="4127"/>
    <cellStyle name="Note 18 2" xfId="4128"/>
    <cellStyle name="Note 2" xfId="4129"/>
    <cellStyle name="Note 2 10" xfId="4130"/>
    <cellStyle name="Note 2 10 2" xfId="4131"/>
    <cellStyle name="Note 2 11" xfId="4132"/>
    <cellStyle name="Note 2 11 2" xfId="4133"/>
    <cellStyle name="Note 2 12" xfId="4134"/>
    <cellStyle name="Note 2 12 2" xfId="4135"/>
    <cellStyle name="Note 2 13" xfId="4136"/>
    <cellStyle name="Note 2 13 2" xfId="4137"/>
    <cellStyle name="Note 2 14" xfId="4138"/>
    <cellStyle name="Note 2 14 2" xfId="4139"/>
    <cellStyle name="Note 2 15" xfId="4140"/>
    <cellStyle name="Note 2 15 2" xfId="4141"/>
    <cellStyle name="Note 2 16" xfId="4142"/>
    <cellStyle name="Note 2 16 2" xfId="4143"/>
    <cellStyle name="Note 2 17" xfId="4144"/>
    <cellStyle name="Note 2 18" xfId="4145"/>
    <cellStyle name="Note 2 2" xfId="4146"/>
    <cellStyle name="Note 2 2 2" xfId="4147"/>
    <cellStyle name="Note 2 2 2 2" xfId="4148"/>
    <cellStyle name="Note 2 2 3" xfId="4149"/>
    <cellStyle name="Note 2 3" xfId="4150"/>
    <cellStyle name="Note 2 3 2" xfId="4151"/>
    <cellStyle name="Note 2 4" xfId="4152"/>
    <cellStyle name="Note 2 4 2" xfId="4153"/>
    <cellStyle name="Note 2 5" xfId="4154"/>
    <cellStyle name="Note 2 5 2" xfId="4155"/>
    <cellStyle name="Note 2 6" xfId="4156"/>
    <cellStyle name="Note 2 6 2" xfId="4157"/>
    <cellStyle name="Note 2 7" xfId="4158"/>
    <cellStyle name="Note 2 7 2" xfId="4159"/>
    <cellStyle name="Note 2 8" xfId="4160"/>
    <cellStyle name="Note 2 8 2" xfId="4161"/>
    <cellStyle name="Note 2 9" xfId="4162"/>
    <cellStyle name="Note 2 9 2" xfId="4163"/>
    <cellStyle name="Note 2_AccountP (Jun)" xfId="4164"/>
    <cellStyle name="Note 3" xfId="4165"/>
    <cellStyle name="Note 3 2" xfId="4166"/>
    <cellStyle name="Note 3 2 2" xfId="4167"/>
    <cellStyle name="Note 3 3" xfId="4168"/>
    <cellStyle name="Note 3 3 2" xfId="4169"/>
    <cellStyle name="Note 3 4" xfId="4170"/>
    <cellStyle name="Note 3 4 2" xfId="4171"/>
    <cellStyle name="Note 3 5" xfId="4172"/>
    <cellStyle name="Note 3 5 2" xfId="4173"/>
    <cellStyle name="Note 3 6" xfId="4174"/>
    <cellStyle name="Note 3_AccountP (Jun)" xfId="4175"/>
    <cellStyle name="Note 4" xfId="4176"/>
    <cellStyle name="Note 4 2" xfId="4177"/>
    <cellStyle name="Note 4 2 2" xfId="4178"/>
    <cellStyle name="Note 4 3" xfId="4179"/>
    <cellStyle name="Note 4 3 2" xfId="4180"/>
    <cellStyle name="Note 4 4" xfId="4181"/>
    <cellStyle name="Note 4 4 2" xfId="4182"/>
    <cellStyle name="Note 4 5" xfId="4183"/>
    <cellStyle name="Note 4 5 2" xfId="4184"/>
    <cellStyle name="Note 4 6" xfId="4185"/>
    <cellStyle name="Note 4_AccountP (Jun)" xfId="4186"/>
    <cellStyle name="Note 5" xfId="4187"/>
    <cellStyle name="Note 5 2" xfId="4188"/>
    <cellStyle name="Note 5 2 2" xfId="4189"/>
    <cellStyle name="Note 5 3" xfId="4190"/>
    <cellStyle name="Note 5 3 2" xfId="4191"/>
    <cellStyle name="Note 5 4" xfId="4192"/>
    <cellStyle name="Note 5 4 2" xfId="4193"/>
    <cellStyle name="Note 5 5" xfId="4194"/>
    <cellStyle name="Note 5 5 2" xfId="4195"/>
    <cellStyle name="Note 5 6" xfId="4196"/>
    <cellStyle name="Note 5_AccountP (Jun)" xfId="4197"/>
    <cellStyle name="Note 6" xfId="4198"/>
    <cellStyle name="Note 6 2" xfId="4199"/>
    <cellStyle name="Note 6 2 2" xfId="4200"/>
    <cellStyle name="Note 6 3" xfId="4201"/>
    <cellStyle name="Note 6 3 2" xfId="4202"/>
    <cellStyle name="Note 6 4" xfId="4203"/>
    <cellStyle name="Note 6 4 2" xfId="4204"/>
    <cellStyle name="Note 6 5" xfId="4205"/>
    <cellStyle name="Note 6 5 2" xfId="4206"/>
    <cellStyle name="Note 6 6" xfId="4207"/>
    <cellStyle name="Note 6_AccountP (Jun)" xfId="4208"/>
    <cellStyle name="Note 7" xfId="4209"/>
    <cellStyle name="Note 7 2" xfId="4210"/>
    <cellStyle name="Note 7 2 2" xfId="4211"/>
    <cellStyle name="Note 7 3" xfId="4212"/>
    <cellStyle name="Note 7 3 2" xfId="4213"/>
    <cellStyle name="Note 7 4" xfId="4214"/>
    <cellStyle name="Note 7 4 2" xfId="4215"/>
    <cellStyle name="Note 7 5" xfId="4216"/>
    <cellStyle name="Note 7 5 2" xfId="4217"/>
    <cellStyle name="Note 7 6" xfId="4218"/>
    <cellStyle name="Note 7_AccountP (Jun)" xfId="4219"/>
    <cellStyle name="Note 8" xfId="4220"/>
    <cellStyle name="Note 8 2" xfId="4221"/>
    <cellStyle name="Note 8 2 2" xfId="4222"/>
    <cellStyle name="Note 8 3" xfId="4223"/>
    <cellStyle name="Note 8 3 2" xfId="4224"/>
    <cellStyle name="Note 8 4" xfId="4225"/>
    <cellStyle name="Note 8 4 2" xfId="4226"/>
    <cellStyle name="Note 8 5" xfId="4227"/>
    <cellStyle name="Note 8 5 2" xfId="4228"/>
    <cellStyle name="Note 8 6" xfId="4229"/>
    <cellStyle name="Note 8_AccountP (Jun)" xfId="4230"/>
    <cellStyle name="Note 9" xfId="4231"/>
    <cellStyle name="Note 9 2" xfId="4232"/>
    <cellStyle name="Note 9 2 2" xfId="4233"/>
    <cellStyle name="Note 9 3" xfId="4234"/>
    <cellStyle name="Note 9 3 2" xfId="4235"/>
    <cellStyle name="Note 9 4" xfId="4236"/>
    <cellStyle name="Note 9 4 2" xfId="4237"/>
    <cellStyle name="Note 9 5" xfId="4238"/>
    <cellStyle name="Note 9 5 2" xfId="4239"/>
    <cellStyle name="Note 9 6" xfId="4240"/>
    <cellStyle name="Note 9_AccountP (Jun)" xfId="4241"/>
    <cellStyle name="Output 2" xfId="4242"/>
    <cellStyle name="Output 2 2" xfId="4243"/>
    <cellStyle name="Output 3" xfId="4244"/>
    <cellStyle name="paint" xfId="4245"/>
    <cellStyle name="Percent" xfId="2" builtinId="5"/>
    <cellStyle name="Percent [0]" xfId="4246"/>
    <cellStyle name="Percent [00]" xfId="4247"/>
    <cellStyle name="Percent [2]" xfId="4248"/>
    <cellStyle name="Percent [2] 10" xfId="4249"/>
    <cellStyle name="Percent [2] 11" xfId="4250"/>
    <cellStyle name="Percent [2] 12" xfId="4251"/>
    <cellStyle name="Percent [2] 13" xfId="4252"/>
    <cellStyle name="Percent [2] 14" xfId="4253"/>
    <cellStyle name="Percent [2] 15" xfId="4254"/>
    <cellStyle name="Percent [2] 16" xfId="4255"/>
    <cellStyle name="Percent [2] 2" xfId="4256"/>
    <cellStyle name="Percent [2] 3" xfId="4257"/>
    <cellStyle name="Percent [2] 4" xfId="4258"/>
    <cellStyle name="Percent [2] 5" xfId="4259"/>
    <cellStyle name="Percent [2] 6" xfId="4260"/>
    <cellStyle name="Percent [2] 7" xfId="4261"/>
    <cellStyle name="Percent [2] 8" xfId="4262"/>
    <cellStyle name="Percent [2] 9" xfId="4263"/>
    <cellStyle name="Percent 2" xfId="4264"/>
    <cellStyle name="Percent 2 2" xfId="4265"/>
    <cellStyle name="Percent 2 3" xfId="4266"/>
    <cellStyle name="PERCENTAGE" xfId="4267"/>
    <cellStyle name="PrePop Currency (0)" xfId="4268"/>
    <cellStyle name="PrePop Currency (2)" xfId="4269"/>
    <cellStyle name="PrePop Units (0)" xfId="4270"/>
    <cellStyle name="PrePop Units (1)" xfId="4271"/>
    <cellStyle name="PrePop Units (2)" xfId="4272"/>
    <cellStyle name="PSChar" xfId="4273"/>
    <cellStyle name="PSDate" xfId="4274"/>
    <cellStyle name="PSInt" xfId="4275"/>
    <cellStyle name="STYL1 - Style1" xfId="4276"/>
    <cellStyle name="STYL1 - Style1 2" xfId="4277"/>
    <cellStyle name="Style 1" xfId="4278"/>
    <cellStyle name="Style 1 10" xfId="4279"/>
    <cellStyle name="Style 1 11" xfId="4280"/>
    <cellStyle name="Style 1 12" xfId="4281"/>
    <cellStyle name="Style 1 13" xfId="4282"/>
    <cellStyle name="Style 1 14" xfId="4283"/>
    <cellStyle name="Style 1 15" xfId="4284"/>
    <cellStyle name="Style 1 16" xfId="4285"/>
    <cellStyle name="Style 1 17" xfId="4286"/>
    <cellStyle name="Style 1 18" xfId="4287"/>
    <cellStyle name="Style 1 2" xfId="4288"/>
    <cellStyle name="Style 1 3" xfId="4289"/>
    <cellStyle name="Style 1 4" xfId="4290"/>
    <cellStyle name="Style 1 5" xfId="4291"/>
    <cellStyle name="Style 1 6" xfId="4292"/>
    <cellStyle name="Style 1 7" xfId="4293"/>
    <cellStyle name="Style 1 8" xfId="4294"/>
    <cellStyle name="Style 1 9" xfId="4295"/>
    <cellStyle name="Style 1_2011 P12 PnL Vision - with BD" xfId="4296"/>
    <cellStyle name="Text Indent A" xfId="4297"/>
    <cellStyle name="Text Indent B" xfId="4298"/>
    <cellStyle name="Text Indent C" xfId="4299"/>
    <cellStyle name="Title 2" xfId="4300"/>
    <cellStyle name="Title 2 2" xfId="4301"/>
    <cellStyle name="Title 3" xfId="4302"/>
    <cellStyle name="Total 2" xfId="4303"/>
    <cellStyle name="Total 2 2" xfId="4304"/>
    <cellStyle name="Total 3" xfId="4305"/>
    <cellStyle name="Tusental (0)_pldt" xfId="4306"/>
    <cellStyle name="Tusental_pldt" xfId="4307"/>
    <cellStyle name="Valuta (0)_pldt" xfId="4308"/>
    <cellStyle name="Valuta_pldt" xfId="4309"/>
    <cellStyle name="Virgül [0]_ağustos" xfId="4310"/>
    <cellStyle name="Virgül_ağustos" xfId="4311"/>
    <cellStyle name="Warning Text 2" xfId="4312"/>
    <cellStyle name="一般_01SCH(1)" xfId="4313"/>
    <cellStyle name="中等" xfId="4314"/>
    <cellStyle name="備註" xfId="4315"/>
    <cellStyle name="備註 10" xfId="4316"/>
    <cellStyle name="備註 10 2" xfId="4317"/>
    <cellStyle name="備註 11" xfId="4318"/>
    <cellStyle name="備註 11 2" xfId="4319"/>
    <cellStyle name="備註 12" xfId="4320"/>
    <cellStyle name="備註 12 2" xfId="4321"/>
    <cellStyle name="備註 13" xfId="4322"/>
    <cellStyle name="備註 13 2" xfId="4323"/>
    <cellStyle name="備註 14" xfId="4324"/>
    <cellStyle name="備註 14 2" xfId="4325"/>
    <cellStyle name="備註 15" xfId="4326"/>
    <cellStyle name="備註 15 2" xfId="4327"/>
    <cellStyle name="備註 16" xfId="4328"/>
    <cellStyle name="備註 16 2" xfId="4329"/>
    <cellStyle name="備註 17" xfId="4330"/>
    <cellStyle name="備註 17 2" xfId="4331"/>
    <cellStyle name="備註 18" xfId="4332"/>
    <cellStyle name="備註 2" xfId="4333"/>
    <cellStyle name="備註 2 2" xfId="4334"/>
    <cellStyle name="備註 3" xfId="4335"/>
    <cellStyle name="備註 3 2" xfId="4336"/>
    <cellStyle name="備註 4" xfId="4337"/>
    <cellStyle name="備註 4 2" xfId="4338"/>
    <cellStyle name="備註 5" xfId="4339"/>
    <cellStyle name="備註 5 2" xfId="4340"/>
    <cellStyle name="備註 6" xfId="4341"/>
    <cellStyle name="備註 6 2" xfId="4342"/>
    <cellStyle name="備註 7" xfId="4343"/>
    <cellStyle name="備註 7 2" xfId="4344"/>
    <cellStyle name="備註 8" xfId="4345"/>
    <cellStyle name="備註 8 2" xfId="4346"/>
    <cellStyle name="備註 9" xfId="4347"/>
    <cellStyle name="備註 9 2" xfId="4348"/>
    <cellStyle name="備註_AccountP (Jun)" xfId="4349"/>
    <cellStyle name="千分位_01SCH(1)" xfId="4350"/>
    <cellStyle name="合計" xfId="4351"/>
    <cellStyle name="合計 2" xfId="4352"/>
    <cellStyle name="壞" xfId="4353"/>
    <cellStyle name="壞_Accrual movement " xfId="4354"/>
    <cellStyle name="壞_Accrual movement _Expensive leased cars" xfId="4355"/>
    <cellStyle name="壞_Accrual movement _TB" xfId="4356"/>
    <cellStyle name="壞_comm" xfId="4357"/>
    <cellStyle name="壞_Expensive leased cars" xfId="4358"/>
    <cellStyle name="壞_P1106065" xfId="4359"/>
    <cellStyle name="壞_TB" xfId="4360"/>
    <cellStyle name="好" xfId="4361"/>
    <cellStyle name="好_Accrual movement " xfId="4362"/>
    <cellStyle name="好_Accrual movement _Expensive leased cars" xfId="4363"/>
    <cellStyle name="好_Accrual movement _TB" xfId="4364"/>
    <cellStyle name="好_comm" xfId="4365"/>
    <cellStyle name="好_Expensive leased cars" xfId="4366"/>
    <cellStyle name="好_P1106065" xfId="4367"/>
    <cellStyle name="好_TB" xfId="4368"/>
    <cellStyle name="常规_Advances" xfId="4369"/>
    <cellStyle name="標題" xfId="4370"/>
    <cellStyle name="標題 1" xfId="4371"/>
    <cellStyle name="標題 2" xfId="4372"/>
    <cellStyle name="標題 3" xfId="4373"/>
    <cellStyle name="標題 4" xfId="4374"/>
    <cellStyle name="標題_comm" xfId="4375"/>
    <cellStyle name="檢查儲存格" xfId="4376"/>
    <cellStyle name="計算方式" xfId="4377"/>
    <cellStyle name="計算方式 2" xfId="4378"/>
    <cellStyle name="說明文字" xfId="4379"/>
    <cellStyle name="警告文字" xfId="4380"/>
    <cellStyle name="輔色1" xfId="4381"/>
    <cellStyle name="輔色2" xfId="4382"/>
    <cellStyle name="輔色3" xfId="4383"/>
    <cellStyle name="輔色4" xfId="4384"/>
    <cellStyle name="輔色5" xfId="4385"/>
    <cellStyle name="輔色6" xfId="4386"/>
    <cellStyle name="輸入" xfId="4387"/>
    <cellStyle name="輸入 2" xfId="4388"/>
    <cellStyle name="輸出" xfId="4389"/>
    <cellStyle name="輸出 2" xfId="4390"/>
    <cellStyle name="連結的儲存格" xfId="439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  <pageSetUpPr fitToPage="1"/>
  </sheetPr>
  <dimension ref="B2:O1099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4" sqref="E4"/>
    </sheetView>
  </sheetViews>
  <sheetFormatPr defaultColWidth="9.140625" defaultRowHeight="15"/>
  <cols>
    <col min="1" max="1" width="5.42578125" style="4" customWidth="1"/>
    <col min="2" max="3" width="9.140625" style="4"/>
    <col min="4" max="4" width="23.5703125" style="4" customWidth="1"/>
    <col min="5" max="5" width="10.5703125" style="4" customWidth="1"/>
    <col min="6" max="7" width="10.7109375" style="4" customWidth="1"/>
    <col min="8" max="9" width="10.5703125" style="4" customWidth="1"/>
    <col min="10" max="11" width="10.7109375" style="4" customWidth="1"/>
    <col min="12" max="12" width="11" style="4" customWidth="1"/>
    <col min="13" max="14" width="13.5703125" style="4" customWidth="1"/>
    <col min="15" max="15" width="14.140625" style="4" customWidth="1"/>
    <col min="16" max="16384" width="9.140625" style="4"/>
  </cols>
  <sheetData>
    <row r="2" spans="2:15">
      <c r="B2" s="39" t="s">
        <v>108</v>
      </c>
    </row>
    <row r="3" spans="2:15" ht="31.5" customHeight="1">
      <c r="B3" s="107"/>
      <c r="C3" s="107"/>
      <c r="D3" s="107"/>
      <c r="E3" s="41" t="s">
        <v>7</v>
      </c>
      <c r="F3" s="41" t="s">
        <v>6</v>
      </c>
      <c r="G3" s="41" t="s">
        <v>2</v>
      </c>
      <c r="H3" s="41" t="s">
        <v>112</v>
      </c>
      <c r="I3" s="41" t="s">
        <v>4</v>
      </c>
      <c r="J3" s="41" t="s">
        <v>109</v>
      </c>
      <c r="K3" s="41" t="s">
        <v>5</v>
      </c>
      <c r="L3" s="41" t="s">
        <v>3</v>
      </c>
      <c r="M3" s="41" t="s">
        <v>1</v>
      </c>
      <c r="N3" s="40" t="s">
        <v>110</v>
      </c>
      <c r="O3" s="40" t="s">
        <v>9</v>
      </c>
    </row>
    <row r="4" spans="2:15">
      <c r="D4" s="42" t="s">
        <v>115</v>
      </c>
      <c r="E4" s="33">
        <v>0</v>
      </c>
      <c r="F4" s="33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33">
        <v>0</v>
      </c>
      <c r="M4" s="33">
        <v>0</v>
      </c>
      <c r="N4" s="33">
        <f>SUM(E4:M4)</f>
        <v>0</v>
      </c>
      <c r="O4" s="34">
        <f>N4/1000</f>
        <v>0</v>
      </c>
    </row>
    <row r="5" spans="2:15">
      <c r="D5" s="42" t="s">
        <v>114</v>
      </c>
      <c r="E5" s="33">
        <v>0</v>
      </c>
      <c r="F5" s="33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33">
        <v>0</v>
      </c>
      <c r="M5" s="33">
        <v>0</v>
      </c>
      <c r="N5" s="33">
        <f>SUM(E5:M5)</f>
        <v>0</v>
      </c>
      <c r="O5" s="34">
        <f>N5/1000</f>
        <v>0</v>
      </c>
    </row>
    <row r="6" spans="2:15" s="35" customFormat="1">
      <c r="D6" s="43" t="s">
        <v>116</v>
      </c>
      <c r="E6" s="36">
        <f>E5-E4</f>
        <v>0</v>
      </c>
      <c r="F6" s="36">
        <f>F5-F4</f>
        <v>0</v>
      </c>
      <c r="G6" s="36">
        <f>G5-G4</f>
        <v>0</v>
      </c>
      <c r="H6" s="36">
        <f>H5-H4</f>
        <v>0</v>
      </c>
      <c r="I6" s="36">
        <f t="shared" ref="I6:M6" si="0">I5-I4</f>
        <v>0</v>
      </c>
      <c r="J6" s="36">
        <f>J5-J4</f>
        <v>0</v>
      </c>
      <c r="K6" s="36">
        <f>K5-K4</f>
        <v>0</v>
      </c>
      <c r="L6" s="36">
        <f t="shared" si="0"/>
        <v>0</v>
      </c>
      <c r="M6" s="36">
        <f t="shared" si="0"/>
        <v>0</v>
      </c>
      <c r="N6" s="33">
        <f>SUM(E6:M6)</f>
        <v>0</v>
      </c>
      <c r="O6" s="34">
        <f>N6/1000</f>
        <v>0</v>
      </c>
    </row>
    <row r="7" spans="2:15" s="35" customFormat="1">
      <c r="E7" s="36"/>
      <c r="F7" s="36"/>
      <c r="G7" s="36"/>
      <c r="H7" s="36"/>
      <c r="I7" s="36"/>
      <c r="J7" s="36"/>
      <c r="K7" s="36"/>
      <c r="L7" s="36"/>
      <c r="M7" s="36"/>
      <c r="N7" s="36"/>
      <c r="O7" s="37"/>
    </row>
    <row r="8" spans="2:15">
      <c r="B8" s="44" t="s">
        <v>117</v>
      </c>
      <c r="C8" s="44"/>
      <c r="D8" s="44"/>
      <c r="M8" s="38"/>
    </row>
    <row r="9" spans="2:15">
      <c r="E9" s="41" t="s">
        <v>7</v>
      </c>
      <c r="F9" s="41" t="s">
        <v>6</v>
      </c>
      <c r="G9" s="41" t="s">
        <v>2</v>
      </c>
      <c r="H9" s="41" t="s">
        <v>112</v>
      </c>
      <c r="I9" s="41" t="s">
        <v>4</v>
      </c>
      <c r="J9" s="41" t="s">
        <v>109</v>
      </c>
      <c r="K9" s="41" t="s">
        <v>5</v>
      </c>
      <c r="L9" s="41" t="s">
        <v>3</v>
      </c>
      <c r="M9" s="41" t="s">
        <v>1</v>
      </c>
      <c r="N9" s="40" t="s">
        <v>110</v>
      </c>
      <c r="O9" s="40" t="s">
        <v>9</v>
      </c>
    </row>
    <row r="10" spans="2:15" ht="12.75" customHeight="1">
      <c r="D10" s="35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4"/>
    </row>
    <row r="11" spans="2:15" ht="12.75" customHeight="1">
      <c r="B11" s="39" t="s">
        <v>113</v>
      </c>
      <c r="C11" s="39" t="s">
        <v>111</v>
      </c>
      <c r="D11" s="35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4"/>
    </row>
    <row r="12" spans="2:15" ht="12" customHeight="1">
      <c r="B12" s="4">
        <v>1</v>
      </c>
      <c r="C12" s="4">
        <v>1</v>
      </c>
      <c r="D12" s="35" t="s">
        <v>0</v>
      </c>
      <c r="E12" s="33">
        <v>0</v>
      </c>
      <c r="F12" s="33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33">
        <v>0</v>
      </c>
      <c r="M12" s="33">
        <v>0</v>
      </c>
      <c r="N12" s="33">
        <f>SUM(E12:M12)</f>
        <v>0</v>
      </c>
      <c r="O12" s="34">
        <f>N12/1000</f>
        <v>0</v>
      </c>
    </row>
    <row r="13" spans="2:15"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4"/>
    </row>
    <row r="14" spans="2:15"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4"/>
    </row>
    <row r="15" spans="2:15"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4"/>
    </row>
    <row r="16" spans="2:15"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4"/>
    </row>
    <row r="17" spans="5:15"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4"/>
    </row>
    <row r="18" spans="5:15"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4"/>
    </row>
    <row r="19" spans="5:15"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4"/>
    </row>
    <row r="20" spans="5:15"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4"/>
    </row>
    <row r="21" spans="5:15"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4"/>
    </row>
    <row r="22" spans="5:15"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4"/>
    </row>
    <row r="23" spans="5:15"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4"/>
    </row>
    <row r="24" spans="5:15"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4"/>
    </row>
    <row r="25" spans="5:15"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4"/>
    </row>
    <row r="26" spans="5:15"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4"/>
    </row>
    <row r="27" spans="5:15"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4"/>
    </row>
    <row r="28" spans="5:15"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4"/>
    </row>
    <row r="29" spans="5:15"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4"/>
    </row>
    <row r="30" spans="5:15"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4"/>
    </row>
    <row r="31" spans="5:15"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4"/>
    </row>
    <row r="32" spans="5:15"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4"/>
    </row>
    <row r="33" spans="5:15"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4"/>
    </row>
    <row r="34" spans="5:15"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4"/>
    </row>
    <row r="35" spans="5:15"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4"/>
    </row>
    <row r="36" spans="5:15"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4"/>
    </row>
    <row r="37" spans="5:15"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4"/>
    </row>
    <row r="38" spans="5:15"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4"/>
    </row>
    <row r="39" spans="5:15"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4"/>
    </row>
    <row r="40" spans="5:15"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4"/>
    </row>
    <row r="41" spans="5:15"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4"/>
    </row>
    <row r="42" spans="5:15"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4"/>
    </row>
    <row r="43" spans="5:15"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4"/>
    </row>
    <row r="44" spans="5:15"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4"/>
    </row>
    <row r="45" spans="5:15"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4"/>
    </row>
    <row r="46" spans="5:15"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4"/>
    </row>
    <row r="47" spans="5:15"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4"/>
    </row>
    <row r="48" spans="5:15"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4"/>
    </row>
    <row r="49" spans="5:15"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4"/>
    </row>
    <row r="50" spans="5:15"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4"/>
    </row>
    <row r="51" spans="5:15"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4"/>
    </row>
    <row r="52" spans="5:15"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4"/>
    </row>
    <row r="53" spans="5:15"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4"/>
    </row>
    <row r="54" spans="5:15"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4"/>
    </row>
    <row r="55" spans="5:15"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4"/>
    </row>
    <row r="56" spans="5:15"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4"/>
    </row>
    <row r="57" spans="5:15"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4"/>
    </row>
    <row r="58" spans="5:15"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4"/>
    </row>
    <row r="59" spans="5:15"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4"/>
    </row>
    <row r="60" spans="5:15"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4"/>
    </row>
    <row r="61" spans="5:15"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4"/>
    </row>
    <row r="62" spans="5:15"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4"/>
    </row>
    <row r="63" spans="5:15"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4"/>
    </row>
    <row r="64" spans="5:15"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4"/>
    </row>
    <row r="65" spans="5:15"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4"/>
    </row>
    <row r="66" spans="5:15"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4"/>
    </row>
    <row r="67" spans="5:15"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4"/>
    </row>
    <row r="68" spans="5:15"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4"/>
    </row>
    <row r="69" spans="5:15"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4"/>
    </row>
    <row r="70" spans="5:15"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4"/>
    </row>
    <row r="71" spans="5:15"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4"/>
    </row>
    <row r="72" spans="5:15"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4"/>
    </row>
    <row r="73" spans="5:15"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4"/>
    </row>
    <row r="74" spans="5:15"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4"/>
    </row>
    <row r="75" spans="5:15"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4"/>
    </row>
    <row r="76" spans="5:15"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4"/>
    </row>
    <row r="77" spans="5:15"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4"/>
    </row>
    <row r="78" spans="5:15"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4"/>
    </row>
    <row r="79" spans="5:15"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4"/>
    </row>
    <row r="80" spans="5:15"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4"/>
    </row>
    <row r="81" spans="5:15"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4"/>
    </row>
    <row r="82" spans="5:15"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4"/>
    </row>
    <row r="83" spans="5:15"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4"/>
    </row>
    <row r="84" spans="5:15"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4"/>
    </row>
    <row r="85" spans="5:15"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4"/>
    </row>
    <row r="86" spans="5:15"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4"/>
    </row>
    <row r="87" spans="5:15"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4"/>
    </row>
    <row r="88" spans="5:15">
      <c r="E88" s="33"/>
      <c r="F88" s="33"/>
      <c r="G88" s="33"/>
      <c r="H88" s="33"/>
      <c r="I88" s="33"/>
      <c r="J88" s="33"/>
      <c r="K88" s="33"/>
      <c r="L88" s="33"/>
      <c r="M88" s="33"/>
      <c r="N88" s="33"/>
      <c r="O88" s="34"/>
    </row>
    <row r="89" spans="5:15"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4"/>
    </row>
    <row r="90" spans="5:15"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4"/>
    </row>
    <row r="91" spans="5:15">
      <c r="E91" s="33"/>
      <c r="F91" s="33"/>
      <c r="G91" s="33"/>
      <c r="H91" s="33"/>
      <c r="I91" s="33"/>
      <c r="J91" s="33"/>
      <c r="K91" s="33"/>
      <c r="L91" s="33"/>
      <c r="M91" s="33"/>
      <c r="N91" s="33"/>
      <c r="O91" s="34"/>
    </row>
    <row r="92" spans="5:15"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4"/>
    </row>
    <row r="93" spans="5:15">
      <c r="E93" s="33"/>
      <c r="F93" s="33"/>
      <c r="G93" s="33"/>
      <c r="H93" s="33"/>
      <c r="I93" s="33"/>
      <c r="J93" s="33"/>
      <c r="K93" s="33"/>
      <c r="L93" s="33"/>
      <c r="M93" s="33"/>
      <c r="N93" s="33"/>
      <c r="O93" s="34"/>
    </row>
    <row r="94" spans="5:15">
      <c r="E94" s="33"/>
      <c r="F94" s="33"/>
      <c r="G94" s="33"/>
      <c r="H94" s="33"/>
      <c r="I94" s="33"/>
      <c r="J94" s="33"/>
      <c r="K94" s="33"/>
      <c r="L94" s="33"/>
      <c r="M94" s="33"/>
      <c r="N94" s="33"/>
      <c r="O94" s="34"/>
    </row>
    <row r="95" spans="5:15"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4"/>
    </row>
    <row r="96" spans="5:15"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4"/>
    </row>
    <row r="97" spans="5:15"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4"/>
    </row>
    <row r="98" spans="5:15">
      <c r="E98" s="33"/>
      <c r="F98" s="33"/>
      <c r="G98" s="33"/>
      <c r="H98" s="33"/>
      <c r="I98" s="33"/>
      <c r="J98" s="33"/>
      <c r="K98" s="33"/>
      <c r="L98" s="33"/>
      <c r="M98" s="33"/>
      <c r="N98" s="33"/>
      <c r="O98" s="34"/>
    </row>
    <row r="99" spans="5:15">
      <c r="E99" s="33"/>
      <c r="F99" s="33"/>
      <c r="G99" s="33"/>
      <c r="H99" s="33"/>
      <c r="I99" s="33"/>
      <c r="J99" s="33"/>
      <c r="K99" s="33"/>
      <c r="L99" s="33"/>
      <c r="M99" s="33"/>
      <c r="N99" s="33"/>
      <c r="O99" s="34"/>
    </row>
    <row r="100" spans="5:15"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4"/>
    </row>
    <row r="101" spans="5:15"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4"/>
    </row>
    <row r="102" spans="5:15">
      <c r="E102" s="33"/>
      <c r="F102" s="33"/>
      <c r="G102" s="33"/>
      <c r="H102" s="33"/>
      <c r="I102" s="33"/>
      <c r="J102" s="33"/>
      <c r="K102" s="33"/>
      <c r="L102" s="33"/>
      <c r="M102" s="33"/>
      <c r="N102" s="33"/>
      <c r="O102" s="34"/>
    </row>
    <row r="103" spans="5:15">
      <c r="E103" s="33"/>
      <c r="F103" s="33"/>
      <c r="G103" s="33"/>
      <c r="H103" s="33"/>
      <c r="I103" s="33"/>
      <c r="J103" s="33"/>
      <c r="K103" s="33"/>
      <c r="L103" s="33"/>
      <c r="M103" s="33"/>
      <c r="N103" s="33"/>
      <c r="O103" s="34"/>
    </row>
    <row r="104" spans="5:15">
      <c r="E104" s="33"/>
      <c r="F104" s="33"/>
      <c r="G104" s="33"/>
      <c r="H104" s="33"/>
      <c r="I104" s="33"/>
      <c r="J104" s="33"/>
      <c r="K104" s="33"/>
      <c r="L104" s="33"/>
      <c r="M104" s="33"/>
      <c r="N104" s="33"/>
      <c r="O104" s="34"/>
    </row>
    <row r="105" spans="5:15"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4"/>
    </row>
    <row r="106" spans="5:15"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4"/>
    </row>
    <row r="107" spans="5:15">
      <c r="E107" s="33"/>
      <c r="F107" s="33"/>
      <c r="G107" s="33"/>
      <c r="H107" s="33"/>
      <c r="I107" s="33"/>
      <c r="J107" s="33"/>
      <c r="K107" s="33"/>
      <c r="L107" s="33"/>
      <c r="M107" s="33"/>
      <c r="N107" s="33"/>
      <c r="O107" s="34"/>
    </row>
    <row r="108" spans="5:15"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4"/>
    </row>
    <row r="109" spans="5:15">
      <c r="E109" s="33"/>
      <c r="F109" s="33"/>
      <c r="G109" s="33"/>
      <c r="H109" s="33"/>
      <c r="I109" s="33"/>
      <c r="J109" s="33"/>
      <c r="K109" s="33"/>
      <c r="L109" s="33"/>
      <c r="M109" s="33"/>
      <c r="N109" s="33"/>
      <c r="O109" s="34"/>
    </row>
    <row r="110" spans="5:15">
      <c r="E110" s="33"/>
      <c r="F110" s="33"/>
      <c r="G110" s="33"/>
      <c r="H110" s="33"/>
      <c r="I110" s="33"/>
      <c r="J110" s="33"/>
      <c r="K110" s="33"/>
      <c r="L110" s="33"/>
      <c r="M110" s="33"/>
      <c r="N110" s="33"/>
      <c r="O110" s="34"/>
    </row>
    <row r="111" spans="5:15">
      <c r="E111" s="33"/>
      <c r="F111" s="33"/>
      <c r="G111" s="33"/>
      <c r="H111" s="33"/>
      <c r="I111" s="33"/>
      <c r="J111" s="33"/>
      <c r="K111" s="33"/>
      <c r="L111" s="33"/>
      <c r="M111" s="33"/>
      <c r="N111" s="33"/>
      <c r="O111" s="34"/>
    </row>
    <row r="112" spans="5:15">
      <c r="E112" s="33"/>
      <c r="F112" s="33"/>
      <c r="G112" s="33"/>
      <c r="H112" s="33"/>
      <c r="I112" s="33"/>
      <c r="J112" s="33"/>
      <c r="K112" s="33"/>
      <c r="L112" s="33"/>
      <c r="M112" s="33"/>
      <c r="N112" s="33"/>
      <c r="O112" s="34"/>
    </row>
    <row r="113" spans="5:15">
      <c r="E113" s="33"/>
      <c r="F113" s="33"/>
      <c r="G113" s="33"/>
      <c r="H113" s="33"/>
      <c r="I113" s="33"/>
      <c r="J113" s="33"/>
      <c r="K113" s="33"/>
      <c r="L113" s="33"/>
      <c r="M113" s="33"/>
      <c r="N113" s="33"/>
      <c r="O113" s="34"/>
    </row>
    <row r="114" spans="5:15">
      <c r="E114" s="33"/>
      <c r="F114" s="33"/>
      <c r="G114" s="33"/>
      <c r="H114" s="33"/>
      <c r="I114" s="33"/>
      <c r="J114" s="33"/>
      <c r="K114" s="33"/>
      <c r="L114" s="33"/>
      <c r="M114" s="33"/>
      <c r="N114" s="33"/>
      <c r="O114" s="34"/>
    </row>
    <row r="115" spans="5:15">
      <c r="E115" s="33"/>
      <c r="F115" s="33"/>
      <c r="G115" s="33"/>
      <c r="H115" s="33"/>
      <c r="I115" s="33"/>
      <c r="J115" s="33"/>
      <c r="K115" s="33"/>
      <c r="L115" s="33"/>
      <c r="M115" s="33"/>
      <c r="N115" s="33"/>
      <c r="O115" s="34"/>
    </row>
    <row r="116" spans="5:15">
      <c r="E116" s="33"/>
      <c r="F116" s="33"/>
      <c r="G116" s="33"/>
      <c r="H116" s="33"/>
      <c r="I116" s="33"/>
      <c r="J116" s="33"/>
      <c r="K116" s="33"/>
      <c r="L116" s="33"/>
      <c r="M116" s="33"/>
      <c r="N116" s="33"/>
      <c r="O116" s="34"/>
    </row>
    <row r="117" spans="5:15">
      <c r="E117" s="33"/>
      <c r="F117" s="33"/>
      <c r="G117" s="33"/>
      <c r="H117" s="33"/>
      <c r="I117" s="33"/>
      <c r="J117" s="33"/>
      <c r="K117" s="33"/>
      <c r="L117" s="33"/>
      <c r="M117" s="33"/>
      <c r="N117" s="33"/>
      <c r="O117" s="34"/>
    </row>
    <row r="118" spans="5:15">
      <c r="E118" s="33"/>
      <c r="F118" s="33"/>
      <c r="G118" s="33"/>
      <c r="H118" s="33"/>
      <c r="I118" s="33"/>
      <c r="J118" s="33"/>
      <c r="K118" s="33"/>
      <c r="L118" s="33"/>
      <c r="M118" s="33"/>
      <c r="N118" s="33"/>
      <c r="O118" s="34"/>
    </row>
    <row r="119" spans="5:15">
      <c r="E119" s="33"/>
      <c r="F119" s="33"/>
      <c r="G119" s="33"/>
      <c r="H119" s="33"/>
      <c r="I119" s="33"/>
      <c r="J119" s="33"/>
      <c r="K119" s="33"/>
      <c r="L119" s="33"/>
      <c r="M119" s="33"/>
      <c r="N119" s="33"/>
      <c r="O119" s="34"/>
    </row>
    <row r="120" spans="5:15">
      <c r="E120" s="33"/>
      <c r="F120" s="33"/>
      <c r="G120" s="33"/>
      <c r="H120" s="33"/>
      <c r="I120" s="33"/>
      <c r="J120" s="33"/>
      <c r="K120" s="33"/>
      <c r="L120" s="33"/>
      <c r="M120" s="33"/>
      <c r="N120" s="33"/>
      <c r="O120" s="34"/>
    </row>
    <row r="121" spans="5:15"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4"/>
    </row>
    <row r="122" spans="5:15">
      <c r="E122" s="33"/>
      <c r="F122" s="33"/>
      <c r="G122" s="33"/>
      <c r="H122" s="33"/>
      <c r="I122" s="33"/>
      <c r="J122" s="33"/>
      <c r="K122" s="33"/>
      <c r="L122" s="33"/>
      <c r="M122" s="33"/>
      <c r="N122" s="33"/>
      <c r="O122" s="34"/>
    </row>
    <row r="123" spans="5:15">
      <c r="E123" s="33"/>
      <c r="F123" s="33"/>
      <c r="G123" s="33"/>
      <c r="H123" s="33"/>
      <c r="I123" s="33"/>
      <c r="J123" s="33"/>
      <c r="K123" s="33"/>
      <c r="L123" s="33"/>
      <c r="M123" s="33"/>
      <c r="N123" s="33"/>
      <c r="O123" s="34"/>
    </row>
    <row r="124" spans="5:15">
      <c r="E124" s="33"/>
      <c r="F124" s="33"/>
      <c r="G124" s="33"/>
      <c r="H124" s="33"/>
      <c r="I124" s="33"/>
      <c r="J124" s="33"/>
      <c r="K124" s="33"/>
      <c r="L124" s="33"/>
      <c r="M124" s="33"/>
      <c r="N124" s="33"/>
      <c r="O124" s="34"/>
    </row>
    <row r="125" spans="5:15">
      <c r="E125" s="33"/>
      <c r="F125" s="33"/>
      <c r="G125" s="33"/>
      <c r="H125" s="33"/>
      <c r="I125" s="33"/>
      <c r="J125" s="33"/>
      <c r="K125" s="33"/>
      <c r="L125" s="33"/>
      <c r="M125" s="33"/>
      <c r="N125" s="33"/>
      <c r="O125" s="34"/>
    </row>
    <row r="126" spans="5:15">
      <c r="E126" s="33"/>
      <c r="F126" s="33"/>
      <c r="G126" s="33"/>
      <c r="H126" s="33"/>
      <c r="I126" s="33"/>
      <c r="J126" s="33"/>
      <c r="K126" s="33"/>
      <c r="L126" s="33"/>
      <c r="M126" s="33"/>
      <c r="N126" s="33"/>
      <c r="O126" s="34"/>
    </row>
    <row r="127" spans="5:15">
      <c r="E127" s="33"/>
      <c r="F127" s="33"/>
      <c r="G127" s="33"/>
      <c r="H127" s="33"/>
      <c r="I127" s="33"/>
      <c r="J127" s="33"/>
      <c r="K127" s="33"/>
      <c r="L127" s="33"/>
      <c r="M127" s="33"/>
      <c r="N127" s="33"/>
      <c r="O127" s="34"/>
    </row>
    <row r="128" spans="5:15">
      <c r="E128" s="33"/>
      <c r="F128" s="33"/>
      <c r="G128" s="33"/>
      <c r="H128" s="33"/>
      <c r="I128" s="33"/>
      <c r="J128" s="33"/>
      <c r="K128" s="33"/>
      <c r="L128" s="33"/>
      <c r="M128" s="33"/>
      <c r="N128" s="33"/>
      <c r="O128" s="34"/>
    </row>
    <row r="129" spans="5:15">
      <c r="E129" s="33"/>
      <c r="F129" s="33"/>
      <c r="G129" s="33"/>
      <c r="H129" s="33"/>
      <c r="I129" s="33"/>
      <c r="J129" s="33"/>
      <c r="K129" s="33"/>
      <c r="L129" s="33"/>
      <c r="M129" s="33"/>
      <c r="N129" s="33"/>
      <c r="O129" s="34"/>
    </row>
    <row r="130" spans="5:15">
      <c r="E130" s="33"/>
      <c r="F130" s="33"/>
      <c r="G130" s="33"/>
      <c r="H130" s="33"/>
      <c r="I130" s="33"/>
      <c r="J130" s="33"/>
      <c r="K130" s="33"/>
      <c r="L130" s="33"/>
      <c r="M130" s="33"/>
      <c r="N130" s="33"/>
      <c r="O130" s="34"/>
    </row>
    <row r="131" spans="5:15">
      <c r="E131" s="33"/>
      <c r="F131" s="33"/>
      <c r="G131" s="33"/>
      <c r="H131" s="33"/>
      <c r="I131" s="33"/>
      <c r="J131" s="33"/>
      <c r="K131" s="33"/>
      <c r="L131" s="33"/>
      <c r="M131" s="33"/>
      <c r="N131" s="33"/>
      <c r="O131" s="34"/>
    </row>
    <row r="132" spans="5:15">
      <c r="E132" s="33"/>
      <c r="F132" s="33"/>
      <c r="G132" s="33"/>
      <c r="H132" s="33"/>
      <c r="I132" s="33"/>
      <c r="J132" s="33"/>
      <c r="K132" s="33"/>
      <c r="L132" s="33"/>
      <c r="M132" s="33"/>
      <c r="N132" s="33"/>
      <c r="O132" s="34"/>
    </row>
    <row r="133" spans="5:15">
      <c r="E133" s="33"/>
      <c r="F133" s="33"/>
      <c r="G133" s="33"/>
      <c r="H133" s="33"/>
      <c r="I133" s="33"/>
      <c r="J133" s="33"/>
      <c r="K133" s="33"/>
      <c r="L133" s="33"/>
      <c r="M133" s="33"/>
      <c r="N133" s="33"/>
      <c r="O133" s="34"/>
    </row>
    <row r="134" spans="5:15">
      <c r="E134" s="33"/>
      <c r="F134" s="33"/>
      <c r="G134" s="33"/>
      <c r="H134" s="33"/>
      <c r="I134" s="33"/>
      <c r="J134" s="33"/>
      <c r="K134" s="33"/>
      <c r="L134" s="33"/>
      <c r="M134" s="33"/>
      <c r="N134" s="33"/>
      <c r="O134" s="34"/>
    </row>
    <row r="135" spans="5:15">
      <c r="E135" s="33"/>
      <c r="F135" s="33"/>
      <c r="G135" s="33"/>
      <c r="H135" s="33"/>
      <c r="I135" s="33"/>
      <c r="J135" s="33"/>
      <c r="K135" s="33"/>
      <c r="L135" s="33"/>
      <c r="M135" s="33"/>
      <c r="N135" s="33"/>
      <c r="O135" s="34"/>
    </row>
    <row r="136" spans="5:15">
      <c r="E136" s="33"/>
      <c r="F136" s="33"/>
      <c r="G136" s="33"/>
      <c r="H136" s="33"/>
      <c r="I136" s="33"/>
      <c r="J136" s="33"/>
      <c r="K136" s="33"/>
      <c r="L136" s="33"/>
      <c r="M136" s="33"/>
      <c r="N136" s="33"/>
      <c r="O136" s="34"/>
    </row>
    <row r="137" spans="5:15">
      <c r="E137" s="33"/>
      <c r="F137" s="33"/>
      <c r="G137" s="33"/>
      <c r="H137" s="33"/>
      <c r="I137" s="33"/>
      <c r="J137" s="33"/>
      <c r="K137" s="33"/>
      <c r="L137" s="33"/>
      <c r="M137" s="33"/>
      <c r="N137" s="33"/>
      <c r="O137" s="34"/>
    </row>
    <row r="138" spans="5:15">
      <c r="E138" s="33"/>
      <c r="F138" s="33"/>
      <c r="G138" s="33"/>
      <c r="H138" s="33"/>
      <c r="I138" s="33"/>
      <c r="J138" s="33"/>
      <c r="K138" s="33"/>
      <c r="L138" s="33"/>
      <c r="M138" s="33"/>
      <c r="N138" s="33"/>
      <c r="O138" s="34"/>
    </row>
    <row r="139" spans="5:15">
      <c r="E139" s="33"/>
      <c r="F139" s="33"/>
      <c r="G139" s="33"/>
      <c r="H139" s="33"/>
      <c r="I139" s="33"/>
      <c r="J139" s="33"/>
      <c r="K139" s="33"/>
      <c r="L139" s="33"/>
      <c r="M139" s="33"/>
      <c r="N139" s="33"/>
      <c r="O139" s="34"/>
    </row>
    <row r="140" spans="5:15">
      <c r="E140" s="33"/>
      <c r="F140" s="33"/>
      <c r="G140" s="33"/>
      <c r="H140" s="33"/>
      <c r="I140" s="33"/>
      <c r="J140" s="33"/>
      <c r="K140" s="33"/>
      <c r="L140" s="33"/>
      <c r="M140" s="33"/>
      <c r="N140" s="33"/>
      <c r="O140" s="34"/>
    </row>
    <row r="141" spans="5:15">
      <c r="E141" s="33"/>
      <c r="F141" s="33"/>
      <c r="G141" s="33"/>
      <c r="H141" s="33"/>
      <c r="I141" s="33"/>
      <c r="J141" s="33"/>
      <c r="K141" s="33"/>
      <c r="L141" s="33"/>
      <c r="M141" s="33"/>
      <c r="N141" s="33"/>
      <c r="O141" s="34"/>
    </row>
    <row r="142" spans="5:15">
      <c r="E142" s="33"/>
      <c r="F142" s="33"/>
      <c r="G142" s="33"/>
      <c r="H142" s="33"/>
      <c r="I142" s="33"/>
      <c r="J142" s="33"/>
      <c r="K142" s="33"/>
      <c r="L142" s="33"/>
      <c r="M142" s="33"/>
      <c r="N142" s="33"/>
      <c r="O142" s="34"/>
    </row>
    <row r="143" spans="5:15">
      <c r="E143" s="33"/>
      <c r="F143" s="33"/>
      <c r="G143" s="33"/>
      <c r="H143" s="33"/>
      <c r="I143" s="33"/>
      <c r="J143" s="33"/>
      <c r="K143" s="33"/>
      <c r="L143" s="33"/>
      <c r="M143" s="33"/>
      <c r="N143" s="33"/>
      <c r="O143" s="34"/>
    </row>
    <row r="144" spans="5:15">
      <c r="E144" s="33"/>
      <c r="F144" s="33"/>
      <c r="G144" s="33"/>
      <c r="H144" s="33"/>
      <c r="I144" s="33"/>
      <c r="J144" s="33"/>
      <c r="K144" s="33"/>
      <c r="L144" s="33"/>
      <c r="M144" s="33"/>
      <c r="N144" s="33"/>
      <c r="O144" s="34"/>
    </row>
    <row r="145" spans="5:15">
      <c r="E145" s="33"/>
      <c r="F145" s="33"/>
      <c r="G145" s="33"/>
      <c r="H145" s="33"/>
      <c r="I145" s="33"/>
      <c r="J145" s="33"/>
      <c r="K145" s="33"/>
      <c r="L145" s="33"/>
      <c r="M145" s="33"/>
      <c r="N145" s="33"/>
      <c r="O145" s="34"/>
    </row>
    <row r="146" spans="5:15">
      <c r="E146" s="33"/>
      <c r="F146" s="33"/>
      <c r="G146" s="33"/>
      <c r="H146" s="33"/>
      <c r="I146" s="33"/>
      <c r="J146" s="33"/>
      <c r="K146" s="33"/>
      <c r="L146" s="33"/>
      <c r="M146" s="33"/>
      <c r="N146" s="33"/>
      <c r="O146" s="34"/>
    </row>
    <row r="147" spans="5:15">
      <c r="E147" s="33"/>
      <c r="F147" s="33"/>
      <c r="G147" s="33"/>
      <c r="H147" s="33"/>
      <c r="I147" s="33"/>
      <c r="J147" s="33"/>
      <c r="K147" s="33"/>
      <c r="L147" s="33"/>
      <c r="M147" s="33"/>
      <c r="N147" s="33"/>
      <c r="O147" s="34"/>
    </row>
    <row r="148" spans="5:15">
      <c r="E148" s="33"/>
      <c r="F148" s="33"/>
      <c r="G148" s="33"/>
      <c r="H148" s="33"/>
      <c r="I148" s="33"/>
      <c r="J148" s="33"/>
      <c r="K148" s="33"/>
      <c r="L148" s="33"/>
      <c r="M148" s="33"/>
      <c r="N148" s="33"/>
      <c r="O148" s="34"/>
    </row>
    <row r="149" spans="5:15">
      <c r="E149" s="33"/>
      <c r="F149" s="33"/>
      <c r="G149" s="33"/>
      <c r="H149" s="33"/>
      <c r="I149" s="33"/>
      <c r="J149" s="33"/>
      <c r="K149" s="33"/>
      <c r="L149" s="33"/>
      <c r="M149" s="33"/>
      <c r="N149" s="33"/>
      <c r="O149" s="34"/>
    </row>
    <row r="150" spans="5:15">
      <c r="E150" s="33"/>
      <c r="F150" s="33"/>
      <c r="G150" s="33"/>
      <c r="H150" s="33"/>
      <c r="I150" s="33"/>
      <c r="J150" s="33"/>
      <c r="K150" s="33"/>
      <c r="L150" s="33"/>
      <c r="M150" s="33"/>
      <c r="N150" s="33"/>
      <c r="O150" s="34"/>
    </row>
    <row r="151" spans="5:15">
      <c r="E151" s="33"/>
      <c r="F151" s="33"/>
      <c r="G151" s="33"/>
      <c r="H151" s="33"/>
      <c r="I151" s="33"/>
      <c r="J151" s="33"/>
      <c r="K151" s="33"/>
      <c r="L151" s="33"/>
      <c r="M151" s="33"/>
      <c r="N151" s="33"/>
      <c r="O151" s="34"/>
    </row>
    <row r="152" spans="5:15">
      <c r="E152" s="33"/>
      <c r="F152" s="33"/>
      <c r="G152" s="33"/>
      <c r="H152" s="33"/>
      <c r="I152" s="33"/>
      <c r="J152" s="33"/>
      <c r="K152" s="33"/>
      <c r="L152" s="33"/>
      <c r="M152" s="33"/>
      <c r="N152" s="33"/>
      <c r="O152" s="34"/>
    </row>
    <row r="153" spans="5:15">
      <c r="E153" s="33"/>
      <c r="F153" s="33"/>
      <c r="G153" s="33"/>
      <c r="H153" s="33"/>
      <c r="I153" s="33"/>
      <c r="J153" s="33"/>
      <c r="K153" s="33"/>
      <c r="L153" s="33"/>
      <c r="M153" s="33"/>
      <c r="N153" s="33"/>
      <c r="O153" s="34"/>
    </row>
    <row r="154" spans="5:15">
      <c r="E154" s="33"/>
      <c r="F154" s="33"/>
      <c r="G154" s="33"/>
      <c r="H154" s="33"/>
      <c r="I154" s="33"/>
      <c r="J154" s="33"/>
      <c r="K154" s="33"/>
      <c r="L154" s="33"/>
      <c r="M154" s="33"/>
      <c r="N154" s="33"/>
      <c r="O154" s="34"/>
    </row>
    <row r="155" spans="5:15">
      <c r="E155" s="33"/>
      <c r="F155" s="33"/>
      <c r="G155" s="33"/>
      <c r="H155" s="33"/>
      <c r="I155" s="33"/>
      <c r="J155" s="33"/>
      <c r="K155" s="33"/>
      <c r="L155" s="33"/>
      <c r="M155" s="33"/>
      <c r="N155" s="33"/>
      <c r="O155" s="34"/>
    </row>
    <row r="156" spans="5:15">
      <c r="E156" s="33"/>
      <c r="F156" s="33"/>
      <c r="G156" s="33"/>
      <c r="H156" s="33"/>
      <c r="I156" s="33"/>
      <c r="J156" s="33"/>
      <c r="K156" s="33"/>
      <c r="L156" s="33"/>
      <c r="M156" s="33"/>
      <c r="N156" s="33"/>
      <c r="O156" s="34"/>
    </row>
    <row r="157" spans="5:15">
      <c r="E157" s="33"/>
      <c r="F157" s="33"/>
      <c r="G157" s="33"/>
      <c r="H157" s="33"/>
      <c r="I157" s="33"/>
      <c r="J157" s="33"/>
      <c r="K157" s="33"/>
      <c r="L157" s="33"/>
      <c r="M157" s="33"/>
      <c r="N157" s="33"/>
      <c r="O157" s="34"/>
    </row>
    <row r="158" spans="5:15">
      <c r="E158" s="33"/>
      <c r="F158" s="33"/>
      <c r="G158" s="33"/>
      <c r="H158" s="33"/>
      <c r="I158" s="33"/>
      <c r="J158" s="33"/>
      <c r="K158" s="33"/>
      <c r="L158" s="33"/>
      <c r="M158" s="33"/>
      <c r="N158" s="33"/>
      <c r="O158" s="34"/>
    </row>
    <row r="159" spans="5:15">
      <c r="E159" s="33"/>
      <c r="F159" s="33"/>
      <c r="G159" s="33"/>
      <c r="H159" s="33"/>
      <c r="I159" s="33"/>
      <c r="J159" s="33"/>
      <c r="K159" s="33"/>
      <c r="L159" s="33"/>
      <c r="M159" s="33"/>
      <c r="N159" s="33"/>
      <c r="O159" s="34"/>
    </row>
    <row r="160" spans="5:15">
      <c r="E160" s="33"/>
      <c r="F160" s="33"/>
      <c r="G160" s="33"/>
      <c r="H160" s="33"/>
      <c r="I160" s="33"/>
      <c r="J160" s="33"/>
      <c r="K160" s="33"/>
      <c r="L160" s="33"/>
      <c r="M160" s="33"/>
      <c r="N160" s="33"/>
      <c r="O160" s="34"/>
    </row>
    <row r="161" spans="5:15">
      <c r="E161" s="33"/>
      <c r="F161" s="33"/>
      <c r="G161" s="33"/>
      <c r="H161" s="33"/>
      <c r="I161" s="33"/>
      <c r="J161" s="33"/>
      <c r="K161" s="33"/>
      <c r="L161" s="33"/>
      <c r="M161" s="33"/>
      <c r="N161" s="33"/>
      <c r="O161" s="34"/>
    </row>
    <row r="162" spans="5:15">
      <c r="E162" s="33"/>
      <c r="F162" s="33"/>
      <c r="G162" s="33"/>
      <c r="H162" s="33"/>
      <c r="I162" s="33"/>
      <c r="J162" s="33"/>
      <c r="K162" s="33"/>
      <c r="L162" s="33"/>
      <c r="M162" s="33"/>
      <c r="N162" s="33"/>
      <c r="O162" s="34"/>
    </row>
    <row r="163" spans="5:15">
      <c r="E163" s="33"/>
      <c r="F163" s="33"/>
      <c r="G163" s="33"/>
      <c r="H163" s="33"/>
      <c r="I163" s="33"/>
      <c r="J163" s="33"/>
      <c r="K163" s="33"/>
      <c r="L163" s="33"/>
      <c r="M163" s="33"/>
      <c r="N163" s="33"/>
      <c r="O163" s="34"/>
    </row>
    <row r="164" spans="5:15">
      <c r="E164" s="33"/>
      <c r="F164" s="33"/>
      <c r="G164" s="33"/>
      <c r="H164" s="33"/>
      <c r="I164" s="33"/>
      <c r="J164" s="33"/>
      <c r="K164" s="33"/>
      <c r="L164" s="33"/>
      <c r="M164" s="33"/>
      <c r="N164" s="33"/>
      <c r="O164" s="34"/>
    </row>
    <row r="165" spans="5:15">
      <c r="E165" s="33"/>
      <c r="F165" s="33"/>
      <c r="G165" s="33"/>
      <c r="H165" s="33"/>
      <c r="I165" s="33"/>
      <c r="J165" s="33"/>
      <c r="K165" s="33"/>
      <c r="L165" s="33"/>
      <c r="M165" s="33"/>
      <c r="N165" s="33"/>
      <c r="O165" s="34"/>
    </row>
    <row r="166" spans="5:15">
      <c r="E166" s="33"/>
      <c r="F166" s="33"/>
      <c r="G166" s="33"/>
      <c r="H166" s="33"/>
      <c r="I166" s="33"/>
      <c r="J166" s="33"/>
      <c r="K166" s="33"/>
      <c r="L166" s="33"/>
      <c r="M166" s="33"/>
      <c r="N166" s="33"/>
      <c r="O166" s="34"/>
    </row>
    <row r="167" spans="5:15">
      <c r="E167" s="33"/>
      <c r="F167" s="33"/>
      <c r="G167" s="33"/>
      <c r="H167" s="33"/>
      <c r="I167" s="33"/>
      <c r="J167" s="33"/>
      <c r="K167" s="33"/>
      <c r="L167" s="33"/>
      <c r="M167" s="33"/>
      <c r="N167" s="33"/>
      <c r="O167" s="34"/>
    </row>
    <row r="168" spans="5:15">
      <c r="E168" s="33"/>
      <c r="F168" s="33"/>
      <c r="G168" s="33"/>
      <c r="H168" s="33"/>
      <c r="I168" s="33"/>
      <c r="J168" s="33"/>
      <c r="K168" s="33"/>
      <c r="L168" s="33"/>
      <c r="M168" s="33"/>
      <c r="N168" s="33"/>
      <c r="O168" s="34"/>
    </row>
    <row r="169" spans="5:15">
      <c r="E169" s="33"/>
      <c r="F169" s="33"/>
      <c r="G169" s="33"/>
      <c r="H169" s="33"/>
      <c r="I169" s="33"/>
      <c r="J169" s="33"/>
      <c r="K169" s="33"/>
      <c r="L169" s="33"/>
      <c r="M169" s="33"/>
      <c r="N169" s="33"/>
      <c r="O169" s="34"/>
    </row>
    <row r="170" spans="5:15">
      <c r="E170" s="33"/>
      <c r="F170" s="33"/>
      <c r="G170" s="33"/>
      <c r="H170" s="33"/>
      <c r="I170" s="33"/>
      <c r="J170" s="33"/>
      <c r="K170" s="33"/>
      <c r="L170" s="33"/>
      <c r="M170" s="33"/>
      <c r="N170" s="33"/>
      <c r="O170" s="34"/>
    </row>
    <row r="171" spans="5:15">
      <c r="E171" s="33"/>
      <c r="F171" s="33"/>
      <c r="G171" s="33"/>
      <c r="H171" s="33"/>
      <c r="I171" s="33"/>
      <c r="J171" s="33"/>
      <c r="K171" s="33"/>
      <c r="L171" s="33"/>
      <c r="M171" s="33"/>
      <c r="N171" s="33"/>
      <c r="O171" s="34"/>
    </row>
    <row r="172" spans="5:15">
      <c r="E172" s="33"/>
      <c r="F172" s="33"/>
      <c r="G172" s="33"/>
      <c r="H172" s="33"/>
      <c r="I172" s="33"/>
      <c r="J172" s="33"/>
      <c r="K172" s="33"/>
      <c r="L172" s="33"/>
      <c r="M172" s="33"/>
      <c r="N172" s="33"/>
      <c r="O172" s="34"/>
    </row>
    <row r="173" spans="5:15">
      <c r="E173" s="33"/>
      <c r="F173" s="33"/>
      <c r="G173" s="33"/>
      <c r="H173" s="33"/>
      <c r="I173" s="33"/>
      <c r="J173" s="33"/>
      <c r="K173" s="33"/>
      <c r="L173" s="33"/>
      <c r="M173" s="33"/>
      <c r="N173" s="33"/>
      <c r="O173" s="34"/>
    </row>
    <row r="174" spans="5:15">
      <c r="E174" s="33"/>
      <c r="F174" s="33"/>
      <c r="G174" s="33"/>
      <c r="H174" s="33"/>
      <c r="I174" s="33"/>
      <c r="J174" s="33"/>
      <c r="K174" s="33"/>
      <c r="L174" s="33"/>
      <c r="M174" s="33"/>
      <c r="N174" s="33"/>
      <c r="O174" s="34"/>
    </row>
    <row r="175" spans="5:15">
      <c r="E175" s="33"/>
      <c r="F175" s="33"/>
      <c r="G175" s="33"/>
      <c r="H175" s="33"/>
      <c r="I175" s="33"/>
      <c r="J175" s="33"/>
      <c r="K175" s="33"/>
      <c r="L175" s="33"/>
      <c r="M175" s="33"/>
      <c r="N175" s="33"/>
      <c r="O175" s="34"/>
    </row>
    <row r="176" spans="5:15">
      <c r="E176" s="33"/>
      <c r="F176" s="33"/>
      <c r="G176" s="33"/>
      <c r="H176" s="33"/>
      <c r="I176" s="33"/>
      <c r="J176" s="33"/>
      <c r="K176" s="33"/>
      <c r="L176" s="33"/>
      <c r="M176" s="33"/>
      <c r="N176" s="33"/>
      <c r="O176" s="34"/>
    </row>
    <row r="177" spans="5:15">
      <c r="E177" s="33"/>
      <c r="F177" s="33"/>
      <c r="G177" s="33"/>
      <c r="H177" s="33"/>
      <c r="I177" s="33"/>
      <c r="J177" s="33"/>
      <c r="K177" s="33"/>
      <c r="L177" s="33"/>
      <c r="M177" s="33"/>
      <c r="N177" s="33"/>
      <c r="O177" s="34"/>
    </row>
    <row r="178" spans="5:15">
      <c r="E178" s="33"/>
      <c r="F178" s="33"/>
      <c r="G178" s="33"/>
      <c r="H178" s="33"/>
      <c r="I178" s="33"/>
      <c r="J178" s="33"/>
      <c r="K178" s="33"/>
      <c r="L178" s="33"/>
      <c r="M178" s="33"/>
      <c r="N178" s="33"/>
      <c r="O178" s="34"/>
    </row>
    <row r="179" spans="5:15">
      <c r="E179" s="33"/>
      <c r="F179" s="33"/>
      <c r="G179" s="33"/>
      <c r="H179" s="33"/>
      <c r="I179" s="33"/>
      <c r="J179" s="33"/>
      <c r="K179" s="33"/>
      <c r="L179" s="33"/>
      <c r="M179" s="33"/>
      <c r="N179" s="33"/>
      <c r="O179" s="34"/>
    </row>
    <row r="180" spans="5:15">
      <c r="E180" s="33"/>
      <c r="F180" s="33"/>
      <c r="G180" s="33"/>
      <c r="H180" s="33"/>
      <c r="I180" s="33"/>
      <c r="J180" s="33"/>
      <c r="K180" s="33"/>
      <c r="L180" s="33"/>
      <c r="M180" s="33"/>
      <c r="N180" s="33"/>
      <c r="O180" s="34"/>
    </row>
    <row r="181" spans="5:15">
      <c r="E181" s="33"/>
      <c r="F181" s="33"/>
      <c r="G181" s="33"/>
      <c r="H181" s="33"/>
      <c r="I181" s="33"/>
      <c r="J181" s="33"/>
      <c r="K181" s="33"/>
      <c r="L181" s="33"/>
      <c r="M181" s="33"/>
      <c r="N181" s="33"/>
      <c r="O181" s="34"/>
    </row>
    <row r="182" spans="5:15">
      <c r="E182" s="33"/>
      <c r="F182" s="33"/>
      <c r="G182" s="33"/>
      <c r="H182" s="33"/>
      <c r="I182" s="33"/>
      <c r="J182" s="33"/>
      <c r="K182" s="33"/>
      <c r="L182" s="33"/>
      <c r="M182" s="33"/>
      <c r="N182" s="33"/>
      <c r="O182" s="34"/>
    </row>
    <row r="183" spans="5:15">
      <c r="E183" s="33"/>
      <c r="F183" s="33"/>
      <c r="G183" s="33"/>
      <c r="H183" s="33"/>
      <c r="I183" s="33"/>
      <c r="J183" s="33"/>
      <c r="K183" s="33"/>
      <c r="L183" s="33"/>
      <c r="M183" s="33"/>
      <c r="N183" s="33"/>
      <c r="O183" s="34"/>
    </row>
    <row r="184" spans="5:15">
      <c r="E184" s="33"/>
      <c r="F184" s="33"/>
      <c r="G184" s="33"/>
      <c r="H184" s="33"/>
      <c r="I184" s="33"/>
      <c r="J184" s="33"/>
      <c r="K184" s="33"/>
      <c r="L184" s="33"/>
      <c r="M184" s="33"/>
      <c r="N184" s="33"/>
      <c r="O184" s="34"/>
    </row>
    <row r="185" spans="5:15">
      <c r="E185" s="33"/>
      <c r="F185" s="33"/>
      <c r="G185" s="33"/>
      <c r="H185" s="33"/>
      <c r="I185" s="33"/>
      <c r="J185" s="33"/>
      <c r="K185" s="33"/>
      <c r="L185" s="33"/>
      <c r="M185" s="33"/>
      <c r="N185" s="33"/>
      <c r="O185" s="34"/>
    </row>
    <row r="186" spans="5:15">
      <c r="E186" s="33"/>
      <c r="F186" s="33"/>
      <c r="G186" s="33"/>
      <c r="H186" s="33"/>
      <c r="I186" s="33"/>
      <c r="J186" s="33"/>
      <c r="K186" s="33"/>
      <c r="L186" s="33"/>
      <c r="M186" s="33"/>
      <c r="N186" s="33"/>
      <c r="O186" s="34"/>
    </row>
    <row r="187" spans="5:15">
      <c r="E187" s="33"/>
      <c r="F187" s="33"/>
      <c r="G187" s="33"/>
      <c r="H187" s="33"/>
      <c r="I187" s="33"/>
      <c r="J187" s="33"/>
      <c r="K187" s="33"/>
      <c r="L187" s="33"/>
      <c r="M187" s="33"/>
      <c r="N187" s="33"/>
      <c r="O187" s="34"/>
    </row>
    <row r="188" spans="5:15">
      <c r="E188" s="33"/>
      <c r="F188" s="33"/>
      <c r="G188" s="33"/>
      <c r="H188" s="33"/>
      <c r="I188" s="33"/>
      <c r="J188" s="33"/>
      <c r="K188" s="33"/>
      <c r="L188" s="33"/>
      <c r="M188" s="33"/>
      <c r="N188" s="33"/>
      <c r="O188" s="34"/>
    </row>
    <row r="189" spans="5:15">
      <c r="E189" s="33"/>
      <c r="F189" s="33"/>
      <c r="G189" s="33"/>
      <c r="H189" s="33"/>
      <c r="I189" s="33"/>
      <c r="J189" s="33"/>
      <c r="K189" s="33"/>
      <c r="L189" s="33"/>
      <c r="M189" s="33"/>
      <c r="N189" s="33"/>
      <c r="O189" s="34"/>
    </row>
    <row r="190" spans="5:15">
      <c r="E190" s="33"/>
      <c r="F190" s="33"/>
      <c r="G190" s="33"/>
      <c r="H190" s="33"/>
      <c r="I190" s="33"/>
      <c r="J190" s="33"/>
      <c r="K190" s="33"/>
      <c r="L190" s="33"/>
      <c r="M190" s="33"/>
      <c r="N190" s="33"/>
      <c r="O190" s="34"/>
    </row>
    <row r="191" spans="5:15">
      <c r="E191" s="33"/>
      <c r="F191" s="33"/>
      <c r="G191" s="33"/>
      <c r="H191" s="33"/>
      <c r="I191" s="33"/>
      <c r="J191" s="33"/>
      <c r="K191" s="33"/>
      <c r="L191" s="33"/>
      <c r="M191" s="33"/>
      <c r="N191" s="33"/>
      <c r="O191" s="34"/>
    </row>
    <row r="192" spans="5:15">
      <c r="E192" s="33"/>
      <c r="F192" s="33"/>
      <c r="G192" s="33"/>
      <c r="H192" s="33"/>
      <c r="I192" s="33"/>
      <c r="J192" s="33"/>
      <c r="K192" s="33"/>
      <c r="L192" s="33"/>
      <c r="M192" s="33"/>
      <c r="N192" s="33"/>
      <c r="O192" s="34"/>
    </row>
    <row r="193" spans="5:15">
      <c r="E193" s="33"/>
      <c r="F193" s="33"/>
      <c r="G193" s="33"/>
      <c r="H193" s="33"/>
      <c r="I193" s="33"/>
      <c r="J193" s="33"/>
      <c r="K193" s="33"/>
      <c r="L193" s="33"/>
      <c r="M193" s="33"/>
      <c r="N193" s="33"/>
      <c r="O193" s="34"/>
    </row>
    <row r="194" spans="5:15">
      <c r="E194" s="33"/>
      <c r="F194" s="33"/>
      <c r="G194" s="33"/>
      <c r="H194" s="33"/>
      <c r="I194" s="33"/>
      <c r="J194" s="33"/>
      <c r="K194" s="33"/>
      <c r="L194" s="33"/>
      <c r="M194" s="33"/>
      <c r="N194" s="33"/>
      <c r="O194" s="34"/>
    </row>
    <row r="195" spans="5:15">
      <c r="E195" s="33"/>
      <c r="F195" s="33"/>
      <c r="G195" s="33"/>
      <c r="H195" s="33"/>
      <c r="I195" s="33"/>
      <c r="J195" s="33"/>
      <c r="K195" s="33"/>
      <c r="L195" s="33"/>
      <c r="M195" s="33"/>
      <c r="N195" s="33"/>
      <c r="O195" s="34"/>
    </row>
    <row r="196" spans="5:15">
      <c r="E196" s="33"/>
      <c r="F196" s="33"/>
      <c r="G196" s="33"/>
      <c r="H196" s="33"/>
      <c r="I196" s="33"/>
      <c r="J196" s="33"/>
      <c r="K196" s="33"/>
      <c r="L196" s="33"/>
      <c r="M196" s="33"/>
      <c r="N196" s="33"/>
      <c r="O196" s="34"/>
    </row>
    <row r="197" spans="5:15">
      <c r="E197" s="33"/>
      <c r="F197" s="33"/>
      <c r="G197" s="33"/>
      <c r="H197" s="33"/>
      <c r="I197" s="33"/>
      <c r="J197" s="33"/>
      <c r="K197" s="33"/>
      <c r="L197" s="33"/>
      <c r="M197" s="33"/>
      <c r="N197" s="33"/>
      <c r="O197" s="34"/>
    </row>
    <row r="198" spans="5:15">
      <c r="E198" s="33"/>
      <c r="F198" s="33"/>
      <c r="G198" s="33"/>
      <c r="H198" s="33"/>
      <c r="I198" s="33"/>
      <c r="J198" s="33"/>
      <c r="K198" s="33"/>
      <c r="L198" s="33"/>
      <c r="M198" s="33"/>
      <c r="N198" s="33"/>
      <c r="O198" s="34"/>
    </row>
    <row r="199" spans="5:15">
      <c r="E199" s="33"/>
      <c r="F199" s="33"/>
      <c r="G199" s="33"/>
      <c r="H199" s="33"/>
      <c r="I199" s="33"/>
      <c r="J199" s="33"/>
      <c r="K199" s="33"/>
      <c r="L199" s="33"/>
      <c r="M199" s="33"/>
      <c r="N199" s="33"/>
      <c r="O199" s="34"/>
    </row>
    <row r="200" spans="5:15">
      <c r="E200" s="33"/>
      <c r="F200" s="33"/>
      <c r="G200" s="33"/>
      <c r="H200" s="33"/>
      <c r="I200" s="33"/>
      <c r="J200" s="33"/>
      <c r="K200" s="33"/>
      <c r="L200" s="33"/>
      <c r="M200" s="33"/>
      <c r="N200" s="33"/>
      <c r="O200" s="34"/>
    </row>
    <row r="201" spans="5:15">
      <c r="E201" s="33"/>
      <c r="F201" s="33"/>
      <c r="G201" s="33"/>
      <c r="H201" s="33"/>
      <c r="I201" s="33"/>
      <c r="J201" s="33"/>
      <c r="K201" s="33"/>
      <c r="L201" s="33"/>
      <c r="M201" s="33"/>
      <c r="N201" s="33"/>
      <c r="O201" s="34"/>
    </row>
    <row r="202" spans="5:15">
      <c r="E202" s="33"/>
      <c r="F202" s="33"/>
      <c r="G202" s="33"/>
      <c r="H202" s="33"/>
      <c r="I202" s="33"/>
      <c r="J202" s="33"/>
      <c r="K202" s="33"/>
      <c r="L202" s="33"/>
      <c r="M202" s="33"/>
      <c r="N202" s="33"/>
      <c r="O202" s="34"/>
    </row>
    <row r="203" spans="5:15">
      <c r="E203" s="33"/>
      <c r="F203" s="33"/>
      <c r="G203" s="33"/>
      <c r="H203" s="33"/>
      <c r="I203" s="33"/>
      <c r="J203" s="33"/>
      <c r="K203" s="33"/>
      <c r="L203" s="33"/>
      <c r="M203" s="33"/>
      <c r="N203" s="33"/>
      <c r="O203" s="34"/>
    </row>
    <row r="204" spans="5:15">
      <c r="E204" s="33"/>
      <c r="F204" s="33"/>
      <c r="G204" s="33"/>
      <c r="H204" s="33"/>
      <c r="I204" s="33"/>
      <c r="J204" s="33"/>
      <c r="K204" s="33"/>
      <c r="L204" s="33"/>
      <c r="M204" s="33"/>
      <c r="N204" s="33"/>
      <c r="O204" s="34"/>
    </row>
    <row r="205" spans="5:15">
      <c r="E205" s="33"/>
      <c r="F205" s="33"/>
      <c r="G205" s="33"/>
      <c r="H205" s="33"/>
      <c r="I205" s="33"/>
      <c r="J205" s="33"/>
      <c r="K205" s="33"/>
      <c r="L205" s="33"/>
      <c r="M205" s="33"/>
      <c r="N205" s="33"/>
      <c r="O205" s="34"/>
    </row>
    <row r="206" spans="5:15">
      <c r="E206" s="33"/>
      <c r="F206" s="33"/>
      <c r="G206" s="33"/>
      <c r="H206" s="33"/>
      <c r="I206" s="33"/>
      <c r="J206" s="33"/>
      <c r="K206" s="33"/>
      <c r="L206" s="33"/>
      <c r="M206" s="33"/>
      <c r="N206" s="33"/>
      <c r="O206" s="34"/>
    </row>
    <row r="207" spans="5:15">
      <c r="E207" s="33"/>
      <c r="F207" s="33"/>
      <c r="G207" s="33"/>
      <c r="H207" s="33"/>
      <c r="I207" s="33"/>
      <c r="J207" s="33"/>
      <c r="K207" s="33"/>
      <c r="L207" s="33"/>
      <c r="M207" s="33"/>
      <c r="N207" s="33"/>
      <c r="O207" s="34"/>
    </row>
    <row r="208" spans="5:15">
      <c r="E208" s="33"/>
      <c r="F208" s="33"/>
      <c r="G208" s="33"/>
      <c r="H208" s="33"/>
      <c r="I208" s="33"/>
      <c r="J208" s="33"/>
      <c r="K208" s="33"/>
      <c r="L208" s="33"/>
      <c r="M208" s="33"/>
      <c r="N208" s="33"/>
      <c r="O208" s="34"/>
    </row>
    <row r="209" spans="5:15">
      <c r="E209" s="33"/>
      <c r="F209" s="33"/>
      <c r="G209" s="33"/>
      <c r="H209" s="33"/>
      <c r="I209" s="33"/>
      <c r="J209" s="33"/>
      <c r="K209" s="33"/>
      <c r="L209" s="33"/>
      <c r="M209" s="33"/>
      <c r="N209" s="33"/>
      <c r="O209" s="34"/>
    </row>
    <row r="210" spans="5:15">
      <c r="E210" s="33"/>
      <c r="F210" s="33"/>
      <c r="G210" s="33"/>
      <c r="H210" s="33"/>
      <c r="I210" s="33"/>
      <c r="J210" s="33"/>
      <c r="K210" s="33"/>
      <c r="L210" s="33"/>
      <c r="M210" s="33"/>
      <c r="N210" s="33"/>
      <c r="O210" s="34"/>
    </row>
    <row r="211" spans="5:15">
      <c r="E211" s="33"/>
      <c r="F211" s="33"/>
      <c r="G211" s="33"/>
      <c r="H211" s="33"/>
      <c r="I211" s="33"/>
      <c r="J211" s="33"/>
      <c r="K211" s="33"/>
      <c r="L211" s="33"/>
      <c r="M211" s="33"/>
      <c r="N211" s="33"/>
      <c r="O211" s="34"/>
    </row>
    <row r="212" spans="5:15">
      <c r="E212" s="33"/>
      <c r="F212" s="33"/>
      <c r="G212" s="33"/>
      <c r="H212" s="33"/>
      <c r="I212" s="33"/>
      <c r="J212" s="33"/>
      <c r="K212" s="33"/>
      <c r="L212" s="33"/>
      <c r="M212" s="33"/>
      <c r="N212" s="33"/>
      <c r="O212" s="34"/>
    </row>
    <row r="213" spans="5:15">
      <c r="E213" s="33"/>
      <c r="F213" s="33"/>
      <c r="G213" s="33"/>
      <c r="H213" s="33"/>
      <c r="I213" s="33"/>
      <c r="J213" s="33"/>
      <c r="K213" s="33"/>
      <c r="L213" s="33"/>
      <c r="M213" s="33"/>
      <c r="N213" s="33"/>
      <c r="O213" s="34"/>
    </row>
    <row r="214" spans="5:15">
      <c r="E214" s="33"/>
      <c r="F214" s="33"/>
      <c r="G214" s="33"/>
      <c r="H214" s="33"/>
      <c r="I214" s="33"/>
      <c r="J214" s="33"/>
      <c r="K214" s="33"/>
      <c r="L214" s="33"/>
      <c r="M214" s="33"/>
      <c r="N214" s="33"/>
      <c r="O214" s="34"/>
    </row>
    <row r="215" spans="5:15">
      <c r="E215" s="33"/>
      <c r="F215" s="33"/>
      <c r="G215" s="33"/>
      <c r="H215" s="33"/>
      <c r="I215" s="33"/>
      <c r="J215" s="33"/>
      <c r="K215" s="33"/>
      <c r="L215" s="33"/>
      <c r="M215" s="33"/>
      <c r="N215" s="33"/>
      <c r="O215" s="34"/>
    </row>
    <row r="216" spans="5:15">
      <c r="E216" s="33"/>
      <c r="F216" s="33"/>
      <c r="G216" s="33"/>
      <c r="H216" s="33"/>
      <c r="I216" s="33"/>
      <c r="J216" s="33"/>
      <c r="K216" s="33"/>
      <c r="L216" s="33"/>
      <c r="M216" s="33"/>
      <c r="N216" s="33"/>
      <c r="O216" s="34"/>
    </row>
    <row r="217" spans="5:15">
      <c r="E217" s="33"/>
      <c r="F217" s="33"/>
      <c r="G217" s="33"/>
      <c r="H217" s="33"/>
      <c r="I217" s="33"/>
      <c r="J217" s="33"/>
      <c r="K217" s="33"/>
      <c r="L217" s="33"/>
      <c r="M217" s="33"/>
      <c r="N217" s="33"/>
      <c r="O217" s="34"/>
    </row>
    <row r="218" spans="5:15">
      <c r="E218" s="33"/>
      <c r="F218" s="33"/>
      <c r="G218" s="33"/>
      <c r="H218" s="33"/>
      <c r="I218" s="33"/>
      <c r="J218" s="33"/>
      <c r="K218" s="33"/>
      <c r="L218" s="33"/>
      <c r="M218" s="33"/>
      <c r="N218" s="33"/>
      <c r="O218" s="34"/>
    </row>
    <row r="219" spans="5:15">
      <c r="E219" s="33"/>
      <c r="F219" s="33"/>
      <c r="G219" s="33"/>
      <c r="H219" s="33"/>
      <c r="I219" s="33"/>
      <c r="J219" s="33"/>
      <c r="K219" s="33"/>
      <c r="L219" s="33"/>
      <c r="M219" s="33"/>
      <c r="N219" s="33"/>
      <c r="O219" s="34"/>
    </row>
    <row r="220" spans="5:15">
      <c r="E220" s="33"/>
      <c r="F220" s="33"/>
      <c r="G220" s="33"/>
      <c r="H220" s="33"/>
      <c r="I220" s="33"/>
      <c r="J220" s="33"/>
      <c r="K220" s="33"/>
      <c r="L220" s="33"/>
      <c r="M220" s="33"/>
      <c r="N220" s="33"/>
      <c r="O220" s="34"/>
    </row>
    <row r="221" spans="5:15">
      <c r="E221" s="33"/>
      <c r="F221" s="33"/>
      <c r="G221" s="33"/>
      <c r="H221" s="33"/>
      <c r="I221" s="33"/>
      <c r="J221" s="33"/>
      <c r="K221" s="33"/>
      <c r="L221" s="33"/>
      <c r="M221" s="33"/>
      <c r="N221" s="33"/>
      <c r="O221" s="34"/>
    </row>
    <row r="222" spans="5:15">
      <c r="E222" s="33"/>
      <c r="F222" s="33"/>
      <c r="G222" s="33"/>
      <c r="H222" s="33"/>
      <c r="I222" s="33"/>
      <c r="J222" s="33"/>
      <c r="K222" s="33"/>
      <c r="L222" s="33"/>
      <c r="M222" s="33"/>
      <c r="N222" s="33"/>
      <c r="O222" s="34"/>
    </row>
    <row r="223" spans="5:15">
      <c r="E223" s="33"/>
      <c r="F223" s="33"/>
      <c r="G223" s="33"/>
      <c r="H223" s="33"/>
      <c r="I223" s="33"/>
      <c r="J223" s="33"/>
      <c r="K223" s="33"/>
      <c r="L223" s="33"/>
      <c r="M223" s="33"/>
      <c r="N223" s="33"/>
      <c r="O223" s="34"/>
    </row>
    <row r="224" spans="5:15">
      <c r="E224" s="33"/>
      <c r="F224" s="33"/>
      <c r="G224" s="33"/>
      <c r="H224" s="33"/>
      <c r="I224" s="33"/>
      <c r="J224" s="33"/>
      <c r="K224" s="33"/>
      <c r="L224" s="33"/>
      <c r="M224" s="33"/>
      <c r="N224" s="33"/>
      <c r="O224" s="34"/>
    </row>
    <row r="225" spans="5:15">
      <c r="E225" s="33"/>
      <c r="F225" s="33"/>
      <c r="G225" s="33"/>
      <c r="H225" s="33"/>
      <c r="I225" s="33"/>
      <c r="J225" s="33"/>
      <c r="K225" s="33"/>
      <c r="L225" s="33"/>
      <c r="M225" s="33"/>
      <c r="N225" s="33"/>
      <c r="O225" s="34"/>
    </row>
    <row r="226" spans="5:15">
      <c r="E226" s="33"/>
      <c r="F226" s="33"/>
      <c r="G226" s="33"/>
      <c r="H226" s="33"/>
      <c r="I226" s="33"/>
      <c r="J226" s="33"/>
      <c r="K226" s="33"/>
      <c r="L226" s="33"/>
      <c r="M226" s="33"/>
      <c r="N226" s="33"/>
      <c r="O226" s="34"/>
    </row>
    <row r="227" spans="5:15">
      <c r="E227" s="33"/>
      <c r="F227" s="33"/>
      <c r="G227" s="33"/>
      <c r="H227" s="33"/>
      <c r="I227" s="33"/>
      <c r="J227" s="33"/>
      <c r="K227" s="33"/>
      <c r="L227" s="33"/>
      <c r="M227" s="33"/>
      <c r="N227" s="33"/>
      <c r="O227" s="34"/>
    </row>
    <row r="228" spans="5:15">
      <c r="E228" s="33"/>
      <c r="F228" s="33"/>
      <c r="G228" s="33"/>
      <c r="H228" s="33"/>
      <c r="I228" s="33"/>
      <c r="J228" s="33"/>
      <c r="K228" s="33"/>
      <c r="L228" s="33"/>
      <c r="M228" s="33"/>
      <c r="N228" s="33"/>
      <c r="O228" s="34"/>
    </row>
    <row r="229" spans="5:15">
      <c r="E229" s="33"/>
      <c r="F229" s="33"/>
      <c r="G229" s="33"/>
      <c r="H229" s="33"/>
      <c r="I229" s="33"/>
      <c r="J229" s="33"/>
      <c r="K229" s="33"/>
      <c r="L229" s="33"/>
      <c r="M229" s="33"/>
      <c r="N229" s="33"/>
      <c r="O229" s="34"/>
    </row>
    <row r="230" spans="5:15">
      <c r="E230" s="33"/>
      <c r="F230" s="33"/>
      <c r="G230" s="33"/>
      <c r="H230" s="33"/>
      <c r="I230" s="33"/>
      <c r="J230" s="33"/>
      <c r="K230" s="33"/>
      <c r="L230" s="33"/>
      <c r="M230" s="33"/>
      <c r="N230" s="33"/>
      <c r="O230" s="34"/>
    </row>
    <row r="231" spans="5:15">
      <c r="E231" s="33"/>
      <c r="F231" s="33"/>
      <c r="G231" s="33"/>
      <c r="H231" s="33"/>
      <c r="I231" s="33"/>
      <c r="J231" s="33"/>
      <c r="K231" s="33"/>
      <c r="L231" s="33"/>
      <c r="M231" s="33"/>
      <c r="N231" s="33"/>
      <c r="O231" s="34"/>
    </row>
    <row r="232" spans="5:15">
      <c r="E232" s="33"/>
      <c r="F232" s="33"/>
      <c r="G232" s="33"/>
      <c r="H232" s="33"/>
      <c r="I232" s="33"/>
      <c r="J232" s="33"/>
      <c r="K232" s="33"/>
      <c r="L232" s="33"/>
      <c r="M232" s="33"/>
      <c r="N232" s="33"/>
      <c r="O232" s="34"/>
    </row>
    <row r="233" spans="5:15">
      <c r="E233" s="33"/>
      <c r="F233" s="33"/>
      <c r="G233" s="33"/>
      <c r="H233" s="33"/>
      <c r="I233" s="33"/>
      <c r="J233" s="33"/>
      <c r="K233" s="33"/>
      <c r="L233" s="33"/>
      <c r="M233" s="33"/>
      <c r="N233" s="33"/>
      <c r="O233" s="34"/>
    </row>
    <row r="234" spans="5:15">
      <c r="E234" s="33"/>
      <c r="F234" s="33"/>
      <c r="G234" s="33"/>
      <c r="H234" s="33"/>
      <c r="I234" s="33"/>
      <c r="J234" s="33"/>
      <c r="K234" s="33"/>
      <c r="L234" s="33"/>
      <c r="M234" s="33"/>
      <c r="N234" s="33"/>
      <c r="O234" s="34"/>
    </row>
    <row r="235" spans="5:15">
      <c r="E235" s="33"/>
      <c r="F235" s="33"/>
      <c r="G235" s="33"/>
      <c r="H235" s="33"/>
      <c r="I235" s="33"/>
      <c r="J235" s="33"/>
      <c r="K235" s="33"/>
      <c r="L235" s="33"/>
      <c r="M235" s="33"/>
      <c r="N235" s="33"/>
      <c r="O235" s="34"/>
    </row>
    <row r="236" spans="5:15">
      <c r="E236" s="33"/>
      <c r="F236" s="33"/>
      <c r="G236" s="33"/>
      <c r="H236" s="33"/>
      <c r="I236" s="33"/>
      <c r="J236" s="33"/>
      <c r="K236" s="33"/>
      <c r="L236" s="33"/>
      <c r="M236" s="33"/>
      <c r="N236" s="33"/>
      <c r="O236" s="34"/>
    </row>
    <row r="237" spans="5:15">
      <c r="E237" s="33"/>
      <c r="F237" s="33"/>
      <c r="G237" s="33"/>
      <c r="H237" s="33"/>
      <c r="I237" s="33"/>
      <c r="J237" s="33"/>
      <c r="K237" s="33"/>
      <c r="L237" s="33"/>
      <c r="M237" s="33"/>
      <c r="N237" s="33"/>
      <c r="O237" s="34"/>
    </row>
    <row r="238" spans="5:15">
      <c r="E238" s="33"/>
      <c r="F238" s="33"/>
      <c r="G238" s="33"/>
      <c r="H238" s="33"/>
      <c r="I238" s="33"/>
      <c r="J238" s="33"/>
      <c r="K238" s="33"/>
      <c r="L238" s="33"/>
      <c r="M238" s="33"/>
      <c r="N238" s="33"/>
      <c r="O238" s="34"/>
    </row>
    <row r="239" spans="5:15">
      <c r="E239" s="33"/>
      <c r="F239" s="33"/>
      <c r="G239" s="33"/>
      <c r="H239" s="33"/>
      <c r="I239" s="33"/>
      <c r="J239" s="33"/>
      <c r="K239" s="33"/>
      <c r="L239" s="33"/>
      <c r="M239" s="33"/>
      <c r="N239" s="33"/>
      <c r="O239" s="34"/>
    </row>
    <row r="240" spans="5:15">
      <c r="E240" s="33"/>
      <c r="F240" s="33"/>
      <c r="G240" s="33"/>
      <c r="H240" s="33"/>
      <c r="I240" s="33"/>
      <c r="J240" s="33"/>
      <c r="K240" s="33"/>
      <c r="L240" s="33"/>
      <c r="M240" s="33"/>
      <c r="N240" s="33"/>
      <c r="O240" s="34"/>
    </row>
    <row r="241" spans="5:15">
      <c r="E241" s="33"/>
      <c r="F241" s="33"/>
      <c r="G241" s="33"/>
      <c r="H241" s="33"/>
      <c r="I241" s="33"/>
      <c r="J241" s="33"/>
      <c r="K241" s="33"/>
      <c r="L241" s="33"/>
      <c r="M241" s="33"/>
      <c r="N241" s="33"/>
      <c r="O241" s="34"/>
    </row>
    <row r="242" spans="5:15">
      <c r="E242" s="33"/>
      <c r="F242" s="33"/>
      <c r="G242" s="33"/>
      <c r="H242" s="33"/>
      <c r="I242" s="33"/>
      <c r="J242" s="33"/>
      <c r="K242" s="33"/>
      <c r="L242" s="33"/>
      <c r="M242" s="33"/>
      <c r="N242" s="33"/>
      <c r="O242" s="34"/>
    </row>
    <row r="243" spans="5:15">
      <c r="E243" s="33"/>
      <c r="F243" s="33"/>
      <c r="G243" s="33"/>
      <c r="H243" s="33"/>
      <c r="I243" s="33"/>
      <c r="J243" s="33"/>
      <c r="K243" s="33"/>
      <c r="L243" s="33"/>
      <c r="M243" s="33"/>
      <c r="N243" s="33"/>
      <c r="O243" s="34"/>
    </row>
    <row r="244" spans="5:15">
      <c r="E244" s="33"/>
      <c r="F244" s="33"/>
      <c r="G244" s="33"/>
      <c r="H244" s="33"/>
      <c r="I244" s="33"/>
      <c r="J244" s="33"/>
      <c r="K244" s="33"/>
      <c r="L244" s="33"/>
      <c r="M244" s="33"/>
      <c r="N244" s="33"/>
      <c r="O244" s="34"/>
    </row>
    <row r="245" spans="5:15">
      <c r="E245" s="33"/>
      <c r="F245" s="33"/>
      <c r="G245" s="33"/>
      <c r="H245" s="33"/>
      <c r="I245" s="33"/>
      <c r="J245" s="33"/>
      <c r="K245" s="33"/>
      <c r="L245" s="33"/>
      <c r="M245" s="33"/>
      <c r="N245" s="33"/>
      <c r="O245" s="34"/>
    </row>
    <row r="246" spans="5:15">
      <c r="E246" s="33"/>
      <c r="F246" s="33"/>
      <c r="G246" s="33"/>
      <c r="H246" s="33"/>
      <c r="I246" s="33"/>
      <c r="J246" s="33"/>
      <c r="K246" s="33"/>
      <c r="L246" s="33"/>
      <c r="M246" s="33"/>
      <c r="N246" s="33"/>
      <c r="O246" s="34"/>
    </row>
    <row r="247" spans="5:15">
      <c r="E247" s="33"/>
      <c r="F247" s="33"/>
      <c r="G247" s="33"/>
      <c r="H247" s="33"/>
      <c r="I247" s="33"/>
      <c r="J247" s="33"/>
      <c r="K247" s="33"/>
      <c r="L247" s="33"/>
      <c r="M247" s="33"/>
      <c r="N247" s="33"/>
      <c r="O247" s="34"/>
    </row>
    <row r="248" spans="5:15">
      <c r="E248" s="33"/>
      <c r="F248" s="33"/>
      <c r="G248" s="33"/>
      <c r="H248" s="33"/>
      <c r="I248" s="33"/>
      <c r="J248" s="33"/>
      <c r="K248" s="33"/>
      <c r="L248" s="33"/>
      <c r="M248" s="33"/>
      <c r="N248" s="33"/>
      <c r="O248" s="34"/>
    </row>
    <row r="249" spans="5:15">
      <c r="E249" s="33"/>
      <c r="F249" s="33"/>
      <c r="G249" s="33"/>
      <c r="H249" s="33"/>
      <c r="I249" s="33"/>
      <c r="J249" s="33"/>
      <c r="K249" s="33"/>
      <c r="L249" s="33"/>
      <c r="M249" s="33"/>
      <c r="N249" s="33"/>
      <c r="O249" s="34"/>
    </row>
    <row r="250" spans="5:15">
      <c r="E250" s="33"/>
      <c r="F250" s="33"/>
      <c r="G250" s="33"/>
      <c r="H250" s="33"/>
      <c r="I250" s="33"/>
      <c r="J250" s="33"/>
      <c r="K250" s="33"/>
      <c r="L250" s="33"/>
      <c r="M250" s="33"/>
      <c r="N250" s="33"/>
      <c r="O250" s="34"/>
    </row>
    <row r="251" spans="5:15">
      <c r="E251" s="33"/>
      <c r="F251" s="33"/>
      <c r="G251" s="33"/>
      <c r="H251" s="33"/>
      <c r="I251" s="33"/>
      <c r="J251" s="33"/>
      <c r="K251" s="33"/>
      <c r="L251" s="33"/>
      <c r="M251" s="33"/>
      <c r="N251" s="33"/>
      <c r="O251" s="34"/>
    </row>
    <row r="252" spans="5:15">
      <c r="E252" s="33"/>
      <c r="F252" s="33"/>
      <c r="G252" s="33"/>
      <c r="H252" s="33"/>
      <c r="I252" s="33"/>
      <c r="J252" s="33"/>
      <c r="K252" s="33"/>
      <c r="L252" s="33"/>
      <c r="M252" s="33"/>
      <c r="N252" s="33"/>
      <c r="O252" s="34"/>
    </row>
    <row r="253" spans="5:15">
      <c r="E253" s="33"/>
      <c r="F253" s="33"/>
      <c r="G253" s="33"/>
      <c r="H253" s="33"/>
      <c r="I253" s="33"/>
      <c r="J253" s="33"/>
      <c r="K253" s="33"/>
      <c r="L253" s="33"/>
      <c r="M253" s="33"/>
      <c r="N253" s="33"/>
      <c r="O253" s="34"/>
    </row>
    <row r="254" spans="5:15">
      <c r="E254" s="33"/>
      <c r="F254" s="33"/>
      <c r="G254" s="33"/>
      <c r="H254" s="33"/>
      <c r="I254" s="33"/>
      <c r="J254" s="33"/>
      <c r="K254" s="33"/>
      <c r="L254" s="33"/>
      <c r="M254" s="33"/>
      <c r="N254" s="33"/>
      <c r="O254" s="34"/>
    </row>
    <row r="255" spans="5:15">
      <c r="E255" s="33"/>
      <c r="F255" s="33"/>
      <c r="G255" s="33"/>
      <c r="H255" s="33"/>
      <c r="I255" s="33"/>
      <c r="J255" s="33"/>
      <c r="K255" s="33"/>
      <c r="L255" s="33"/>
      <c r="M255" s="33"/>
      <c r="N255" s="33"/>
      <c r="O255" s="34"/>
    </row>
    <row r="256" spans="5:15">
      <c r="E256" s="33"/>
      <c r="F256" s="33"/>
      <c r="G256" s="33"/>
      <c r="H256" s="33"/>
      <c r="I256" s="33"/>
      <c r="J256" s="33"/>
      <c r="K256" s="33"/>
      <c r="L256" s="33"/>
      <c r="M256" s="33"/>
      <c r="N256" s="33"/>
      <c r="O256" s="34"/>
    </row>
    <row r="257" spans="5:15">
      <c r="E257" s="33"/>
      <c r="F257" s="33"/>
      <c r="G257" s="33"/>
      <c r="H257" s="33"/>
      <c r="I257" s="33"/>
      <c r="J257" s="33"/>
      <c r="K257" s="33"/>
      <c r="L257" s="33"/>
      <c r="M257" s="33"/>
      <c r="N257" s="33"/>
      <c r="O257" s="34"/>
    </row>
    <row r="258" spans="5:15">
      <c r="E258" s="33"/>
      <c r="F258" s="33"/>
      <c r="G258" s="33"/>
      <c r="H258" s="33"/>
      <c r="I258" s="33"/>
      <c r="J258" s="33"/>
      <c r="K258" s="33"/>
      <c r="L258" s="33"/>
      <c r="M258" s="33"/>
      <c r="N258" s="33"/>
      <c r="O258" s="34"/>
    </row>
    <row r="259" spans="5:15">
      <c r="E259" s="33"/>
      <c r="F259" s="33"/>
      <c r="G259" s="33"/>
      <c r="H259" s="33"/>
      <c r="I259" s="33"/>
      <c r="J259" s="33"/>
      <c r="K259" s="33"/>
      <c r="L259" s="33"/>
      <c r="M259" s="33"/>
      <c r="N259" s="33"/>
      <c r="O259" s="34"/>
    </row>
    <row r="260" spans="5:15">
      <c r="E260" s="33"/>
      <c r="F260" s="33"/>
      <c r="G260" s="33"/>
      <c r="H260" s="33"/>
      <c r="I260" s="33"/>
      <c r="J260" s="33"/>
      <c r="K260" s="33"/>
      <c r="L260" s="33"/>
      <c r="M260" s="33"/>
      <c r="N260" s="33"/>
      <c r="O260" s="34"/>
    </row>
    <row r="261" spans="5:15">
      <c r="E261" s="33"/>
      <c r="F261" s="33"/>
      <c r="G261" s="33"/>
      <c r="H261" s="33"/>
      <c r="I261" s="33"/>
      <c r="J261" s="33"/>
      <c r="K261" s="33"/>
      <c r="L261" s="33"/>
      <c r="M261" s="33"/>
      <c r="N261" s="33"/>
      <c r="O261" s="34"/>
    </row>
    <row r="262" spans="5:15">
      <c r="E262" s="33"/>
      <c r="F262" s="33"/>
      <c r="G262" s="33"/>
      <c r="H262" s="33"/>
      <c r="I262" s="33"/>
      <c r="J262" s="33"/>
      <c r="K262" s="33"/>
      <c r="L262" s="33"/>
      <c r="M262" s="33"/>
      <c r="N262" s="33"/>
      <c r="O262" s="34"/>
    </row>
    <row r="263" spans="5:15">
      <c r="E263" s="33"/>
      <c r="F263" s="33"/>
      <c r="G263" s="33"/>
      <c r="H263" s="33"/>
      <c r="I263" s="33"/>
      <c r="J263" s="33"/>
      <c r="K263" s="33"/>
      <c r="L263" s="33"/>
      <c r="M263" s="33"/>
      <c r="N263" s="33"/>
      <c r="O263" s="34"/>
    </row>
    <row r="264" spans="5:15">
      <c r="E264" s="33"/>
      <c r="F264" s="33"/>
      <c r="G264" s="33"/>
      <c r="H264" s="33"/>
      <c r="I264" s="33"/>
      <c r="J264" s="33"/>
      <c r="K264" s="33"/>
      <c r="L264" s="33"/>
      <c r="M264" s="33"/>
      <c r="N264" s="33"/>
      <c r="O264" s="34"/>
    </row>
    <row r="265" spans="5:15">
      <c r="E265" s="33"/>
      <c r="F265" s="33"/>
      <c r="G265" s="33"/>
      <c r="H265" s="33"/>
      <c r="I265" s="33"/>
      <c r="J265" s="33"/>
      <c r="K265" s="33"/>
      <c r="L265" s="33"/>
      <c r="M265" s="33"/>
      <c r="N265" s="33"/>
      <c r="O265" s="34"/>
    </row>
    <row r="266" spans="5:15">
      <c r="E266" s="33"/>
      <c r="F266" s="33"/>
      <c r="G266" s="33"/>
      <c r="H266" s="33"/>
      <c r="I266" s="33"/>
      <c r="J266" s="33"/>
      <c r="K266" s="33"/>
      <c r="L266" s="33"/>
      <c r="M266" s="33"/>
      <c r="N266" s="33"/>
      <c r="O266" s="34"/>
    </row>
    <row r="267" spans="5:15">
      <c r="E267" s="33"/>
      <c r="F267" s="33"/>
      <c r="G267" s="33"/>
      <c r="H267" s="33"/>
      <c r="I267" s="33"/>
      <c r="J267" s="33"/>
      <c r="K267" s="33"/>
      <c r="L267" s="33"/>
      <c r="M267" s="33"/>
      <c r="N267" s="33"/>
      <c r="O267" s="34"/>
    </row>
    <row r="268" spans="5:15">
      <c r="E268" s="33"/>
      <c r="F268" s="33"/>
      <c r="G268" s="33"/>
      <c r="H268" s="33"/>
      <c r="I268" s="33"/>
      <c r="J268" s="33"/>
      <c r="K268" s="33"/>
      <c r="L268" s="33"/>
      <c r="M268" s="33"/>
      <c r="N268" s="33"/>
      <c r="O268" s="34"/>
    </row>
    <row r="269" spans="5:15">
      <c r="E269" s="33"/>
      <c r="F269" s="33"/>
      <c r="G269" s="33"/>
      <c r="H269" s="33"/>
      <c r="I269" s="33"/>
      <c r="J269" s="33"/>
      <c r="K269" s="33"/>
      <c r="L269" s="33"/>
      <c r="M269" s="33"/>
      <c r="N269" s="33"/>
      <c r="O269" s="34"/>
    </row>
    <row r="270" spans="5:15">
      <c r="E270" s="33"/>
      <c r="F270" s="33"/>
      <c r="G270" s="33"/>
      <c r="H270" s="33"/>
      <c r="I270" s="33"/>
      <c r="J270" s="33"/>
      <c r="K270" s="33"/>
      <c r="L270" s="33"/>
      <c r="M270" s="33"/>
      <c r="N270" s="33"/>
      <c r="O270" s="34"/>
    </row>
    <row r="271" spans="5:15">
      <c r="E271" s="33"/>
      <c r="F271" s="33"/>
      <c r="G271" s="33"/>
      <c r="H271" s="33"/>
      <c r="I271" s="33"/>
      <c r="J271" s="33"/>
      <c r="K271" s="33"/>
      <c r="L271" s="33"/>
      <c r="M271" s="33"/>
      <c r="N271" s="33"/>
      <c r="O271" s="34"/>
    </row>
    <row r="272" spans="5:15">
      <c r="E272" s="33"/>
      <c r="F272" s="33"/>
      <c r="G272" s="33"/>
      <c r="H272" s="33"/>
      <c r="I272" s="33"/>
      <c r="J272" s="33"/>
      <c r="K272" s="33"/>
      <c r="L272" s="33"/>
      <c r="M272" s="33"/>
      <c r="N272" s="33"/>
      <c r="O272" s="34"/>
    </row>
    <row r="273" spans="5:15">
      <c r="E273" s="33"/>
      <c r="F273" s="33"/>
      <c r="G273" s="33"/>
      <c r="H273" s="33"/>
      <c r="I273" s="33"/>
      <c r="J273" s="33"/>
      <c r="K273" s="33"/>
      <c r="L273" s="33"/>
      <c r="M273" s="33"/>
      <c r="N273" s="33"/>
      <c r="O273" s="34"/>
    </row>
    <row r="274" spans="5:15">
      <c r="E274" s="33"/>
      <c r="F274" s="33"/>
      <c r="G274" s="33"/>
      <c r="H274" s="33"/>
      <c r="I274" s="33"/>
      <c r="J274" s="33"/>
      <c r="K274" s="33"/>
      <c r="L274" s="33"/>
      <c r="M274" s="33"/>
      <c r="N274" s="33"/>
      <c r="O274" s="34"/>
    </row>
    <row r="275" spans="5:15">
      <c r="E275" s="33"/>
      <c r="F275" s="33"/>
      <c r="G275" s="33"/>
      <c r="H275" s="33"/>
      <c r="I275" s="33"/>
      <c r="J275" s="33"/>
      <c r="K275" s="33"/>
      <c r="L275" s="33"/>
      <c r="M275" s="33"/>
      <c r="N275" s="33"/>
      <c r="O275" s="34"/>
    </row>
    <row r="276" spans="5:15">
      <c r="E276" s="33"/>
      <c r="F276" s="33"/>
      <c r="G276" s="33"/>
      <c r="H276" s="33"/>
      <c r="I276" s="33"/>
      <c r="J276" s="33"/>
      <c r="K276" s="33"/>
      <c r="L276" s="33"/>
      <c r="M276" s="33"/>
      <c r="N276" s="33"/>
      <c r="O276" s="34"/>
    </row>
    <row r="277" spans="5:15">
      <c r="E277" s="33"/>
      <c r="F277" s="33"/>
      <c r="G277" s="33"/>
      <c r="H277" s="33"/>
      <c r="I277" s="33"/>
      <c r="J277" s="33"/>
      <c r="K277" s="33"/>
      <c r="L277" s="33"/>
      <c r="M277" s="33"/>
      <c r="N277" s="33"/>
      <c r="O277" s="34"/>
    </row>
    <row r="278" spans="5:15">
      <c r="E278" s="33"/>
      <c r="F278" s="33"/>
      <c r="G278" s="33"/>
      <c r="H278" s="33"/>
      <c r="I278" s="33"/>
      <c r="J278" s="33"/>
      <c r="K278" s="33"/>
      <c r="L278" s="33"/>
      <c r="M278" s="33"/>
      <c r="N278" s="33"/>
      <c r="O278" s="34"/>
    </row>
    <row r="279" spans="5:15">
      <c r="E279" s="33"/>
      <c r="F279" s="33"/>
      <c r="G279" s="33"/>
      <c r="H279" s="33"/>
      <c r="I279" s="33"/>
      <c r="J279" s="33"/>
      <c r="K279" s="33"/>
      <c r="L279" s="33"/>
      <c r="M279" s="33"/>
      <c r="N279" s="33"/>
      <c r="O279" s="34"/>
    </row>
    <row r="280" spans="5:15">
      <c r="E280" s="33"/>
      <c r="F280" s="33"/>
      <c r="G280" s="33"/>
      <c r="H280" s="33"/>
      <c r="I280" s="33"/>
      <c r="J280" s="33"/>
      <c r="K280" s="33"/>
      <c r="L280" s="33"/>
      <c r="M280" s="33"/>
      <c r="N280" s="33"/>
      <c r="O280" s="34"/>
    </row>
    <row r="281" spans="5:15">
      <c r="E281" s="33"/>
      <c r="F281" s="33"/>
      <c r="G281" s="33"/>
      <c r="H281" s="33"/>
      <c r="I281" s="33"/>
      <c r="J281" s="33"/>
      <c r="K281" s="33"/>
      <c r="L281" s="33"/>
      <c r="M281" s="33"/>
      <c r="N281" s="33"/>
      <c r="O281" s="34"/>
    </row>
    <row r="282" spans="5:15">
      <c r="E282" s="33"/>
      <c r="F282" s="33"/>
      <c r="G282" s="33"/>
      <c r="H282" s="33"/>
      <c r="I282" s="33"/>
      <c r="J282" s="33"/>
      <c r="K282" s="33"/>
      <c r="L282" s="33"/>
      <c r="M282" s="33"/>
      <c r="N282" s="33"/>
      <c r="O282" s="34"/>
    </row>
    <row r="283" spans="5:15">
      <c r="E283" s="33"/>
      <c r="F283" s="33"/>
      <c r="G283" s="33"/>
      <c r="H283" s="33"/>
      <c r="I283" s="33"/>
      <c r="J283" s="33"/>
      <c r="K283" s="33"/>
      <c r="L283" s="33"/>
      <c r="M283" s="33"/>
      <c r="N283" s="33"/>
      <c r="O283" s="34"/>
    </row>
    <row r="284" spans="5:15">
      <c r="E284" s="33"/>
      <c r="F284" s="33"/>
      <c r="G284" s="33"/>
      <c r="H284" s="33"/>
      <c r="I284" s="33"/>
      <c r="J284" s="33"/>
      <c r="K284" s="33"/>
      <c r="L284" s="33"/>
      <c r="M284" s="33"/>
      <c r="N284" s="33"/>
      <c r="O284" s="34"/>
    </row>
    <row r="285" spans="5:15">
      <c r="E285" s="33"/>
      <c r="F285" s="33"/>
      <c r="G285" s="33"/>
      <c r="H285" s="33"/>
      <c r="I285" s="33"/>
      <c r="J285" s="33"/>
      <c r="K285" s="33"/>
      <c r="L285" s="33"/>
      <c r="M285" s="33"/>
      <c r="N285" s="33"/>
      <c r="O285" s="34"/>
    </row>
    <row r="286" spans="5:15">
      <c r="E286" s="33"/>
      <c r="F286" s="33"/>
      <c r="G286" s="33"/>
      <c r="H286" s="33"/>
      <c r="I286" s="33"/>
      <c r="J286" s="33"/>
      <c r="K286" s="33"/>
      <c r="L286" s="33"/>
      <c r="M286" s="33"/>
      <c r="N286" s="33"/>
      <c r="O286" s="34"/>
    </row>
    <row r="287" spans="5:15">
      <c r="E287" s="33"/>
      <c r="F287" s="33"/>
      <c r="G287" s="33"/>
      <c r="H287" s="33"/>
      <c r="I287" s="33"/>
      <c r="J287" s="33"/>
      <c r="K287" s="33"/>
      <c r="L287" s="33"/>
      <c r="M287" s="33"/>
      <c r="N287" s="33"/>
      <c r="O287" s="34"/>
    </row>
    <row r="288" spans="5:15">
      <c r="E288" s="33"/>
      <c r="F288" s="33"/>
      <c r="G288" s="33"/>
      <c r="H288" s="33"/>
      <c r="I288" s="33"/>
      <c r="J288" s="33"/>
      <c r="K288" s="33"/>
      <c r="L288" s="33"/>
      <c r="M288" s="33"/>
      <c r="N288" s="33"/>
      <c r="O288" s="34"/>
    </row>
    <row r="289" spans="5:15">
      <c r="E289" s="33"/>
      <c r="F289" s="33"/>
      <c r="G289" s="33"/>
      <c r="H289" s="33"/>
      <c r="I289" s="33"/>
      <c r="J289" s="33"/>
      <c r="K289" s="33"/>
      <c r="L289" s="33"/>
      <c r="M289" s="33"/>
      <c r="N289" s="33"/>
      <c r="O289" s="34"/>
    </row>
    <row r="290" spans="5:15">
      <c r="E290" s="33"/>
      <c r="F290" s="33"/>
      <c r="G290" s="33"/>
      <c r="H290" s="33"/>
      <c r="I290" s="33"/>
      <c r="J290" s="33"/>
      <c r="K290" s="33"/>
      <c r="L290" s="33"/>
      <c r="M290" s="33"/>
      <c r="N290" s="33"/>
      <c r="O290" s="34"/>
    </row>
    <row r="291" spans="5:15">
      <c r="E291" s="33"/>
      <c r="F291" s="33"/>
      <c r="G291" s="33"/>
      <c r="H291" s="33"/>
      <c r="I291" s="33"/>
      <c r="J291" s="33"/>
      <c r="K291" s="33"/>
      <c r="L291" s="33"/>
      <c r="M291" s="33"/>
      <c r="N291" s="33"/>
      <c r="O291" s="34"/>
    </row>
    <row r="292" spans="5:15">
      <c r="E292" s="33"/>
      <c r="F292" s="33"/>
      <c r="G292" s="33"/>
      <c r="H292" s="33"/>
      <c r="I292" s="33"/>
      <c r="J292" s="33"/>
      <c r="K292" s="33"/>
      <c r="L292" s="33"/>
      <c r="M292" s="33"/>
      <c r="N292" s="33"/>
      <c r="O292" s="34"/>
    </row>
    <row r="293" spans="5:15">
      <c r="E293" s="33"/>
      <c r="F293" s="33"/>
      <c r="G293" s="33"/>
      <c r="H293" s="33"/>
      <c r="I293" s="33"/>
      <c r="J293" s="33"/>
      <c r="K293" s="33"/>
      <c r="L293" s="33"/>
      <c r="M293" s="33"/>
      <c r="N293" s="33"/>
      <c r="O293" s="34"/>
    </row>
    <row r="294" spans="5:15">
      <c r="E294" s="33"/>
      <c r="F294" s="33"/>
      <c r="G294" s="33"/>
      <c r="H294" s="33"/>
      <c r="I294" s="33"/>
      <c r="J294" s="33"/>
      <c r="K294" s="33"/>
      <c r="L294" s="33"/>
      <c r="M294" s="33"/>
      <c r="N294" s="33"/>
      <c r="O294" s="34"/>
    </row>
    <row r="295" spans="5:15">
      <c r="E295" s="33"/>
      <c r="F295" s="33"/>
      <c r="G295" s="33"/>
      <c r="H295" s="33"/>
      <c r="I295" s="33"/>
      <c r="J295" s="33"/>
      <c r="K295" s="33"/>
      <c r="L295" s="33"/>
      <c r="M295" s="33"/>
      <c r="N295" s="33"/>
      <c r="O295" s="34"/>
    </row>
    <row r="296" spans="5:15">
      <c r="E296" s="33"/>
      <c r="F296" s="33"/>
      <c r="G296" s="33"/>
      <c r="H296" s="33"/>
      <c r="I296" s="33"/>
      <c r="J296" s="33"/>
      <c r="K296" s="33"/>
      <c r="L296" s="33"/>
      <c r="M296" s="33"/>
      <c r="N296" s="33"/>
      <c r="O296" s="34"/>
    </row>
    <row r="297" spans="5:15">
      <c r="E297" s="33"/>
      <c r="F297" s="33"/>
      <c r="G297" s="33"/>
      <c r="H297" s="33"/>
      <c r="I297" s="33"/>
      <c r="J297" s="33"/>
      <c r="K297" s="33"/>
      <c r="L297" s="33"/>
      <c r="M297" s="33"/>
      <c r="N297" s="33"/>
      <c r="O297" s="34"/>
    </row>
    <row r="298" spans="5:15">
      <c r="E298" s="33"/>
      <c r="F298" s="33"/>
      <c r="G298" s="33"/>
      <c r="H298" s="33"/>
      <c r="I298" s="33"/>
      <c r="J298" s="33"/>
      <c r="K298" s="33"/>
      <c r="L298" s="33"/>
      <c r="M298" s="33"/>
      <c r="N298" s="33"/>
      <c r="O298" s="34"/>
    </row>
    <row r="299" spans="5:15">
      <c r="E299" s="33"/>
      <c r="F299" s="33"/>
      <c r="G299" s="33"/>
      <c r="H299" s="33"/>
      <c r="I299" s="33"/>
      <c r="J299" s="33"/>
      <c r="K299" s="33"/>
      <c r="L299" s="33"/>
      <c r="M299" s="33"/>
      <c r="N299" s="33"/>
      <c r="O299" s="34"/>
    </row>
    <row r="300" spans="5:15">
      <c r="E300" s="33"/>
      <c r="F300" s="33"/>
      <c r="G300" s="33"/>
      <c r="H300" s="33"/>
      <c r="I300" s="33"/>
      <c r="J300" s="33"/>
      <c r="K300" s="33"/>
      <c r="L300" s="33"/>
      <c r="M300" s="33"/>
      <c r="N300" s="33"/>
      <c r="O300" s="34"/>
    </row>
    <row r="301" spans="5:15">
      <c r="E301" s="33"/>
      <c r="F301" s="33"/>
      <c r="G301" s="33"/>
      <c r="H301" s="33"/>
      <c r="I301" s="33"/>
      <c r="J301" s="33"/>
      <c r="K301" s="33"/>
      <c r="L301" s="33"/>
      <c r="M301" s="33"/>
      <c r="N301" s="33"/>
      <c r="O301" s="34"/>
    </row>
    <row r="302" spans="5:15">
      <c r="E302" s="33"/>
      <c r="F302" s="33"/>
      <c r="G302" s="33"/>
      <c r="H302" s="33"/>
      <c r="I302" s="33"/>
      <c r="J302" s="33"/>
      <c r="K302" s="33"/>
      <c r="L302" s="33"/>
      <c r="M302" s="33"/>
      <c r="N302" s="33"/>
      <c r="O302" s="34"/>
    </row>
    <row r="303" spans="5:15">
      <c r="E303" s="33"/>
      <c r="F303" s="33"/>
      <c r="G303" s="33"/>
      <c r="H303" s="33"/>
      <c r="I303" s="33"/>
      <c r="J303" s="33"/>
      <c r="K303" s="33"/>
      <c r="L303" s="33"/>
      <c r="M303" s="33"/>
      <c r="N303" s="33"/>
      <c r="O303" s="34"/>
    </row>
    <row r="304" spans="5:15">
      <c r="E304" s="33"/>
      <c r="F304" s="33"/>
      <c r="G304" s="33"/>
      <c r="H304" s="33"/>
      <c r="I304" s="33"/>
      <c r="J304" s="33"/>
      <c r="K304" s="33"/>
      <c r="L304" s="33"/>
      <c r="M304" s="33"/>
      <c r="N304" s="33"/>
      <c r="O304" s="34"/>
    </row>
    <row r="305" spans="5:15">
      <c r="E305" s="33"/>
      <c r="F305" s="33"/>
      <c r="G305" s="33"/>
      <c r="H305" s="33"/>
      <c r="I305" s="33"/>
      <c r="J305" s="33"/>
      <c r="K305" s="33"/>
      <c r="L305" s="33"/>
      <c r="M305" s="33"/>
      <c r="N305" s="33"/>
      <c r="O305" s="34"/>
    </row>
    <row r="306" spans="5:15">
      <c r="E306" s="33"/>
      <c r="F306" s="33"/>
      <c r="G306" s="33"/>
      <c r="H306" s="33"/>
      <c r="I306" s="33"/>
      <c r="J306" s="33"/>
      <c r="K306" s="33"/>
      <c r="L306" s="33"/>
      <c r="M306" s="33"/>
      <c r="N306" s="33"/>
      <c r="O306" s="34"/>
    </row>
    <row r="307" spans="5:15">
      <c r="E307" s="33"/>
      <c r="F307" s="33"/>
      <c r="G307" s="33"/>
      <c r="H307" s="33"/>
      <c r="I307" s="33"/>
      <c r="J307" s="33"/>
      <c r="K307" s="33"/>
      <c r="L307" s="33"/>
      <c r="M307" s="33"/>
      <c r="N307" s="33"/>
      <c r="O307" s="34"/>
    </row>
    <row r="308" spans="5:15">
      <c r="E308" s="33"/>
      <c r="F308" s="33"/>
      <c r="G308" s="33"/>
      <c r="H308" s="33"/>
      <c r="I308" s="33"/>
      <c r="J308" s="33"/>
      <c r="K308" s="33"/>
      <c r="L308" s="33"/>
      <c r="M308" s="33"/>
      <c r="N308" s="33"/>
      <c r="O308" s="34"/>
    </row>
    <row r="309" spans="5:15">
      <c r="E309" s="33"/>
      <c r="F309" s="33"/>
      <c r="G309" s="33"/>
      <c r="H309" s="33"/>
      <c r="I309" s="33"/>
      <c r="J309" s="33"/>
      <c r="K309" s="33"/>
      <c r="L309" s="33"/>
      <c r="M309" s="33"/>
      <c r="N309" s="33"/>
      <c r="O309" s="34"/>
    </row>
    <row r="310" spans="5:15">
      <c r="E310" s="33"/>
      <c r="F310" s="33"/>
      <c r="G310" s="33"/>
      <c r="H310" s="33"/>
      <c r="I310" s="33"/>
      <c r="J310" s="33"/>
      <c r="K310" s="33"/>
      <c r="L310" s="33"/>
      <c r="M310" s="33"/>
      <c r="N310" s="33"/>
      <c r="O310" s="34"/>
    </row>
    <row r="311" spans="5:15">
      <c r="E311" s="33"/>
      <c r="F311" s="33"/>
      <c r="G311" s="33"/>
      <c r="H311" s="33"/>
      <c r="I311" s="33"/>
      <c r="J311" s="33"/>
      <c r="K311" s="33"/>
      <c r="L311" s="33"/>
      <c r="M311" s="33"/>
      <c r="N311" s="33"/>
      <c r="O311" s="34"/>
    </row>
    <row r="312" spans="5:15">
      <c r="E312" s="33"/>
      <c r="F312" s="33"/>
      <c r="G312" s="33"/>
      <c r="H312" s="33"/>
      <c r="I312" s="33"/>
      <c r="J312" s="33"/>
      <c r="K312" s="33"/>
      <c r="L312" s="33"/>
      <c r="M312" s="33"/>
      <c r="N312" s="33"/>
      <c r="O312" s="34"/>
    </row>
    <row r="313" spans="5:15">
      <c r="E313" s="33"/>
      <c r="F313" s="33"/>
      <c r="G313" s="33"/>
      <c r="H313" s="33"/>
      <c r="I313" s="33"/>
      <c r="J313" s="33"/>
      <c r="K313" s="33"/>
      <c r="L313" s="33"/>
      <c r="M313" s="33"/>
      <c r="N313" s="33"/>
      <c r="O313" s="34"/>
    </row>
    <row r="314" spans="5:15">
      <c r="E314" s="33"/>
      <c r="F314" s="33"/>
      <c r="G314" s="33"/>
      <c r="H314" s="33"/>
      <c r="I314" s="33"/>
      <c r="J314" s="33"/>
      <c r="K314" s="33"/>
      <c r="L314" s="33"/>
      <c r="M314" s="33"/>
      <c r="N314" s="33"/>
      <c r="O314" s="34"/>
    </row>
    <row r="315" spans="5:15">
      <c r="E315" s="33"/>
      <c r="F315" s="33"/>
      <c r="G315" s="33"/>
      <c r="H315" s="33"/>
      <c r="I315" s="33"/>
      <c r="J315" s="33"/>
      <c r="K315" s="33"/>
      <c r="L315" s="33"/>
      <c r="M315" s="33"/>
      <c r="N315" s="33"/>
      <c r="O315" s="34"/>
    </row>
    <row r="316" spans="5:15">
      <c r="E316" s="33"/>
      <c r="F316" s="33"/>
      <c r="G316" s="33"/>
      <c r="H316" s="33"/>
      <c r="I316" s="33"/>
      <c r="J316" s="33"/>
      <c r="K316" s="33"/>
      <c r="L316" s="33"/>
      <c r="M316" s="33"/>
      <c r="N316" s="33"/>
      <c r="O316" s="34"/>
    </row>
    <row r="317" spans="5:15">
      <c r="E317" s="33"/>
      <c r="F317" s="33"/>
      <c r="G317" s="33"/>
      <c r="H317" s="33"/>
      <c r="I317" s="33"/>
      <c r="J317" s="33"/>
      <c r="K317" s="33"/>
      <c r="L317" s="33"/>
      <c r="M317" s="33"/>
      <c r="N317" s="33"/>
      <c r="O317" s="34"/>
    </row>
    <row r="318" spans="5:15">
      <c r="E318" s="33"/>
      <c r="F318" s="33"/>
      <c r="G318" s="33"/>
      <c r="H318" s="33"/>
      <c r="I318" s="33"/>
      <c r="J318" s="33"/>
      <c r="K318" s="33"/>
      <c r="L318" s="33"/>
      <c r="M318" s="33"/>
      <c r="N318" s="33"/>
      <c r="O318" s="34"/>
    </row>
    <row r="319" spans="5:15">
      <c r="E319" s="33"/>
      <c r="F319" s="33"/>
      <c r="G319" s="33"/>
      <c r="H319" s="33"/>
      <c r="I319" s="33"/>
      <c r="J319" s="33"/>
      <c r="K319" s="33"/>
      <c r="L319" s="33"/>
      <c r="M319" s="33"/>
      <c r="N319" s="33"/>
      <c r="O319" s="34"/>
    </row>
    <row r="320" spans="5:15">
      <c r="E320" s="33"/>
      <c r="F320" s="33"/>
      <c r="G320" s="33"/>
      <c r="H320" s="33"/>
      <c r="I320" s="33"/>
      <c r="J320" s="33"/>
      <c r="K320" s="33"/>
      <c r="L320" s="33"/>
      <c r="M320" s="33"/>
      <c r="N320" s="33"/>
      <c r="O320" s="34"/>
    </row>
    <row r="321" spans="5:15">
      <c r="E321" s="33"/>
      <c r="F321" s="33"/>
      <c r="G321" s="33"/>
      <c r="H321" s="33"/>
      <c r="I321" s="33"/>
      <c r="J321" s="33"/>
      <c r="K321" s="33"/>
      <c r="L321" s="33"/>
      <c r="M321" s="33"/>
      <c r="N321" s="33"/>
      <c r="O321" s="34"/>
    </row>
    <row r="322" spans="5:15">
      <c r="E322" s="33"/>
      <c r="F322" s="33"/>
      <c r="G322" s="33"/>
      <c r="H322" s="33"/>
      <c r="I322" s="33"/>
      <c r="J322" s="33"/>
      <c r="K322" s="33"/>
      <c r="L322" s="33"/>
      <c r="M322" s="33"/>
      <c r="N322" s="33"/>
      <c r="O322" s="34"/>
    </row>
    <row r="323" spans="5:15">
      <c r="E323" s="33"/>
      <c r="F323" s="33"/>
      <c r="G323" s="33"/>
      <c r="H323" s="33"/>
      <c r="I323" s="33"/>
      <c r="J323" s="33"/>
      <c r="K323" s="33"/>
      <c r="L323" s="33"/>
      <c r="M323" s="33"/>
      <c r="N323" s="33"/>
      <c r="O323" s="34"/>
    </row>
    <row r="324" spans="5:15">
      <c r="E324" s="33"/>
      <c r="F324" s="33"/>
      <c r="G324" s="33"/>
      <c r="H324" s="33"/>
      <c r="I324" s="33"/>
      <c r="J324" s="33"/>
      <c r="K324" s="33"/>
      <c r="L324" s="33"/>
      <c r="M324" s="33"/>
      <c r="N324" s="33"/>
      <c r="O324" s="34"/>
    </row>
    <row r="325" spans="5:15">
      <c r="E325" s="33"/>
      <c r="F325" s="33"/>
      <c r="G325" s="33"/>
      <c r="H325" s="33"/>
      <c r="I325" s="33"/>
      <c r="J325" s="33"/>
      <c r="K325" s="33"/>
      <c r="L325" s="33"/>
      <c r="M325" s="33"/>
      <c r="N325" s="33"/>
      <c r="O325" s="34"/>
    </row>
    <row r="326" spans="5:15">
      <c r="E326" s="33"/>
      <c r="F326" s="33"/>
      <c r="G326" s="33"/>
      <c r="H326" s="33"/>
      <c r="I326" s="33"/>
      <c r="J326" s="33"/>
      <c r="K326" s="33"/>
      <c r="L326" s="33"/>
      <c r="M326" s="33"/>
      <c r="N326" s="33"/>
      <c r="O326" s="34"/>
    </row>
    <row r="327" spans="5:15">
      <c r="E327" s="33"/>
      <c r="F327" s="33"/>
      <c r="G327" s="33"/>
      <c r="H327" s="33"/>
      <c r="I327" s="33"/>
      <c r="J327" s="33"/>
      <c r="K327" s="33"/>
      <c r="L327" s="33"/>
      <c r="M327" s="33"/>
      <c r="N327" s="33"/>
      <c r="O327" s="34"/>
    </row>
    <row r="328" spans="5:15">
      <c r="E328" s="33"/>
      <c r="F328" s="33"/>
      <c r="G328" s="33"/>
      <c r="H328" s="33"/>
      <c r="I328" s="33"/>
      <c r="J328" s="33"/>
      <c r="K328" s="33"/>
      <c r="L328" s="33"/>
      <c r="M328" s="33"/>
      <c r="N328" s="33"/>
      <c r="O328" s="34"/>
    </row>
    <row r="329" spans="5:15">
      <c r="E329" s="33"/>
      <c r="F329" s="33"/>
      <c r="G329" s="33"/>
      <c r="H329" s="33"/>
      <c r="I329" s="33"/>
      <c r="J329" s="33"/>
      <c r="K329" s="33"/>
      <c r="L329" s="33"/>
      <c r="M329" s="33"/>
      <c r="N329" s="33"/>
      <c r="O329" s="34"/>
    </row>
    <row r="330" spans="5:15">
      <c r="E330" s="33"/>
      <c r="F330" s="33"/>
      <c r="G330" s="33"/>
      <c r="H330" s="33"/>
      <c r="I330" s="33"/>
      <c r="J330" s="33"/>
      <c r="K330" s="33"/>
      <c r="L330" s="33"/>
      <c r="M330" s="33"/>
      <c r="N330" s="33"/>
      <c r="O330" s="34"/>
    </row>
    <row r="331" spans="5:15">
      <c r="E331" s="33"/>
      <c r="F331" s="33"/>
      <c r="G331" s="33"/>
      <c r="H331" s="33"/>
      <c r="I331" s="33"/>
      <c r="J331" s="33"/>
      <c r="K331" s="33"/>
      <c r="L331" s="33"/>
      <c r="M331" s="33"/>
      <c r="N331" s="33"/>
      <c r="O331" s="34"/>
    </row>
    <row r="332" spans="5:15">
      <c r="E332" s="33"/>
      <c r="F332" s="33"/>
      <c r="G332" s="33"/>
      <c r="H332" s="33"/>
      <c r="I332" s="33"/>
      <c r="J332" s="33"/>
      <c r="K332" s="33"/>
      <c r="L332" s="33"/>
      <c r="M332" s="33"/>
      <c r="N332" s="33"/>
      <c r="O332" s="34"/>
    </row>
    <row r="333" spans="5:15">
      <c r="E333" s="33"/>
      <c r="F333" s="33"/>
      <c r="G333" s="33"/>
      <c r="H333" s="33"/>
      <c r="I333" s="33"/>
      <c r="J333" s="33"/>
      <c r="K333" s="33"/>
      <c r="L333" s="33"/>
      <c r="M333" s="33"/>
      <c r="N333" s="33"/>
      <c r="O333" s="34"/>
    </row>
    <row r="334" spans="5:15">
      <c r="E334" s="33"/>
      <c r="F334" s="33"/>
      <c r="G334" s="33"/>
      <c r="H334" s="33"/>
      <c r="I334" s="33"/>
      <c r="J334" s="33"/>
      <c r="K334" s="33"/>
      <c r="L334" s="33"/>
      <c r="M334" s="33"/>
      <c r="N334" s="33"/>
      <c r="O334" s="34"/>
    </row>
    <row r="335" spans="5:15">
      <c r="E335" s="33"/>
      <c r="F335" s="33"/>
      <c r="G335" s="33"/>
      <c r="H335" s="33"/>
      <c r="I335" s="33"/>
      <c r="J335" s="33"/>
      <c r="K335" s="33"/>
      <c r="L335" s="33"/>
      <c r="M335" s="33"/>
      <c r="N335" s="33"/>
      <c r="O335" s="34"/>
    </row>
    <row r="336" spans="5:15">
      <c r="E336" s="33"/>
      <c r="F336" s="33"/>
      <c r="G336" s="33"/>
      <c r="H336" s="33"/>
      <c r="I336" s="33"/>
      <c r="J336" s="33"/>
      <c r="K336" s="33"/>
      <c r="L336" s="33"/>
      <c r="M336" s="33"/>
      <c r="N336" s="33"/>
      <c r="O336" s="34"/>
    </row>
    <row r="337" spans="5:15">
      <c r="E337" s="33"/>
      <c r="F337" s="33"/>
      <c r="G337" s="33"/>
      <c r="H337" s="33"/>
      <c r="I337" s="33"/>
      <c r="J337" s="33"/>
      <c r="K337" s="33"/>
      <c r="L337" s="33"/>
      <c r="M337" s="33"/>
      <c r="N337" s="33"/>
      <c r="O337" s="34"/>
    </row>
    <row r="338" spans="5:15">
      <c r="E338" s="33"/>
      <c r="F338" s="33"/>
      <c r="G338" s="33"/>
      <c r="H338" s="33"/>
      <c r="I338" s="33"/>
      <c r="J338" s="33"/>
      <c r="K338" s="33"/>
      <c r="L338" s="33"/>
      <c r="M338" s="33"/>
      <c r="N338" s="33"/>
      <c r="O338" s="34"/>
    </row>
    <row r="339" spans="5:15">
      <c r="E339" s="33"/>
      <c r="F339" s="33"/>
      <c r="G339" s="33"/>
      <c r="H339" s="33"/>
      <c r="I339" s="33"/>
      <c r="J339" s="33"/>
      <c r="K339" s="33"/>
      <c r="L339" s="33"/>
      <c r="M339" s="33"/>
      <c r="N339" s="33"/>
      <c r="O339" s="34"/>
    </row>
    <row r="340" spans="5:15">
      <c r="E340" s="33"/>
      <c r="F340" s="33"/>
      <c r="G340" s="33"/>
      <c r="H340" s="33"/>
      <c r="I340" s="33"/>
      <c r="J340" s="33"/>
      <c r="K340" s="33"/>
      <c r="L340" s="33"/>
      <c r="M340" s="33"/>
      <c r="N340" s="33"/>
      <c r="O340" s="34"/>
    </row>
    <row r="341" spans="5:15">
      <c r="E341" s="33"/>
      <c r="F341" s="33"/>
      <c r="G341" s="33"/>
      <c r="H341" s="33"/>
      <c r="I341" s="33"/>
      <c r="J341" s="33"/>
      <c r="K341" s="33"/>
      <c r="L341" s="33"/>
      <c r="M341" s="33"/>
      <c r="N341" s="33"/>
      <c r="O341" s="34"/>
    </row>
    <row r="342" spans="5:15">
      <c r="E342" s="33"/>
      <c r="F342" s="33"/>
      <c r="G342" s="33"/>
      <c r="H342" s="33"/>
      <c r="I342" s="33"/>
      <c r="J342" s="33"/>
      <c r="K342" s="33"/>
      <c r="L342" s="33"/>
      <c r="M342" s="33"/>
      <c r="N342" s="33"/>
      <c r="O342" s="34"/>
    </row>
    <row r="343" spans="5:15">
      <c r="E343" s="33"/>
      <c r="F343" s="33"/>
      <c r="G343" s="33"/>
      <c r="H343" s="33"/>
      <c r="I343" s="33"/>
      <c r="J343" s="33"/>
      <c r="K343" s="33"/>
      <c r="L343" s="33"/>
      <c r="M343" s="33"/>
      <c r="N343" s="33"/>
      <c r="O343" s="34"/>
    </row>
    <row r="344" spans="5:15">
      <c r="E344" s="33"/>
      <c r="F344" s="33"/>
      <c r="G344" s="33"/>
      <c r="H344" s="33"/>
      <c r="I344" s="33"/>
      <c r="J344" s="33"/>
      <c r="K344" s="33"/>
      <c r="L344" s="33"/>
      <c r="M344" s="33"/>
      <c r="N344" s="33"/>
      <c r="O344" s="34"/>
    </row>
    <row r="345" spans="5:15">
      <c r="E345" s="33"/>
      <c r="F345" s="33"/>
      <c r="G345" s="33"/>
      <c r="H345" s="33"/>
      <c r="I345" s="33"/>
      <c r="J345" s="33"/>
      <c r="K345" s="33"/>
      <c r="L345" s="33"/>
      <c r="M345" s="33"/>
      <c r="N345" s="33"/>
      <c r="O345" s="34"/>
    </row>
    <row r="346" spans="5:15">
      <c r="E346" s="33"/>
      <c r="F346" s="33"/>
      <c r="G346" s="33"/>
      <c r="H346" s="33"/>
      <c r="I346" s="33"/>
      <c r="J346" s="33"/>
      <c r="K346" s="33"/>
      <c r="L346" s="33"/>
      <c r="M346" s="33"/>
      <c r="N346" s="33"/>
      <c r="O346" s="34"/>
    </row>
    <row r="347" spans="5:15">
      <c r="E347" s="33"/>
      <c r="F347" s="33"/>
      <c r="G347" s="33"/>
      <c r="H347" s="33"/>
      <c r="I347" s="33"/>
      <c r="J347" s="33"/>
      <c r="K347" s="33"/>
      <c r="L347" s="33"/>
      <c r="M347" s="33"/>
      <c r="N347" s="33"/>
      <c r="O347" s="34"/>
    </row>
    <row r="348" spans="5:15">
      <c r="E348" s="33"/>
      <c r="F348" s="33"/>
      <c r="G348" s="33"/>
      <c r="H348" s="33"/>
      <c r="I348" s="33"/>
      <c r="J348" s="33"/>
      <c r="K348" s="33"/>
      <c r="L348" s="33"/>
      <c r="M348" s="33"/>
      <c r="N348" s="33"/>
      <c r="O348" s="34"/>
    </row>
    <row r="349" spans="5:15">
      <c r="E349" s="33"/>
      <c r="F349" s="33"/>
      <c r="G349" s="33"/>
      <c r="H349" s="33"/>
      <c r="I349" s="33"/>
      <c r="J349" s="33"/>
      <c r="K349" s="33"/>
      <c r="L349" s="33"/>
      <c r="M349" s="33"/>
      <c r="N349" s="33"/>
      <c r="O349" s="34"/>
    </row>
    <row r="350" spans="5:15">
      <c r="E350" s="33"/>
      <c r="F350" s="33"/>
      <c r="G350" s="33"/>
      <c r="H350" s="33"/>
      <c r="I350" s="33"/>
      <c r="J350" s="33"/>
      <c r="K350" s="33"/>
      <c r="L350" s="33"/>
      <c r="M350" s="33"/>
      <c r="N350" s="33"/>
      <c r="O350" s="34"/>
    </row>
    <row r="351" spans="5:15">
      <c r="E351" s="33"/>
      <c r="F351" s="33"/>
      <c r="G351" s="33"/>
      <c r="H351" s="33"/>
      <c r="I351" s="33"/>
      <c r="J351" s="33"/>
      <c r="K351" s="33"/>
      <c r="L351" s="33"/>
      <c r="M351" s="33"/>
      <c r="N351" s="33"/>
      <c r="O351" s="34"/>
    </row>
    <row r="352" spans="5:15">
      <c r="E352" s="33"/>
      <c r="F352" s="33"/>
      <c r="G352" s="33"/>
      <c r="H352" s="33"/>
      <c r="I352" s="33"/>
      <c r="J352" s="33"/>
      <c r="K352" s="33"/>
      <c r="L352" s="33"/>
      <c r="M352" s="33"/>
      <c r="N352" s="33"/>
      <c r="O352" s="34"/>
    </row>
    <row r="353" spans="5:15">
      <c r="E353" s="33"/>
      <c r="F353" s="33"/>
      <c r="G353" s="33"/>
      <c r="H353" s="33"/>
      <c r="I353" s="33"/>
      <c r="J353" s="33"/>
      <c r="K353" s="33"/>
      <c r="L353" s="33"/>
      <c r="M353" s="33"/>
      <c r="N353" s="33"/>
      <c r="O353" s="34"/>
    </row>
    <row r="354" spans="5:15">
      <c r="E354" s="33"/>
      <c r="F354" s="33"/>
      <c r="G354" s="33"/>
      <c r="H354" s="33"/>
      <c r="I354" s="33"/>
      <c r="J354" s="33"/>
      <c r="K354" s="33"/>
      <c r="L354" s="33"/>
      <c r="M354" s="33"/>
      <c r="N354" s="33"/>
      <c r="O354" s="34"/>
    </row>
    <row r="355" spans="5:15">
      <c r="E355" s="33"/>
      <c r="F355" s="33"/>
      <c r="G355" s="33"/>
      <c r="H355" s="33"/>
      <c r="I355" s="33"/>
      <c r="J355" s="33"/>
      <c r="K355" s="33"/>
      <c r="L355" s="33"/>
      <c r="M355" s="33"/>
      <c r="N355" s="33"/>
      <c r="O355" s="34"/>
    </row>
    <row r="356" spans="5:15">
      <c r="E356" s="33"/>
      <c r="F356" s="33"/>
      <c r="G356" s="33"/>
      <c r="H356" s="33"/>
      <c r="I356" s="33"/>
      <c r="J356" s="33"/>
      <c r="K356" s="33"/>
      <c r="L356" s="33"/>
      <c r="M356" s="33"/>
      <c r="N356" s="33"/>
      <c r="O356" s="34"/>
    </row>
    <row r="357" spans="5:15">
      <c r="E357" s="33"/>
      <c r="F357" s="33"/>
      <c r="G357" s="33"/>
      <c r="H357" s="33"/>
      <c r="I357" s="33"/>
      <c r="J357" s="33"/>
      <c r="K357" s="33"/>
      <c r="L357" s="33"/>
      <c r="M357" s="33"/>
      <c r="N357" s="33"/>
      <c r="O357" s="34"/>
    </row>
    <row r="358" spans="5:15">
      <c r="E358" s="33"/>
      <c r="F358" s="33"/>
      <c r="G358" s="33"/>
      <c r="H358" s="33"/>
      <c r="I358" s="33"/>
      <c r="J358" s="33"/>
      <c r="K358" s="33"/>
      <c r="L358" s="33"/>
      <c r="M358" s="33"/>
      <c r="N358" s="33"/>
      <c r="O358" s="34"/>
    </row>
    <row r="359" spans="5:15">
      <c r="E359" s="33"/>
      <c r="F359" s="33"/>
      <c r="G359" s="33"/>
      <c r="H359" s="33"/>
      <c r="I359" s="33"/>
      <c r="J359" s="33"/>
      <c r="K359" s="33"/>
      <c r="L359" s="33"/>
      <c r="M359" s="33"/>
      <c r="N359" s="33"/>
      <c r="O359" s="34"/>
    </row>
    <row r="360" spans="5:15">
      <c r="E360" s="33"/>
      <c r="F360" s="33"/>
      <c r="G360" s="33"/>
      <c r="H360" s="33"/>
      <c r="I360" s="33"/>
      <c r="J360" s="33"/>
      <c r="K360" s="33"/>
      <c r="L360" s="33"/>
      <c r="M360" s="33"/>
      <c r="N360" s="33"/>
      <c r="O360" s="34"/>
    </row>
    <row r="361" spans="5:15">
      <c r="E361" s="33"/>
      <c r="F361" s="33"/>
      <c r="G361" s="33"/>
      <c r="H361" s="33"/>
      <c r="I361" s="33"/>
      <c r="J361" s="33"/>
      <c r="K361" s="33"/>
      <c r="L361" s="33"/>
      <c r="M361" s="33"/>
      <c r="N361" s="33"/>
      <c r="O361" s="34"/>
    </row>
    <row r="362" spans="5:15">
      <c r="E362" s="33"/>
      <c r="F362" s="33"/>
      <c r="G362" s="33"/>
      <c r="H362" s="33"/>
      <c r="I362" s="33"/>
      <c r="J362" s="33"/>
      <c r="K362" s="33"/>
      <c r="L362" s="33"/>
      <c r="M362" s="33"/>
      <c r="N362" s="33"/>
      <c r="O362" s="34"/>
    </row>
    <row r="363" spans="5:15">
      <c r="E363" s="33"/>
      <c r="F363" s="33"/>
      <c r="G363" s="33"/>
      <c r="H363" s="33"/>
      <c r="I363" s="33"/>
      <c r="J363" s="33"/>
      <c r="K363" s="33"/>
      <c r="L363" s="33"/>
      <c r="M363" s="33"/>
      <c r="N363" s="33"/>
      <c r="O363" s="34"/>
    </row>
    <row r="364" spans="5:15">
      <c r="E364" s="33"/>
      <c r="F364" s="33"/>
      <c r="G364" s="33"/>
      <c r="H364" s="33"/>
      <c r="I364" s="33"/>
      <c r="J364" s="33"/>
      <c r="K364" s="33"/>
      <c r="L364" s="33"/>
      <c r="M364" s="33"/>
      <c r="N364" s="33"/>
      <c r="O364" s="34"/>
    </row>
    <row r="365" spans="5:15">
      <c r="E365" s="33"/>
      <c r="F365" s="33"/>
      <c r="G365" s="33"/>
      <c r="H365" s="33"/>
      <c r="I365" s="33"/>
      <c r="J365" s="33"/>
      <c r="K365" s="33"/>
      <c r="L365" s="33"/>
      <c r="M365" s="33"/>
      <c r="N365" s="33"/>
      <c r="O365" s="34"/>
    </row>
    <row r="366" spans="5:15">
      <c r="E366" s="33"/>
      <c r="F366" s="33"/>
      <c r="G366" s="33"/>
      <c r="H366" s="33"/>
      <c r="I366" s="33"/>
      <c r="J366" s="33"/>
      <c r="K366" s="33"/>
      <c r="L366" s="33"/>
      <c r="M366" s="33"/>
      <c r="N366" s="33"/>
      <c r="O366" s="34"/>
    </row>
    <row r="367" spans="5:15">
      <c r="E367" s="33"/>
      <c r="F367" s="33"/>
      <c r="G367" s="33"/>
      <c r="H367" s="33"/>
      <c r="I367" s="33"/>
      <c r="J367" s="33"/>
      <c r="K367" s="33"/>
      <c r="L367" s="33"/>
      <c r="M367" s="33"/>
      <c r="N367" s="33"/>
      <c r="O367" s="34"/>
    </row>
    <row r="368" spans="5:15">
      <c r="E368" s="33"/>
      <c r="F368" s="33"/>
      <c r="G368" s="33"/>
      <c r="H368" s="33"/>
      <c r="I368" s="33"/>
      <c r="J368" s="33"/>
      <c r="K368" s="33"/>
      <c r="L368" s="33"/>
      <c r="M368" s="33"/>
      <c r="N368" s="33"/>
      <c r="O368" s="34"/>
    </row>
    <row r="369" spans="5:15">
      <c r="E369" s="33"/>
      <c r="F369" s="33"/>
      <c r="G369" s="33"/>
      <c r="H369" s="33"/>
      <c r="I369" s="33"/>
      <c r="J369" s="33"/>
      <c r="K369" s="33"/>
      <c r="L369" s="33"/>
      <c r="M369" s="33"/>
      <c r="N369" s="33"/>
      <c r="O369" s="34"/>
    </row>
    <row r="370" spans="5:15">
      <c r="E370" s="33"/>
      <c r="F370" s="33"/>
      <c r="G370" s="33"/>
      <c r="H370" s="33"/>
      <c r="I370" s="33"/>
      <c r="J370" s="33"/>
      <c r="K370" s="33"/>
      <c r="L370" s="33"/>
      <c r="M370" s="33"/>
      <c r="N370" s="33"/>
      <c r="O370" s="34"/>
    </row>
    <row r="371" spans="5:15">
      <c r="E371" s="33"/>
      <c r="F371" s="33"/>
      <c r="G371" s="33"/>
      <c r="H371" s="33"/>
      <c r="I371" s="33"/>
      <c r="J371" s="33"/>
      <c r="K371" s="33"/>
      <c r="L371" s="33"/>
      <c r="M371" s="33"/>
      <c r="N371" s="33"/>
      <c r="O371" s="34"/>
    </row>
    <row r="372" spans="5:15">
      <c r="E372" s="33"/>
      <c r="F372" s="33"/>
      <c r="G372" s="33"/>
      <c r="H372" s="33"/>
      <c r="I372" s="33"/>
      <c r="J372" s="33"/>
      <c r="K372" s="33"/>
      <c r="L372" s="33"/>
      <c r="M372" s="33"/>
      <c r="N372" s="33"/>
      <c r="O372" s="34"/>
    </row>
    <row r="373" spans="5:15">
      <c r="E373" s="33"/>
      <c r="F373" s="33"/>
      <c r="G373" s="33"/>
      <c r="H373" s="33"/>
      <c r="I373" s="33"/>
      <c r="J373" s="33"/>
      <c r="K373" s="33"/>
      <c r="L373" s="33"/>
      <c r="M373" s="33"/>
      <c r="N373" s="33"/>
      <c r="O373" s="34"/>
    </row>
    <row r="374" spans="5:15">
      <c r="E374" s="33"/>
      <c r="F374" s="33"/>
      <c r="G374" s="33"/>
      <c r="H374" s="33"/>
      <c r="I374" s="33"/>
      <c r="J374" s="33"/>
      <c r="K374" s="33"/>
      <c r="L374" s="33"/>
      <c r="M374" s="33"/>
      <c r="N374" s="33"/>
      <c r="O374" s="34"/>
    </row>
    <row r="375" spans="5:15">
      <c r="E375" s="33"/>
      <c r="F375" s="33"/>
      <c r="G375" s="33"/>
      <c r="H375" s="33"/>
      <c r="I375" s="33"/>
      <c r="J375" s="33"/>
      <c r="K375" s="33"/>
      <c r="L375" s="33"/>
      <c r="M375" s="33"/>
      <c r="N375" s="33"/>
      <c r="O375" s="34"/>
    </row>
    <row r="376" spans="5:15">
      <c r="E376" s="33"/>
      <c r="F376" s="33"/>
      <c r="G376" s="33"/>
      <c r="H376" s="33"/>
      <c r="I376" s="33"/>
      <c r="J376" s="33"/>
      <c r="K376" s="33"/>
      <c r="L376" s="33"/>
      <c r="M376" s="33"/>
      <c r="N376" s="33"/>
      <c r="O376" s="34"/>
    </row>
    <row r="377" spans="5:15">
      <c r="E377" s="33"/>
      <c r="F377" s="33"/>
      <c r="G377" s="33"/>
      <c r="H377" s="33"/>
      <c r="I377" s="33"/>
      <c r="J377" s="33"/>
      <c r="K377" s="33"/>
      <c r="L377" s="33"/>
      <c r="M377" s="33"/>
      <c r="N377" s="33"/>
      <c r="O377" s="34"/>
    </row>
    <row r="378" spans="5:15">
      <c r="E378" s="33"/>
      <c r="F378" s="33"/>
      <c r="G378" s="33"/>
      <c r="H378" s="33"/>
      <c r="I378" s="33"/>
      <c r="J378" s="33"/>
      <c r="K378" s="33"/>
      <c r="L378" s="33"/>
      <c r="M378" s="33"/>
      <c r="N378" s="33"/>
      <c r="O378" s="34"/>
    </row>
    <row r="379" spans="5:15">
      <c r="E379" s="33"/>
      <c r="F379" s="33"/>
      <c r="G379" s="33"/>
      <c r="H379" s="33"/>
      <c r="I379" s="33"/>
      <c r="J379" s="33"/>
      <c r="K379" s="33"/>
      <c r="L379" s="33"/>
      <c r="M379" s="33"/>
      <c r="N379" s="33"/>
      <c r="O379" s="34"/>
    </row>
    <row r="380" spans="5:15">
      <c r="E380" s="33"/>
      <c r="F380" s="33"/>
      <c r="G380" s="33"/>
      <c r="H380" s="33"/>
      <c r="I380" s="33"/>
      <c r="J380" s="33"/>
      <c r="K380" s="33"/>
      <c r="L380" s="33"/>
      <c r="M380" s="33"/>
      <c r="N380" s="33"/>
      <c r="O380" s="34"/>
    </row>
    <row r="381" spans="5:15">
      <c r="E381" s="33"/>
      <c r="F381" s="33"/>
      <c r="G381" s="33"/>
      <c r="H381" s="33"/>
      <c r="I381" s="33"/>
      <c r="J381" s="33"/>
      <c r="K381" s="33"/>
      <c r="L381" s="33"/>
      <c r="M381" s="33"/>
      <c r="N381" s="33"/>
      <c r="O381" s="34"/>
    </row>
    <row r="382" spans="5:15">
      <c r="E382" s="33"/>
      <c r="F382" s="33"/>
      <c r="G382" s="33"/>
      <c r="H382" s="33"/>
      <c r="I382" s="33"/>
      <c r="J382" s="33"/>
      <c r="K382" s="33"/>
      <c r="L382" s="33"/>
      <c r="M382" s="33"/>
      <c r="N382" s="33"/>
      <c r="O382" s="34"/>
    </row>
    <row r="383" spans="5:15">
      <c r="E383" s="33"/>
      <c r="F383" s="33"/>
      <c r="G383" s="33"/>
      <c r="H383" s="33"/>
      <c r="I383" s="33"/>
      <c r="J383" s="33"/>
      <c r="K383" s="33"/>
      <c r="L383" s="33"/>
      <c r="M383" s="33"/>
      <c r="N383" s="33"/>
      <c r="O383" s="34"/>
    </row>
    <row r="384" spans="5:15">
      <c r="E384" s="33"/>
      <c r="F384" s="33"/>
      <c r="G384" s="33"/>
      <c r="H384" s="33"/>
      <c r="I384" s="33"/>
      <c r="J384" s="33"/>
      <c r="K384" s="33"/>
      <c r="L384" s="33"/>
      <c r="M384" s="33"/>
      <c r="N384" s="33"/>
      <c r="O384" s="34"/>
    </row>
    <row r="385" spans="5:15">
      <c r="E385" s="33"/>
      <c r="F385" s="33"/>
      <c r="G385" s="33"/>
      <c r="H385" s="33"/>
      <c r="I385" s="33"/>
      <c r="J385" s="33"/>
      <c r="K385" s="33"/>
      <c r="L385" s="33"/>
      <c r="M385" s="33"/>
      <c r="N385" s="33"/>
      <c r="O385" s="34"/>
    </row>
    <row r="386" spans="5:15">
      <c r="E386" s="33"/>
      <c r="F386" s="33"/>
      <c r="G386" s="33"/>
      <c r="H386" s="33"/>
      <c r="I386" s="33"/>
      <c r="J386" s="33"/>
      <c r="K386" s="33"/>
      <c r="L386" s="33"/>
      <c r="M386" s="33"/>
      <c r="N386" s="33"/>
      <c r="O386" s="34"/>
    </row>
    <row r="387" spans="5:15">
      <c r="E387" s="33"/>
      <c r="F387" s="33"/>
      <c r="G387" s="33"/>
      <c r="H387" s="33"/>
      <c r="I387" s="33"/>
      <c r="J387" s="33"/>
      <c r="K387" s="33"/>
      <c r="L387" s="33"/>
      <c r="M387" s="33"/>
      <c r="N387" s="33"/>
      <c r="O387" s="34"/>
    </row>
    <row r="388" spans="5:15">
      <c r="E388" s="33"/>
      <c r="F388" s="33"/>
      <c r="G388" s="33"/>
      <c r="H388" s="33"/>
      <c r="I388" s="33"/>
      <c r="J388" s="33"/>
      <c r="K388" s="33"/>
      <c r="L388" s="33"/>
      <c r="M388" s="33"/>
      <c r="N388" s="33"/>
      <c r="O388" s="34"/>
    </row>
    <row r="389" spans="5:15">
      <c r="E389" s="33"/>
      <c r="F389" s="33"/>
      <c r="G389" s="33"/>
      <c r="H389" s="33"/>
      <c r="I389" s="33"/>
      <c r="J389" s="33"/>
      <c r="K389" s="33"/>
      <c r="L389" s="33"/>
      <c r="M389" s="33"/>
      <c r="N389" s="33"/>
      <c r="O389" s="34"/>
    </row>
    <row r="390" spans="5:15">
      <c r="E390" s="33"/>
      <c r="F390" s="33"/>
      <c r="G390" s="33"/>
      <c r="H390" s="33"/>
      <c r="I390" s="33"/>
      <c r="J390" s="33"/>
      <c r="K390" s="33"/>
      <c r="L390" s="33"/>
      <c r="M390" s="33"/>
      <c r="N390" s="33"/>
      <c r="O390" s="34"/>
    </row>
    <row r="391" spans="5:15">
      <c r="E391" s="33"/>
      <c r="F391" s="33"/>
      <c r="G391" s="33"/>
      <c r="H391" s="33"/>
      <c r="I391" s="33"/>
      <c r="J391" s="33"/>
      <c r="K391" s="33"/>
      <c r="L391" s="33"/>
      <c r="M391" s="33"/>
      <c r="N391" s="33"/>
      <c r="O391" s="34"/>
    </row>
    <row r="392" spans="5:15">
      <c r="E392" s="33"/>
      <c r="F392" s="33"/>
      <c r="G392" s="33"/>
      <c r="H392" s="33"/>
      <c r="I392" s="33"/>
      <c r="J392" s="33"/>
      <c r="K392" s="33"/>
      <c r="L392" s="33"/>
      <c r="M392" s="33"/>
      <c r="N392" s="33"/>
      <c r="O392" s="34"/>
    </row>
    <row r="393" spans="5:15">
      <c r="E393" s="33"/>
      <c r="F393" s="33"/>
      <c r="G393" s="33"/>
      <c r="H393" s="33"/>
      <c r="I393" s="33"/>
      <c r="J393" s="33"/>
      <c r="K393" s="33"/>
      <c r="L393" s="33"/>
      <c r="M393" s="33"/>
      <c r="N393" s="33"/>
      <c r="O393" s="34"/>
    </row>
    <row r="394" spans="5:15">
      <c r="E394" s="33"/>
      <c r="F394" s="33"/>
      <c r="G394" s="33"/>
      <c r="H394" s="33"/>
      <c r="I394" s="33"/>
      <c r="J394" s="33"/>
      <c r="K394" s="33"/>
      <c r="L394" s="33"/>
      <c r="M394" s="33"/>
      <c r="N394" s="33"/>
      <c r="O394" s="34"/>
    </row>
    <row r="395" spans="5:15">
      <c r="E395" s="33"/>
      <c r="F395" s="33"/>
      <c r="G395" s="33"/>
      <c r="H395" s="33"/>
      <c r="I395" s="33"/>
      <c r="J395" s="33"/>
      <c r="K395" s="33"/>
      <c r="L395" s="33"/>
      <c r="M395" s="33"/>
      <c r="N395" s="33"/>
      <c r="O395" s="34"/>
    </row>
    <row r="396" spans="5:15">
      <c r="E396" s="33"/>
      <c r="F396" s="33"/>
      <c r="G396" s="33"/>
      <c r="H396" s="33"/>
      <c r="I396" s="33"/>
      <c r="J396" s="33"/>
      <c r="K396" s="33"/>
      <c r="L396" s="33"/>
      <c r="M396" s="33"/>
      <c r="N396" s="33"/>
      <c r="O396" s="34"/>
    </row>
    <row r="397" spans="5:15">
      <c r="E397" s="33"/>
      <c r="F397" s="33"/>
      <c r="G397" s="33"/>
      <c r="H397" s="33"/>
      <c r="I397" s="33"/>
      <c r="J397" s="33"/>
      <c r="K397" s="33"/>
      <c r="L397" s="33"/>
      <c r="M397" s="33"/>
      <c r="N397" s="33"/>
      <c r="O397" s="34"/>
    </row>
    <row r="398" spans="5:15">
      <c r="E398" s="33"/>
      <c r="F398" s="33"/>
      <c r="G398" s="33"/>
      <c r="H398" s="33"/>
      <c r="I398" s="33"/>
      <c r="J398" s="33"/>
      <c r="K398" s="33"/>
      <c r="L398" s="33"/>
      <c r="M398" s="33"/>
      <c r="N398" s="33"/>
      <c r="O398" s="34"/>
    </row>
    <row r="399" spans="5:15">
      <c r="E399" s="33"/>
      <c r="F399" s="33"/>
      <c r="G399" s="33"/>
      <c r="H399" s="33"/>
      <c r="I399" s="33"/>
      <c r="J399" s="33"/>
      <c r="K399" s="33"/>
      <c r="L399" s="33"/>
      <c r="M399" s="33"/>
      <c r="N399" s="33"/>
      <c r="O399" s="34"/>
    </row>
    <row r="400" spans="5:15">
      <c r="E400" s="33"/>
      <c r="F400" s="33"/>
      <c r="G400" s="33"/>
      <c r="H400" s="33"/>
      <c r="I400" s="33"/>
      <c r="J400" s="33"/>
      <c r="K400" s="33"/>
      <c r="L400" s="33"/>
      <c r="M400" s="33"/>
      <c r="N400" s="33"/>
      <c r="O400" s="34"/>
    </row>
    <row r="401" spans="5:15">
      <c r="E401" s="33"/>
      <c r="F401" s="33"/>
      <c r="G401" s="33"/>
      <c r="H401" s="33"/>
      <c r="I401" s="33"/>
      <c r="J401" s="33"/>
      <c r="K401" s="33"/>
      <c r="L401" s="33"/>
      <c r="M401" s="33"/>
      <c r="N401" s="33"/>
      <c r="O401" s="34"/>
    </row>
    <row r="402" spans="5:15">
      <c r="E402" s="33"/>
      <c r="F402" s="33"/>
      <c r="G402" s="33"/>
      <c r="H402" s="33"/>
      <c r="I402" s="33"/>
      <c r="J402" s="33"/>
      <c r="K402" s="33"/>
      <c r="L402" s="33"/>
      <c r="M402" s="33"/>
      <c r="N402" s="33"/>
      <c r="O402" s="34"/>
    </row>
    <row r="403" spans="5:15">
      <c r="E403" s="33"/>
      <c r="F403" s="33"/>
      <c r="G403" s="33"/>
      <c r="H403" s="33"/>
      <c r="I403" s="33"/>
      <c r="J403" s="33"/>
      <c r="K403" s="33"/>
      <c r="L403" s="33"/>
      <c r="M403" s="33"/>
      <c r="N403" s="33"/>
      <c r="O403" s="34"/>
    </row>
    <row r="404" spans="5:15">
      <c r="E404" s="33"/>
      <c r="F404" s="33"/>
      <c r="G404" s="33"/>
      <c r="H404" s="33"/>
      <c r="I404" s="33"/>
      <c r="J404" s="33"/>
      <c r="K404" s="33"/>
      <c r="L404" s="33"/>
      <c r="M404" s="33"/>
      <c r="N404" s="33"/>
      <c r="O404" s="34"/>
    </row>
    <row r="405" spans="5:15">
      <c r="E405" s="33"/>
      <c r="F405" s="33"/>
      <c r="G405" s="33"/>
      <c r="H405" s="33"/>
      <c r="I405" s="33"/>
      <c r="J405" s="33"/>
      <c r="K405" s="33"/>
      <c r="L405" s="33"/>
      <c r="M405" s="33"/>
      <c r="N405" s="33"/>
      <c r="O405" s="34"/>
    </row>
    <row r="406" spans="5:15">
      <c r="E406" s="33"/>
      <c r="F406" s="33"/>
      <c r="G406" s="33"/>
      <c r="H406" s="33"/>
      <c r="I406" s="33"/>
      <c r="J406" s="33"/>
      <c r="K406" s="33"/>
      <c r="L406" s="33"/>
      <c r="M406" s="33"/>
      <c r="N406" s="33"/>
      <c r="O406" s="34"/>
    </row>
    <row r="407" spans="5:15">
      <c r="E407" s="33"/>
      <c r="F407" s="33"/>
      <c r="G407" s="33"/>
      <c r="H407" s="33"/>
      <c r="I407" s="33"/>
      <c r="J407" s="33"/>
      <c r="K407" s="33"/>
      <c r="L407" s="33"/>
      <c r="M407" s="33"/>
      <c r="N407" s="33"/>
      <c r="O407" s="34"/>
    </row>
    <row r="408" spans="5:15">
      <c r="E408" s="33"/>
      <c r="F408" s="33"/>
      <c r="G408" s="33"/>
      <c r="H408" s="33"/>
      <c r="I408" s="33"/>
      <c r="J408" s="33"/>
      <c r="K408" s="33"/>
      <c r="L408" s="33"/>
      <c r="M408" s="33"/>
      <c r="N408" s="33"/>
      <c r="O408" s="34"/>
    </row>
    <row r="409" spans="5:15">
      <c r="E409" s="33"/>
      <c r="F409" s="33"/>
      <c r="G409" s="33"/>
      <c r="H409" s="33"/>
      <c r="I409" s="33"/>
      <c r="J409" s="33"/>
      <c r="K409" s="33"/>
      <c r="L409" s="33"/>
      <c r="M409" s="33"/>
      <c r="N409" s="33"/>
      <c r="O409" s="34"/>
    </row>
    <row r="410" spans="5:15">
      <c r="E410" s="33"/>
      <c r="F410" s="33"/>
      <c r="G410" s="33"/>
      <c r="H410" s="33"/>
      <c r="I410" s="33"/>
      <c r="J410" s="33"/>
      <c r="K410" s="33"/>
      <c r="L410" s="33"/>
      <c r="M410" s="33"/>
      <c r="N410" s="33"/>
      <c r="O410" s="34"/>
    </row>
    <row r="411" spans="5:15">
      <c r="E411" s="33"/>
      <c r="F411" s="33"/>
      <c r="G411" s="33"/>
      <c r="H411" s="33"/>
      <c r="I411" s="33"/>
      <c r="J411" s="33"/>
      <c r="K411" s="33"/>
      <c r="L411" s="33"/>
      <c r="M411" s="33"/>
      <c r="N411" s="33"/>
      <c r="O411" s="34"/>
    </row>
    <row r="412" spans="5:15">
      <c r="E412" s="33"/>
      <c r="F412" s="33"/>
      <c r="G412" s="33"/>
      <c r="H412" s="33"/>
      <c r="I412" s="33"/>
      <c r="J412" s="33"/>
      <c r="K412" s="33"/>
      <c r="L412" s="33"/>
      <c r="M412" s="33"/>
      <c r="N412" s="33"/>
      <c r="O412" s="34"/>
    </row>
    <row r="413" spans="5:15">
      <c r="E413" s="33"/>
      <c r="F413" s="33"/>
      <c r="G413" s="33"/>
      <c r="H413" s="33"/>
      <c r="I413" s="33"/>
      <c r="J413" s="33"/>
      <c r="K413" s="33"/>
      <c r="L413" s="33"/>
      <c r="M413" s="33"/>
      <c r="N413" s="33"/>
      <c r="O413" s="34"/>
    </row>
    <row r="414" spans="5:15">
      <c r="E414" s="33"/>
      <c r="F414" s="33"/>
      <c r="G414" s="33"/>
      <c r="H414" s="33"/>
      <c r="I414" s="33"/>
      <c r="J414" s="33"/>
      <c r="K414" s="33"/>
      <c r="L414" s="33"/>
      <c r="M414" s="33"/>
      <c r="N414" s="33"/>
      <c r="O414" s="34"/>
    </row>
    <row r="415" spans="5:15">
      <c r="E415" s="33"/>
      <c r="F415" s="33"/>
      <c r="G415" s="33"/>
      <c r="H415" s="33"/>
      <c r="I415" s="33"/>
      <c r="J415" s="33"/>
      <c r="K415" s="33"/>
      <c r="L415" s="33"/>
      <c r="M415" s="33"/>
      <c r="N415" s="33"/>
      <c r="O415" s="34"/>
    </row>
    <row r="416" spans="5:15">
      <c r="E416" s="33"/>
      <c r="F416" s="33"/>
      <c r="G416" s="33"/>
      <c r="H416" s="33"/>
      <c r="I416" s="33"/>
      <c r="J416" s="33"/>
      <c r="K416" s="33"/>
      <c r="L416" s="33"/>
      <c r="M416" s="33"/>
      <c r="N416" s="33"/>
      <c r="O416" s="34"/>
    </row>
    <row r="417" spans="5:15">
      <c r="E417" s="33"/>
      <c r="F417" s="33"/>
      <c r="G417" s="33"/>
      <c r="H417" s="33"/>
      <c r="I417" s="33"/>
      <c r="J417" s="33"/>
      <c r="K417" s="33"/>
      <c r="L417" s="33"/>
      <c r="M417" s="33"/>
      <c r="N417" s="33"/>
      <c r="O417" s="34"/>
    </row>
    <row r="418" spans="5:15">
      <c r="E418" s="33"/>
      <c r="F418" s="33"/>
      <c r="G418" s="33"/>
      <c r="H418" s="33"/>
      <c r="I418" s="33"/>
      <c r="J418" s="33"/>
      <c r="K418" s="33"/>
      <c r="L418" s="33"/>
      <c r="M418" s="33"/>
      <c r="N418" s="33"/>
      <c r="O418" s="34"/>
    </row>
    <row r="419" spans="5:15">
      <c r="E419" s="33"/>
      <c r="F419" s="33"/>
      <c r="G419" s="33"/>
      <c r="H419" s="33"/>
      <c r="I419" s="33"/>
      <c r="J419" s="33"/>
      <c r="K419" s="33"/>
      <c r="L419" s="33"/>
      <c r="M419" s="33"/>
      <c r="N419" s="33"/>
      <c r="O419" s="34"/>
    </row>
    <row r="420" spans="5:15">
      <c r="E420" s="33"/>
      <c r="F420" s="33"/>
      <c r="G420" s="33"/>
      <c r="H420" s="33"/>
      <c r="I420" s="33"/>
      <c r="J420" s="33"/>
      <c r="K420" s="33"/>
      <c r="L420" s="33"/>
      <c r="M420" s="33"/>
      <c r="N420" s="33"/>
      <c r="O420" s="34"/>
    </row>
    <row r="421" spans="5:15">
      <c r="E421" s="33"/>
      <c r="F421" s="33"/>
      <c r="G421" s="33"/>
      <c r="H421" s="33"/>
      <c r="I421" s="33"/>
      <c r="J421" s="33"/>
      <c r="K421" s="33"/>
      <c r="L421" s="33"/>
      <c r="M421" s="33"/>
      <c r="N421" s="33"/>
      <c r="O421" s="34"/>
    </row>
    <row r="422" spans="5:15">
      <c r="E422" s="33"/>
      <c r="F422" s="33"/>
      <c r="G422" s="33"/>
      <c r="H422" s="33"/>
      <c r="I422" s="33"/>
      <c r="J422" s="33"/>
      <c r="K422" s="33"/>
      <c r="L422" s="33"/>
      <c r="M422" s="33"/>
      <c r="N422" s="33"/>
      <c r="O422" s="34"/>
    </row>
    <row r="423" spans="5:15">
      <c r="E423" s="33"/>
      <c r="F423" s="33"/>
      <c r="G423" s="33"/>
      <c r="H423" s="33"/>
      <c r="I423" s="33"/>
      <c r="J423" s="33"/>
      <c r="K423" s="33"/>
      <c r="L423" s="33"/>
      <c r="M423" s="33"/>
      <c r="N423" s="33"/>
      <c r="O423" s="34"/>
    </row>
    <row r="424" spans="5:15">
      <c r="E424" s="33"/>
      <c r="F424" s="33"/>
      <c r="G424" s="33"/>
      <c r="H424" s="33"/>
      <c r="I424" s="33"/>
      <c r="J424" s="33"/>
      <c r="K424" s="33"/>
      <c r="L424" s="33"/>
      <c r="M424" s="33"/>
      <c r="N424" s="33"/>
      <c r="O424" s="34"/>
    </row>
    <row r="425" spans="5:15">
      <c r="E425" s="33"/>
      <c r="F425" s="33"/>
      <c r="G425" s="33"/>
      <c r="H425" s="33"/>
      <c r="I425" s="33"/>
      <c r="J425" s="33"/>
      <c r="K425" s="33"/>
      <c r="L425" s="33"/>
      <c r="M425" s="33"/>
      <c r="N425" s="33"/>
      <c r="O425" s="34"/>
    </row>
    <row r="426" spans="5:15">
      <c r="E426" s="33"/>
      <c r="F426" s="33"/>
      <c r="G426" s="33"/>
      <c r="H426" s="33"/>
      <c r="I426" s="33"/>
      <c r="J426" s="33"/>
      <c r="K426" s="33"/>
      <c r="L426" s="33"/>
      <c r="M426" s="33"/>
      <c r="N426" s="33"/>
      <c r="O426" s="34"/>
    </row>
    <row r="427" spans="5:15">
      <c r="E427" s="33"/>
      <c r="F427" s="33"/>
      <c r="G427" s="33"/>
      <c r="H427" s="33"/>
      <c r="I427" s="33"/>
      <c r="J427" s="33"/>
      <c r="K427" s="33"/>
      <c r="L427" s="33"/>
      <c r="M427" s="33"/>
      <c r="N427" s="33"/>
      <c r="O427" s="34"/>
    </row>
    <row r="428" spans="5:15">
      <c r="E428" s="33"/>
      <c r="F428" s="33"/>
      <c r="G428" s="33"/>
      <c r="H428" s="33"/>
      <c r="I428" s="33"/>
      <c r="J428" s="33"/>
      <c r="K428" s="33"/>
      <c r="L428" s="33"/>
      <c r="M428" s="33"/>
      <c r="N428" s="33"/>
      <c r="O428" s="34"/>
    </row>
    <row r="429" spans="5:15">
      <c r="E429" s="33"/>
      <c r="F429" s="33"/>
      <c r="G429" s="33"/>
      <c r="H429" s="33"/>
      <c r="I429" s="33"/>
      <c r="J429" s="33"/>
      <c r="K429" s="33"/>
      <c r="L429" s="33"/>
      <c r="M429" s="33"/>
      <c r="N429" s="33"/>
      <c r="O429" s="34"/>
    </row>
    <row r="430" spans="5:15">
      <c r="E430" s="33"/>
      <c r="F430" s="33"/>
      <c r="G430" s="33"/>
      <c r="H430" s="33"/>
      <c r="I430" s="33"/>
      <c r="J430" s="33"/>
      <c r="K430" s="33"/>
      <c r="L430" s="33"/>
      <c r="M430" s="33"/>
      <c r="N430" s="33"/>
      <c r="O430" s="34"/>
    </row>
    <row r="431" spans="5:15">
      <c r="E431" s="33"/>
      <c r="F431" s="33"/>
      <c r="G431" s="33"/>
      <c r="H431" s="33"/>
      <c r="I431" s="33"/>
      <c r="J431" s="33"/>
      <c r="K431" s="33"/>
      <c r="L431" s="33"/>
      <c r="M431" s="33"/>
      <c r="N431" s="33"/>
      <c r="O431" s="34"/>
    </row>
    <row r="432" spans="5:15">
      <c r="E432" s="33"/>
      <c r="F432" s="33"/>
      <c r="G432" s="33"/>
      <c r="H432" s="33"/>
      <c r="I432" s="33"/>
      <c r="J432" s="33"/>
      <c r="K432" s="33"/>
      <c r="L432" s="33"/>
      <c r="M432" s="33"/>
      <c r="N432" s="33"/>
      <c r="O432" s="34"/>
    </row>
    <row r="433" spans="5:15">
      <c r="E433" s="33"/>
      <c r="F433" s="33"/>
      <c r="G433" s="33"/>
      <c r="H433" s="33"/>
      <c r="I433" s="33"/>
      <c r="J433" s="33"/>
      <c r="K433" s="33"/>
      <c r="L433" s="33"/>
      <c r="M433" s="33"/>
      <c r="N433" s="33"/>
      <c r="O433" s="34"/>
    </row>
    <row r="434" spans="5:15">
      <c r="E434" s="33"/>
      <c r="F434" s="33"/>
      <c r="G434" s="33"/>
      <c r="H434" s="33"/>
      <c r="I434" s="33"/>
      <c r="J434" s="33"/>
      <c r="K434" s="33"/>
      <c r="L434" s="33"/>
      <c r="M434" s="33"/>
      <c r="N434" s="33"/>
      <c r="O434" s="34"/>
    </row>
    <row r="435" spans="5:15">
      <c r="E435" s="33"/>
      <c r="F435" s="33"/>
      <c r="G435" s="33"/>
      <c r="H435" s="33"/>
      <c r="I435" s="33"/>
      <c r="J435" s="33"/>
      <c r="K435" s="33"/>
      <c r="L435" s="33"/>
      <c r="M435" s="33"/>
      <c r="N435" s="33"/>
      <c r="O435" s="34"/>
    </row>
    <row r="436" spans="5:15">
      <c r="E436" s="33"/>
      <c r="F436" s="33"/>
      <c r="G436" s="33"/>
      <c r="H436" s="33"/>
      <c r="I436" s="33"/>
      <c r="J436" s="33"/>
      <c r="K436" s="33"/>
      <c r="L436" s="33"/>
      <c r="M436" s="33"/>
      <c r="N436" s="33"/>
      <c r="O436" s="34"/>
    </row>
    <row r="437" spans="5:15">
      <c r="E437" s="33"/>
      <c r="F437" s="33"/>
      <c r="G437" s="33"/>
      <c r="H437" s="33"/>
      <c r="I437" s="33"/>
      <c r="J437" s="33"/>
      <c r="K437" s="33"/>
      <c r="L437" s="33"/>
      <c r="M437" s="33"/>
      <c r="N437" s="33"/>
      <c r="O437" s="34"/>
    </row>
    <row r="438" spans="5:15">
      <c r="E438" s="33"/>
      <c r="F438" s="33"/>
      <c r="G438" s="33"/>
      <c r="H438" s="33"/>
      <c r="I438" s="33"/>
      <c r="J438" s="33"/>
      <c r="K438" s="33"/>
      <c r="L438" s="33"/>
      <c r="M438" s="33"/>
      <c r="N438" s="33"/>
      <c r="O438" s="34"/>
    </row>
    <row r="439" spans="5:15">
      <c r="E439" s="33"/>
      <c r="F439" s="33"/>
      <c r="G439" s="33"/>
      <c r="H439" s="33"/>
      <c r="I439" s="33"/>
      <c r="J439" s="33"/>
      <c r="K439" s="33"/>
      <c r="L439" s="33"/>
      <c r="M439" s="33"/>
      <c r="N439" s="33"/>
      <c r="O439" s="34"/>
    </row>
    <row r="440" spans="5:15">
      <c r="E440" s="33"/>
      <c r="F440" s="33"/>
      <c r="G440" s="33"/>
      <c r="H440" s="33"/>
      <c r="I440" s="33"/>
      <c r="J440" s="33"/>
      <c r="K440" s="33"/>
      <c r="L440" s="33"/>
      <c r="M440" s="33"/>
      <c r="N440" s="33"/>
      <c r="O440" s="34"/>
    </row>
    <row r="441" spans="5:15">
      <c r="E441" s="33"/>
      <c r="F441" s="33"/>
      <c r="G441" s="33"/>
      <c r="H441" s="33"/>
      <c r="I441" s="33"/>
      <c r="J441" s="33"/>
      <c r="K441" s="33"/>
      <c r="L441" s="33"/>
      <c r="M441" s="33"/>
      <c r="N441" s="33"/>
      <c r="O441" s="34"/>
    </row>
    <row r="442" spans="5:15">
      <c r="E442" s="33"/>
      <c r="F442" s="33"/>
      <c r="G442" s="33"/>
      <c r="H442" s="33"/>
      <c r="I442" s="33"/>
      <c r="J442" s="33"/>
      <c r="K442" s="33"/>
      <c r="L442" s="33"/>
      <c r="M442" s="33"/>
      <c r="N442" s="33"/>
      <c r="O442" s="34"/>
    </row>
    <row r="443" spans="5:15">
      <c r="E443" s="33"/>
      <c r="F443" s="33"/>
      <c r="G443" s="33"/>
      <c r="H443" s="33"/>
      <c r="I443" s="33"/>
      <c r="J443" s="33"/>
      <c r="K443" s="33"/>
      <c r="L443" s="33"/>
      <c r="M443" s="33"/>
      <c r="N443" s="33"/>
      <c r="O443" s="34"/>
    </row>
    <row r="444" spans="5:15">
      <c r="E444" s="33"/>
      <c r="F444" s="33"/>
      <c r="G444" s="33"/>
      <c r="H444" s="33"/>
      <c r="I444" s="33"/>
      <c r="J444" s="33"/>
      <c r="K444" s="33"/>
      <c r="L444" s="33"/>
      <c r="M444" s="33"/>
      <c r="N444" s="33"/>
      <c r="O444" s="34"/>
    </row>
    <row r="445" spans="5:15">
      <c r="E445" s="33"/>
      <c r="F445" s="33"/>
      <c r="G445" s="33"/>
      <c r="H445" s="33"/>
      <c r="I445" s="33"/>
      <c r="J445" s="33"/>
      <c r="K445" s="33"/>
      <c r="L445" s="33"/>
      <c r="M445" s="33"/>
      <c r="N445" s="33"/>
      <c r="O445" s="34"/>
    </row>
    <row r="446" spans="5:15">
      <c r="E446" s="33"/>
      <c r="F446" s="33"/>
      <c r="G446" s="33"/>
      <c r="H446" s="33"/>
      <c r="I446" s="33"/>
      <c r="J446" s="33"/>
      <c r="K446" s="33"/>
      <c r="L446" s="33"/>
      <c r="M446" s="33"/>
      <c r="N446" s="33"/>
      <c r="O446" s="34"/>
    </row>
    <row r="447" spans="5:15">
      <c r="E447" s="33"/>
      <c r="F447" s="33"/>
      <c r="G447" s="33"/>
      <c r="H447" s="33"/>
      <c r="I447" s="33"/>
      <c r="J447" s="33"/>
      <c r="K447" s="33"/>
      <c r="L447" s="33"/>
      <c r="M447" s="33"/>
      <c r="N447" s="33"/>
      <c r="O447" s="34"/>
    </row>
    <row r="448" spans="5:15">
      <c r="E448" s="33"/>
      <c r="F448" s="33"/>
      <c r="G448" s="33"/>
      <c r="H448" s="33"/>
      <c r="I448" s="33"/>
      <c r="J448" s="33"/>
      <c r="K448" s="33"/>
      <c r="L448" s="33"/>
      <c r="M448" s="33"/>
      <c r="N448" s="33"/>
      <c r="O448" s="34"/>
    </row>
    <row r="449" spans="5:15">
      <c r="E449" s="33"/>
      <c r="F449" s="33"/>
      <c r="G449" s="33"/>
      <c r="H449" s="33"/>
      <c r="I449" s="33"/>
      <c r="J449" s="33"/>
      <c r="K449" s="33"/>
      <c r="L449" s="33"/>
      <c r="M449" s="33"/>
      <c r="N449" s="33"/>
      <c r="O449" s="34"/>
    </row>
    <row r="450" spans="5:15">
      <c r="E450" s="33"/>
      <c r="F450" s="33"/>
      <c r="G450" s="33"/>
      <c r="H450" s="33"/>
      <c r="I450" s="33"/>
      <c r="J450" s="33"/>
      <c r="K450" s="33"/>
      <c r="L450" s="33"/>
      <c r="M450" s="33"/>
      <c r="N450" s="33"/>
      <c r="O450" s="34"/>
    </row>
    <row r="451" spans="5:15">
      <c r="E451" s="33"/>
      <c r="F451" s="33"/>
      <c r="G451" s="33"/>
      <c r="H451" s="33"/>
      <c r="I451" s="33"/>
      <c r="J451" s="33"/>
      <c r="K451" s="33"/>
      <c r="L451" s="33"/>
      <c r="M451" s="33"/>
      <c r="N451" s="33"/>
      <c r="O451" s="34"/>
    </row>
    <row r="452" spans="5:15">
      <c r="E452" s="33"/>
      <c r="F452" s="33"/>
      <c r="G452" s="33"/>
      <c r="H452" s="33"/>
      <c r="I452" s="33"/>
      <c r="J452" s="33"/>
      <c r="K452" s="33"/>
      <c r="L452" s="33"/>
      <c r="M452" s="33"/>
      <c r="N452" s="33"/>
      <c r="O452" s="34"/>
    </row>
    <row r="453" spans="5:15">
      <c r="E453" s="33"/>
      <c r="F453" s="33"/>
      <c r="G453" s="33"/>
      <c r="H453" s="33"/>
      <c r="I453" s="33"/>
      <c r="J453" s="33"/>
      <c r="K453" s="33"/>
      <c r="L453" s="33"/>
      <c r="M453" s="33"/>
      <c r="N453" s="33"/>
      <c r="O453" s="34"/>
    </row>
    <row r="454" spans="5:15">
      <c r="E454" s="33"/>
      <c r="F454" s="33"/>
      <c r="G454" s="33"/>
      <c r="H454" s="33"/>
      <c r="I454" s="33"/>
      <c r="J454" s="33"/>
      <c r="K454" s="33"/>
      <c r="L454" s="33"/>
      <c r="M454" s="33"/>
      <c r="N454" s="33"/>
      <c r="O454" s="34"/>
    </row>
    <row r="455" spans="5:15">
      <c r="E455" s="33"/>
      <c r="F455" s="33"/>
      <c r="G455" s="33"/>
      <c r="H455" s="33"/>
      <c r="I455" s="33"/>
      <c r="J455" s="33"/>
      <c r="K455" s="33"/>
      <c r="L455" s="33"/>
      <c r="M455" s="33"/>
      <c r="N455" s="33"/>
      <c r="O455" s="34"/>
    </row>
    <row r="456" spans="5:15">
      <c r="E456" s="33"/>
      <c r="F456" s="33"/>
      <c r="G456" s="33"/>
      <c r="H456" s="33"/>
      <c r="I456" s="33"/>
      <c r="J456" s="33"/>
      <c r="K456" s="33"/>
      <c r="L456" s="33"/>
      <c r="M456" s="33"/>
      <c r="N456" s="33"/>
      <c r="O456" s="34"/>
    </row>
    <row r="457" spans="5:15">
      <c r="E457" s="33"/>
      <c r="F457" s="33"/>
      <c r="G457" s="33"/>
      <c r="H457" s="33"/>
      <c r="I457" s="33"/>
      <c r="J457" s="33"/>
      <c r="K457" s="33"/>
      <c r="L457" s="33"/>
      <c r="M457" s="33"/>
      <c r="N457" s="33"/>
      <c r="O457" s="34"/>
    </row>
    <row r="458" spans="5:15">
      <c r="E458" s="33"/>
      <c r="F458" s="33"/>
      <c r="G458" s="33"/>
      <c r="H458" s="33"/>
      <c r="I458" s="33"/>
      <c r="J458" s="33"/>
      <c r="K458" s="33"/>
      <c r="L458" s="33"/>
      <c r="M458" s="33"/>
      <c r="N458" s="33"/>
      <c r="O458" s="34"/>
    </row>
    <row r="459" spans="5:15">
      <c r="E459" s="33"/>
      <c r="F459" s="33"/>
      <c r="G459" s="33"/>
      <c r="H459" s="33"/>
      <c r="I459" s="33"/>
      <c r="J459" s="33"/>
      <c r="K459" s="33"/>
      <c r="L459" s="33"/>
      <c r="M459" s="33"/>
      <c r="N459" s="33"/>
      <c r="O459" s="34"/>
    </row>
    <row r="460" spans="5:15">
      <c r="E460" s="33"/>
      <c r="F460" s="33"/>
      <c r="G460" s="33"/>
      <c r="H460" s="33"/>
      <c r="I460" s="33"/>
      <c r="J460" s="33"/>
      <c r="K460" s="33"/>
      <c r="L460" s="33"/>
      <c r="M460" s="33"/>
      <c r="N460" s="33"/>
      <c r="O460" s="34"/>
    </row>
    <row r="461" spans="5:15">
      <c r="E461" s="33"/>
      <c r="F461" s="33"/>
      <c r="G461" s="33"/>
      <c r="H461" s="33"/>
      <c r="I461" s="33"/>
      <c r="J461" s="33"/>
      <c r="K461" s="33"/>
      <c r="L461" s="33"/>
      <c r="M461" s="33"/>
      <c r="N461" s="33"/>
      <c r="O461" s="34"/>
    </row>
    <row r="462" spans="5:15">
      <c r="E462" s="33"/>
      <c r="F462" s="33"/>
      <c r="G462" s="33"/>
      <c r="H462" s="33"/>
      <c r="I462" s="33"/>
      <c r="J462" s="33"/>
      <c r="K462" s="33"/>
      <c r="L462" s="33"/>
      <c r="M462" s="33"/>
      <c r="N462" s="33"/>
      <c r="O462" s="34"/>
    </row>
    <row r="463" spans="5:15">
      <c r="E463" s="33"/>
      <c r="F463" s="33"/>
      <c r="G463" s="33"/>
      <c r="H463" s="33"/>
      <c r="I463" s="33"/>
      <c r="J463" s="33"/>
      <c r="K463" s="33"/>
      <c r="L463" s="33"/>
      <c r="M463" s="33"/>
      <c r="N463" s="33"/>
      <c r="O463" s="34"/>
    </row>
    <row r="464" spans="5:15">
      <c r="E464" s="33"/>
      <c r="F464" s="33"/>
      <c r="G464" s="33"/>
      <c r="H464" s="33"/>
      <c r="I464" s="33"/>
      <c r="J464" s="33"/>
      <c r="K464" s="33"/>
      <c r="L464" s="33"/>
      <c r="M464" s="33"/>
      <c r="N464" s="33"/>
      <c r="O464" s="34"/>
    </row>
    <row r="465" spans="5:15">
      <c r="E465" s="33"/>
      <c r="F465" s="33"/>
      <c r="G465" s="33"/>
      <c r="H465" s="33"/>
      <c r="I465" s="33"/>
      <c r="J465" s="33"/>
      <c r="K465" s="33"/>
      <c r="L465" s="33"/>
      <c r="M465" s="33"/>
      <c r="N465" s="33"/>
      <c r="O465" s="34"/>
    </row>
    <row r="466" spans="5:15">
      <c r="E466" s="33"/>
      <c r="F466" s="33"/>
      <c r="G466" s="33"/>
      <c r="H466" s="33"/>
      <c r="I466" s="33"/>
      <c r="J466" s="33"/>
      <c r="K466" s="33"/>
      <c r="L466" s="33"/>
      <c r="M466" s="33"/>
      <c r="N466" s="33"/>
      <c r="O466" s="34"/>
    </row>
    <row r="467" spans="5:15">
      <c r="E467" s="33"/>
      <c r="F467" s="33"/>
      <c r="G467" s="33"/>
      <c r="H467" s="33"/>
      <c r="I467" s="33"/>
      <c r="J467" s="33"/>
      <c r="K467" s="33"/>
      <c r="L467" s="33"/>
      <c r="M467" s="33"/>
      <c r="N467" s="33"/>
      <c r="O467" s="34"/>
    </row>
    <row r="468" spans="5:15">
      <c r="E468" s="33"/>
      <c r="F468" s="33"/>
      <c r="G468" s="33"/>
      <c r="H468" s="33"/>
      <c r="I468" s="33"/>
      <c r="J468" s="33"/>
      <c r="K468" s="33"/>
      <c r="L468" s="33"/>
      <c r="M468" s="33"/>
      <c r="N468" s="33"/>
      <c r="O468" s="34"/>
    </row>
    <row r="469" spans="5:15">
      <c r="E469" s="33"/>
      <c r="F469" s="33"/>
      <c r="G469" s="33"/>
      <c r="H469" s="33"/>
      <c r="I469" s="33"/>
      <c r="J469" s="33"/>
      <c r="K469" s="33"/>
      <c r="L469" s="33"/>
      <c r="M469" s="33"/>
      <c r="N469" s="33"/>
      <c r="O469" s="34"/>
    </row>
    <row r="470" spans="5:15">
      <c r="E470" s="33"/>
      <c r="F470" s="33"/>
      <c r="G470" s="33"/>
      <c r="H470" s="33"/>
      <c r="I470" s="33"/>
      <c r="J470" s="33"/>
      <c r="K470" s="33"/>
      <c r="L470" s="33"/>
      <c r="M470" s="33"/>
      <c r="N470" s="33"/>
      <c r="O470" s="34"/>
    </row>
    <row r="471" spans="5:15">
      <c r="E471" s="33"/>
      <c r="F471" s="33"/>
      <c r="G471" s="33"/>
      <c r="H471" s="33"/>
      <c r="I471" s="33"/>
      <c r="J471" s="33"/>
      <c r="K471" s="33"/>
      <c r="L471" s="33"/>
      <c r="M471" s="33"/>
      <c r="N471" s="33"/>
      <c r="O471" s="34"/>
    </row>
    <row r="472" spans="5:15">
      <c r="E472" s="33"/>
      <c r="F472" s="33"/>
      <c r="G472" s="33"/>
      <c r="H472" s="33"/>
      <c r="I472" s="33"/>
      <c r="J472" s="33"/>
      <c r="K472" s="33"/>
      <c r="L472" s="33"/>
      <c r="M472" s="33"/>
      <c r="N472" s="33"/>
      <c r="O472" s="34"/>
    </row>
    <row r="473" spans="5:15">
      <c r="E473" s="33"/>
      <c r="F473" s="33"/>
      <c r="G473" s="33"/>
      <c r="H473" s="33"/>
      <c r="I473" s="33"/>
      <c r="J473" s="33"/>
      <c r="K473" s="33"/>
      <c r="L473" s="33"/>
      <c r="M473" s="33"/>
      <c r="N473" s="33"/>
      <c r="O473" s="34"/>
    </row>
    <row r="474" spans="5:15">
      <c r="E474" s="33"/>
      <c r="F474" s="33"/>
      <c r="G474" s="33"/>
      <c r="H474" s="33"/>
      <c r="I474" s="33"/>
      <c r="J474" s="33"/>
      <c r="K474" s="33"/>
      <c r="L474" s="33"/>
      <c r="M474" s="33"/>
      <c r="N474" s="33"/>
      <c r="O474" s="34"/>
    </row>
    <row r="475" spans="5:15">
      <c r="E475" s="33"/>
      <c r="F475" s="33"/>
      <c r="G475" s="33"/>
      <c r="H475" s="33"/>
      <c r="I475" s="33"/>
      <c r="J475" s="33"/>
      <c r="K475" s="33"/>
      <c r="L475" s="33"/>
      <c r="M475" s="33"/>
      <c r="N475" s="33"/>
      <c r="O475" s="34"/>
    </row>
    <row r="476" spans="5:15">
      <c r="E476" s="33"/>
      <c r="F476" s="33"/>
      <c r="G476" s="33"/>
      <c r="H476" s="33"/>
      <c r="I476" s="33"/>
      <c r="J476" s="33"/>
      <c r="K476" s="33"/>
      <c r="L476" s="33"/>
      <c r="M476" s="33"/>
      <c r="N476" s="33"/>
      <c r="O476" s="34"/>
    </row>
    <row r="477" spans="5:15">
      <c r="E477" s="33"/>
      <c r="F477" s="33"/>
      <c r="G477" s="33"/>
      <c r="H477" s="33"/>
      <c r="I477" s="33"/>
      <c r="J477" s="33"/>
      <c r="K477" s="33"/>
      <c r="L477" s="33"/>
      <c r="M477" s="33"/>
      <c r="N477" s="33"/>
      <c r="O477" s="34"/>
    </row>
    <row r="478" spans="5:15">
      <c r="E478" s="33"/>
      <c r="F478" s="33"/>
      <c r="G478" s="33"/>
      <c r="H478" s="33"/>
      <c r="I478" s="33"/>
      <c r="J478" s="33"/>
      <c r="K478" s="33"/>
      <c r="L478" s="33"/>
      <c r="M478" s="33"/>
      <c r="N478" s="33"/>
      <c r="O478" s="34"/>
    </row>
    <row r="479" spans="5:15">
      <c r="E479" s="33"/>
      <c r="F479" s="33"/>
      <c r="G479" s="33"/>
      <c r="H479" s="33"/>
      <c r="I479" s="33"/>
      <c r="J479" s="33"/>
      <c r="K479" s="33"/>
      <c r="L479" s="33"/>
      <c r="M479" s="33"/>
      <c r="N479" s="33"/>
      <c r="O479" s="34"/>
    </row>
    <row r="480" spans="5:15">
      <c r="E480" s="33"/>
      <c r="F480" s="33"/>
      <c r="G480" s="33"/>
      <c r="H480" s="33"/>
      <c r="I480" s="33"/>
      <c r="J480" s="33"/>
      <c r="K480" s="33"/>
      <c r="L480" s="33"/>
      <c r="M480" s="33"/>
      <c r="N480" s="33"/>
      <c r="O480" s="34"/>
    </row>
    <row r="481" spans="5:15">
      <c r="E481" s="33"/>
      <c r="F481" s="33"/>
      <c r="G481" s="33"/>
      <c r="H481" s="33"/>
      <c r="I481" s="33"/>
      <c r="J481" s="33"/>
      <c r="K481" s="33"/>
      <c r="L481" s="33"/>
      <c r="M481" s="33"/>
      <c r="N481" s="33"/>
      <c r="O481" s="34"/>
    </row>
    <row r="482" spans="5:15">
      <c r="E482" s="33"/>
      <c r="F482" s="33"/>
      <c r="G482" s="33"/>
      <c r="H482" s="33"/>
      <c r="I482" s="33"/>
      <c r="J482" s="33"/>
      <c r="K482" s="33"/>
      <c r="L482" s="33"/>
      <c r="M482" s="33"/>
      <c r="N482" s="33"/>
      <c r="O482" s="34"/>
    </row>
    <row r="483" spans="5:15">
      <c r="E483" s="33"/>
      <c r="F483" s="33"/>
      <c r="G483" s="33"/>
      <c r="H483" s="33"/>
      <c r="I483" s="33"/>
      <c r="J483" s="33"/>
      <c r="K483" s="33"/>
      <c r="L483" s="33"/>
      <c r="M483" s="33"/>
      <c r="N483" s="33"/>
      <c r="O483" s="34"/>
    </row>
    <row r="484" spans="5:15">
      <c r="E484" s="33"/>
      <c r="F484" s="33"/>
      <c r="G484" s="33"/>
      <c r="H484" s="33"/>
      <c r="I484" s="33"/>
      <c r="J484" s="33"/>
      <c r="K484" s="33"/>
      <c r="L484" s="33"/>
      <c r="M484" s="33"/>
      <c r="N484" s="33"/>
      <c r="O484" s="34"/>
    </row>
    <row r="485" spans="5:15">
      <c r="E485" s="33"/>
      <c r="F485" s="33"/>
      <c r="G485" s="33"/>
      <c r="H485" s="33"/>
      <c r="I485" s="33"/>
      <c r="J485" s="33"/>
      <c r="K485" s="33"/>
      <c r="L485" s="33"/>
      <c r="M485" s="33"/>
      <c r="N485" s="33"/>
      <c r="O485" s="34"/>
    </row>
    <row r="486" spans="5:15">
      <c r="E486" s="33"/>
      <c r="F486" s="33"/>
      <c r="G486" s="33"/>
      <c r="H486" s="33"/>
      <c r="I486" s="33"/>
      <c r="J486" s="33"/>
      <c r="K486" s="33"/>
      <c r="L486" s="33"/>
      <c r="M486" s="33"/>
      <c r="N486" s="33"/>
      <c r="O486" s="34"/>
    </row>
    <row r="487" spans="5:15">
      <c r="E487" s="33"/>
      <c r="F487" s="33"/>
      <c r="G487" s="33"/>
      <c r="H487" s="33"/>
      <c r="I487" s="33"/>
      <c r="J487" s="33"/>
      <c r="K487" s="33"/>
      <c r="L487" s="33"/>
      <c r="M487" s="33"/>
      <c r="N487" s="33"/>
      <c r="O487" s="34"/>
    </row>
    <row r="488" spans="5:15">
      <c r="E488" s="33"/>
      <c r="F488" s="33"/>
      <c r="G488" s="33"/>
      <c r="H488" s="33"/>
      <c r="I488" s="33"/>
      <c r="J488" s="33"/>
      <c r="K488" s="33"/>
      <c r="L488" s="33"/>
      <c r="M488" s="33"/>
      <c r="N488" s="33"/>
      <c r="O488" s="34"/>
    </row>
    <row r="489" spans="5:15">
      <c r="E489" s="33"/>
      <c r="F489" s="33"/>
      <c r="G489" s="33"/>
      <c r="H489" s="33"/>
      <c r="I489" s="33"/>
      <c r="J489" s="33"/>
      <c r="K489" s="33"/>
      <c r="L489" s="33"/>
      <c r="M489" s="33"/>
      <c r="N489" s="33"/>
      <c r="O489" s="34"/>
    </row>
    <row r="490" spans="5:15">
      <c r="E490" s="33"/>
      <c r="F490" s="33"/>
      <c r="G490" s="33"/>
      <c r="H490" s="33"/>
      <c r="I490" s="33"/>
      <c r="J490" s="33"/>
      <c r="K490" s="33"/>
      <c r="L490" s="33"/>
      <c r="M490" s="33"/>
      <c r="N490" s="33"/>
      <c r="O490" s="34"/>
    </row>
    <row r="491" spans="5:15">
      <c r="E491" s="33"/>
      <c r="F491" s="33"/>
      <c r="G491" s="33"/>
      <c r="H491" s="33"/>
      <c r="I491" s="33"/>
      <c r="J491" s="33"/>
      <c r="K491" s="33"/>
      <c r="L491" s="33"/>
      <c r="M491" s="33"/>
      <c r="N491" s="33"/>
      <c r="O491" s="34"/>
    </row>
    <row r="492" spans="5:15">
      <c r="E492" s="33"/>
      <c r="F492" s="33"/>
      <c r="G492" s="33"/>
      <c r="H492" s="33"/>
      <c r="I492" s="33"/>
      <c r="J492" s="33"/>
      <c r="K492" s="33"/>
      <c r="L492" s="33"/>
      <c r="M492" s="33"/>
      <c r="N492" s="33"/>
      <c r="O492" s="34"/>
    </row>
    <row r="493" spans="5:15">
      <c r="E493" s="33"/>
      <c r="F493" s="33"/>
      <c r="G493" s="33"/>
      <c r="H493" s="33"/>
      <c r="I493" s="33"/>
      <c r="J493" s="33"/>
      <c r="K493" s="33"/>
      <c r="L493" s="33"/>
      <c r="M493" s="33"/>
      <c r="N493" s="33"/>
      <c r="O493" s="34"/>
    </row>
    <row r="494" spans="5:15">
      <c r="E494" s="33"/>
      <c r="F494" s="33"/>
      <c r="G494" s="33"/>
      <c r="H494" s="33"/>
      <c r="I494" s="33"/>
      <c r="J494" s="33"/>
      <c r="K494" s="33"/>
      <c r="L494" s="33"/>
      <c r="M494" s="33"/>
      <c r="N494" s="33"/>
      <c r="O494" s="34"/>
    </row>
    <row r="495" spans="5:15">
      <c r="E495" s="33"/>
      <c r="F495" s="33"/>
      <c r="G495" s="33"/>
      <c r="H495" s="33"/>
      <c r="I495" s="33"/>
      <c r="J495" s="33"/>
      <c r="K495" s="33"/>
      <c r="L495" s="33"/>
      <c r="M495" s="33"/>
      <c r="N495" s="33"/>
      <c r="O495" s="34"/>
    </row>
    <row r="496" spans="5:15">
      <c r="E496" s="33"/>
      <c r="F496" s="33"/>
      <c r="G496" s="33"/>
      <c r="H496" s="33"/>
      <c r="I496" s="33"/>
      <c r="J496" s="33"/>
      <c r="K496" s="33"/>
      <c r="L496" s="33"/>
      <c r="M496" s="33"/>
      <c r="N496" s="33"/>
      <c r="O496" s="34"/>
    </row>
    <row r="497" spans="5:15">
      <c r="E497" s="33"/>
      <c r="F497" s="33"/>
      <c r="G497" s="33"/>
      <c r="H497" s="33"/>
      <c r="I497" s="33"/>
      <c r="J497" s="33"/>
      <c r="K497" s="33"/>
      <c r="L497" s="33"/>
      <c r="M497" s="33"/>
      <c r="N497" s="33"/>
      <c r="O497" s="34"/>
    </row>
    <row r="498" spans="5:15">
      <c r="E498" s="33"/>
      <c r="F498" s="33"/>
      <c r="G498" s="33"/>
      <c r="H498" s="33"/>
      <c r="I498" s="33"/>
      <c r="J498" s="33"/>
      <c r="K498" s="33"/>
      <c r="L498" s="33"/>
      <c r="M498" s="33"/>
      <c r="N498" s="33"/>
      <c r="O498" s="34"/>
    </row>
    <row r="499" spans="5:15">
      <c r="E499" s="33"/>
      <c r="F499" s="33"/>
      <c r="G499" s="33"/>
      <c r="H499" s="33"/>
      <c r="I499" s="33"/>
      <c r="J499" s="33"/>
      <c r="K499" s="33"/>
      <c r="L499" s="33"/>
      <c r="M499" s="33"/>
      <c r="N499" s="33"/>
      <c r="O499" s="34"/>
    </row>
    <row r="500" spans="5:15">
      <c r="E500" s="33"/>
      <c r="F500" s="33"/>
      <c r="G500" s="33"/>
      <c r="H500" s="33"/>
      <c r="I500" s="33"/>
      <c r="J500" s="33"/>
      <c r="K500" s="33"/>
      <c r="L500" s="33"/>
      <c r="M500" s="33"/>
      <c r="N500" s="33"/>
      <c r="O500" s="34"/>
    </row>
    <row r="501" spans="5:15">
      <c r="E501" s="33"/>
      <c r="F501" s="33"/>
      <c r="G501" s="33"/>
      <c r="H501" s="33"/>
      <c r="I501" s="33"/>
      <c r="J501" s="33"/>
      <c r="K501" s="33"/>
      <c r="L501" s="33"/>
      <c r="M501" s="33"/>
      <c r="N501" s="33"/>
      <c r="O501" s="34"/>
    </row>
    <row r="502" spans="5:15">
      <c r="E502" s="33"/>
      <c r="F502" s="33"/>
      <c r="G502" s="33"/>
      <c r="H502" s="33"/>
      <c r="I502" s="33"/>
      <c r="J502" s="33"/>
      <c r="K502" s="33"/>
      <c r="L502" s="33"/>
      <c r="M502" s="33"/>
      <c r="N502" s="33"/>
      <c r="O502" s="34"/>
    </row>
    <row r="503" spans="5:15">
      <c r="E503" s="33"/>
      <c r="F503" s="33"/>
      <c r="G503" s="33"/>
      <c r="H503" s="33"/>
      <c r="I503" s="33"/>
      <c r="J503" s="33"/>
      <c r="K503" s="33"/>
      <c r="L503" s="33"/>
      <c r="M503" s="33"/>
      <c r="N503" s="33"/>
      <c r="O503" s="34"/>
    </row>
    <row r="504" spans="5:15">
      <c r="E504" s="33"/>
      <c r="F504" s="33"/>
      <c r="G504" s="33"/>
      <c r="H504" s="33"/>
      <c r="I504" s="33"/>
      <c r="J504" s="33"/>
      <c r="K504" s="33"/>
      <c r="L504" s="33"/>
      <c r="M504" s="33"/>
      <c r="N504" s="33"/>
      <c r="O504" s="34"/>
    </row>
    <row r="505" spans="5:15">
      <c r="E505" s="33"/>
      <c r="F505" s="33"/>
      <c r="G505" s="33"/>
      <c r="H505" s="33"/>
      <c r="I505" s="33"/>
      <c r="J505" s="33"/>
      <c r="K505" s="33"/>
      <c r="L505" s="33"/>
      <c r="M505" s="33"/>
      <c r="N505" s="33"/>
      <c r="O505" s="34"/>
    </row>
    <row r="506" spans="5:15">
      <c r="E506" s="33"/>
      <c r="F506" s="33"/>
      <c r="G506" s="33"/>
      <c r="H506" s="33"/>
      <c r="I506" s="33"/>
      <c r="J506" s="33"/>
      <c r="K506" s="33"/>
      <c r="L506" s="33"/>
      <c r="M506" s="33"/>
      <c r="N506" s="33"/>
      <c r="O506" s="34"/>
    </row>
    <row r="507" spans="5:15">
      <c r="E507" s="33"/>
      <c r="F507" s="33"/>
      <c r="G507" s="33"/>
      <c r="H507" s="33"/>
      <c r="I507" s="33"/>
      <c r="J507" s="33"/>
      <c r="K507" s="33"/>
      <c r="L507" s="33"/>
      <c r="M507" s="33"/>
      <c r="N507" s="33"/>
      <c r="O507" s="34"/>
    </row>
    <row r="508" spans="5:15">
      <c r="E508" s="33"/>
      <c r="F508" s="33"/>
      <c r="G508" s="33"/>
      <c r="H508" s="33"/>
      <c r="I508" s="33"/>
      <c r="J508" s="33"/>
      <c r="K508" s="33"/>
      <c r="L508" s="33"/>
      <c r="M508" s="33"/>
      <c r="N508" s="33"/>
      <c r="O508" s="34"/>
    </row>
    <row r="509" spans="5:15">
      <c r="E509" s="33"/>
      <c r="F509" s="33"/>
      <c r="G509" s="33"/>
      <c r="H509" s="33"/>
      <c r="I509" s="33"/>
      <c r="J509" s="33"/>
      <c r="K509" s="33"/>
      <c r="L509" s="33"/>
      <c r="M509" s="33"/>
      <c r="N509" s="33"/>
      <c r="O509" s="34"/>
    </row>
    <row r="510" spans="5:15">
      <c r="E510" s="33"/>
      <c r="F510" s="33"/>
      <c r="G510" s="33"/>
      <c r="H510" s="33"/>
      <c r="I510" s="33"/>
      <c r="J510" s="33"/>
      <c r="K510" s="33"/>
      <c r="L510" s="33"/>
      <c r="M510" s="33"/>
      <c r="N510" s="33"/>
      <c r="O510" s="34"/>
    </row>
    <row r="511" spans="5:15">
      <c r="E511" s="33"/>
      <c r="F511" s="33"/>
      <c r="G511" s="33"/>
      <c r="H511" s="33"/>
      <c r="I511" s="33"/>
      <c r="J511" s="33"/>
      <c r="K511" s="33"/>
      <c r="L511" s="33"/>
      <c r="M511" s="33"/>
      <c r="N511" s="33"/>
      <c r="O511" s="34"/>
    </row>
    <row r="512" spans="5:15">
      <c r="E512" s="33"/>
      <c r="F512" s="33"/>
      <c r="G512" s="33"/>
      <c r="H512" s="33"/>
      <c r="I512" s="33"/>
      <c r="J512" s="33"/>
      <c r="K512" s="33"/>
      <c r="L512" s="33"/>
      <c r="M512" s="33"/>
      <c r="N512" s="33"/>
      <c r="O512" s="34"/>
    </row>
    <row r="513" spans="5:15">
      <c r="E513" s="33"/>
      <c r="F513" s="33"/>
      <c r="G513" s="33"/>
      <c r="H513" s="33"/>
      <c r="I513" s="33"/>
      <c r="J513" s="33"/>
      <c r="K513" s="33"/>
      <c r="L513" s="33"/>
      <c r="M513" s="33"/>
      <c r="N513" s="33"/>
      <c r="O513" s="34"/>
    </row>
    <row r="514" spans="5:15">
      <c r="E514" s="33"/>
      <c r="F514" s="33"/>
      <c r="G514" s="33"/>
      <c r="H514" s="33"/>
      <c r="I514" s="33"/>
      <c r="J514" s="33"/>
      <c r="K514" s="33"/>
      <c r="L514" s="33"/>
      <c r="M514" s="33"/>
      <c r="N514" s="33"/>
      <c r="O514" s="34"/>
    </row>
    <row r="515" spans="5:15">
      <c r="E515" s="33"/>
      <c r="F515" s="33"/>
      <c r="G515" s="33"/>
      <c r="H515" s="33"/>
      <c r="I515" s="33"/>
      <c r="J515" s="33"/>
      <c r="K515" s="33"/>
      <c r="L515" s="33"/>
      <c r="M515" s="33"/>
      <c r="N515" s="33"/>
      <c r="O515" s="34"/>
    </row>
    <row r="516" spans="5:15">
      <c r="E516" s="33"/>
      <c r="F516" s="33"/>
      <c r="G516" s="33"/>
      <c r="H516" s="33"/>
      <c r="I516" s="33"/>
      <c r="J516" s="33"/>
      <c r="K516" s="33"/>
      <c r="L516" s="33"/>
      <c r="M516" s="33"/>
      <c r="N516" s="33"/>
      <c r="O516" s="34"/>
    </row>
    <row r="517" spans="5:15">
      <c r="E517" s="33"/>
      <c r="F517" s="33"/>
      <c r="G517" s="33"/>
      <c r="H517" s="33"/>
      <c r="I517" s="33"/>
      <c r="J517" s="33"/>
      <c r="K517" s="33"/>
      <c r="L517" s="33"/>
      <c r="M517" s="33"/>
      <c r="N517" s="33"/>
      <c r="O517" s="34"/>
    </row>
    <row r="518" spans="5:15">
      <c r="E518" s="33"/>
      <c r="F518" s="33"/>
      <c r="G518" s="33"/>
      <c r="H518" s="33"/>
      <c r="I518" s="33"/>
      <c r="J518" s="33"/>
      <c r="K518" s="33"/>
      <c r="L518" s="33"/>
      <c r="M518" s="33"/>
      <c r="N518" s="33"/>
      <c r="O518" s="34"/>
    </row>
    <row r="519" spans="5:15">
      <c r="E519" s="33"/>
      <c r="F519" s="33"/>
      <c r="G519" s="33"/>
      <c r="H519" s="33"/>
      <c r="I519" s="33"/>
      <c r="J519" s="33"/>
      <c r="K519" s="33"/>
      <c r="L519" s="33"/>
      <c r="M519" s="33"/>
      <c r="N519" s="33"/>
      <c r="O519" s="34"/>
    </row>
    <row r="520" spans="5:15">
      <c r="E520" s="33"/>
      <c r="F520" s="33"/>
      <c r="G520" s="33"/>
      <c r="H520" s="33"/>
      <c r="I520" s="33"/>
      <c r="J520" s="33"/>
      <c r="K520" s="33"/>
      <c r="L520" s="33"/>
      <c r="M520" s="33"/>
      <c r="N520" s="33"/>
      <c r="O520" s="34"/>
    </row>
    <row r="521" spans="5:15">
      <c r="E521" s="33"/>
      <c r="F521" s="33"/>
      <c r="G521" s="33"/>
      <c r="H521" s="33"/>
      <c r="I521" s="33"/>
      <c r="J521" s="33"/>
      <c r="K521" s="33"/>
      <c r="L521" s="33"/>
      <c r="M521" s="33"/>
      <c r="N521" s="33"/>
      <c r="O521" s="34"/>
    </row>
    <row r="522" spans="5:15">
      <c r="E522" s="33"/>
      <c r="F522" s="33"/>
      <c r="G522" s="33"/>
      <c r="H522" s="33"/>
      <c r="I522" s="33"/>
      <c r="J522" s="33"/>
      <c r="K522" s="33"/>
      <c r="L522" s="33"/>
      <c r="M522" s="33"/>
      <c r="N522" s="33"/>
      <c r="O522" s="34"/>
    </row>
    <row r="523" spans="5:15">
      <c r="E523" s="33"/>
      <c r="F523" s="33"/>
      <c r="G523" s="33"/>
      <c r="H523" s="33"/>
      <c r="I523" s="33"/>
      <c r="J523" s="33"/>
      <c r="K523" s="33"/>
      <c r="L523" s="33"/>
      <c r="M523" s="33"/>
      <c r="N523" s="33"/>
      <c r="O523" s="34"/>
    </row>
    <row r="524" spans="5:15">
      <c r="E524" s="33"/>
      <c r="F524" s="33"/>
      <c r="G524" s="33"/>
      <c r="H524" s="33"/>
      <c r="I524" s="33"/>
      <c r="J524" s="33"/>
      <c r="K524" s="33"/>
      <c r="L524" s="33"/>
      <c r="M524" s="33"/>
      <c r="N524" s="33"/>
      <c r="O524" s="34"/>
    </row>
    <row r="525" spans="5:15">
      <c r="E525" s="33"/>
      <c r="F525" s="33"/>
      <c r="G525" s="33"/>
      <c r="H525" s="33"/>
      <c r="I525" s="33"/>
      <c r="J525" s="33"/>
      <c r="K525" s="33"/>
      <c r="L525" s="33"/>
      <c r="M525" s="33"/>
      <c r="N525" s="33"/>
      <c r="O525" s="34"/>
    </row>
    <row r="526" spans="5:15">
      <c r="E526" s="33"/>
      <c r="F526" s="33"/>
      <c r="G526" s="33"/>
      <c r="H526" s="33"/>
      <c r="I526" s="33"/>
      <c r="J526" s="33"/>
      <c r="K526" s="33"/>
      <c r="L526" s="33"/>
      <c r="M526" s="33"/>
      <c r="N526" s="33"/>
      <c r="O526" s="34"/>
    </row>
    <row r="527" spans="5:15">
      <c r="E527" s="33"/>
      <c r="F527" s="33"/>
      <c r="G527" s="33"/>
      <c r="H527" s="33"/>
      <c r="I527" s="33"/>
      <c r="J527" s="33"/>
      <c r="K527" s="33"/>
      <c r="L527" s="33"/>
      <c r="M527" s="33"/>
      <c r="N527" s="33"/>
      <c r="O527" s="34"/>
    </row>
    <row r="528" spans="5:15">
      <c r="E528" s="33"/>
      <c r="F528" s="33"/>
      <c r="G528" s="33"/>
      <c r="H528" s="33"/>
      <c r="I528" s="33"/>
      <c r="J528" s="33"/>
      <c r="K528" s="33"/>
      <c r="L528" s="33"/>
      <c r="M528" s="33"/>
      <c r="N528" s="33"/>
      <c r="O528" s="34"/>
    </row>
    <row r="529" spans="5:15">
      <c r="E529" s="33"/>
      <c r="F529" s="33"/>
      <c r="G529" s="33"/>
      <c r="H529" s="33"/>
      <c r="I529" s="33"/>
      <c r="J529" s="33"/>
      <c r="K529" s="33"/>
      <c r="L529" s="33"/>
      <c r="M529" s="33"/>
      <c r="N529" s="33"/>
      <c r="O529" s="34"/>
    </row>
    <row r="530" spans="5:15">
      <c r="E530" s="33"/>
      <c r="F530" s="33"/>
      <c r="G530" s="33"/>
      <c r="H530" s="33"/>
      <c r="I530" s="33"/>
      <c r="J530" s="33"/>
      <c r="K530" s="33"/>
      <c r="L530" s="33"/>
      <c r="M530" s="33"/>
      <c r="N530" s="33"/>
      <c r="O530" s="34"/>
    </row>
    <row r="531" spans="5:15">
      <c r="E531" s="33"/>
      <c r="F531" s="33"/>
      <c r="G531" s="33"/>
      <c r="H531" s="33"/>
      <c r="I531" s="33"/>
      <c r="J531" s="33"/>
      <c r="K531" s="33"/>
      <c r="L531" s="33"/>
      <c r="M531" s="33"/>
      <c r="N531" s="33"/>
      <c r="O531" s="34"/>
    </row>
    <row r="532" spans="5:15">
      <c r="E532" s="33"/>
      <c r="F532" s="33"/>
      <c r="G532" s="33"/>
      <c r="H532" s="33"/>
      <c r="I532" s="33"/>
      <c r="J532" s="33"/>
      <c r="K532" s="33"/>
      <c r="L532" s="33"/>
      <c r="M532" s="33"/>
      <c r="N532" s="33"/>
      <c r="O532" s="34"/>
    </row>
    <row r="533" spans="5:15">
      <c r="E533" s="33"/>
      <c r="F533" s="33"/>
      <c r="G533" s="33"/>
      <c r="H533" s="33"/>
      <c r="I533" s="33"/>
      <c r="J533" s="33"/>
      <c r="K533" s="33"/>
      <c r="L533" s="33"/>
      <c r="M533" s="33"/>
      <c r="N533" s="33"/>
      <c r="O533" s="34"/>
    </row>
    <row r="534" spans="5:15">
      <c r="E534" s="33"/>
      <c r="F534" s="33"/>
      <c r="G534" s="33"/>
      <c r="H534" s="33"/>
      <c r="I534" s="33"/>
      <c r="J534" s="33"/>
      <c r="K534" s="33"/>
      <c r="L534" s="33"/>
      <c r="M534" s="33"/>
      <c r="N534" s="33"/>
      <c r="O534" s="34"/>
    </row>
    <row r="535" spans="5:15">
      <c r="E535" s="33"/>
      <c r="F535" s="33"/>
      <c r="G535" s="33"/>
      <c r="H535" s="33"/>
      <c r="I535" s="33"/>
      <c r="J535" s="33"/>
      <c r="K535" s="33"/>
      <c r="L535" s="33"/>
      <c r="M535" s="33"/>
      <c r="N535" s="33"/>
      <c r="O535" s="34"/>
    </row>
    <row r="536" spans="5:15">
      <c r="E536" s="33"/>
      <c r="F536" s="33"/>
      <c r="G536" s="33"/>
      <c r="H536" s="33"/>
      <c r="I536" s="33"/>
      <c r="J536" s="33"/>
      <c r="K536" s="33"/>
      <c r="L536" s="33"/>
      <c r="M536" s="33"/>
      <c r="N536" s="33"/>
      <c r="O536" s="34"/>
    </row>
    <row r="537" spans="5:15">
      <c r="E537" s="33"/>
      <c r="F537" s="33"/>
      <c r="G537" s="33"/>
      <c r="H537" s="33"/>
      <c r="I537" s="33"/>
      <c r="J537" s="33"/>
      <c r="K537" s="33"/>
      <c r="L537" s="33"/>
      <c r="M537" s="33"/>
      <c r="N537" s="33"/>
      <c r="O537" s="34"/>
    </row>
    <row r="538" spans="5:15">
      <c r="E538" s="33"/>
      <c r="F538" s="33"/>
      <c r="G538" s="33"/>
      <c r="H538" s="33"/>
      <c r="I538" s="33"/>
      <c r="J538" s="33"/>
      <c r="K538" s="33"/>
      <c r="L538" s="33"/>
      <c r="M538" s="33"/>
      <c r="N538" s="33"/>
      <c r="O538" s="34"/>
    </row>
    <row r="539" spans="5:15">
      <c r="E539" s="33"/>
      <c r="F539" s="33"/>
      <c r="G539" s="33"/>
      <c r="H539" s="33"/>
      <c r="I539" s="33"/>
      <c r="J539" s="33"/>
      <c r="K539" s="33"/>
      <c r="L539" s="33"/>
      <c r="M539" s="33"/>
      <c r="N539" s="33"/>
      <c r="O539" s="34"/>
    </row>
    <row r="540" spans="5:15">
      <c r="E540" s="33"/>
      <c r="F540" s="33"/>
      <c r="G540" s="33"/>
      <c r="H540" s="33"/>
      <c r="I540" s="33"/>
      <c r="J540" s="33"/>
      <c r="K540" s="33"/>
      <c r="L540" s="33"/>
      <c r="M540" s="33"/>
      <c r="N540" s="33"/>
      <c r="O540" s="34"/>
    </row>
    <row r="541" spans="5:15">
      <c r="E541" s="33"/>
      <c r="F541" s="33"/>
      <c r="G541" s="33"/>
      <c r="H541" s="33"/>
      <c r="I541" s="33"/>
      <c r="J541" s="33"/>
      <c r="K541" s="33"/>
      <c r="L541" s="33"/>
      <c r="M541" s="33"/>
      <c r="N541" s="33"/>
      <c r="O541" s="34"/>
    </row>
    <row r="542" spans="5:15">
      <c r="E542" s="33"/>
      <c r="F542" s="33"/>
      <c r="G542" s="33"/>
      <c r="H542" s="33"/>
      <c r="I542" s="33"/>
      <c r="J542" s="33"/>
      <c r="K542" s="33"/>
      <c r="L542" s="33"/>
      <c r="M542" s="33"/>
      <c r="N542" s="33"/>
      <c r="O542" s="34"/>
    </row>
    <row r="543" spans="5:15">
      <c r="E543" s="33"/>
      <c r="F543" s="33"/>
      <c r="G543" s="33"/>
      <c r="H543" s="33"/>
      <c r="I543" s="33"/>
      <c r="J543" s="33"/>
      <c r="K543" s="33"/>
      <c r="L543" s="33"/>
      <c r="M543" s="33"/>
      <c r="N543" s="33"/>
      <c r="O543" s="34"/>
    </row>
    <row r="544" spans="5:15">
      <c r="E544" s="33"/>
      <c r="F544" s="33"/>
      <c r="G544" s="33"/>
      <c r="H544" s="33"/>
      <c r="I544" s="33"/>
      <c r="J544" s="33"/>
      <c r="K544" s="33"/>
      <c r="L544" s="33"/>
      <c r="M544" s="33"/>
      <c r="N544" s="33"/>
      <c r="O544" s="34"/>
    </row>
    <row r="545" spans="5:15">
      <c r="E545" s="33"/>
      <c r="F545" s="33"/>
      <c r="G545" s="33"/>
      <c r="H545" s="33"/>
      <c r="I545" s="33"/>
      <c r="J545" s="33"/>
      <c r="K545" s="33"/>
      <c r="L545" s="33"/>
      <c r="M545" s="33"/>
      <c r="N545" s="33"/>
      <c r="O545" s="34"/>
    </row>
    <row r="546" spans="5:15">
      <c r="E546" s="33"/>
      <c r="F546" s="33"/>
      <c r="G546" s="33"/>
      <c r="H546" s="33"/>
      <c r="I546" s="33"/>
      <c r="J546" s="33"/>
      <c r="K546" s="33"/>
      <c r="L546" s="33"/>
      <c r="M546" s="33"/>
      <c r="N546" s="33"/>
      <c r="O546" s="34"/>
    </row>
    <row r="547" spans="5:15">
      <c r="E547" s="33"/>
      <c r="F547" s="33"/>
      <c r="G547" s="33"/>
      <c r="H547" s="33"/>
      <c r="I547" s="33"/>
      <c r="J547" s="33"/>
      <c r="K547" s="33"/>
      <c r="L547" s="33"/>
      <c r="M547" s="33"/>
      <c r="N547" s="33"/>
      <c r="O547" s="34"/>
    </row>
    <row r="548" spans="5:15">
      <c r="E548" s="33"/>
      <c r="F548" s="33"/>
      <c r="G548" s="33"/>
      <c r="H548" s="33"/>
      <c r="I548" s="33"/>
      <c r="J548" s="33"/>
      <c r="K548" s="33"/>
      <c r="L548" s="33"/>
      <c r="M548" s="33"/>
      <c r="N548" s="33"/>
      <c r="O548" s="34"/>
    </row>
    <row r="549" spans="5:15">
      <c r="E549" s="33"/>
      <c r="F549" s="33"/>
      <c r="G549" s="33"/>
      <c r="H549" s="33"/>
      <c r="I549" s="33"/>
      <c r="J549" s="33"/>
      <c r="K549" s="33"/>
      <c r="L549" s="33"/>
      <c r="M549" s="33"/>
      <c r="N549" s="33"/>
      <c r="O549" s="34"/>
    </row>
    <row r="550" spans="5:15">
      <c r="E550" s="33"/>
      <c r="F550" s="33"/>
      <c r="G550" s="33"/>
      <c r="H550" s="33"/>
      <c r="I550" s="33"/>
      <c r="J550" s="33"/>
      <c r="K550" s="33"/>
      <c r="L550" s="33"/>
      <c r="M550" s="33"/>
      <c r="N550" s="33"/>
      <c r="O550" s="34"/>
    </row>
    <row r="551" spans="5:15">
      <c r="E551" s="33"/>
      <c r="F551" s="33"/>
      <c r="G551" s="33"/>
      <c r="H551" s="33"/>
      <c r="I551" s="33"/>
      <c r="J551" s="33"/>
      <c r="K551" s="33"/>
      <c r="L551" s="33"/>
      <c r="M551" s="33"/>
      <c r="N551" s="33"/>
      <c r="O551" s="34"/>
    </row>
    <row r="552" spans="5:15">
      <c r="E552" s="33"/>
      <c r="F552" s="33"/>
      <c r="G552" s="33"/>
      <c r="H552" s="33"/>
      <c r="I552" s="33"/>
      <c r="J552" s="33"/>
      <c r="K552" s="33"/>
      <c r="L552" s="33"/>
      <c r="M552" s="33"/>
      <c r="N552" s="33"/>
      <c r="O552" s="34"/>
    </row>
    <row r="553" spans="5:15">
      <c r="E553" s="33"/>
      <c r="F553" s="33"/>
      <c r="G553" s="33"/>
      <c r="H553" s="33"/>
      <c r="I553" s="33"/>
      <c r="J553" s="33"/>
      <c r="K553" s="33"/>
      <c r="L553" s="33"/>
      <c r="M553" s="33"/>
      <c r="N553" s="33"/>
      <c r="O553" s="34"/>
    </row>
    <row r="554" spans="5:15">
      <c r="E554" s="33"/>
      <c r="F554" s="33"/>
      <c r="G554" s="33"/>
      <c r="H554" s="33"/>
      <c r="I554" s="33"/>
      <c r="J554" s="33"/>
      <c r="K554" s="33"/>
      <c r="L554" s="33"/>
      <c r="M554" s="33"/>
      <c r="N554" s="33"/>
      <c r="O554" s="34"/>
    </row>
    <row r="555" spans="5:15">
      <c r="E555" s="33"/>
      <c r="F555" s="33"/>
      <c r="G555" s="33"/>
      <c r="H555" s="33"/>
      <c r="I555" s="33"/>
      <c r="J555" s="33"/>
      <c r="K555" s="33"/>
      <c r="L555" s="33"/>
      <c r="M555" s="33"/>
      <c r="N555" s="33"/>
      <c r="O555" s="34"/>
    </row>
    <row r="556" spans="5:15">
      <c r="E556" s="33"/>
      <c r="F556" s="33"/>
      <c r="G556" s="33"/>
      <c r="H556" s="33"/>
      <c r="I556" s="33"/>
      <c r="J556" s="33"/>
      <c r="K556" s="33"/>
      <c r="L556" s="33"/>
      <c r="M556" s="33"/>
      <c r="N556" s="33"/>
      <c r="O556" s="34"/>
    </row>
    <row r="557" spans="5:15">
      <c r="E557" s="33"/>
      <c r="F557" s="33"/>
      <c r="G557" s="33"/>
      <c r="H557" s="33"/>
      <c r="I557" s="33"/>
      <c r="J557" s="33"/>
      <c r="K557" s="33"/>
      <c r="L557" s="33"/>
      <c r="M557" s="33"/>
      <c r="N557" s="33"/>
      <c r="O557" s="34"/>
    </row>
    <row r="558" spans="5:15">
      <c r="E558" s="33"/>
      <c r="F558" s="33"/>
      <c r="G558" s="33"/>
      <c r="H558" s="33"/>
      <c r="I558" s="33"/>
      <c r="J558" s="33"/>
      <c r="K558" s="33"/>
      <c r="L558" s="33"/>
      <c r="M558" s="33"/>
      <c r="N558" s="33"/>
      <c r="O558" s="34"/>
    </row>
    <row r="559" spans="5:15">
      <c r="E559" s="33"/>
      <c r="F559" s="33"/>
      <c r="G559" s="33"/>
      <c r="H559" s="33"/>
      <c r="I559" s="33"/>
      <c r="J559" s="33"/>
      <c r="K559" s="33"/>
      <c r="L559" s="33"/>
      <c r="M559" s="33"/>
      <c r="N559" s="33"/>
      <c r="O559" s="34"/>
    </row>
    <row r="560" spans="5:15">
      <c r="E560" s="33"/>
      <c r="F560" s="33"/>
      <c r="G560" s="33"/>
      <c r="H560" s="33"/>
      <c r="I560" s="33"/>
      <c r="J560" s="33"/>
      <c r="K560" s="33"/>
      <c r="L560" s="33"/>
      <c r="M560" s="33"/>
      <c r="N560" s="33"/>
      <c r="O560" s="34"/>
    </row>
    <row r="561" spans="5:15">
      <c r="E561" s="33"/>
      <c r="F561" s="33"/>
      <c r="G561" s="33"/>
      <c r="H561" s="33"/>
      <c r="I561" s="33"/>
      <c r="J561" s="33"/>
      <c r="K561" s="33"/>
      <c r="L561" s="33"/>
      <c r="M561" s="33"/>
      <c r="N561" s="33"/>
      <c r="O561" s="34"/>
    </row>
    <row r="562" spans="5:15">
      <c r="E562" s="33"/>
      <c r="F562" s="33"/>
      <c r="G562" s="33"/>
      <c r="H562" s="33"/>
      <c r="I562" s="33"/>
      <c r="J562" s="33"/>
      <c r="K562" s="33"/>
      <c r="L562" s="33"/>
      <c r="M562" s="33"/>
      <c r="N562" s="33"/>
      <c r="O562" s="34"/>
    </row>
    <row r="563" spans="5:15">
      <c r="E563" s="33"/>
      <c r="F563" s="33"/>
      <c r="G563" s="33"/>
      <c r="H563" s="33"/>
      <c r="I563" s="33"/>
      <c r="J563" s="33"/>
      <c r="K563" s="33"/>
      <c r="L563" s="33"/>
      <c r="M563" s="33"/>
      <c r="N563" s="33"/>
      <c r="O563" s="34"/>
    </row>
    <row r="564" spans="5:15">
      <c r="E564" s="33"/>
      <c r="F564" s="33"/>
      <c r="G564" s="33"/>
      <c r="H564" s="33"/>
      <c r="I564" s="33"/>
      <c r="J564" s="33"/>
      <c r="K564" s="33"/>
      <c r="L564" s="33"/>
      <c r="M564" s="33"/>
      <c r="N564" s="33"/>
      <c r="O564" s="34"/>
    </row>
    <row r="565" spans="5:15">
      <c r="E565" s="33"/>
      <c r="F565" s="33"/>
      <c r="G565" s="33"/>
      <c r="H565" s="33"/>
      <c r="I565" s="33"/>
      <c r="J565" s="33"/>
      <c r="K565" s="33"/>
      <c r="L565" s="33"/>
      <c r="M565" s="33"/>
      <c r="N565" s="33"/>
      <c r="O565" s="34"/>
    </row>
    <row r="566" spans="5:15">
      <c r="E566" s="33"/>
      <c r="F566" s="33"/>
      <c r="G566" s="33"/>
      <c r="H566" s="33"/>
      <c r="I566" s="33"/>
      <c r="J566" s="33"/>
      <c r="K566" s="33"/>
      <c r="L566" s="33"/>
      <c r="M566" s="33"/>
      <c r="N566" s="33"/>
      <c r="O566" s="34"/>
    </row>
    <row r="567" spans="5:15">
      <c r="E567" s="33"/>
      <c r="F567" s="33"/>
      <c r="G567" s="33"/>
      <c r="H567" s="33"/>
      <c r="I567" s="33"/>
      <c r="J567" s="33"/>
      <c r="K567" s="33"/>
      <c r="L567" s="33"/>
      <c r="M567" s="33"/>
      <c r="N567" s="33"/>
      <c r="O567" s="34"/>
    </row>
    <row r="568" spans="5:15">
      <c r="E568" s="33"/>
      <c r="F568" s="33"/>
      <c r="G568" s="33"/>
      <c r="H568" s="33"/>
      <c r="I568" s="33"/>
      <c r="J568" s="33"/>
      <c r="K568" s="33"/>
      <c r="L568" s="33"/>
      <c r="M568" s="33"/>
      <c r="N568" s="33"/>
      <c r="O568" s="34"/>
    </row>
    <row r="569" spans="5:15">
      <c r="E569" s="33"/>
      <c r="F569" s="33"/>
      <c r="G569" s="33"/>
      <c r="H569" s="33"/>
      <c r="I569" s="33"/>
      <c r="J569" s="33"/>
      <c r="K569" s="33"/>
      <c r="L569" s="33"/>
      <c r="M569" s="33"/>
      <c r="N569" s="33"/>
      <c r="O569" s="34"/>
    </row>
    <row r="570" spans="5:15">
      <c r="E570" s="33"/>
      <c r="F570" s="33"/>
      <c r="G570" s="33"/>
      <c r="H570" s="33"/>
      <c r="I570" s="33"/>
      <c r="J570" s="33"/>
      <c r="K570" s="33"/>
      <c r="L570" s="33"/>
      <c r="M570" s="33"/>
      <c r="N570" s="33"/>
      <c r="O570" s="34"/>
    </row>
    <row r="571" spans="5:15">
      <c r="E571" s="33"/>
      <c r="F571" s="33"/>
      <c r="G571" s="33"/>
      <c r="H571" s="33"/>
      <c r="I571" s="33"/>
      <c r="J571" s="33"/>
      <c r="K571" s="33"/>
      <c r="L571" s="33"/>
      <c r="M571" s="33"/>
      <c r="N571" s="33"/>
      <c r="O571" s="34"/>
    </row>
    <row r="572" spans="5:15">
      <c r="E572" s="33"/>
      <c r="F572" s="33"/>
      <c r="G572" s="33"/>
      <c r="H572" s="33"/>
      <c r="I572" s="33"/>
      <c r="J572" s="33"/>
      <c r="K572" s="33"/>
      <c r="L572" s="33"/>
      <c r="M572" s="33"/>
      <c r="N572" s="33"/>
      <c r="O572" s="34"/>
    </row>
    <row r="573" spans="5:15">
      <c r="E573" s="33"/>
      <c r="F573" s="33"/>
      <c r="G573" s="33"/>
      <c r="H573" s="33"/>
      <c r="I573" s="33"/>
      <c r="J573" s="33"/>
      <c r="K573" s="33"/>
      <c r="L573" s="33"/>
      <c r="M573" s="33"/>
      <c r="N573" s="33"/>
      <c r="O573" s="34"/>
    </row>
    <row r="574" spans="5:15">
      <c r="E574" s="33"/>
      <c r="F574" s="33"/>
      <c r="G574" s="33"/>
      <c r="H574" s="33"/>
      <c r="I574" s="33"/>
      <c r="J574" s="33"/>
      <c r="K574" s="33"/>
      <c r="L574" s="33"/>
      <c r="M574" s="33"/>
      <c r="N574" s="33"/>
      <c r="O574" s="34"/>
    </row>
    <row r="575" spans="5:15">
      <c r="E575" s="33"/>
      <c r="F575" s="33"/>
      <c r="G575" s="33"/>
      <c r="H575" s="33"/>
      <c r="I575" s="33"/>
      <c r="J575" s="33"/>
      <c r="K575" s="33"/>
      <c r="L575" s="33"/>
      <c r="M575" s="33"/>
      <c r="N575" s="33"/>
      <c r="O575" s="34"/>
    </row>
    <row r="576" spans="5:15">
      <c r="E576" s="33"/>
      <c r="F576" s="33"/>
      <c r="G576" s="33"/>
      <c r="H576" s="33"/>
      <c r="I576" s="33"/>
      <c r="J576" s="33"/>
      <c r="K576" s="33"/>
      <c r="L576" s="33"/>
      <c r="M576" s="33"/>
      <c r="N576" s="33"/>
      <c r="O576" s="34"/>
    </row>
    <row r="577" spans="5:15">
      <c r="E577" s="33"/>
      <c r="F577" s="33"/>
      <c r="G577" s="33"/>
      <c r="H577" s="33"/>
      <c r="I577" s="33"/>
      <c r="J577" s="33"/>
      <c r="K577" s="33"/>
      <c r="L577" s="33"/>
      <c r="M577" s="33"/>
      <c r="N577" s="33"/>
      <c r="O577" s="34"/>
    </row>
    <row r="578" spans="5:15">
      <c r="E578" s="33"/>
      <c r="F578" s="33"/>
      <c r="G578" s="33"/>
      <c r="H578" s="33"/>
      <c r="I578" s="33"/>
      <c r="J578" s="33"/>
      <c r="K578" s="33"/>
      <c r="L578" s="33"/>
      <c r="M578" s="33"/>
      <c r="N578" s="33"/>
      <c r="O578" s="34"/>
    </row>
    <row r="579" spans="5:15">
      <c r="E579" s="33"/>
      <c r="F579" s="33"/>
      <c r="G579" s="33"/>
      <c r="H579" s="33"/>
      <c r="I579" s="33"/>
      <c r="J579" s="33"/>
      <c r="K579" s="33"/>
      <c r="L579" s="33"/>
      <c r="M579" s="33"/>
      <c r="N579" s="33"/>
      <c r="O579" s="34"/>
    </row>
    <row r="580" spans="5:15">
      <c r="E580" s="33"/>
      <c r="F580" s="33"/>
      <c r="G580" s="33"/>
      <c r="H580" s="33"/>
      <c r="I580" s="33"/>
      <c r="J580" s="33"/>
      <c r="K580" s="33"/>
      <c r="L580" s="33"/>
      <c r="M580" s="33"/>
      <c r="N580" s="33"/>
      <c r="O580" s="34"/>
    </row>
    <row r="581" spans="5:15">
      <c r="E581" s="33"/>
      <c r="F581" s="33"/>
      <c r="G581" s="33"/>
      <c r="H581" s="33"/>
      <c r="I581" s="33"/>
      <c r="J581" s="33"/>
      <c r="K581" s="33"/>
      <c r="L581" s="33"/>
      <c r="M581" s="33"/>
      <c r="N581" s="33"/>
      <c r="O581" s="34"/>
    </row>
    <row r="582" spans="5:15">
      <c r="E582" s="33"/>
      <c r="F582" s="33"/>
      <c r="G582" s="33"/>
      <c r="H582" s="33"/>
      <c r="I582" s="33"/>
      <c r="J582" s="33"/>
      <c r="K582" s="33"/>
      <c r="L582" s="33"/>
      <c r="M582" s="33"/>
      <c r="N582" s="33"/>
      <c r="O582" s="34"/>
    </row>
    <row r="583" spans="5:15">
      <c r="E583" s="33"/>
      <c r="F583" s="33"/>
      <c r="G583" s="33"/>
      <c r="H583" s="33"/>
      <c r="I583" s="33"/>
      <c r="J583" s="33"/>
      <c r="K583" s="33"/>
      <c r="L583" s="33"/>
      <c r="M583" s="33"/>
      <c r="N583" s="33"/>
      <c r="O583" s="34"/>
    </row>
    <row r="584" spans="5:15">
      <c r="E584" s="33"/>
      <c r="F584" s="33"/>
      <c r="G584" s="33"/>
      <c r="H584" s="33"/>
      <c r="I584" s="33"/>
      <c r="J584" s="33"/>
      <c r="K584" s="33"/>
      <c r="L584" s="33"/>
      <c r="M584" s="33"/>
      <c r="N584" s="33"/>
      <c r="O584" s="34"/>
    </row>
    <row r="585" spans="5:15">
      <c r="E585" s="33"/>
      <c r="F585" s="33"/>
      <c r="G585" s="33"/>
      <c r="H585" s="33"/>
      <c r="I585" s="33"/>
      <c r="J585" s="33"/>
      <c r="K585" s="33"/>
      <c r="L585" s="33"/>
      <c r="M585" s="33"/>
      <c r="N585" s="33"/>
      <c r="O585" s="34"/>
    </row>
    <row r="586" spans="5:15">
      <c r="E586" s="33"/>
      <c r="F586" s="33"/>
      <c r="G586" s="33"/>
      <c r="H586" s="33"/>
      <c r="I586" s="33"/>
      <c r="J586" s="33"/>
      <c r="K586" s="33"/>
      <c r="L586" s="33"/>
      <c r="M586" s="33"/>
      <c r="N586" s="33"/>
      <c r="O586" s="34"/>
    </row>
    <row r="587" spans="5:15">
      <c r="E587" s="33"/>
      <c r="F587" s="33"/>
      <c r="G587" s="33"/>
      <c r="H587" s="33"/>
      <c r="I587" s="33"/>
      <c r="J587" s="33"/>
      <c r="K587" s="33"/>
      <c r="L587" s="33"/>
      <c r="M587" s="33"/>
      <c r="N587" s="33"/>
      <c r="O587" s="34"/>
    </row>
    <row r="588" spans="5:15">
      <c r="E588" s="33"/>
      <c r="F588" s="33"/>
      <c r="G588" s="33"/>
      <c r="H588" s="33"/>
      <c r="I588" s="33"/>
      <c r="J588" s="33"/>
      <c r="K588" s="33"/>
      <c r="L588" s="33"/>
      <c r="M588" s="33"/>
      <c r="N588" s="33"/>
      <c r="O588" s="34"/>
    </row>
    <row r="589" spans="5:15">
      <c r="E589" s="33"/>
      <c r="F589" s="33"/>
      <c r="G589" s="33"/>
      <c r="H589" s="33"/>
      <c r="I589" s="33"/>
      <c r="J589" s="33"/>
      <c r="K589" s="33"/>
      <c r="L589" s="33"/>
      <c r="M589" s="33"/>
      <c r="N589" s="33"/>
      <c r="O589" s="34"/>
    </row>
    <row r="590" spans="5:15">
      <c r="E590" s="33"/>
      <c r="F590" s="33"/>
      <c r="G590" s="33"/>
      <c r="H590" s="33"/>
      <c r="I590" s="33"/>
      <c r="J590" s="33"/>
      <c r="K590" s="33"/>
      <c r="L590" s="33"/>
      <c r="M590" s="33"/>
      <c r="N590" s="33"/>
      <c r="O590" s="34"/>
    </row>
    <row r="591" spans="5:15">
      <c r="E591" s="33"/>
      <c r="F591" s="33"/>
      <c r="G591" s="33"/>
      <c r="H591" s="33"/>
      <c r="I591" s="33"/>
      <c r="J591" s="33"/>
      <c r="K591" s="33"/>
      <c r="L591" s="33"/>
      <c r="M591" s="33"/>
      <c r="N591" s="33"/>
      <c r="O591" s="34"/>
    </row>
    <row r="592" spans="5:15">
      <c r="E592" s="33"/>
      <c r="F592" s="33"/>
      <c r="G592" s="33"/>
      <c r="H592" s="33"/>
      <c r="I592" s="33"/>
      <c r="J592" s="33"/>
      <c r="K592" s="33"/>
      <c r="L592" s="33"/>
      <c r="M592" s="33"/>
      <c r="N592" s="33"/>
      <c r="O592" s="34"/>
    </row>
    <row r="593" spans="5:15">
      <c r="E593" s="33"/>
      <c r="F593" s="33"/>
      <c r="G593" s="33"/>
      <c r="H593" s="33"/>
      <c r="I593" s="33"/>
      <c r="J593" s="33"/>
      <c r="K593" s="33"/>
      <c r="L593" s="33"/>
      <c r="M593" s="33"/>
      <c r="N593" s="33"/>
      <c r="O593" s="34"/>
    </row>
    <row r="594" spans="5:15">
      <c r="E594" s="33"/>
      <c r="F594" s="33"/>
      <c r="G594" s="33"/>
      <c r="H594" s="33"/>
      <c r="I594" s="33"/>
      <c r="J594" s="33"/>
      <c r="K594" s="33"/>
      <c r="L594" s="33"/>
      <c r="M594" s="33"/>
      <c r="N594" s="33"/>
      <c r="O594" s="34"/>
    </row>
    <row r="595" spans="5:15">
      <c r="E595" s="33"/>
      <c r="F595" s="33"/>
      <c r="G595" s="33"/>
      <c r="H595" s="33"/>
      <c r="I595" s="33"/>
      <c r="J595" s="33"/>
      <c r="K595" s="33"/>
      <c r="L595" s="33"/>
      <c r="M595" s="33"/>
      <c r="N595" s="33"/>
      <c r="O595" s="34"/>
    </row>
    <row r="596" spans="5:15">
      <c r="E596" s="33"/>
      <c r="F596" s="33"/>
      <c r="G596" s="33"/>
      <c r="H596" s="33"/>
      <c r="I596" s="33"/>
      <c r="J596" s="33"/>
      <c r="K596" s="33"/>
      <c r="L596" s="33"/>
      <c r="M596" s="33"/>
      <c r="N596" s="33"/>
      <c r="O596" s="34"/>
    </row>
    <row r="597" spans="5:15">
      <c r="E597" s="33"/>
      <c r="F597" s="33"/>
      <c r="G597" s="33"/>
      <c r="H597" s="33"/>
      <c r="I597" s="33"/>
      <c r="J597" s="33"/>
      <c r="K597" s="33"/>
      <c r="L597" s="33"/>
      <c r="M597" s="33"/>
      <c r="N597" s="33"/>
      <c r="O597" s="34"/>
    </row>
    <row r="598" spans="5:15">
      <c r="E598" s="33"/>
      <c r="F598" s="33"/>
      <c r="G598" s="33"/>
      <c r="H598" s="33"/>
      <c r="I598" s="33"/>
      <c r="J598" s="33"/>
      <c r="K598" s="33"/>
      <c r="L598" s="33"/>
      <c r="M598" s="33"/>
      <c r="N598" s="33"/>
      <c r="O598" s="34"/>
    </row>
    <row r="599" spans="5:15">
      <c r="E599" s="33"/>
      <c r="F599" s="33"/>
      <c r="G599" s="33"/>
      <c r="H599" s="33"/>
      <c r="I599" s="33"/>
      <c r="J599" s="33"/>
      <c r="K599" s="33"/>
      <c r="L599" s="33"/>
      <c r="M599" s="33"/>
      <c r="N599" s="33"/>
      <c r="O599" s="34"/>
    </row>
    <row r="600" spans="5:15">
      <c r="E600" s="33"/>
      <c r="F600" s="33"/>
      <c r="G600" s="33"/>
      <c r="H600" s="33"/>
      <c r="I600" s="33"/>
      <c r="J600" s="33"/>
      <c r="K600" s="33"/>
      <c r="L600" s="33"/>
      <c r="M600" s="33"/>
      <c r="N600" s="33"/>
      <c r="O600" s="34"/>
    </row>
    <row r="601" spans="5:15">
      <c r="E601" s="33"/>
      <c r="F601" s="33"/>
      <c r="G601" s="33"/>
      <c r="H601" s="33"/>
      <c r="I601" s="33"/>
      <c r="J601" s="33"/>
      <c r="K601" s="33"/>
      <c r="L601" s="33"/>
      <c r="M601" s="33"/>
      <c r="N601" s="33"/>
      <c r="O601" s="34"/>
    </row>
    <row r="602" spans="5:15">
      <c r="E602" s="33"/>
      <c r="F602" s="33"/>
      <c r="G602" s="33"/>
      <c r="H602" s="33"/>
      <c r="I602" s="33"/>
      <c r="J602" s="33"/>
      <c r="K602" s="33"/>
      <c r="L602" s="33"/>
      <c r="M602" s="33"/>
      <c r="N602" s="33"/>
      <c r="O602" s="34"/>
    </row>
    <row r="603" spans="5:15">
      <c r="E603" s="33"/>
      <c r="F603" s="33"/>
      <c r="G603" s="33"/>
      <c r="H603" s="33"/>
      <c r="I603" s="33"/>
      <c r="J603" s="33"/>
      <c r="K603" s="33"/>
      <c r="L603" s="33"/>
      <c r="M603" s="33"/>
      <c r="N603" s="33"/>
      <c r="O603" s="34"/>
    </row>
    <row r="604" spans="5:15">
      <c r="E604" s="33"/>
      <c r="F604" s="33"/>
      <c r="G604" s="33"/>
      <c r="H604" s="33"/>
      <c r="I604" s="33"/>
      <c r="J604" s="33"/>
      <c r="K604" s="33"/>
      <c r="L604" s="33"/>
      <c r="M604" s="33"/>
      <c r="N604" s="33"/>
      <c r="O604" s="34"/>
    </row>
    <row r="605" spans="5:15">
      <c r="E605" s="33"/>
      <c r="F605" s="33"/>
      <c r="G605" s="33"/>
      <c r="H605" s="33"/>
      <c r="I605" s="33"/>
      <c r="J605" s="33"/>
      <c r="K605" s="33"/>
      <c r="L605" s="33"/>
      <c r="M605" s="33"/>
      <c r="N605" s="33"/>
      <c r="O605" s="34"/>
    </row>
    <row r="606" spans="5:15">
      <c r="E606" s="33"/>
      <c r="F606" s="33"/>
      <c r="G606" s="33"/>
      <c r="H606" s="33"/>
      <c r="I606" s="33"/>
      <c r="J606" s="33"/>
      <c r="K606" s="33"/>
      <c r="L606" s="33"/>
      <c r="M606" s="33"/>
      <c r="N606" s="33"/>
      <c r="O606" s="34"/>
    </row>
    <row r="607" spans="5:15">
      <c r="E607" s="33"/>
      <c r="F607" s="33"/>
      <c r="G607" s="33"/>
      <c r="H607" s="33"/>
      <c r="I607" s="33"/>
      <c r="J607" s="33"/>
      <c r="K607" s="33"/>
      <c r="L607" s="33"/>
      <c r="M607" s="33"/>
      <c r="N607" s="33"/>
      <c r="O607" s="34"/>
    </row>
    <row r="608" spans="5:15">
      <c r="E608" s="33"/>
      <c r="F608" s="33"/>
      <c r="G608" s="33"/>
      <c r="H608" s="33"/>
      <c r="I608" s="33"/>
      <c r="J608" s="33"/>
      <c r="K608" s="33"/>
      <c r="L608" s="33"/>
      <c r="M608" s="33"/>
      <c r="N608" s="33"/>
      <c r="O608" s="34"/>
    </row>
    <row r="609" spans="5:15">
      <c r="E609" s="33"/>
      <c r="F609" s="33"/>
      <c r="G609" s="33"/>
      <c r="H609" s="33"/>
      <c r="I609" s="33"/>
      <c r="J609" s="33"/>
      <c r="K609" s="33"/>
      <c r="L609" s="33"/>
      <c r="M609" s="33"/>
      <c r="N609" s="33"/>
      <c r="O609" s="34"/>
    </row>
    <row r="610" spans="5:15">
      <c r="E610" s="33"/>
      <c r="F610" s="33"/>
      <c r="G610" s="33"/>
      <c r="H610" s="33"/>
      <c r="I610" s="33"/>
      <c r="J610" s="33"/>
      <c r="K610" s="33"/>
      <c r="L610" s="33"/>
      <c r="M610" s="33"/>
      <c r="N610" s="33"/>
      <c r="O610" s="34"/>
    </row>
    <row r="611" spans="5:15">
      <c r="E611" s="33"/>
      <c r="F611" s="33"/>
      <c r="G611" s="33"/>
      <c r="H611" s="33"/>
      <c r="I611" s="33"/>
      <c r="J611" s="33"/>
      <c r="K611" s="33"/>
      <c r="L611" s="33"/>
      <c r="M611" s="33"/>
      <c r="N611" s="33"/>
      <c r="O611" s="34"/>
    </row>
    <row r="612" spans="5:15">
      <c r="E612" s="33"/>
      <c r="F612" s="33"/>
      <c r="G612" s="33"/>
      <c r="H612" s="33"/>
      <c r="I612" s="33"/>
      <c r="J612" s="33"/>
      <c r="K612" s="33"/>
      <c r="L612" s="33"/>
      <c r="M612" s="33"/>
      <c r="N612" s="33"/>
      <c r="O612" s="34"/>
    </row>
    <row r="613" spans="5:15">
      <c r="E613" s="33"/>
      <c r="F613" s="33"/>
      <c r="G613" s="33"/>
      <c r="H613" s="33"/>
      <c r="I613" s="33"/>
      <c r="J613" s="33"/>
      <c r="K613" s="33"/>
      <c r="L613" s="33"/>
      <c r="M613" s="33"/>
      <c r="N613" s="33"/>
      <c r="O613" s="34"/>
    </row>
    <row r="614" spans="5:15">
      <c r="E614" s="33"/>
      <c r="F614" s="33"/>
      <c r="G614" s="33"/>
      <c r="H614" s="33"/>
      <c r="I614" s="33"/>
      <c r="J614" s="33"/>
      <c r="K614" s="33"/>
      <c r="L614" s="33"/>
      <c r="M614" s="33"/>
      <c r="N614" s="33"/>
      <c r="O614" s="34"/>
    </row>
    <row r="615" spans="5:15">
      <c r="E615" s="33"/>
      <c r="F615" s="33"/>
      <c r="G615" s="33"/>
      <c r="H615" s="33"/>
      <c r="I615" s="33"/>
      <c r="J615" s="33"/>
      <c r="K615" s="33"/>
      <c r="L615" s="33"/>
      <c r="M615" s="33"/>
      <c r="N615" s="33"/>
      <c r="O615" s="34"/>
    </row>
    <row r="616" spans="5:15">
      <c r="E616" s="33"/>
      <c r="F616" s="33"/>
      <c r="G616" s="33"/>
      <c r="H616" s="33"/>
      <c r="I616" s="33"/>
      <c r="J616" s="33"/>
      <c r="K616" s="33"/>
      <c r="L616" s="33"/>
      <c r="M616" s="33"/>
      <c r="N616" s="33"/>
      <c r="O616" s="34"/>
    </row>
    <row r="617" spans="5:15">
      <c r="E617" s="33"/>
      <c r="F617" s="33"/>
      <c r="G617" s="33"/>
      <c r="H617" s="33"/>
      <c r="I617" s="33"/>
      <c r="J617" s="33"/>
      <c r="K617" s="33"/>
      <c r="L617" s="33"/>
      <c r="M617" s="33"/>
      <c r="N617" s="33"/>
      <c r="O617" s="34"/>
    </row>
    <row r="618" spans="5:15">
      <c r="E618" s="33"/>
      <c r="F618" s="33"/>
      <c r="G618" s="33"/>
      <c r="H618" s="33"/>
      <c r="I618" s="33"/>
      <c r="J618" s="33"/>
      <c r="K618" s="33"/>
      <c r="L618" s="33"/>
      <c r="M618" s="33"/>
      <c r="N618" s="33"/>
      <c r="O618" s="34"/>
    </row>
    <row r="619" spans="5:15">
      <c r="E619" s="33"/>
      <c r="F619" s="33"/>
      <c r="G619" s="33"/>
      <c r="H619" s="33"/>
      <c r="I619" s="33"/>
      <c r="J619" s="33"/>
      <c r="K619" s="33"/>
      <c r="L619" s="33"/>
      <c r="M619" s="33"/>
      <c r="N619" s="33"/>
      <c r="O619" s="34"/>
    </row>
    <row r="620" spans="5:15">
      <c r="E620" s="33"/>
      <c r="F620" s="33"/>
      <c r="G620" s="33"/>
      <c r="H620" s="33"/>
      <c r="I620" s="33"/>
      <c r="J620" s="33"/>
      <c r="K620" s="33"/>
      <c r="L620" s="33"/>
      <c r="M620" s="33"/>
      <c r="N620" s="33"/>
      <c r="O620" s="34"/>
    </row>
    <row r="621" spans="5:15">
      <c r="E621" s="33"/>
      <c r="F621" s="33"/>
      <c r="G621" s="33"/>
      <c r="H621" s="33"/>
      <c r="I621" s="33"/>
      <c r="J621" s="33"/>
      <c r="K621" s="33"/>
      <c r="L621" s="33"/>
      <c r="M621" s="33"/>
      <c r="N621" s="33"/>
      <c r="O621" s="34"/>
    </row>
    <row r="622" spans="5:15">
      <c r="E622" s="33"/>
      <c r="F622" s="33"/>
      <c r="G622" s="33"/>
      <c r="H622" s="33"/>
      <c r="I622" s="33"/>
      <c r="J622" s="33"/>
      <c r="K622" s="33"/>
      <c r="L622" s="33"/>
      <c r="M622" s="33"/>
      <c r="N622" s="33"/>
      <c r="O622" s="34"/>
    </row>
    <row r="623" spans="5:15">
      <c r="E623" s="33"/>
      <c r="F623" s="33"/>
      <c r="G623" s="33"/>
      <c r="H623" s="33"/>
      <c r="I623" s="33"/>
      <c r="J623" s="33"/>
      <c r="K623" s="33"/>
      <c r="L623" s="33"/>
      <c r="M623" s="33"/>
      <c r="N623" s="33"/>
      <c r="O623" s="34"/>
    </row>
    <row r="624" spans="5:15">
      <c r="E624" s="33"/>
      <c r="F624" s="33"/>
      <c r="G624" s="33"/>
      <c r="H624" s="33"/>
      <c r="I624" s="33"/>
      <c r="J624" s="33"/>
      <c r="K624" s="33"/>
      <c r="L624" s="33"/>
      <c r="M624" s="33"/>
      <c r="N624" s="33"/>
      <c r="O624" s="34"/>
    </row>
    <row r="625" spans="5:15">
      <c r="E625" s="33"/>
      <c r="F625" s="33"/>
      <c r="G625" s="33"/>
      <c r="H625" s="33"/>
      <c r="I625" s="33"/>
      <c r="J625" s="33"/>
      <c r="K625" s="33"/>
      <c r="L625" s="33"/>
      <c r="M625" s="33"/>
      <c r="N625" s="33"/>
      <c r="O625" s="34"/>
    </row>
    <row r="626" spans="5:15">
      <c r="E626" s="33"/>
      <c r="F626" s="33"/>
      <c r="G626" s="33"/>
      <c r="H626" s="33"/>
      <c r="I626" s="33"/>
      <c r="J626" s="33"/>
      <c r="K626" s="33"/>
      <c r="L626" s="33"/>
      <c r="M626" s="33"/>
      <c r="N626" s="33"/>
      <c r="O626" s="34"/>
    </row>
    <row r="627" spans="5:15">
      <c r="E627" s="33"/>
      <c r="F627" s="33"/>
      <c r="G627" s="33"/>
      <c r="H627" s="33"/>
      <c r="I627" s="33"/>
      <c r="J627" s="33"/>
      <c r="K627" s="33"/>
      <c r="L627" s="33"/>
      <c r="M627" s="33"/>
      <c r="N627" s="33"/>
      <c r="O627" s="34"/>
    </row>
    <row r="628" spans="5:15">
      <c r="E628" s="33"/>
      <c r="F628" s="33"/>
      <c r="G628" s="33"/>
      <c r="H628" s="33"/>
      <c r="I628" s="33"/>
      <c r="J628" s="33"/>
      <c r="K628" s="33"/>
      <c r="L628" s="33"/>
      <c r="M628" s="33"/>
      <c r="N628" s="33"/>
      <c r="O628" s="34"/>
    </row>
    <row r="629" spans="5:15">
      <c r="E629" s="33"/>
      <c r="F629" s="33"/>
      <c r="G629" s="33"/>
      <c r="H629" s="33"/>
      <c r="I629" s="33"/>
      <c r="J629" s="33"/>
      <c r="K629" s="33"/>
      <c r="L629" s="33"/>
      <c r="M629" s="33"/>
      <c r="N629" s="33"/>
      <c r="O629" s="34"/>
    </row>
    <row r="630" spans="5:15">
      <c r="E630" s="33"/>
      <c r="F630" s="33"/>
      <c r="G630" s="33"/>
      <c r="H630" s="33"/>
      <c r="I630" s="33"/>
      <c r="J630" s="33"/>
      <c r="K630" s="33"/>
      <c r="L630" s="33"/>
      <c r="M630" s="33"/>
      <c r="N630" s="33"/>
      <c r="O630" s="34"/>
    </row>
    <row r="631" spans="5:15">
      <c r="E631" s="33"/>
      <c r="F631" s="33"/>
      <c r="G631" s="33"/>
      <c r="H631" s="33"/>
      <c r="I631" s="33"/>
      <c r="J631" s="33"/>
      <c r="K631" s="33"/>
      <c r="L631" s="33"/>
      <c r="M631" s="33"/>
      <c r="N631" s="33"/>
      <c r="O631" s="34"/>
    </row>
    <row r="632" spans="5:15">
      <c r="E632" s="33"/>
      <c r="F632" s="33"/>
      <c r="G632" s="33"/>
      <c r="H632" s="33"/>
      <c r="I632" s="33"/>
      <c r="J632" s="33"/>
      <c r="K632" s="33"/>
      <c r="L632" s="33"/>
      <c r="M632" s="33"/>
      <c r="N632" s="33"/>
      <c r="O632" s="34"/>
    </row>
    <row r="633" spans="5:15">
      <c r="E633" s="33"/>
      <c r="F633" s="33"/>
      <c r="G633" s="33"/>
      <c r="H633" s="33"/>
      <c r="I633" s="33"/>
      <c r="J633" s="33"/>
      <c r="K633" s="33"/>
      <c r="L633" s="33"/>
      <c r="M633" s="33"/>
      <c r="N633" s="33"/>
      <c r="O633" s="34"/>
    </row>
    <row r="634" spans="5:15">
      <c r="E634" s="33"/>
      <c r="F634" s="33"/>
      <c r="G634" s="33"/>
      <c r="H634" s="33"/>
      <c r="I634" s="33"/>
      <c r="J634" s="33"/>
      <c r="K634" s="33"/>
      <c r="L634" s="33"/>
      <c r="M634" s="33"/>
      <c r="N634" s="33"/>
      <c r="O634" s="34"/>
    </row>
    <row r="635" spans="5:15">
      <c r="E635" s="33"/>
      <c r="F635" s="33"/>
      <c r="G635" s="33"/>
      <c r="H635" s="33"/>
      <c r="I635" s="33"/>
      <c r="J635" s="33"/>
      <c r="K635" s="33"/>
      <c r="L635" s="33"/>
      <c r="M635" s="33"/>
      <c r="N635" s="33"/>
      <c r="O635" s="34"/>
    </row>
    <row r="636" spans="5:15">
      <c r="E636" s="33"/>
      <c r="F636" s="33"/>
      <c r="G636" s="33"/>
      <c r="H636" s="33"/>
      <c r="I636" s="33"/>
      <c r="J636" s="33"/>
      <c r="K636" s="33"/>
      <c r="L636" s="33"/>
      <c r="M636" s="33"/>
      <c r="N636" s="33"/>
      <c r="O636" s="34"/>
    </row>
    <row r="637" spans="5:15">
      <c r="E637" s="33"/>
      <c r="F637" s="33"/>
      <c r="G637" s="33"/>
      <c r="H637" s="33"/>
      <c r="I637" s="33"/>
      <c r="J637" s="33"/>
      <c r="K637" s="33"/>
      <c r="L637" s="33"/>
      <c r="M637" s="33"/>
      <c r="N637" s="33"/>
      <c r="O637" s="34"/>
    </row>
    <row r="638" spans="5:15">
      <c r="E638" s="33"/>
      <c r="F638" s="33"/>
      <c r="G638" s="33"/>
      <c r="H638" s="33"/>
      <c r="I638" s="33"/>
      <c r="J638" s="33"/>
      <c r="K638" s="33"/>
      <c r="L638" s="33"/>
      <c r="M638" s="33"/>
      <c r="N638" s="33"/>
      <c r="O638" s="34"/>
    </row>
    <row r="639" spans="5:15">
      <c r="E639" s="33"/>
      <c r="F639" s="33"/>
      <c r="G639" s="33"/>
      <c r="H639" s="33"/>
      <c r="I639" s="33"/>
      <c r="J639" s="33"/>
      <c r="K639" s="33"/>
      <c r="L639" s="33"/>
      <c r="M639" s="33"/>
      <c r="N639" s="33"/>
      <c r="O639" s="34"/>
    </row>
    <row r="640" spans="5:15">
      <c r="E640" s="33"/>
      <c r="F640" s="33"/>
      <c r="G640" s="33"/>
      <c r="H640" s="33"/>
      <c r="I640" s="33"/>
      <c r="J640" s="33"/>
      <c r="K640" s="33"/>
      <c r="L640" s="33"/>
      <c r="M640" s="33"/>
      <c r="N640" s="33"/>
      <c r="O640" s="34"/>
    </row>
    <row r="641" spans="5:15">
      <c r="E641" s="33"/>
      <c r="F641" s="33"/>
      <c r="G641" s="33"/>
      <c r="H641" s="33"/>
      <c r="I641" s="33"/>
      <c r="J641" s="33"/>
      <c r="K641" s="33"/>
      <c r="L641" s="33"/>
      <c r="M641" s="33"/>
      <c r="N641" s="33"/>
      <c r="O641" s="34"/>
    </row>
    <row r="642" spans="5:15">
      <c r="E642" s="33"/>
      <c r="F642" s="33"/>
      <c r="G642" s="33"/>
      <c r="H642" s="33"/>
      <c r="I642" s="33"/>
      <c r="J642" s="33"/>
      <c r="K642" s="33"/>
      <c r="L642" s="33"/>
      <c r="M642" s="33"/>
      <c r="N642" s="33"/>
      <c r="O642" s="34"/>
    </row>
    <row r="643" spans="5:15">
      <c r="E643" s="33"/>
      <c r="F643" s="33"/>
      <c r="G643" s="33"/>
      <c r="H643" s="33"/>
      <c r="I643" s="33"/>
      <c r="J643" s="33"/>
      <c r="K643" s="33"/>
      <c r="L643" s="33"/>
      <c r="M643" s="33"/>
      <c r="N643" s="33"/>
      <c r="O643" s="34"/>
    </row>
    <row r="644" spans="5:15">
      <c r="E644" s="33"/>
      <c r="F644" s="33"/>
      <c r="G644" s="33"/>
      <c r="H644" s="33"/>
      <c r="I644" s="33"/>
      <c r="J644" s="33"/>
      <c r="K644" s="33"/>
      <c r="L644" s="33"/>
      <c r="M644" s="33"/>
      <c r="N644" s="33"/>
      <c r="O644" s="34"/>
    </row>
    <row r="645" spans="5:15">
      <c r="E645" s="33"/>
      <c r="F645" s="33"/>
      <c r="G645" s="33"/>
      <c r="H645" s="33"/>
      <c r="I645" s="33"/>
      <c r="J645" s="33"/>
      <c r="K645" s="33"/>
      <c r="L645" s="33"/>
      <c r="M645" s="33"/>
      <c r="N645" s="33"/>
      <c r="O645" s="34"/>
    </row>
    <row r="646" spans="5:15">
      <c r="E646" s="33"/>
      <c r="F646" s="33"/>
      <c r="G646" s="33"/>
      <c r="H646" s="33"/>
      <c r="I646" s="33"/>
      <c r="J646" s="33"/>
      <c r="K646" s="33"/>
      <c r="L646" s="33"/>
      <c r="M646" s="33"/>
      <c r="N646" s="33"/>
      <c r="O646" s="34"/>
    </row>
    <row r="647" spans="5:15">
      <c r="E647" s="33"/>
      <c r="F647" s="33"/>
      <c r="G647" s="33"/>
      <c r="H647" s="33"/>
      <c r="I647" s="33"/>
      <c r="J647" s="33"/>
      <c r="K647" s="33"/>
      <c r="L647" s="33"/>
      <c r="M647" s="33"/>
      <c r="N647" s="33"/>
      <c r="O647" s="34"/>
    </row>
    <row r="648" spans="5:15">
      <c r="E648" s="33"/>
      <c r="F648" s="33"/>
      <c r="G648" s="33"/>
      <c r="H648" s="33"/>
      <c r="I648" s="33"/>
      <c r="J648" s="33"/>
      <c r="K648" s="33"/>
      <c r="L648" s="33"/>
      <c r="M648" s="33"/>
      <c r="N648" s="33"/>
      <c r="O648" s="34"/>
    </row>
    <row r="649" spans="5:15">
      <c r="E649" s="33"/>
      <c r="F649" s="33"/>
      <c r="G649" s="33"/>
      <c r="H649" s="33"/>
      <c r="I649" s="33"/>
      <c r="J649" s="33"/>
      <c r="K649" s="33"/>
      <c r="L649" s="33"/>
      <c r="M649" s="33"/>
      <c r="N649" s="33"/>
      <c r="O649" s="34"/>
    </row>
    <row r="650" spans="5:15">
      <c r="E650" s="33"/>
      <c r="F650" s="33"/>
      <c r="G650" s="33"/>
      <c r="H650" s="33"/>
      <c r="I650" s="33"/>
      <c r="J650" s="33"/>
      <c r="K650" s="33"/>
      <c r="L650" s="33"/>
      <c r="M650" s="33"/>
      <c r="N650" s="33"/>
      <c r="O650" s="34"/>
    </row>
    <row r="651" spans="5:15">
      <c r="E651" s="33"/>
      <c r="F651" s="33"/>
      <c r="G651" s="33"/>
      <c r="H651" s="33"/>
      <c r="I651" s="33"/>
      <c r="J651" s="33"/>
      <c r="K651" s="33"/>
      <c r="L651" s="33"/>
      <c r="M651" s="33"/>
      <c r="N651" s="33"/>
      <c r="O651" s="34"/>
    </row>
    <row r="652" spans="5:15">
      <c r="E652" s="33"/>
      <c r="F652" s="33"/>
      <c r="G652" s="33"/>
      <c r="H652" s="33"/>
      <c r="I652" s="33"/>
      <c r="J652" s="33"/>
      <c r="K652" s="33"/>
      <c r="L652" s="33"/>
      <c r="M652" s="33"/>
      <c r="N652" s="33"/>
      <c r="O652" s="34"/>
    </row>
    <row r="653" spans="5:15">
      <c r="E653" s="33"/>
      <c r="F653" s="33"/>
      <c r="G653" s="33"/>
      <c r="H653" s="33"/>
      <c r="I653" s="33"/>
      <c r="J653" s="33"/>
      <c r="K653" s="33"/>
      <c r="L653" s="33"/>
      <c r="M653" s="33"/>
      <c r="N653" s="33"/>
      <c r="O653" s="34"/>
    </row>
    <row r="654" spans="5:15">
      <c r="E654" s="33"/>
      <c r="F654" s="33"/>
      <c r="G654" s="33"/>
      <c r="H654" s="33"/>
      <c r="I654" s="33"/>
      <c r="J654" s="33"/>
      <c r="K654" s="33"/>
      <c r="L654" s="33"/>
      <c r="M654" s="33"/>
      <c r="N654" s="33"/>
      <c r="O654" s="34"/>
    </row>
    <row r="655" spans="5:15">
      <c r="E655" s="33"/>
      <c r="F655" s="33"/>
      <c r="G655" s="33"/>
      <c r="H655" s="33"/>
      <c r="I655" s="33"/>
      <c r="J655" s="33"/>
      <c r="K655" s="33"/>
      <c r="L655" s="33"/>
      <c r="M655" s="33"/>
      <c r="N655" s="33"/>
      <c r="O655" s="34"/>
    </row>
    <row r="656" spans="5:15">
      <c r="E656" s="33"/>
      <c r="F656" s="33"/>
      <c r="G656" s="33"/>
      <c r="H656" s="33"/>
      <c r="I656" s="33"/>
      <c r="J656" s="33"/>
      <c r="K656" s="33"/>
      <c r="L656" s="33"/>
      <c r="M656" s="33"/>
      <c r="N656" s="33"/>
      <c r="O656" s="34"/>
    </row>
    <row r="657" spans="5:15">
      <c r="E657" s="33"/>
      <c r="F657" s="33"/>
      <c r="G657" s="33"/>
      <c r="H657" s="33"/>
      <c r="I657" s="33"/>
      <c r="J657" s="33"/>
      <c r="K657" s="33"/>
      <c r="L657" s="33"/>
      <c r="M657" s="33"/>
      <c r="N657" s="33"/>
      <c r="O657" s="34"/>
    </row>
    <row r="658" spans="5:15">
      <c r="E658" s="33"/>
      <c r="F658" s="33"/>
      <c r="G658" s="33"/>
      <c r="H658" s="33"/>
      <c r="I658" s="33"/>
      <c r="J658" s="33"/>
      <c r="K658" s="33"/>
      <c r="L658" s="33"/>
      <c r="M658" s="33"/>
      <c r="N658" s="33"/>
      <c r="O658" s="34"/>
    </row>
    <row r="659" spans="5:15">
      <c r="E659" s="33"/>
      <c r="F659" s="33"/>
      <c r="G659" s="33"/>
      <c r="H659" s="33"/>
      <c r="I659" s="33"/>
      <c r="J659" s="33"/>
      <c r="K659" s="33"/>
      <c r="L659" s="33"/>
      <c r="M659" s="33"/>
      <c r="N659" s="33"/>
      <c r="O659" s="34"/>
    </row>
    <row r="660" spans="5:15">
      <c r="E660" s="33"/>
      <c r="F660" s="33"/>
      <c r="G660" s="33"/>
      <c r="H660" s="33"/>
      <c r="I660" s="33"/>
      <c r="J660" s="33"/>
      <c r="K660" s="33"/>
      <c r="L660" s="33"/>
      <c r="M660" s="33"/>
      <c r="N660" s="33"/>
      <c r="O660" s="34"/>
    </row>
    <row r="661" spans="5:15">
      <c r="E661" s="33"/>
      <c r="F661" s="33"/>
      <c r="G661" s="33"/>
      <c r="H661" s="33"/>
      <c r="I661" s="33"/>
      <c r="J661" s="33"/>
      <c r="K661" s="33"/>
      <c r="L661" s="33"/>
      <c r="M661" s="33"/>
      <c r="N661" s="33"/>
      <c r="O661" s="34"/>
    </row>
    <row r="662" spans="5:15">
      <c r="E662" s="33"/>
      <c r="F662" s="33"/>
      <c r="G662" s="33"/>
      <c r="H662" s="33"/>
      <c r="I662" s="33"/>
      <c r="J662" s="33"/>
      <c r="K662" s="33"/>
      <c r="L662" s="33"/>
      <c r="M662" s="33"/>
      <c r="N662" s="33"/>
      <c r="O662" s="34"/>
    </row>
    <row r="663" spans="5:15">
      <c r="E663" s="33"/>
      <c r="F663" s="33"/>
      <c r="G663" s="33"/>
      <c r="H663" s="33"/>
      <c r="I663" s="33"/>
      <c r="J663" s="33"/>
      <c r="K663" s="33"/>
      <c r="L663" s="33"/>
      <c r="M663" s="33"/>
      <c r="N663" s="33"/>
      <c r="O663" s="34"/>
    </row>
    <row r="664" spans="5:15">
      <c r="E664" s="33"/>
      <c r="F664" s="33"/>
      <c r="G664" s="33"/>
      <c r="H664" s="33"/>
      <c r="I664" s="33"/>
      <c r="J664" s="33"/>
      <c r="K664" s="33"/>
      <c r="L664" s="33"/>
      <c r="M664" s="33"/>
      <c r="N664" s="33"/>
      <c r="O664" s="34"/>
    </row>
    <row r="665" spans="5:15">
      <c r="E665" s="33"/>
      <c r="F665" s="33"/>
      <c r="G665" s="33"/>
      <c r="H665" s="33"/>
      <c r="I665" s="33"/>
      <c r="J665" s="33"/>
      <c r="K665" s="33"/>
      <c r="L665" s="33"/>
      <c r="M665" s="33"/>
      <c r="N665" s="33"/>
      <c r="O665" s="34"/>
    </row>
    <row r="666" spans="5:15">
      <c r="E666" s="33"/>
      <c r="F666" s="33"/>
      <c r="G666" s="33"/>
      <c r="H666" s="33"/>
      <c r="I666" s="33"/>
      <c r="J666" s="33"/>
      <c r="K666" s="33"/>
      <c r="L666" s="33"/>
      <c r="M666" s="33"/>
      <c r="N666" s="33"/>
      <c r="O666" s="34"/>
    </row>
    <row r="667" spans="5:15">
      <c r="E667" s="33"/>
      <c r="F667" s="33"/>
      <c r="G667" s="33"/>
      <c r="H667" s="33"/>
      <c r="I667" s="33"/>
      <c r="J667" s="33"/>
      <c r="K667" s="33"/>
      <c r="L667" s="33"/>
      <c r="M667" s="33"/>
      <c r="N667" s="33"/>
      <c r="O667" s="34"/>
    </row>
    <row r="668" spans="5:15">
      <c r="E668" s="33"/>
      <c r="F668" s="33"/>
      <c r="G668" s="33"/>
      <c r="H668" s="33"/>
      <c r="I668" s="33"/>
      <c r="J668" s="33"/>
      <c r="K668" s="33"/>
      <c r="L668" s="33"/>
      <c r="M668" s="33"/>
      <c r="N668" s="33"/>
      <c r="O668" s="34"/>
    </row>
    <row r="669" spans="5:15">
      <c r="E669" s="33"/>
      <c r="F669" s="33"/>
      <c r="G669" s="33"/>
      <c r="H669" s="33"/>
      <c r="I669" s="33"/>
      <c r="J669" s="33"/>
      <c r="K669" s="33"/>
      <c r="L669" s="33"/>
      <c r="M669" s="33"/>
      <c r="N669" s="33"/>
      <c r="O669" s="34"/>
    </row>
    <row r="670" spans="5:15">
      <c r="E670" s="33"/>
      <c r="F670" s="33"/>
      <c r="G670" s="33"/>
      <c r="H670" s="33"/>
      <c r="I670" s="33"/>
      <c r="J670" s="33"/>
      <c r="K670" s="33"/>
      <c r="L670" s="33"/>
      <c r="M670" s="33"/>
      <c r="N670" s="33"/>
      <c r="O670" s="34"/>
    </row>
    <row r="671" spans="5:15">
      <c r="E671" s="33"/>
      <c r="F671" s="33"/>
      <c r="G671" s="33"/>
      <c r="H671" s="33"/>
      <c r="I671" s="33"/>
      <c r="J671" s="33"/>
      <c r="K671" s="33"/>
      <c r="L671" s="33"/>
      <c r="M671" s="33"/>
      <c r="N671" s="33"/>
      <c r="O671" s="34"/>
    </row>
    <row r="672" spans="5:15">
      <c r="E672" s="33"/>
      <c r="F672" s="33"/>
      <c r="G672" s="33"/>
      <c r="H672" s="33"/>
      <c r="I672" s="33"/>
      <c r="J672" s="33"/>
      <c r="K672" s="33"/>
      <c r="L672" s="33"/>
      <c r="M672" s="33"/>
      <c r="N672" s="33"/>
      <c r="O672" s="34"/>
    </row>
    <row r="673" spans="5:15">
      <c r="E673" s="33"/>
      <c r="F673" s="33"/>
      <c r="G673" s="33"/>
      <c r="H673" s="33"/>
      <c r="I673" s="33"/>
      <c r="J673" s="33"/>
      <c r="K673" s="33"/>
      <c r="L673" s="33"/>
      <c r="M673" s="33"/>
      <c r="N673" s="33"/>
      <c r="O673" s="34"/>
    </row>
    <row r="674" spans="5:15">
      <c r="E674" s="33"/>
      <c r="F674" s="33"/>
      <c r="G674" s="33"/>
      <c r="H674" s="33"/>
      <c r="I674" s="33"/>
      <c r="J674" s="33"/>
      <c r="K674" s="33"/>
      <c r="L674" s="33"/>
      <c r="M674" s="33"/>
      <c r="N674" s="33"/>
      <c r="O674" s="34"/>
    </row>
    <row r="675" spans="5:15">
      <c r="E675" s="33"/>
      <c r="F675" s="33"/>
      <c r="G675" s="33"/>
      <c r="H675" s="33"/>
      <c r="I675" s="33"/>
      <c r="J675" s="33"/>
      <c r="K675" s="33"/>
      <c r="L675" s="33"/>
      <c r="M675" s="33"/>
      <c r="N675" s="33"/>
      <c r="O675" s="34"/>
    </row>
    <row r="676" spans="5:15">
      <c r="E676" s="33"/>
      <c r="F676" s="33"/>
      <c r="G676" s="33"/>
      <c r="H676" s="33"/>
      <c r="I676" s="33"/>
      <c r="J676" s="33"/>
      <c r="K676" s="33"/>
      <c r="L676" s="33"/>
      <c r="M676" s="33"/>
      <c r="N676" s="33"/>
      <c r="O676" s="34"/>
    </row>
    <row r="677" spans="5:15">
      <c r="E677" s="33"/>
      <c r="F677" s="33"/>
      <c r="G677" s="33"/>
      <c r="H677" s="33"/>
      <c r="I677" s="33"/>
      <c r="J677" s="33"/>
      <c r="K677" s="33"/>
      <c r="L677" s="33"/>
      <c r="M677" s="33"/>
      <c r="N677" s="33"/>
      <c r="O677" s="34"/>
    </row>
    <row r="678" spans="5:15">
      <c r="E678" s="33"/>
      <c r="F678" s="33"/>
      <c r="G678" s="33"/>
      <c r="H678" s="33"/>
      <c r="I678" s="33"/>
      <c r="J678" s="33"/>
      <c r="K678" s="33"/>
      <c r="L678" s="33"/>
      <c r="M678" s="33"/>
      <c r="N678" s="33"/>
      <c r="O678" s="34"/>
    </row>
    <row r="679" spans="5:15">
      <c r="E679" s="33"/>
      <c r="F679" s="33"/>
      <c r="G679" s="33"/>
      <c r="H679" s="33"/>
      <c r="I679" s="33"/>
      <c r="J679" s="33"/>
      <c r="K679" s="33"/>
      <c r="L679" s="33"/>
      <c r="M679" s="33"/>
      <c r="N679" s="33"/>
      <c r="O679" s="34"/>
    </row>
    <row r="680" spans="5:15">
      <c r="E680" s="33"/>
      <c r="F680" s="33"/>
      <c r="G680" s="33"/>
      <c r="H680" s="33"/>
      <c r="I680" s="33"/>
      <c r="J680" s="33"/>
      <c r="K680" s="33"/>
      <c r="L680" s="33"/>
      <c r="M680" s="33"/>
      <c r="N680" s="33"/>
      <c r="O680" s="34"/>
    </row>
    <row r="681" spans="5:15">
      <c r="E681" s="33"/>
      <c r="F681" s="33"/>
      <c r="G681" s="33"/>
      <c r="H681" s="33"/>
      <c r="I681" s="33"/>
      <c r="J681" s="33"/>
      <c r="K681" s="33"/>
      <c r="L681" s="33"/>
      <c r="M681" s="33"/>
      <c r="N681" s="33"/>
      <c r="O681" s="34"/>
    </row>
    <row r="682" spans="5:15">
      <c r="E682" s="33"/>
      <c r="F682" s="33"/>
      <c r="G682" s="33"/>
      <c r="H682" s="33"/>
      <c r="I682" s="33"/>
      <c r="J682" s="33"/>
      <c r="K682" s="33"/>
      <c r="L682" s="33"/>
      <c r="M682" s="33"/>
      <c r="N682" s="33"/>
      <c r="O682" s="34"/>
    </row>
    <row r="683" spans="5:15">
      <c r="E683" s="33"/>
      <c r="F683" s="33"/>
      <c r="G683" s="33"/>
      <c r="H683" s="33"/>
      <c r="I683" s="33"/>
      <c r="J683" s="33"/>
      <c r="K683" s="33"/>
      <c r="L683" s="33"/>
      <c r="M683" s="33"/>
      <c r="N683" s="33"/>
      <c r="O683" s="34"/>
    </row>
    <row r="684" spans="5:15">
      <c r="E684" s="33"/>
      <c r="F684" s="33"/>
      <c r="G684" s="33"/>
      <c r="H684" s="33"/>
      <c r="I684" s="33"/>
      <c r="J684" s="33"/>
      <c r="K684" s="33"/>
      <c r="L684" s="33"/>
      <c r="M684" s="33"/>
      <c r="N684" s="33"/>
      <c r="O684" s="34"/>
    </row>
    <row r="685" spans="5:15">
      <c r="E685" s="33"/>
      <c r="F685" s="33"/>
      <c r="G685" s="33"/>
      <c r="H685" s="33"/>
      <c r="I685" s="33"/>
      <c r="J685" s="33"/>
      <c r="K685" s="33"/>
      <c r="L685" s="33"/>
      <c r="M685" s="33"/>
      <c r="N685" s="33"/>
      <c r="O685" s="34"/>
    </row>
    <row r="686" spans="5:15">
      <c r="E686" s="33"/>
      <c r="F686" s="33"/>
      <c r="G686" s="33"/>
      <c r="H686" s="33"/>
      <c r="I686" s="33"/>
      <c r="J686" s="33"/>
      <c r="K686" s="33"/>
      <c r="L686" s="33"/>
      <c r="M686" s="33"/>
      <c r="N686" s="33"/>
      <c r="O686" s="34"/>
    </row>
    <row r="687" spans="5:15">
      <c r="E687" s="33"/>
      <c r="F687" s="33"/>
      <c r="G687" s="33"/>
      <c r="H687" s="33"/>
      <c r="I687" s="33"/>
      <c r="J687" s="33"/>
      <c r="K687" s="33"/>
      <c r="L687" s="33"/>
      <c r="M687" s="33"/>
      <c r="N687" s="33"/>
      <c r="O687" s="34"/>
    </row>
    <row r="688" spans="5:15">
      <c r="E688" s="33"/>
      <c r="F688" s="33"/>
      <c r="G688" s="33"/>
      <c r="H688" s="33"/>
      <c r="I688" s="33"/>
      <c r="J688" s="33"/>
      <c r="K688" s="33"/>
      <c r="L688" s="33"/>
      <c r="M688" s="33"/>
      <c r="N688" s="33"/>
      <c r="O688" s="34"/>
    </row>
    <row r="689" spans="5:15">
      <c r="E689" s="33"/>
      <c r="F689" s="33"/>
      <c r="G689" s="33"/>
      <c r="H689" s="33"/>
      <c r="I689" s="33"/>
      <c r="J689" s="33"/>
      <c r="K689" s="33"/>
      <c r="L689" s="33"/>
      <c r="M689" s="33"/>
      <c r="N689" s="33"/>
      <c r="O689" s="34"/>
    </row>
    <row r="690" spans="5:15">
      <c r="E690" s="33"/>
      <c r="F690" s="33"/>
      <c r="G690" s="33"/>
      <c r="H690" s="33"/>
      <c r="I690" s="33"/>
      <c r="J690" s="33"/>
      <c r="K690" s="33"/>
      <c r="L690" s="33"/>
      <c r="M690" s="33"/>
      <c r="N690" s="33"/>
      <c r="O690" s="34"/>
    </row>
    <row r="691" spans="5:15">
      <c r="E691" s="33"/>
      <c r="F691" s="33"/>
      <c r="G691" s="33"/>
      <c r="H691" s="33"/>
      <c r="I691" s="33"/>
      <c r="J691" s="33"/>
      <c r="K691" s="33"/>
      <c r="L691" s="33"/>
      <c r="M691" s="33"/>
      <c r="N691" s="33"/>
      <c r="O691" s="34"/>
    </row>
    <row r="692" spans="5:15">
      <c r="E692" s="33"/>
      <c r="F692" s="33"/>
      <c r="G692" s="33"/>
      <c r="H692" s="33"/>
      <c r="I692" s="33"/>
      <c r="J692" s="33"/>
      <c r="K692" s="33"/>
      <c r="L692" s="33"/>
      <c r="M692" s="33"/>
      <c r="N692" s="33"/>
      <c r="O692" s="34"/>
    </row>
    <row r="693" spans="5:15">
      <c r="E693" s="33"/>
      <c r="F693" s="33"/>
      <c r="G693" s="33"/>
      <c r="H693" s="33"/>
      <c r="I693" s="33"/>
      <c r="J693" s="33"/>
      <c r="K693" s="33"/>
      <c r="L693" s="33"/>
      <c r="M693" s="33"/>
      <c r="N693" s="33"/>
      <c r="O693" s="34"/>
    </row>
    <row r="694" spans="5:15">
      <c r="E694" s="33"/>
      <c r="F694" s="33"/>
      <c r="G694" s="33"/>
      <c r="H694" s="33"/>
      <c r="I694" s="33"/>
      <c r="J694" s="33"/>
      <c r="K694" s="33"/>
      <c r="L694" s="33"/>
      <c r="M694" s="33"/>
      <c r="N694" s="33"/>
      <c r="O694" s="34"/>
    </row>
    <row r="695" spans="5:15">
      <c r="E695" s="33"/>
      <c r="F695" s="33"/>
      <c r="G695" s="33"/>
      <c r="H695" s="33"/>
      <c r="I695" s="33"/>
      <c r="J695" s="33"/>
      <c r="K695" s="33"/>
      <c r="L695" s="33"/>
      <c r="M695" s="33"/>
      <c r="N695" s="33"/>
      <c r="O695" s="34"/>
    </row>
    <row r="696" spans="5:15">
      <c r="E696" s="33"/>
      <c r="F696" s="33"/>
      <c r="G696" s="33"/>
      <c r="H696" s="33"/>
      <c r="I696" s="33"/>
      <c r="J696" s="33"/>
      <c r="K696" s="33"/>
      <c r="L696" s="33"/>
      <c r="M696" s="33"/>
      <c r="N696" s="33"/>
      <c r="O696" s="34"/>
    </row>
    <row r="697" spans="5:15">
      <c r="E697" s="33"/>
      <c r="F697" s="33"/>
      <c r="G697" s="33"/>
      <c r="H697" s="33"/>
      <c r="I697" s="33"/>
      <c r="J697" s="33"/>
      <c r="K697" s="33"/>
      <c r="L697" s="33"/>
      <c r="M697" s="33"/>
      <c r="N697" s="33"/>
      <c r="O697" s="34"/>
    </row>
    <row r="698" spans="5:15">
      <c r="E698" s="33"/>
      <c r="F698" s="33"/>
      <c r="G698" s="33"/>
      <c r="H698" s="33"/>
      <c r="I698" s="33"/>
      <c r="J698" s="33"/>
      <c r="K698" s="33"/>
      <c r="L698" s="33"/>
      <c r="M698" s="33"/>
      <c r="N698" s="33"/>
      <c r="O698" s="34"/>
    </row>
    <row r="699" spans="5:15">
      <c r="E699" s="33"/>
      <c r="F699" s="33"/>
      <c r="G699" s="33"/>
      <c r="H699" s="33"/>
      <c r="I699" s="33"/>
      <c r="J699" s="33"/>
      <c r="K699" s="33"/>
      <c r="L699" s="33"/>
      <c r="M699" s="33"/>
      <c r="N699" s="33"/>
      <c r="O699" s="34"/>
    </row>
    <row r="700" spans="5:15">
      <c r="E700" s="33"/>
      <c r="F700" s="33"/>
      <c r="G700" s="33"/>
      <c r="H700" s="33"/>
      <c r="I700" s="33"/>
      <c r="J700" s="33"/>
      <c r="K700" s="33"/>
      <c r="L700" s="33"/>
      <c r="M700" s="33"/>
      <c r="N700" s="33"/>
      <c r="O700" s="34"/>
    </row>
    <row r="701" spans="5:15">
      <c r="E701" s="33"/>
      <c r="F701" s="33"/>
      <c r="G701" s="33"/>
      <c r="H701" s="33"/>
      <c r="I701" s="33"/>
      <c r="J701" s="33"/>
      <c r="K701" s="33"/>
      <c r="L701" s="33"/>
      <c r="M701" s="33"/>
      <c r="N701" s="33"/>
      <c r="O701" s="34"/>
    </row>
    <row r="702" spans="5:15">
      <c r="E702" s="33"/>
      <c r="F702" s="33"/>
      <c r="G702" s="33"/>
      <c r="H702" s="33"/>
      <c r="I702" s="33"/>
      <c r="J702" s="33"/>
      <c r="K702" s="33"/>
      <c r="L702" s="33"/>
      <c r="M702" s="33"/>
      <c r="N702" s="33"/>
      <c r="O702" s="34"/>
    </row>
    <row r="703" spans="5:15">
      <c r="E703" s="33"/>
      <c r="F703" s="33"/>
      <c r="G703" s="33"/>
      <c r="H703" s="33"/>
      <c r="I703" s="33"/>
      <c r="J703" s="33"/>
      <c r="K703" s="33"/>
      <c r="L703" s="33"/>
      <c r="M703" s="33"/>
      <c r="N703" s="33"/>
      <c r="O703" s="34"/>
    </row>
    <row r="704" spans="5:15">
      <c r="E704" s="33"/>
      <c r="F704" s="33"/>
      <c r="G704" s="33"/>
      <c r="H704" s="33"/>
      <c r="I704" s="33"/>
      <c r="J704" s="33"/>
      <c r="K704" s="33"/>
      <c r="L704" s="33"/>
      <c r="M704" s="33"/>
      <c r="N704" s="33"/>
      <c r="O704" s="34"/>
    </row>
    <row r="705" spans="5:15">
      <c r="E705" s="33"/>
      <c r="F705" s="33"/>
      <c r="G705" s="33"/>
      <c r="H705" s="33"/>
      <c r="I705" s="33"/>
      <c r="J705" s="33"/>
      <c r="K705" s="33"/>
      <c r="L705" s="33"/>
      <c r="M705" s="33"/>
      <c r="N705" s="33"/>
      <c r="O705" s="34"/>
    </row>
    <row r="706" spans="5:15">
      <c r="E706" s="33"/>
      <c r="F706" s="33"/>
      <c r="G706" s="33"/>
      <c r="H706" s="33"/>
      <c r="I706" s="33"/>
      <c r="J706" s="33"/>
      <c r="K706" s="33"/>
      <c r="L706" s="33"/>
      <c r="M706" s="33"/>
      <c r="N706" s="33"/>
      <c r="O706" s="34"/>
    </row>
    <row r="707" spans="5:15">
      <c r="E707" s="33"/>
      <c r="F707" s="33"/>
      <c r="G707" s="33"/>
      <c r="H707" s="33"/>
      <c r="I707" s="33"/>
      <c r="J707" s="33"/>
      <c r="K707" s="33"/>
      <c r="L707" s="33"/>
      <c r="M707" s="33"/>
      <c r="N707" s="33"/>
      <c r="O707" s="34"/>
    </row>
    <row r="708" spans="5:15">
      <c r="E708" s="33"/>
      <c r="F708" s="33"/>
      <c r="G708" s="33"/>
      <c r="H708" s="33"/>
      <c r="I708" s="33"/>
      <c r="J708" s="33"/>
      <c r="K708" s="33"/>
      <c r="L708" s="33"/>
      <c r="M708" s="33"/>
      <c r="N708" s="33"/>
      <c r="O708" s="34"/>
    </row>
    <row r="709" spans="5:15">
      <c r="E709" s="33"/>
      <c r="F709" s="33"/>
      <c r="G709" s="33"/>
      <c r="H709" s="33"/>
      <c r="I709" s="33"/>
      <c r="J709" s="33"/>
      <c r="K709" s="33"/>
      <c r="L709" s="33"/>
      <c r="M709" s="33"/>
      <c r="N709" s="33"/>
      <c r="O709" s="34"/>
    </row>
    <row r="710" spans="5:15">
      <c r="E710" s="33"/>
      <c r="F710" s="33"/>
      <c r="G710" s="33"/>
      <c r="H710" s="33"/>
      <c r="I710" s="33"/>
      <c r="J710" s="33"/>
      <c r="K710" s="33"/>
      <c r="L710" s="33"/>
      <c r="M710" s="33"/>
      <c r="N710" s="33"/>
      <c r="O710" s="34"/>
    </row>
    <row r="711" spans="5:15">
      <c r="E711" s="33"/>
      <c r="F711" s="33"/>
      <c r="G711" s="33"/>
      <c r="H711" s="33"/>
      <c r="I711" s="33"/>
      <c r="J711" s="33"/>
      <c r="K711" s="33"/>
      <c r="L711" s="33"/>
      <c r="M711" s="33"/>
      <c r="N711" s="33"/>
      <c r="O711" s="34"/>
    </row>
    <row r="712" spans="5:15">
      <c r="E712" s="33"/>
      <c r="F712" s="33"/>
      <c r="G712" s="33"/>
      <c r="H712" s="33"/>
      <c r="I712" s="33"/>
      <c r="J712" s="33"/>
      <c r="K712" s="33"/>
      <c r="L712" s="33"/>
      <c r="M712" s="33"/>
      <c r="N712" s="33"/>
      <c r="O712" s="34"/>
    </row>
    <row r="713" spans="5:15">
      <c r="E713" s="33"/>
      <c r="F713" s="33"/>
      <c r="G713" s="33"/>
      <c r="H713" s="33"/>
      <c r="I713" s="33"/>
      <c r="J713" s="33"/>
      <c r="K713" s="33"/>
      <c r="L713" s="33"/>
      <c r="M713" s="33"/>
      <c r="N713" s="33"/>
      <c r="O713" s="34"/>
    </row>
    <row r="714" spans="5:15">
      <c r="E714" s="33"/>
      <c r="F714" s="33"/>
      <c r="G714" s="33"/>
      <c r="H714" s="33"/>
      <c r="I714" s="33"/>
      <c r="J714" s="33"/>
      <c r="K714" s="33"/>
      <c r="L714" s="33"/>
      <c r="M714" s="33"/>
      <c r="N714" s="33"/>
      <c r="O714" s="34"/>
    </row>
    <row r="715" spans="5:15">
      <c r="E715" s="33"/>
      <c r="F715" s="33"/>
      <c r="G715" s="33"/>
      <c r="H715" s="33"/>
      <c r="I715" s="33"/>
      <c r="J715" s="33"/>
      <c r="K715" s="33"/>
      <c r="L715" s="33"/>
      <c r="M715" s="33"/>
      <c r="N715" s="33"/>
      <c r="O715" s="34"/>
    </row>
    <row r="716" spans="5:15">
      <c r="E716" s="33"/>
      <c r="F716" s="33"/>
      <c r="G716" s="33"/>
      <c r="H716" s="33"/>
      <c r="I716" s="33"/>
      <c r="J716" s="33"/>
      <c r="K716" s="33"/>
      <c r="L716" s="33"/>
      <c r="M716" s="33"/>
      <c r="N716" s="33"/>
      <c r="O716" s="34"/>
    </row>
    <row r="717" spans="5:15">
      <c r="E717" s="33"/>
      <c r="F717" s="33"/>
      <c r="G717" s="33"/>
      <c r="H717" s="33"/>
      <c r="I717" s="33"/>
      <c r="J717" s="33"/>
      <c r="K717" s="33"/>
      <c r="L717" s="33"/>
      <c r="M717" s="33"/>
      <c r="N717" s="33"/>
      <c r="O717" s="34"/>
    </row>
    <row r="718" spans="5:15">
      <c r="E718" s="33"/>
      <c r="F718" s="33"/>
      <c r="G718" s="33"/>
      <c r="H718" s="33"/>
      <c r="I718" s="33"/>
      <c r="J718" s="33"/>
      <c r="K718" s="33"/>
      <c r="L718" s="33"/>
      <c r="M718" s="33"/>
      <c r="N718" s="33"/>
      <c r="O718" s="34"/>
    </row>
    <row r="719" spans="5:15">
      <c r="E719" s="33"/>
      <c r="F719" s="33"/>
      <c r="G719" s="33"/>
      <c r="H719" s="33"/>
      <c r="I719" s="33"/>
      <c r="J719" s="33"/>
      <c r="K719" s="33"/>
      <c r="L719" s="33"/>
      <c r="M719" s="33"/>
      <c r="N719" s="33"/>
      <c r="O719" s="34"/>
    </row>
    <row r="720" spans="5:15">
      <c r="E720" s="33"/>
      <c r="F720" s="33"/>
      <c r="G720" s="33"/>
      <c r="H720" s="33"/>
      <c r="I720" s="33"/>
      <c r="J720" s="33"/>
      <c r="K720" s="33"/>
      <c r="L720" s="33"/>
      <c r="M720" s="33"/>
      <c r="N720" s="33"/>
      <c r="O720" s="34"/>
    </row>
    <row r="721" spans="5:15">
      <c r="E721" s="33"/>
      <c r="F721" s="33"/>
      <c r="G721" s="33"/>
      <c r="H721" s="33"/>
      <c r="I721" s="33"/>
      <c r="J721" s="33"/>
      <c r="K721" s="33"/>
      <c r="L721" s="33"/>
      <c r="M721" s="33"/>
      <c r="N721" s="33"/>
      <c r="O721" s="34"/>
    </row>
    <row r="722" spans="5:15">
      <c r="E722" s="33"/>
      <c r="F722" s="33"/>
      <c r="G722" s="33"/>
      <c r="H722" s="33"/>
      <c r="I722" s="33"/>
      <c r="J722" s="33"/>
      <c r="K722" s="33"/>
      <c r="L722" s="33"/>
      <c r="M722" s="33"/>
      <c r="N722" s="33"/>
      <c r="O722" s="34"/>
    </row>
    <row r="723" spans="5:15">
      <c r="E723" s="33"/>
      <c r="F723" s="33"/>
      <c r="G723" s="33"/>
      <c r="H723" s="33"/>
      <c r="I723" s="33"/>
      <c r="J723" s="33"/>
      <c r="K723" s="33"/>
      <c r="L723" s="33"/>
      <c r="M723" s="33"/>
      <c r="N723" s="33"/>
      <c r="O723" s="34"/>
    </row>
    <row r="724" spans="5:15">
      <c r="E724" s="33"/>
      <c r="F724" s="33"/>
      <c r="G724" s="33"/>
      <c r="H724" s="33"/>
      <c r="I724" s="33"/>
      <c r="J724" s="33"/>
      <c r="K724" s="33"/>
      <c r="L724" s="33"/>
      <c r="M724" s="33"/>
      <c r="N724" s="33"/>
      <c r="O724" s="34"/>
    </row>
    <row r="725" spans="5:15">
      <c r="E725" s="33"/>
      <c r="F725" s="33"/>
      <c r="G725" s="33"/>
      <c r="H725" s="33"/>
      <c r="I725" s="33"/>
      <c r="J725" s="33"/>
      <c r="K725" s="33"/>
      <c r="L725" s="33"/>
      <c r="M725" s="33"/>
      <c r="N725" s="33"/>
      <c r="O725" s="34"/>
    </row>
    <row r="726" spans="5:15">
      <c r="E726" s="33"/>
      <c r="F726" s="33"/>
      <c r="G726" s="33"/>
      <c r="H726" s="33"/>
      <c r="I726" s="33"/>
      <c r="J726" s="33"/>
      <c r="K726" s="33"/>
      <c r="L726" s="33"/>
      <c r="M726" s="33"/>
      <c r="N726" s="33"/>
      <c r="O726" s="34"/>
    </row>
    <row r="727" spans="5:15">
      <c r="E727" s="33"/>
      <c r="F727" s="33"/>
      <c r="G727" s="33"/>
      <c r="H727" s="33"/>
      <c r="I727" s="33"/>
      <c r="J727" s="33"/>
      <c r="K727" s="33"/>
      <c r="L727" s="33"/>
      <c r="M727" s="33"/>
      <c r="N727" s="33"/>
      <c r="O727" s="34"/>
    </row>
    <row r="728" spans="5:15">
      <c r="E728" s="33"/>
      <c r="F728" s="33"/>
      <c r="G728" s="33"/>
      <c r="H728" s="33"/>
      <c r="I728" s="33"/>
      <c r="J728" s="33"/>
      <c r="K728" s="33"/>
      <c r="L728" s="33"/>
      <c r="M728" s="33"/>
      <c r="N728" s="33"/>
      <c r="O728" s="34"/>
    </row>
    <row r="729" spans="5:15">
      <c r="E729" s="33"/>
      <c r="F729" s="33"/>
      <c r="G729" s="33"/>
      <c r="H729" s="33"/>
      <c r="I729" s="33"/>
      <c r="J729" s="33"/>
      <c r="K729" s="33"/>
      <c r="L729" s="33"/>
      <c r="M729" s="33"/>
      <c r="N729" s="33"/>
      <c r="O729" s="34"/>
    </row>
    <row r="730" spans="5:15">
      <c r="E730" s="33"/>
      <c r="F730" s="33"/>
      <c r="G730" s="33"/>
      <c r="H730" s="33"/>
      <c r="I730" s="33"/>
      <c r="J730" s="33"/>
      <c r="K730" s="33"/>
      <c r="L730" s="33"/>
      <c r="M730" s="33"/>
      <c r="N730" s="33"/>
      <c r="O730" s="34"/>
    </row>
    <row r="731" spans="5:15">
      <c r="E731" s="33"/>
      <c r="F731" s="33"/>
      <c r="G731" s="33"/>
      <c r="H731" s="33"/>
      <c r="I731" s="33"/>
      <c r="J731" s="33"/>
      <c r="K731" s="33"/>
      <c r="L731" s="33"/>
      <c r="M731" s="33"/>
      <c r="N731" s="33"/>
      <c r="O731" s="34"/>
    </row>
    <row r="732" spans="5:15">
      <c r="E732" s="33"/>
      <c r="F732" s="33"/>
      <c r="G732" s="33"/>
      <c r="H732" s="33"/>
      <c r="I732" s="33"/>
      <c r="J732" s="33"/>
      <c r="K732" s="33"/>
      <c r="L732" s="33"/>
      <c r="M732" s="33"/>
      <c r="N732" s="33"/>
      <c r="O732" s="34"/>
    </row>
    <row r="733" spans="5:15">
      <c r="E733" s="33"/>
      <c r="F733" s="33"/>
      <c r="G733" s="33"/>
      <c r="H733" s="33"/>
      <c r="I733" s="33"/>
      <c r="J733" s="33"/>
      <c r="K733" s="33"/>
      <c r="L733" s="33"/>
      <c r="M733" s="33"/>
      <c r="N733" s="33"/>
      <c r="O733" s="34"/>
    </row>
    <row r="734" spans="5:15">
      <c r="E734" s="33"/>
      <c r="F734" s="33"/>
      <c r="G734" s="33"/>
      <c r="H734" s="33"/>
      <c r="I734" s="33"/>
      <c r="J734" s="33"/>
      <c r="K734" s="33"/>
      <c r="L734" s="33"/>
      <c r="M734" s="33"/>
      <c r="N734" s="33"/>
      <c r="O734" s="34"/>
    </row>
    <row r="735" spans="5:15">
      <c r="E735" s="33"/>
      <c r="F735" s="33"/>
      <c r="G735" s="33"/>
      <c r="H735" s="33"/>
      <c r="I735" s="33"/>
      <c r="J735" s="33"/>
      <c r="K735" s="33"/>
      <c r="L735" s="33"/>
      <c r="M735" s="33"/>
      <c r="N735" s="33"/>
      <c r="O735" s="34"/>
    </row>
    <row r="736" spans="5:15">
      <c r="E736" s="33"/>
      <c r="F736" s="33"/>
      <c r="G736" s="33"/>
      <c r="H736" s="33"/>
      <c r="I736" s="33"/>
      <c r="J736" s="33"/>
      <c r="K736" s="33"/>
      <c r="L736" s="33"/>
      <c r="M736" s="33"/>
      <c r="N736" s="33"/>
      <c r="O736" s="34"/>
    </row>
    <row r="737" spans="5:15">
      <c r="E737" s="33"/>
      <c r="F737" s="33"/>
      <c r="G737" s="33"/>
      <c r="H737" s="33"/>
      <c r="I737" s="33"/>
      <c r="J737" s="33"/>
      <c r="K737" s="33"/>
      <c r="L737" s="33"/>
      <c r="M737" s="33"/>
      <c r="N737" s="33"/>
      <c r="O737" s="34"/>
    </row>
    <row r="738" spans="5:15">
      <c r="E738" s="33"/>
      <c r="F738" s="33"/>
      <c r="G738" s="33"/>
      <c r="H738" s="33"/>
      <c r="I738" s="33"/>
      <c r="J738" s="33"/>
      <c r="K738" s="33"/>
      <c r="L738" s="33"/>
      <c r="M738" s="33"/>
      <c r="N738" s="33"/>
      <c r="O738" s="34"/>
    </row>
    <row r="739" spans="5:15">
      <c r="E739" s="33"/>
      <c r="F739" s="33"/>
      <c r="G739" s="33"/>
      <c r="H739" s="33"/>
      <c r="I739" s="33"/>
      <c r="J739" s="33"/>
      <c r="K739" s="33"/>
      <c r="L739" s="33"/>
      <c r="M739" s="33"/>
      <c r="N739" s="33"/>
      <c r="O739" s="34"/>
    </row>
    <row r="740" spans="5:15">
      <c r="E740" s="33"/>
      <c r="F740" s="33"/>
      <c r="G740" s="33"/>
      <c r="H740" s="33"/>
      <c r="I740" s="33"/>
      <c r="J740" s="33"/>
      <c r="K740" s="33"/>
      <c r="L740" s="33"/>
      <c r="M740" s="33"/>
      <c r="N740" s="33"/>
      <c r="O740" s="34"/>
    </row>
    <row r="741" spans="5:15">
      <c r="E741" s="33"/>
      <c r="F741" s="33"/>
      <c r="G741" s="33"/>
      <c r="H741" s="33"/>
      <c r="I741" s="33"/>
      <c r="J741" s="33"/>
      <c r="K741" s="33"/>
      <c r="L741" s="33"/>
      <c r="M741" s="33"/>
      <c r="N741" s="33"/>
      <c r="O741" s="34"/>
    </row>
    <row r="742" spans="5:15">
      <c r="E742" s="33"/>
      <c r="F742" s="33"/>
      <c r="G742" s="33"/>
      <c r="H742" s="33"/>
      <c r="I742" s="33"/>
      <c r="J742" s="33"/>
      <c r="K742" s="33"/>
      <c r="L742" s="33"/>
      <c r="M742" s="33"/>
      <c r="N742" s="33"/>
      <c r="O742" s="34"/>
    </row>
    <row r="743" spans="5:15">
      <c r="E743" s="33"/>
      <c r="F743" s="33"/>
      <c r="G743" s="33"/>
      <c r="H743" s="33"/>
      <c r="I743" s="33"/>
      <c r="J743" s="33"/>
      <c r="K743" s="33"/>
      <c r="L743" s="33"/>
      <c r="M743" s="33"/>
      <c r="N743" s="33"/>
      <c r="O743" s="34"/>
    </row>
    <row r="744" spans="5:15">
      <c r="E744" s="33"/>
      <c r="F744" s="33"/>
      <c r="G744" s="33"/>
      <c r="H744" s="33"/>
      <c r="I744" s="33"/>
      <c r="J744" s="33"/>
      <c r="K744" s="33"/>
      <c r="L744" s="33"/>
      <c r="M744" s="33"/>
      <c r="N744" s="33"/>
      <c r="O744" s="34"/>
    </row>
    <row r="745" spans="5:15">
      <c r="E745" s="33"/>
      <c r="F745" s="33"/>
      <c r="G745" s="33"/>
      <c r="H745" s="33"/>
      <c r="I745" s="33"/>
      <c r="J745" s="33"/>
      <c r="K745" s="33"/>
      <c r="L745" s="33"/>
      <c r="M745" s="33"/>
      <c r="N745" s="33"/>
      <c r="O745" s="34"/>
    </row>
    <row r="746" spans="5:15">
      <c r="E746" s="33"/>
      <c r="F746" s="33"/>
      <c r="G746" s="33"/>
      <c r="H746" s="33"/>
      <c r="I746" s="33"/>
      <c r="J746" s="33"/>
      <c r="K746" s="33"/>
      <c r="L746" s="33"/>
      <c r="M746" s="33"/>
      <c r="N746" s="33"/>
      <c r="O746" s="34"/>
    </row>
    <row r="747" spans="5:15">
      <c r="E747" s="33"/>
      <c r="F747" s="33"/>
      <c r="G747" s="33"/>
      <c r="H747" s="33"/>
      <c r="I747" s="33"/>
      <c r="J747" s="33"/>
      <c r="K747" s="33"/>
      <c r="L747" s="33"/>
      <c r="M747" s="33"/>
      <c r="N747" s="33"/>
      <c r="O747" s="34"/>
    </row>
    <row r="748" spans="5:15">
      <c r="E748" s="33"/>
      <c r="F748" s="33"/>
      <c r="G748" s="33"/>
      <c r="H748" s="33"/>
      <c r="I748" s="33"/>
      <c r="J748" s="33"/>
      <c r="K748" s="33"/>
      <c r="L748" s="33"/>
      <c r="M748" s="33"/>
      <c r="N748" s="33"/>
      <c r="O748" s="34"/>
    </row>
    <row r="749" spans="5:15">
      <c r="E749" s="33"/>
      <c r="F749" s="33"/>
      <c r="G749" s="33"/>
      <c r="H749" s="33"/>
      <c r="I749" s="33"/>
      <c r="J749" s="33"/>
      <c r="K749" s="33"/>
      <c r="L749" s="33"/>
      <c r="M749" s="33"/>
      <c r="N749" s="33"/>
      <c r="O749" s="34"/>
    </row>
    <row r="750" spans="5:15">
      <c r="E750" s="33"/>
      <c r="F750" s="33"/>
      <c r="G750" s="33"/>
      <c r="H750" s="33"/>
      <c r="I750" s="33"/>
      <c r="J750" s="33"/>
      <c r="K750" s="33"/>
      <c r="L750" s="33"/>
      <c r="M750" s="33"/>
      <c r="N750" s="33"/>
      <c r="O750" s="34"/>
    </row>
    <row r="751" spans="5:15">
      <c r="E751" s="33"/>
      <c r="F751" s="33"/>
      <c r="G751" s="33"/>
      <c r="H751" s="33"/>
      <c r="I751" s="33"/>
      <c r="J751" s="33"/>
      <c r="K751" s="33"/>
      <c r="L751" s="33"/>
      <c r="M751" s="33"/>
      <c r="N751" s="33"/>
      <c r="O751" s="34"/>
    </row>
    <row r="752" spans="5:15">
      <c r="E752" s="33"/>
      <c r="F752" s="33"/>
      <c r="G752" s="33"/>
      <c r="H752" s="33"/>
      <c r="I752" s="33"/>
      <c r="J752" s="33"/>
      <c r="K752" s="33"/>
      <c r="L752" s="33"/>
      <c r="M752" s="33"/>
      <c r="N752" s="33"/>
      <c r="O752" s="34"/>
    </row>
    <row r="753" spans="5:15">
      <c r="E753" s="33"/>
      <c r="F753" s="33"/>
      <c r="G753" s="33"/>
      <c r="H753" s="33"/>
      <c r="I753" s="33"/>
      <c r="J753" s="33"/>
      <c r="K753" s="33"/>
      <c r="L753" s="33"/>
      <c r="M753" s="33"/>
      <c r="N753" s="33"/>
      <c r="O753" s="34"/>
    </row>
    <row r="754" spans="5:15">
      <c r="E754" s="33"/>
      <c r="F754" s="33"/>
      <c r="G754" s="33"/>
      <c r="H754" s="33"/>
      <c r="I754" s="33"/>
      <c r="J754" s="33"/>
      <c r="K754" s="33"/>
      <c r="L754" s="33"/>
      <c r="M754" s="33"/>
      <c r="N754" s="33"/>
      <c r="O754" s="34"/>
    </row>
    <row r="755" spans="5:15">
      <c r="E755" s="33"/>
      <c r="F755" s="33"/>
      <c r="G755" s="33"/>
      <c r="H755" s="33"/>
      <c r="I755" s="33"/>
      <c r="J755" s="33"/>
      <c r="K755" s="33"/>
      <c r="L755" s="33"/>
      <c r="M755" s="33"/>
      <c r="N755" s="33"/>
      <c r="O755" s="34"/>
    </row>
    <row r="756" spans="5:15">
      <c r="E756" s="33"/>
      <c r="F756" s="33"/>
      <c r="G756" s="33"/>
      <c r="H756" s="33"/>
      <c r="I756" s="33"/>
      <c r="J756" s="33"/>
      <c r="K756" s="33"/>
      <c r="L756" s="33"/>
      <c r="M756" s="33"/>
      <c r="N756" s="33"/>
      <c r="O756" s="34"/>
    </row>
    <row r="757" spans="5:15">
      <c r="E757" s="33"/>
      <c r="F757" s="33"/>
      <c r="G757" s="33"/>
      <c r="H757" s="33"/>
      <c r="I757" s="33"/>
      <c r="J757" s="33"/>
      <c r="K757" s="33"/>
      <c r="L757" s="33"/>
      <c r="M757" s="33"/>
      <c r="N757" s="33"/>
      <c r="O757" s="34"/>
    </row>
    <row r="758" spans="5:15">
      <c r="E758" s="33"/>
      <c r="F758" s="33"/>
      <c r="G758" s="33"/>
      <c r="H758" s="33"/>
      <c r="I758" s="33"/>
      <c r="J758" s="33"/>
      <c r="K758" s="33"/>
      <c r="L758" s="33"/>
      <c r="M758" s="33"/>
      <c r="N758" s="33"/>
      <c r="O758" s="34"/>
    </row>
    <row r="759" spans="5:15">
      <c r="E759" s="33"/>
      <c r="F759" s="33"/>
      <c r="G759" s="33"/>
      <c r="H759" s="33"/>
      <c r="I759" s="33"/>
      <c r="J759" s="33"/>
      <c r="K759" s="33"/>
      <c r="L759" s="33"/>
      <c r="M759" s="33"/>
      <c r="N759" s="33"/>
      <c r="O759" s="34"/>
    </row>
    <row r="760" spans="5:15">
      <c r="E760" s="33"/>
      <c r="F760" s="33"/>
      <c r="G760" s="33"/>
      <c r="H760" s="33"/>
      <c r="I760" s="33"/>
      <c r="J760" s="33"/>
      <c r="K760" s="33"/>
      <c r="L760" s="33"/>
      <c r="M760" s="33"/>
      <c r="N760" s="33"/>
      <c r="O760" s="34"/>
    </row>
    <row r="761" spans="5:15">
      <c r="E761" s="33"/>
      <c r="F761" s="33"/>
      <c r="G761" s="33"/>
      <c r="H761" s="33"/>
      <c r="I761" s="33"/>
      <c r="J761" s="33"/>
      <c r="K761" s="33"/>
      <c r="L761" s="33"/>
      <c r="M761" s="33"/>
      <c r="N761" s="33"/>
      <c r="O761" s="34"/>
    </row>
    <row r="762" spans="5:15">
      <c r="E762" s="33"/>
      <c r="F762" s="33"/>
      <c r="G762" s="33"/>
      <c r="H762" s="33"/>
      <c r="I762" s="33"/>
      <c r="J762" s="33"/>
      <c r="K762" s="33"/>
      <c r="L762" s="33"/>
      <c r="M762" s="33"/>
      <c r="N762" s="33"/>
      <c r="O762" s="34"/>
    </row>
    <row r="763" spans="5:15">
      <c r="E763" s="33"/>
      <c r="F763" s="33"/>
      <c r="G763" s="33"/>
      <c r="H763" s="33"/>
      <c r="I763" s="33"/>
      <c r="J763" s="33"/>
      <c r="K763" s="33"/>
      <c r="L763" s="33"/>
      <c r="M763" s="33"/>
      <c r="N763" s="33"/>
      <c r="O763" s="34"/>
    </row>
    <row r="764" spans="5:15">
      <c r="E764" s="33"/>
      <c r="F764" s="33"/>
      <c r="G764" s="33"/>
      <c r="H764" s="33"/>
      <c r="I764" s="33"/>
      <c r="J764" s="33"/>
      <c r="K764" s="33"/>
      <c r="L764" s="33"/>
      <c r="M764" s="33"/>
      <c r="N764" s="33"/>
      <c r="O764" s="34"/>
    </row>
    <row r="765" spans="5:15">
      <c r="E765" s="33"/>
      <c r="F765" s="33"/>
      <c r="G765" s="33"/>
      <c r="H765" s="33"/>
      <c r="I765" s="33"/>
      <c r="J765" s="33"/>
      <c r="K765" s="33"/>
      <c r="L765" s="33"/>
      <c r="M765" s="33"/>
      <c r="N765" s="33"/>
      <c r="O765" s="34"/>
    </row>
    <row r="766" spans="5:15">
      <c r="E766" s="33"/>
      <c r="F766" s="33"/>
      <c r="G766" s="33"/>
      <c r="H766" s="33"/>
      <c r="I766" s="33"/>
      <c r="J766" s="33"/>
      <c r="K766" s="33"/>
      <c r="L766" s="33"/>
      <c r="M766" s="33"/>
      <c r="N766" s="33"/>
      <c r="O766" s="34"/>
    </row>
    <row r="767" spans="5:15">
      <c r="E767" s="33"/>
      <c r="F767" s="33"/>
      <c r="G767" s="33"/>
      <c r="H767" s="33"/>
      <c r="I767" s="33"/>
      <c r="J767" s="33"/>
      <c r="K767" s="33"/>
      <c r="L767" s="33"/>
      <c r="M767" s="33"/>
      <c r="N767" s="33"/>
      <c r="O767" s="34"/>
    </row>
    <row r="768" spans="5:15">
      <c r="E768" s="33"/>
      <c r="F768" s="33"/>
      <c r="G768" s="33"/>
      <c r="H768" s="33"/>
      <c r="I768" s="33"/>
      <c r="J768" s="33"/>
      <c r="K768" s="33"/>
      <c r="L768" s="33"/>
      <c r="M768" s="33"/>
      <c r="N768" s="33"/>
      <c r="O768" s="34"/>
    </row>
    <row r="769" spans="5:15">
      <c r="E769" s="33"/>
      <c r="F769" s="33"/>
      <c r="G769" s="33"/>
      <c r="H769" s="33"/>
      <c r="I769" s="33"/>
      <c r="J769" s="33"/>
      <c r="K769" s="33"/>
      <c r="L769" s="33"/>
      <c r="M769" s="33"/>
      <c r="N769" s="33"/>
      <c r="O769" s="34"/>
    </row>
    <row r="770" spans="5:15">
      <c r="E770" s="33"/>
      <c r="F770" s="33"/>
      <c r="G770" s="33"/>
      <c r="H770" s="33"/>
      <c r="I770" s="33"/>
      <c r="J770" s="33"/>
      <c r="K770" s="33"/>
      <c r="L770" s="33"/>
      <c r="M770" s="33"/>
      <c r="N770" s="33"/>
      <c r="O770" s="34"/>
    </row>
    <row r="771" spans="5:15"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4"/>
    </row>
    <row r="772" spans="5:15"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4"/>
    </row>
    <row r="773" spans="5:15"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4"/>
    </row>
    <row r="774" spans="5:15">
      <c r="E774" s="33"/>
      <c r="F774" s="33"/>
      <c r="G774" s="33"/>
      <c r="H774" s="33"/>
      <c r="I774" s="33"/>
      <c r="J774" s="33"/>
      <c r="K774" s="33"/>
      <c r="L774" s="33"/>
      <c r="M774" s="33"/>
      <c r="N774" s="33"/>
      <c r="O774" s="34"/>
    </row>
    <row r="775" spans="5:15">
      <c r="E775" s="33"/>
      <c r="F775" s="33"/>
      <c r="G775" s="33"/>
      <c r="H775" s="33"/>
      <c r="I775" s="33"/>
      <c r="J775" s="33"/>
      <c r="K775" s="33"/>
      <c r="L775" s="33"/>
      <c r="M775" s="33"/>
      <c r="N775" s="33"/>
      <c r="O775" s="34"/>
    </row>
    <row r="776" spans="5:15">
      <c r="E776" s="33"/>
      <c r="F776" s="33"/>
      <c r="G776" s="33"/>
      <c r="H776" s="33"/>
      <c r="I776" s="33"/>
      <c r="J776" s="33"/>
      <c r="K776" s="33"/>
      <c r="L776" s="33"/>
      <c r="M776" s="33"/>
      <c r="N776" s="33"/>
      <c r="O776" s="34"/>
    </row>
    <row r="777" spans="5:15">
      <c r="E777" s="33"/>
      <c r="F777" s="33"/>
      <c r="G777" s="33"/>
      <c r="H777" s="33"/>
      <c r="I777" s="33"/>
      <c r="J777" s="33"/>
      <c r="K777" s="33"/>
      <c r="L777" s="33"/>
      <c r="M777" s="33"/>
      <c r="N777" s="33"/>
      <c r="O777" s="34"/>
    </row>
    <row r="778" spans="5:15">
      <c r="E778" s="33"/>
      <c r="F778" s="33"/>
      <c r="G778" s="33"/>
      <c r="H778" s="33"/>
      <c r="I778" s="33"/>
      <c r="J778" s="33"/>
      <c r="K778" s="33"/>
      <c r="L778" s="33"/>
      <c r="M778" s="33"/>
      <c r="N778" s="33"/>
      <c r="O778" s="34"/>
    </row>
    <row r="779" spans="5:15">
      <c r="E779" s="33"/>
      <c r="F779" s="33"/>
      <c r="G779" s="33"/>
      <c r="H779" s="33"/>
      <c r="I779" s="33"/>
      <c r="J779" s="33"/>
      <c r="K779" s="33"/>
      <c r="L779" s="33"/>
      <c r="M779" s="33"/>
      <c r="N779" s="33"/>
      <c r="O779" s="34"/>
    </row>
    <row r="780" spans="5:15">
      <c r="E780" s="33"/>
      <c r="F780" s="33"/>
      <c r="G780" s="33"/>
      <c r="H780" s="33"/>
      <c r="I780" s="33"/>
      <c r="J780" s="33"/>
      <c r="K780" s="33"/>
      <c r="L780" s="33"/>
      <c r="M780" s="33"/>
      <c r="N780" s="33"/>
      <c r="O780" s="34"/>
    </row>
    <row r="781" spans="5:15">
      <c r="E781" s="33"/>
      <c r="F781" s="33"/>
      <c r="G781" s="33"/>
      <c r="H781" s="33"/>
      <c r="I781" s="33"/>
      <c r="J781" s="33"/>
      <c r="K781" s="33"/>
      <c r="L781" s="33"/>
      <c r="M781" s="33"/>
      <c r="N781" s="33"/>
      <c r="O781" s="34"/>
    </row>
    <row r="782" spans="5:15">
      <c r="E782" s="33"/>
      <c r="F782" s="33"/>
      <c r="G782" s="33"/>
      <c r="H782" s="33"/>
      <c r="I782" s="33"/>
      <c r="J782" s="33"/>
      <c r="K782" s="33"/>
      <c r="L782" s="33"/>
      <c r="M782" s="33"/>
      <c r="N782" s="33"/>
      <c r="O782" s="34"/>
    </row>
    <row r="783" spans="5:15">
      <c r="E783" s="33"/>
      <c r="F783" s="33"/>
      <c r="G783" s="33"/>
      <c r="H783" s="33"/>
      <c r="I783" s="33"/>
      <c r="J783" s="33"/>
      <c r="K783" s="33"/>
      <c r="L783" s="33"/>
      <c r="M783" s="33"/>
      <c r="N783" s="33"/>
      <c r="O783" s="34"/>
    </row>
    <row r="784" spans="5:15">
      <c r="E784" s="33"/>
      <c r="F784" s="33"/>
      <c r="G784" s="33"/>
      <c r="H784" s="33"/>
      <c r="I784" s="33"/>
      <c r="J784" s="33"/>
      <c r="K784" s="33"/>
      <c r="L784" s="33"/>
      <c r="M784" s="33"/>
      <c r="N784" s="33"/>
      <c r="O784" s="34"/>
    </row>
    <row r="785" spans="5:15">
      <c r="E785" s="33"/>
      <c r="F785" s="33"/>
      <c r="G785" s="33"/>
      <c r="H785" s="33"/>
      <c r="I785" s="33"/>
      <c r="J785" s="33"/>
      <c r="K785" s="33"/>
      <c r="L785" s="33"/>
      <c r="M785" s="33"/>
      <c r="N785" s="33"/>
      <c r="O785" s="34"/>
    </row>
    <row r="786" spans="5:15">
      <c r="E786" s="33"/>
      <c r="F786" s="33"/>
      <c r="G786" s="33"/>
      <c r="H786" s="33"/>
      <c r="I786" s="33"/>
      <c r="J786" s="33"/>
      <c r="K786" s="33"/>
      <c r="L786" s="33"/>
      <c r="M786" s="33"/>
      <c r="N786" s="33"/>
      <c r="O786" s="34"/>
    </row>
    <row r="787" spans="5:15">
      <c r="E787" s="33"/>
      <c r="F787" s="33"/>
      <c r="G787" s="33"/>
      <c r="H787" s="33"/>
      <c r="I787" s="33"/>
      <c r="J787" s="33"/>
      <c r="K787" s="33"/>
      <c r="L787" s="33"/>
      <c r="M787" s="33"/>
      <c r="N787" s="33"/>
      <c r="O787" s="34"/>
    </row>
    <row r="788" spans="5:15">
      <c r="E788" s="33"/>
      <c r="F788" s="33"/>
      <c r="G788" s="33"/>
      <c r="H788" s="33"/>
      <c r="I788" s="33"/>
      <c r="J788" s="33"/>
      <c r="K788" s="33"/>
      <c r="L788" s="33"/>
      <c r="M788" s="33"/>
      <c r="N788" s="33"/>
      <c r="O788" s="34"/>
    </row>
    <row r="789" spans="5:15">
      <c r="E789" s="33"/>
      <c r="F789" s="33"/>
      <c r="G789" s="33"/>
      <c r="H789" s="33"/>
      <c r="I789" s="33"/>
      <c r="J789" s="33"/>
      <c r="K789" s="33"/>
      <c r="L789" s="33"/>
      <c r="M789" s="33"/>
      <c r="N789" s="33"/>
      <c r="O789" s="34"/>
    </row>
    <row r="790" spans="5:15">
      <c r="E790" s="33"/>
      <c r="F790" s="33"/>
      <c r="G790" s="33"/>
      <c r="H790" s="33"/>
      <c r="I790" s="33"/>
      <c r="J790" s="33"/>
      <c r="K790" s="33"/>
      <c r="L790" s="33"/>
      <c r="M790" s="33"/>
      <c r="N790" s="33"/>
      <c r="O790" s="34"/>
    </row>
    <row r="791" spans="5:15">
      <c r="E791" s="33"/>
      <c r="F791" s="33"/>
      <c r="G791" s="33"/>
      <c r="H791" s="33"/>
      <c r="I791" s="33"/>
      <c r="J791" s="33"/>
      <c r="K791" s="33"/>
      <c r="L791" s="33"/>
      <c r="M791" s="33"/>
      <c r="N791" s="33"/>
      <c r="O791" s="34"/>
    </row>
    <row r="792" spans="5:15">
      <c r="E792" s="33"/>
      <c r="F792" s="33"/>
      <c r="G792" s="33"/>
      <c r="H792" s="33"/>
      <c r="I792" s="33"/>
      <c r="J792" s="33"/>
      <c r="K792" s="33"/>
      <c r="L792" s="33"/>
      <c r="M792" s="33"/>
      <c r="N792" s="33"/>
      <c r="O792" s="34"/>
    </row>
    <row r="793" spans="5:15">
      <c r="E793" s="33"/>
      <c r="F793" s="33"/>
      <c r="G793" s="33"/>
      <c r="H793" s="33"/>
      <c r="I793" s="33"/>
      <c r="J793" s="33"/>
      <c r="K793" s="33"/>
      <c r="L793" s="33"/>
      <c r="M793" s="33"/>
      <c r="N793" s="33"/>
      <c r="O793" s="34"/>
    </row>
    <row r="794" spans="5:15">
      <c r="E794" s="33"/>
      <c r="F794" s="33"/>
      <c r="G794" s="33"/>
      <c r="H794" s="33"/>
      <c r="I794" s="33"/>
      <c r="J794" s="33"/>
      <c r="K794" s="33"/>
      <c r="L794" s="33"/>
      <c r="M794" s="33"/>
      <c r="N794" s="33"/>
      <c r="O794" s="34"/>
    </row>
    <row r="795" spans="5:15">
      <c r="E795" s="33"/>
      <c r="F795" s="33"/>
      <c r="G795" s="33"/>
      <c r="H795" s="33"/>
      <c r="I795" s="33"/>
      <c r="J795" s="33"/>
      <c r="K795" s="33"/>
      <c r="L795" s="33"/>
      <c r="M795" s="33"/>
      <c r="N795" s="33"/>
      <c r="O795" s="34"/>
    </row>
    <row r="796" spans="5:15">
      <c r="E796" s="33"/>
      <c r="F796" s="33"/>
      <c r="G796" s="33"/>
      <c r="H796" s="33"/>
      <c r="I796" s="33"/>
      <c r="J796" s="33"/>
      <c r="K796" s="33"/>
      <c r="L796" s="33"/>
      <c r="M796" s="33"/>
      <c r="N796" s="33"/>
      <c r="O796" s="34"/>
    </row>
    <row r="797" spans="5:15">
      <c r="E797" s="33"/>
      <c r="F797" s="33"/>
      <c r="G797" s="33"/>
      <c r="H797" s="33"/>
      <c r="I797" s="33"/>
      <c r="J797" s="33"/>
      <c r="K797" s="33"/>
      <c r="L797" s="33"/>
      <c r="M797" s="33"/>
      <c r="N797" s="33"/>
      <c r="O797" s="34"/>
    </row>
    <row r="798" spans="5:15">
      <c r="E798" s="33"/>
      <c r="F798" s="33"/>
      <c r="G798" s="33"/>
      <c r="H798" s="33"/>
      <c r="I798" s="33"/>
      <c r="J798" s="33"/>
      <c r="K798" s="33"/>
      <c r="L798" s="33"/>
      <c r="M798" s="33"/>
      <c r="N798" s="33"/>
      <c r="O798" s="34"/>
    </row>
    <row r="799" spans="5:15">
      <c r="E799" s="33"/>
      <c r="F799" s="33"/>
      <c r="G799" s="33"/>
      <c r="H799" s="33"/>
      <c r="I799" s="33"/>
      <c r="J799" s="33"/>
      <c r="K799" s="33"/>
      <c r="L799" s="33"/>
      <c r="M799" s="33"/>
      <c r="N799" s="33"/>
      <c r="O799" s="34"/>
    </row>
    <row r="800" spans="5:15">
      <c r="E800" s="33"/>
      <c r="F800" s="33"/>
      <c r="G800" s="33"/>
      <c r="H800" s="33"/>
      <c r="I800" s="33"/>
      <c r="J800" s="33"/>
      <c r="K800" s="33"/>
      <c r="L800" s="33"/>
      <c r="M800" s="33"/>
      <c r="N800" s="33"/>
      <c r="O800" s="34"/>
    </row>
    <row r="801" spans="5:15">
      <c r="E801" s="33"/>
      <c r="F801" s="33"/>
      <c r="G801" s="33"/>
      <c r="H801" s="33"/>
      <c r="I801" s="33"/>
      <c r="J801" s="33"/>
      <c r="K801" s="33"/>
      <c r="L801" s="33"/>
      <c r="M801" s="33"/>
      <c r="N801" s="33"/>
      <c r="O801" s="34"/>
    </row>
    <row r="802" spans="5:15">
      <c r="E802" s="33"/>
      <c r="F802" s="33"/>
      <c r="G802" s="33"/>
      <c r="H802" s="33"/>
      <c r="I802" s="33"/>
      <c r="J802" s="33"/>
      <c r="K802" s="33"/>
      <c r="L802" s="33"/>
      <c r="M802" s="33"/>
      <c r="N802" s="33"/>
      <c r="O802" s="34"/>
    </row>
    <row r="803" spans="5:15">
      <c r="E803" s="33"/>
      <c r="F803" s="33"/>
      <c r="G803" s="33"/>
      <c r="H803" s="33"/>
      <c r="I803" s="33"/>
      <c r="J803" s="33"/>
      <c r="K803" s="33"/>
      <c r="L803" s="33"/>
      <c r="M803" s="33"/>
      <c r="N803" s="33"/>
      <c r="O803" s="34"/>
    </row>
    <row r="804" spans="5:15">
      <c r="E804" s="33"/>
      <c r="F804" s="33"/>
      <c r="G804" s="33"/>
      <c r="H804" s="33"/>
      <c r="I804" s="33"/>
      <c r="J804" s="33"/>
      <c r="K804" s="33"/>
      <c r="L804" s="33"/>
      <c r="M804" s="33"/>
      <c r="N804" s="33"/>
      <c r="O804" s="34"/>
    </row>
    <row r="805" spans="5:15">
      <c r="E805" s="33"/>
      <c r="F805" s="33"/>
      <c r="G805" s="33"/>
      <c r="H805" s="33"/>
      <c r="I805" s="33"/>
      <c r="J805" s="33"/>
      <c r="K805" s="33"/>
      <c r="L805" s="33"/>
      <c r="M805" s="33"/>
      <c r="N805" s="33"/>
      <c r="O805" s="34"/>
    </row>
    <row r="806" spans="5:15">
      <c r="E806" s="33"/>
      <c r="F806" s="33"/>
      <c r="G806" s="33"/>
      <c r="H806" s="33"/>
      <c r="I806" s="33"/>
      <c r="J806" s="33"/>
      <c r="K806" s="33"/>
      <c r="L806" s="33"/>
      <c r="M806" s="33"/>
      <c r="N806" s="33"/>
      <c r="O806" s="34"/>
    </row>
    <row r="807" spans="5:15">
      <c r="E807" s="33"/>
      <c r="F807" s="33"/>
      <c r="G807" s="33"/>
      <c r="H807" s="33"/>
      <c r="I807" s="33"/>
      <c r="J807" s="33"/>
      <c r="K807" s="33"/>
      <c r="L807" s="33"/>
      <c r="M807" s="33"/>
      <c r="N807" s="33"/>
      <c r="O807" s="34"/>
    </row>
    <row r="808" spans="5:15">
      <c r="E808" s="33"/>
      <c r="F808" s="33"/>
      <c r="G808" s="33"/>
      <c r="H808" s="33"/>
      <c r="I808" s="33"/>
      <c r="J808" s="33"/>
      <c r="K808" s="33"/>
      <c r="L808" s="33"/>
      <c r="M808" s="33"/>
      <c r="N808" s="33"/>
      <c r="O808" s="34"/>
    </row>
    <row r="809" spans="5:15">
      <c r="E809" s="33"/>
      <c r="F809" s="33"/>
      <c r="G809" s="33"/>
      <c r="H809" s="33"/>
      <c r="I809" s="33"/>
      <c r="J809" s="33"/>
      <c r="K809" s="33"/>
      <c r="L809" s="33"/>
      <c r="M809" s="33"/>
      <c r="N809" s="33"/>
      <c r="O809" s="34"/>
    </row>
    <row r="810" spans="5:15">
      <c r="E810" s="33"/>
      <c r="F810" s="33"/>
      <c r="G810" s="33"/>
      <c r="H810" s="33"/>
      <c r="I810" s="33"/>
      <c r="J810" s="33"/>
      <c r="K810" s="33"/>
      <c r="L810" s="33"/>
      <c r="M810" s="33"/>
      <c r="N810" s="33"/>
      <c r="O810" s="34"/>
    </row>
    <row r="811" spans="5:15">
      <c r="E811" s="33"/>
      <c r="F811" s="33"/>
      <c r="G811" s="33"/>
      <c r="H811" s="33"/>
      <c r="I811" s="33"/>
      <c r="J811" s="33"/>
      <c r="K811" s="33"/>
      <c r="L811" s="33"/>
      <c r="M811" s="33"/>
      <c r="N811" s="33"/>
      <c r="O811" s="34"/>
    </row>
    <row r="812" spans="5:15">
      <c r="E812" s="33"/>
      <c r="F812" s="33"/>
      <c r="G812" s="33"/>
      <c r="H812" s="33"/>
      <c r="I812" s="33"/>
      <c r="J812" s="33"/>
      <c r="K812" s="33"/>
      <c r="L812" s="33"/>
      <c r="M812" s="33"/>
      <c r="N812" s="33"/>
      <c r="O812" s="34"/>
    </row>
    <row r="813" spans="5:15">
      <c r="E813" s="33"/>
      <c r="F813" s="33"/>
      <c r="G813" s="33"/>
      <c r="H813" s="33"/>
      <c r="I813" s="33"/>
      <c r="J813" s="33"/>
      <c r="K813" s="33"/>
      <c r="L813" s="33"/>
      <c r="M813" s="33"/>
      <c r="N813" s="33"/>
      <c r="O813" s="34"/>
    </row>
    <row r="814" spans="5:15">
      <c r="E814" s="33"/>
      <c r="F814" s="33"/>
      <c r="G814" s="33"/>
      <c r="H814" s="33"/>
      <c r="I814" s="33"/>
      <c r="J814" s="33"/>
      <c r="K814" s="33"/>
      <c r="L814" s="33"/>
      <c r="M814" s="33"/>
      <c r="N814" s="33"/>
      <c r="O814" s="34"/>
    </row>
    <row r="815" spans="5:15">
      <c r="E815" s="33"/>
      <c r="F815" s="33"/>
      <c r="G815" s="33"/>
      <c r="H815" s="33"/>
      <c r="I815" s="33"/>
      <c r="J815" s="33"/>
      <c r="K815" s="33"/>
      <c r="L815" s="33"/>
      <c r="M815" s="33"/>
      <c r="N815" s="33"/>
      <c r="O815" s="34"/>
    </row>
    <row r="816" spans="5:15">
      <c r="E816" s="33"/>
      <c r="F816" s="33"/>
      <c r="G816" s="33"/>
      <c r="H816" s="33"/>
      <c r="I816" s="33"/>
      <c r="J816" s="33"/>
      <c r="K816" s="33"/>
      <c r="L816" s="33"/>
      <c r="M816" s="33"/>
      <c r="N816" s="33"/>
      <c r="O816" s="34"/>
    </row>
    <row r="817" spans="5:15">
      <c r="E817" s="33"/>
      <c r="F817" s="33"/>
      <c r="G817" s="33"/>
      <c r="H817" s="33"/>
      <c r="I817" s="33"/>
      <c r="J817" s="33"/>
      <c r="K817" s="33"/>
      <c r="L817" s="33"/>
      <c r="M817" s="33"/>
      <c r="N817" s="33"/>
      <c r="O817" s="34"/>
    </row>
    <row r="818" spans="5:15">
      <c r="E818" s="33"/>
      <c r="F818" s="33"/>
      <c r="G818" s="33"/>
      <c r="H818" s="33"/>
      <c r="I818" s="33"/>
      <c r="J818" s="33"/>
      <c r="K818" s="33"/>
      <c r="L818" s="33"/>
      <c r="M818" s="33"/>
      <c r="N818" s="33"/>
      <c r="O818" s="34"/>
    </row>
    <row r="819" spans="5:15">
      <c r="E819" s="33"/>
      <c r="F819" s="33"/>
      <c r="G819" s="33"/>
      <c r="H819" s="33"/>
      <c r="I819" s="33"/>
      <c r="J819" s="33"/>
      <c r="K819" s="33"/>
      <c r="L819" s="33"/>
      <c r="M819" s="33"/>
      <c r="N819" s="33"/>
      <c r="O819" s="34"/>
    </row>
    <row r="820" spans="5:15">
      <c r="E820" s="33"/>
      <c r="F820" s="33"/>
      <c r="G820" s="33"/>
      <c r="H820" s="33"/>
      <c r="I820" s="33"/>
      <c r="J820" s="33"/>
      <c r="K820" s="33"/>
      <c r="L820" s="33"/>
      <c r="M820" s="33"/>
      <c r="N820" s="33"/>
      <c r="O820" s="34"/>
    </row>
    <row r="821" spans="5:15">
      <c r="E821" s="33"/>
      <c r="F821" s="33"/>
      <c r="G821" s="33"/>
      <c r="H821" s="33"/>
      <c r="I821" s="33"/>
      <c r="J821" s="33"/>
      <c r="K821" s="33"/>
      <c r="L821" s="33"/>
      <c r="M821" s="33"/>
      <c r="N821" s="33"/>
      <c r="O821" s="34"/>
    </row>
    <row r="822" spans="5:15">
      <c r="E822" s="33"/>
      <c r="F822" s="33"/>
      <c r="G822" s="33"/>
      <c r="H822" s="33"/>
      <c r="I822" s="33"/>
      <c r="J822" s="33"/>
      <c r="K822" s="33"/>
      <c r="L822" s="33"/>
      <c r="M822" s="33"/>
      <c r="N822" s="33"/>
      <c r="O822" s="34"/>
    </row>
    <row r="823" spans="5:15">
      <c r="E823" s="33"/>
      <c r="F823" s="33"/>
      <c r="G823" s="33"/>
      <c r="H823" s="33"/>
      <c r="I823" s="33"/>
      <c r="J823" s="33"/>
      <c r="K823" s="33"/>
      <c r="L823" s="33"/>
      <c r="M823" s="33"/>
      <c r="N823" s="33"/>
      <c r="O823" s="34"/>
    </row>
    <row r="824" spans="5:15">
      <c r="E824" s="33"/>
      <c r="F824" s="33"/>
      <c r="G824" s="33"/>
      <c r="H824" s="33"/>
      <c r="I824" s="33"/>
      <c r="J824" s="33"/>
      <c r="K824" s="33"/>
      <c r="L824" s="33"/>
      <c r="M824" s="33"/>
      <c r="N824" s="33"/>
      <c r="O824" s="34"/>
    </row>
    <row r="825" spans="5:15">
      <c r="E825" s="33"/>
      <c r="F825" s="33"/>
      <c r="G825" s="33"/>
      <c r="H825" s="33"/>
      <c r="I825" s="33"/>
      <c r="J825" s="33"/>
      <c r="K825" s="33"/>
      <c r="L825" s="33"/>
      <c r="M825" s="33"/>
      <c r="N825" s="33"/>
      <c r="O825" s="34"/>
    </row>
    <row r="826" spans="5:15">
      <c r="E826" s="33"/>
      <c r="F826" s="33"/>
      <c r="G826" s="33"/>
      <c r="H826" s="33"/>
      <c r="I826" s="33"/>
      <c r="J826" s="33"/>
      <c r="K826" s="33"/>
      <c r="L826" s="33"/>
      <c r="M826" s="33"/>
      <c r="N826" s="33"/>
      <c r="O826" s="34"/>
    </row>
    <row r="827" spans="5:15">
      <c r="E827" s="33"/>
      <c r="F827" s="33"/>
      <c r="G827" s="33"/>
      <c r="H827" s="33"/>
      <c r="I827" s="33"/>
      <c r="J827" s="33"/>
      <c r="K827" s="33"/>
      <c r="L827" s="33"/>
      <c r="M827" s="33"/>
      <c r="N827" s="33"/>
      <c r="O827" s="34"/>
    </row>
    <row r="828" spans="5:15">
      <c r="E828" s="33"/>
      <c r="F828" s="33"/>
      <c r="G828" s="33"/>
      <c r="H828" s="33"/>
      <c r="I828" s="33"/>
      <c r="J828" s="33"/>
      <c r="K828" s="33"/>
      <c r="L828" s="33"/>
      <c r="M828" s="33"/>
      <c r="N828" s="33"/>
      <c r="O828" s="34"/>
    </row>
    <row r="829" spans="5:15">
      <c r="E829" s="33"/>
      <c r="F829" s="33"/>
      <c r="G829" s="33"/>
      <c r="H829" s="33"/>
      <c r="I829" s="33"/>
      <c r="J829" s="33"/>
      <c r="K829" s="33"/>
      <c r="L829" s="33"/>
      <c r="M829" s="33"/>
      <c r="N829" s="33"/>
      <c r="O829" s="34"/>
    </row>
    <row r="830" spans="5:15">
      <c r="E830" s="33"/>
      <c r="F830" s="33"/>
      <c r="G830" s="33"/>
      <c r="H830" s="33"/>
      <c r="I830" s="33"/>
      <c r="J830" s="33"/>
      <c r="K830" s="33"/>
      <c r="L830" s="33"/>
      <c r="M830" s="33"/>
      <c r="N830" s="33"/>
      <c r="O830" s="34"/>
    </row>
    <row r="831" spans="5:15">
      <c r="E831" s="33"/>
      <c r="F831" s="33"/>
      <c r="G831" s="33"/>
      <c r="H831" s="33"/>
      <c r="I831" s="33"/>
      <c r="J831" s="33"/>
      <c r="K831" s="33"/>
      <c r="L831" s="33"/>
      <c r="M831" s="33"/>
      <c r="N831" s="33"/>
      <c r="O831" s="34"/>
    </row>
    <row r="832" spans="5:15">
      <c r="E832" s="33"/>
      <c r="F832" s="33"/>
      <c r="G832" s="33"/>
      <c r="H832" s="33"/>
      <c r="I832" s="33"/>
      <c r="J832" s="33"/>
      <c r="K832" s="33"/>
      <c r="L832" s="33"/>
      <c r="M832" s="33"/>
      <c r="N832" s="33"/>
      <c r="O832" s="34"/>
    </row>
    <row r="833" spans="5:15">
      <c r="E833" s="33"/>
      <c r="F833" s="33"/>
      <c r="G833" s="33"/>
      <c r="H833" s="33"/>
      <c r="I833" s="33"/>
      <c r="J833" s="33"/>
      <c r="K833" s="33"/>
      <c r="L833" s="33"/>
      <c r="M833" s="33"/>
      <c r="N833" s="33"/>
      <c r="O833" s="34"/>
    </row>
    <row r="834" spans="5:15">
      <c r="E834" s="33"/>
      <c r="F834" s="33"/>
      <c r="G834" s="33"/>
      <c r="H834" s="33"/>
      <c r="I834" s="33"/>
      <c r="J834" s="33"/>
      <c r="K834" s="33"/>
      <c r="L834" s="33"/>
      <c r="M834" s="33"/>
      <c r="N834" s="33"/>
      <c r="O834" s="34"/>
    </row>
    <row r="835" spans="5:15">
      <c r="E835" s="33"/>
      <c r="F835" s="33"/>
      <c r="G835" s="33"/>
      <c r="H835" s="33"/>
      <c r="I835" s="33"/>
      <c r="J835" s="33"/>
      <c r="K835" s="33"/>
      <c r="L835" s="33"/>
      <c r="M835" s="33"/>
      <c r="N835" s="33"/>
      <c r="O835" s="34"/>
    </row>
    <row r="836" spans="5:15">
      <c r="E836" s="33"/>
      <c r="F836" s="33"/>
      <c r="G836" s="33"/>
      <c r="H836" s="33"/>
      <c r="I836" s="33"/>
      <c r="J836" s="33"/>
      <c r="K836" s="33"/>
      <c r="L836" s="33"/>
      <c r="M836" s="33"/>
      <c r="N836" s="33"/>
      <c r="O836" s="34"/>
    </row>
    <row r="837" spans="5:15">
      <c r="E837" s="33"/>
      <c r="F837" s="33"/>
      <c r="G837" s="33"/>
      <c r="H837" s="33"/>
      <c r="I837" s="33"/>
      <c r="J837" s="33"/>
      <c r="K837" s="33"/>
      <c r="L837" s="33"/>
      <c r="M837" s="33"/>
      <c r="N837" s="33"/>
      <c r="O837" s="34"/>
    </row>
    <row r="838" spans="5:15">
      <c r="E838" s="33"/>
      <c r="F838" s="33"/>
      <c r="G838" s="33"/>
      <c r="H838" s="33"/>
      <c r="I838" s="33"/>
      <c r="J838" s="33"/>
      <c r="K838" s="33"/>
      <c r="L838" s="33"/>
      <c r="M838" s="33"/>
      <c r="N838" s="33"/>
      <c r="O838" s="34"/>
    </row>
    <row r="839" spans="5:15">
      <c r="E839" s="33"/>
      <c r="F839" s="33"/>
      <c r="G839" s="33"/>
      <c r="H839" s="33"/>
      <c r="I839" s="33"/>
      <c r="J839" s="33"/>
      <c r="K839" s="33"/>
      <c r="L839" s="33"/>
      <c r="M839" s="33"/>
      <c r="N839" s="33"/>
      <c r="O839" s="34"/>
    </row>
    <row r="840" spans="5:15">
      <c r="E840" s="33"/>
      <c r="F840" s="33"/>
      <c r="G840" s="33"/>
      <c r="H840" s="33"/>
      <c r="I840" s="33"/>
      <c r="J840" s="33"/>
      <c r="K840" s="33"/>
      <c r="L840" s="33"/>
      <c r="M840" s="33"/>
      <c r="N840" s="33"/>
      <c r="O840" s="34"/>
    </row>
    <row r="841" spans="5:15">
      <c r="E841" s="33"/>
      <c r="F841" s="33"/>
      <c r="G841" s="33"/>
      <c r="H841" s="33"/>
      <c r="I841" s="33"/>
      <c r="J841" s="33"/>
      <c r="K841" s="33"/>
      <c r="L841" s="33"/>
      <c r="M841" s="33"/>
      <c r="N841" s="33"/>
      <c r="O841" s="34"/>
    </row>
    <row r="842" spans="5:15">
      <c r="E842" s="33"/>
      <c r="F842" s="33"/>
      <c r="G842" s="33"/>
      <c r="H842" s="33"/>
      <c r="I842" s="33"/>
      <c r="J842" s="33"/>
      <c r="K842" s="33"/>
      <c r="L842" s="33"/>
      <c r="M842" s="33"/>
      <c r="N842" s="33"/>
      <c r="O842" s="34"/>
    </row>
    <row r="843" spans="5:15">
      <c r="E843" s="33"/>
      <c r="F843" s="33"/>
      <c r="G843" s="33"/>
      <c r="H843" s="33"/>
      <c r="I843" s="33"/>
      <c r="J843" s="33"/>
      <c r="K843" s="33"/>
      <c r="L843" s="33"/>
      <c r="M843" s="33"/>
      <c r="N843" s="33"/>
      <c r="O843" s="34"/>
    </row>
    <row r="844" spans="5:15">
      <c r="E844" s="33"/>
      <c r="F844" s="33"/>
      <c r="G844" s="33"/>
      <c r="H844" s="33"/>
      <c r="I844" s="33"/>
      <c r="J844" s="33"/>
      <c r="K844" s="33"/>
      <c r="L844" s="33"/>
      <c r="M844" s="33"/>
      <c r="N844" s="33"/>
      <c r="O844" s="34"/>
    </row>
    <row r="845" spans="5:15">
      <c r="E845" s="33"/>
      <c r="F845" s="33"/>
      <c r="G845" s="33"/>
      <c r="H845" s="33"/>
      <c r="I845" s="33"/>
      <c r="J845" s="33"/>
      <c r="K845" s="33"/>
      <c r="L845" s="33"/>
      <c r="M845" s="33"/>
      <c r="N845" s="33"/>
      <c r="O845" s="34"/>
    </row>
    <row r="846" spans="5:15">
      <c r="E846" s="33"/>
      <c r="F846" s="33"/>
      <c r="G846" s="33"/>
      <c r="H846" s="33"/>
      <c r="I846" s="33"/>
      <c r="J846" s="33"/>
      <c r="K846" s="33"/>
      <c r="L846" s="33"/>
      <c r="M846" s="33"/>
      <c r="N846" s="33"/>
      <c r="O846" s="34"/>
    </row>
    <row r="847" spans="5:15">
      <c r="E847" s="33"/>
      <c r="F847" s="33"/>
      <c r="G847" s="33"/>
      <c r="H847" s="33"/>
      <c r="I847" s="33"/>
      <c r="J847" s="33"/>
      <c r="K847" s="33"/>
      <c r="L847" s="33"/>
      <c r="M847" s="33"/>
      <c r="N847" s="33"/>
      <c r="O847" s="34"/>
    </row>
    <row r="848" spans="5:15">
      <c r="E848" s="33"/>
      <c r="F848" s="33"/>
      <c r="G848" s="33"/>
      <c r="H848" s="33"/>
      <c r="I848" s="33"/>
      <c r="J848" s="33"/>
      <c r="K848" s="33"/>
      <c r="L848" s="33"/>
      <c r="M848" s="33"/>
      <c r="N848" s="33"/>
      <c r="O848" s="34"/>
    </row>
    <row r="849" spans="5:15">
      <c r="E849" s="33"/>
      <c r="F849" s="33"/>
      <c r="G849" s="33"/>
      <c r="H849" s="33"/>
      <c r="I849" s="33"/>
      <c r="J849" s="33"/>
      <c r="K849" s="33"/>
      <c r="L849" s="33"/>
      <c r="M849" s="33"/>
      <c r="N849" s="33"/>
      <c r="O849" s="34"/>
    </row>
    <row r="850" spans="5:15">
      <c r="E850" s="33"/>
      <c r="F850" s="33"/>
      <c r="G850" s="33"/>
      <c r="H850" s="33"/>
      <c r="I850" s="33"/>
      <c r="J850" s="33"/>
      <c r="K850" s="33"/>
      <c r="L850" s="33"/>
      <c r="M850" s="33"/>
      <c r="N850" s="33"/>
      <c r="O850" s="34"/>
    </row>
    <row r="851" spans="5:15">
      <c r="E851" s="33"/>
      <c r="F851" s="33"/>
      <c r="G851" s="33"/>
      <c r="H851" s="33"/>
      <c r="I851" s="33"/>
      <c r="J851" s="33"/>
      <c r="K851" s="33"/>
      <c r="L851" s="33"/>
      <c r="M851" s="33"/>
      <c r="N851" s="33"/>
      <c r="O851" s="34"/>
    </row>
    <row r="852" spans="5:15">
      <c r="E852" s="33"/>
      <c r="F852" s="33"/>
      <c r="G852" s="33"/>
      <c r="H852" s="33"/>
      <c r="I852" s="33"/>
      <c r="J852" s="33"/>
      <c r="K852" s="33"/>
      <c r="L852" s="33"/>
      <c r="M852" s="33"/>
      <c r="N852" s="33"/>
      <c r="O852" s="34"/>
    </row>
    <row r="853" spans="5:15">
      <c r="E853" s="33"/>
      <c r="F853" s="33"/>
      <c r="G853" s="33"/>
      <c r="H853" s="33"/>
      <c r="I853" s="33"/>
      <c r="J853" s="33"/>
      <c r="K853" s="33"/>
      <c r="L853" s="33"/>
      <c r="M853" s="33"/>
      <c r="N853" s="33"/>
      <c r="O853" s="34"/>
    </row>
    <row r="854" spans="5:15">
      <c r="E854" s="33"/>
      <c r="F854" s="33"/>
      <c r="G854" s="33"/>
      <c r="H854" s="33"/>
      <c r="I854" s="33"/>
      <c r="J854" s="33"/>
      <c r="K854" s="33"/>
      <c r="L854" s="33"/>
      <c r="M854" s="33"/>
      <c r="N854" s="33"/>
      <c r="O854" s="34"/>
    </row>
    <row r="855" spans="5:15">
      <c r="E855" s="33"/>
      <c r="F855" s="33"/>
      <c r="G855" s="33"/>
      <c r="H855" s="33"/>
      <c r="I855" s="33"/>
      <c r="J855" s="33"/>
      <c r="K855" s="33"/>
      <c r="L855" s="33"/>
      <c r="M855" s="33"/>
      <c r="N855" s="33"/>
      <c r="O855" s="34"/>
    </row>
    <row r="856" spans="5:15">
      <c r="E856" s="33"/>
      <c r="F856" s="33"/>
      <c r="G856" s="33"/>
      <c r="H856" s="33"/>
      <c r="I856" s="33"/>
      <c r="J856" s="33"/>
      <c r="K856" s="33"/>
      <c r="L856" s="33"/>
      <c r="M856" s="33"/>
      <c r="N856" s="33"/>
      <c r="O856" s="34"/>
    </row>
    <row r="857" spans="5:15">
      <c r="E857" s="33"/>
      <c r="F857" s="33"/>
      <c r="G857" s="33"/>
      <c r="H857" s="33"/>
      <c r="I857" s="33"/>
      <c r="J857" s="33"/>
      <c r="K857" s="33"/>
      <c r="L857" s="33"/>
      <c r="M857" s="33"/>
      <c r="N857" s="33"/>
      <c r="O857" s="34"/>
    </row>
    <row r="858" spans="5:15">
      <c r="E858" s="33"/>
      <c r="F858" s="33"/>
      <c r="G858" s="33"/>
      <c r="H858" s="33"/>
      <c r="I858" s="33"/>
      <c r="J858" s="33"/>
      <c r="K858" s="33"/>
      <c r="L858" s="33"/>
      <c r="M858" s="33"/>
      <c r="N858" s="33"/>
      <c r="O858" s="34"/>
    </row>
    <row r="859" spans="5:15">
      <c r="E859" s="33"/>
      <c r="F859" s="33"/>
      <c r="G859" s="33"/>
      <c r="H859" s="33"/>
      <c r="I859" s="33"/>
      <c r="J859" s="33"/>
      <c r="K859" s="33"/>
      <c r="L859" s="33"/>
      <c r="M859" s="33"/>
      <c r="N859" s="33"/>
      <c r="O859" s="34"/>
    </row>
    <row r="860" spans="5:15">
      <c r="E860" s="33"/>
      <c r="F860" s="33"/>
      <c r="G860" s="33"/>
      <c r="H860" s="33"/>
      <c r="I860" s="33"/>
      <c r="J860" s="33"/>
      <c r="K860" s="33"/>
      <c r="L860" s="33"/>
      <c r="M860" s="33"/>
      <c r="N860" s="33"/>
      <c r="O860" s="34"/>
    </row>
    <row r="861" spans="5:15">
      <c r="E861" s="33"/>
      <c r="F861" s="33"/>
      <c r="G861" s="33"/>
      <c r="H861" s="33"/>
      <c r="I861" s="33"/>
      <c r="J861" s="33"/>
      <c r="K861" s="33"/>
      <c r="L861" s="33"/>
      <c r="M861" s="33"/>
      <c r="N861" s="33"/>
      <c r="O861" s="34"/>
    </row>
    <row r="862" spans="5:15">
      <c r="E862" s="33"/>
      <c r="F862" s="33"/>
      <c r="G862" s="33"/>
      <c r="H862" s="33"/>
      <c r="I862" s="33"/>
      <c r="J862" s="33"/>
      <c r="K862" s="33"/>
      <c r="L862" s="33"/>
      <c r="M862" s="33"/>
      <c r="N862" s="33"/>
      <c r="O862" s="34"/>
    </row>
    <row r="863" spans="5:15">
      <c r="E863" s="33"/>
      <c r="F863" s="33"/>
      <c r="G863" s="33"/>
      <c r="H863" s="33"/>
      <c r="I863" s="33"/>
      <c r="J863" s="33"/>
      <c r="K863" s="33"/>
      <c r="L863" s="33"/>
      <c r="M863" s="33"/>
      <c r="N863" s="33"/>
      <c r="O863" s="34"/>
    </row>
    <row r="864" spans="5:15">
      <c r="E864" s="33"/>
      <c r="F864" s="33"/>
      <c r="G864" s="33"/>
      <c r="H864" s="33"/>
      <c r="I864" s="33"/>
      <c r="J864" s="33"/>
      <c r="K864" s="33"/>
      <c r="L864" s="33"/>
      <c r="M864" s="33"/>
      <c r="N864" s="33"/>
      <c r="O864" s="34"/>
    </row>
    <row r="865" spans="5:15">
      <c r="E865" s="33"/>
      <c r="F865" s="33"/>
      <c r="G865" s="33"/>
      <c r="H865" s="33"/>
      <c r="I865" s="33"/>
      <c r="J865" s="33"/>
      <c r="K865" s="33"/>
      <c r="L865" s="33"/>
      <c r="M865" s="33"/>
      <c r="N865" s="33"/>
      <c r="O865" s="34"/>
    </row>
    <row r="866" spans="5:15">
      <c r="E866" s="33"/>
      <c r="F866" s="33"/>
      <c r="G866" s="33"/>
      <c r="H866" s="33"/>
      <c r="I866" s="33"/>
      <c r="J866" s="33"/>
      <c r="K866" s="33"/>
      <c r="L866" s="33"/>
      <c r="M866" s="33"/>
      <c r="N866" s="33"/>
      <c r="O866" s="34"/>
    </row>
    <row r="867" spans="5:15">
      <c r="E867" s="33"/>
      <c r="F867" s="33"/>
      <c r="G867" s="33"/>
      <c r="H867" s="33"/>
      <c r="I867" s="33"/>
      <c r="J867" s="33"/>
      <c r="K867" s="33"/>
      <c r="L867" s="33"/>
      <c r="M867" s="33"/>
      <c r="N867" s="33"/>
      <c r="O867" s="34"/>
    </row>
    <row r="868" spans="5:15">
      <c r="E868" s="33"/>
      <c r="F868" s="33"/>
      <c r="G868" s="33"/>
      <c r="H868" s="33"/>
      <c r="I868" s="33"/>
      <c r="J868" s="33"/>
      <c r="K868" s="33"/>
      <c r="L868" s="33"/>
      <c r="M868" s="33"/>
      <c r="N868" s="33"/>
      <c r="O868" s="34"/>
    </row>
    <row r="869" spans="5:15">
      <c r="E869" s="33"/>
      <c r="F869" s="33"/>
      <c r="G869" s="33"/>
      <c r="H869" s="33"/>
      <c r="I869" s="33"/>
      <c r="J869" s="33"/>
      <c r="K869" s="33"/>
      <c r="L869" s="33"/>
      <c r="M869" s="33"/>
      <c r="N869" s="33"/>
      <c r="O869" s="34"/>
    </row>
    <row r="870" spans="5:15">
      <c r="E870" s="33"/>
      <c r="F870" s="33"/>
      <c r="G870" s="33"/>
      <c r="H870" s="33"/>
      <c r="I870" s="33"/>
      <c r="J870" s="33"/>
      <c r="K870" s="33"/>
      <c r="L870" s="33"/>
      <c r="M870" s="33"/>
      <c r="N870" s="33"/>
      <c r="O870" s="34"/>
    </row>
    <row r="871" spans="5:15">
      <c r="E871" s="33"/>
      <c r="F871" s="33"/>
      <c r="G871" s="33"/>
      <c r="H871" s="33"/>
      <c r="I871" s="33"/>
      <c r="J871" s="33"/>
      <c r="K871" s="33"/>
      <c r="L871" s="33"/>
      <c r="M871" s="33"/>
      <c r="N871" s="33"/>
      <c r="O871" s="34"/>
    </row>
    <row r="872" spans="5:15">
      <c r="E872" s="33"/>
      <c r="F872" s="33"/>
      <c r="G872" s="33"/>
      <c r="H872" s="33"/>
      <c r="I872" s="33"/>
      <c r="J872" s="33"/>
      <c r="K872" s="33"/>
      <c r="L872" s="33"/>
      <c r="M872" s="33"/>
      <c r="N872" s="33"/>
      <c r="O872" s="34"/>
    </row>
    <row r="873" spans="5:15">
      <c r="E873" s="33"/>
      <c r="F873" s="33"/>
      <c r="G873" s="33"/>
      <c r="H873" s="33"/>
      <c r="I873" s="33"/>
      <c r="J873" s="33"/>
      <c r="K873" s="33"/>
      <c r="L873" s="33"/>
      <c r="M873" s="33"/>
      <c r="N873" s="33"/>
      <c r="O873" s="34"/>
    </row>
    <row r="874" spans="5:15">
      <c r="E874" s="33"/>
      <c r="F874" s="33"/>
      <c r="G874" s="33"/>
      <c r="H874" s="33"/>
      <c r="I874" s="33"/>
      <c r="J874" s="33"/>
      <c r="K874" s="33"/>
      <c r="L874" s="33"/>
      <c r="M874" s="33"/>
      <c r="N874" s="33"/>
      <c r="O874" s="34"/>
    </row>
    <row r="875" spans="5:15">
      <c r="E875" s="33"/>
      <c r="F875" s="33"/>
      <c r="G875" s="33"/>
      <c r="H875" s="33"/>
      <c r="I875" s="33"/>
      <c r="J875" s="33"/>
      <c r="K875" s="33"/>
      <c r="L875" s="33"/>
      <c r="M875" s="33"/>
      <c r="N875" s="33"/>
      <c r="O875" s="34"/>
    </row>
    <row r="876" spans="5:15">
      <c r="E876" s="33"/>
      <c r="F876" s="33"/>
      <c r="G876" s="33"/>
      <c r="H876" s="33"/>
      <c r="I876" s="33"/>
      <c r="J876" s="33"/>
      <c r="K876" s="33"/>
      <c r="L876" s="33"/>
      <c r="M876" s="33"/>
      <c r="N876" s="33"/>
      <c r="O876" s="34"/>
    </row>
    <row r="877" spans="5:15">
      <c r="E877" s="33"/>
      <c r="F877" s="33"/>
      <c r="G877" s="33"/>
      <c r="H877" s="33"/>
      <c r="I877" s="33"/>
      <c r="J877" s="33"/>
      <c r="K877" s="33"/>
      <c r="L877" s="33"/>
      <c r="M877" s="33"/>
      <c r="N877" s="33"/>
      <c r="O877" s="34"/>
    </row>
    <row r="878" spans="5:15">
      <c r="E878" s="33"/>
      <c r="F878" s="33"/>
      <c r="G878" s="33"/>
      <c r="H878" s="33"/>
      <c r="I878" s="33"/>
      <c r="J878" s="33"/>
      <c r="K878" s="33"/>
      <c r="L878" s="33"/>
      <c r="M878" s="33"/>
      <c r="N878" s="33"/>
      <c r="O878" s="34"/>
    </row>
    <row r="879" spans="5:15">
      <c r="E879" s="33"/>
      <c r="F879" s="33"/>
      <c r="G879" s="33"/>
      <c r="H879" s="33"/>
      <c r="I879" s="33"/>
      <c r="J879" s="33"/>
      <c r="K879" s="33"/>
      <c r="L879" s="33"/>
      <c r="M879" s="33"/>
      <c r="N879" s="33"/>
      <c r="O879" s="34"/>
    </row>
    <row r="880" spans="5:15">
      <c r="E880" s="33"/>
      <c r="F880" s="33"/>
      <c r="G880" s="33"/>
      <c r="H880" s="33"/>
      <c r="I880" s="33"/>
      <c r="J880" s="33"/>
      <c r="K880" s="33"/>
      <c r="L880" s="33"/>
      <c r="M880" s="33"/>
      <c r="N880" s="33"/>
      <c r="O880" s="34"/>
    </row>
    <row r="881" spans="5:15">
      <c r="E881" s="33"/>
      <c r="F881" s="33"/>
      <c r="G881" s="33"/>
      <c r="H881" s="33"/>
      <c r="I881" s="33"/>
      <c r="J881" s="33"/>
      <c r="K881" s="33"/>
      <c r="L881" s="33"/>
      <c r="M881" s="33"/>
      <c r="N881" s="33"/>
      <c r="O881" s="34"/>
    </row>
    <row r="882" spans="5:15">
      <c r="E882" s="33"/>
      <c r="F882" s="33"/>
      <c r="G882" s="33"/>
      <c r="H882" s="33"/>
      <c r="I882" s="33"/>
      <c r="J882" s="33"/>
      <c r="K882" s="33"/>
      <c r="L882" s="33"/>
      <c r="M882" s="33"/>
      <c r="N882" s="33"/>
      <c r="O882" s="34"/>
    </row>
    <row r="883" spans="5:15">
      <c r="E883" s="33"/>
      <c r="F883" s="33"/>
      <c r="G883" s="33"/>
      <c r="H883" s="33"/>
      <c r="I883" s="33"/>
      <c r="J883" s="33"/>
      <c r="K883" s="33"/>
      <c r="L883" s="33"/>
      <c r="M883" s="33"/>
      <c r="N883" s="33"/>
      <c r="O883" s="34"/>
    </row>
    <row r="884" spans="5:15">
      <c r="E884" s="33"/>
      <c r="F884" s="33"/>
      <c r="G884" s="33"/>
      <c r="H884" s="33"/>
      <c r="I884" s="33"/>
      <c r="J884" s="33"/>
      <c r="K884" s="33"/>
      <c r="L884" s="33"/>
      <c r="M884" s="33"/>
      <c r="N884" s="33"/>
      <c r="O884" s="34"/>
    </row>
    <row r="885" spans="5:15">
      <c r="E885" s="33"/>
      <c r="F885" s="33"/>
      <c r="G885" s="33"/>
      <c r="H885" s="33"/>
      <c r="I885" s="33"/>
      <c r="J885" s="33"/>
      <c r="K885" s="33"/>
      <c r="L885" s="33"/>
      <c r="M885" s="33"/>
      <c r="N885" s="33"/>
      <c r="O885" s="34"/>
    </row>
    <row r="886" spans="5:15">
      <c r="E886" s="33"/>
      <c r="F886" s="33"/>
      <c r="G886" s="33"/>
      <c r="H886" s="33"/>
      <c r="I886" s="33"/>
      <c r="J886" s="33"/>
      <c r="K886" s="33"/>
      <c r="L886" s="33"/>
      <c r="M886" s="33"/>
      <c r="N886" s="33"/>
      <c r="O886" s="34"/>
    </row>
    <row r="887" spans="5:15">
      <c r="E887" s="33"/>
      <c r="F887" s="33"/>
      <c r="G887" s="33"/>
      <c r="H887" s="33"/>
      <c r="I887" s="33"/>
      <c r="J887" s="33"/>
      <c r="K887" s="33"/>
      <c r="L887" s="33"/>
      <c r="M887" s="33"/>
      <c r="N887" s="33"/>
      <c r="O887" s="34"/>
    </row>
    <row r="888" spans="5:15">
      <c r="E888" s="33"/>
      <c r="F888" s="33"/>
      <c r="G888" s="33"/>
      <c r="H888" s="33"/>
      <c r="I888" s="33"/>
      <c r="J888" s="33"/>
      <c r="K888" s="33"/>
      <c r="L888" s="33"/>
      <c r="M888" s="33"/>
      <c r="N888" s="33"/>
      <c r="O888" s="34"/>
    </row>
    <row r="889" spans="5:15">
      <c r="E889" s="33"/>
      <c r="F889" s="33"/>
      <c r="G889" s="33"/>
      <c r="H889" s="33"/>
      <c r="I889" s="33"/>
      <c r="J889" s="33"/>
      <c r="K889" s="33"/>
      <c r="L889" s="33"/>
      <c r="M889" s="33"/>
      <c r="N889" s="33"/>
      <c r="O889" s="34"/>
    </row>
    <row r="890" spans="5:15">
      <c r="E890" s="33"/>
      <c r="F890" s="33"/>
      <c r="G890" s="33"/>
      <c r="H890" s="33"/>
      <c r="I890" s="33"/>
      <c r="J890" s="33"/>
      <c r="K890" s="33"/>
      <c r="L890" s="33"/>
      <c r="M890" s="33"/>
      <c r="N890" s="33"/>
      <c r="O890" s="34"/>
    </row>
    <row r="891" spans="5:15">
      <c r="E891" s="33"/>
      <c r="F891" s="33"/>
      <c r="G891" s="33"/>
      <c r="H891" s="33"/>
      <c r="I891" s="33"/>
      <c r="J891" s="33"/>
      <c r="K891" s="33"/>
      <c r="L891" s="33"/>
      <c r="M891" s="33"/>
      <c r="N891" s="33"/>
      <c r="O891" s="34"/>
    </row>
    <row r="892" spans="5:15">
      <c r="E892" s="33"/>
      <c r="F892" s="33"/>
      <c r="G892" s="33"/>
      <c r="H892" s="33"/>
      <c r="I892" s="33"/>
      <c r="J892" s="33"/>
      <c r="K892" s="33"/>
      <c r="L892" s="33"/>
      <c r="M892" s="33"/>
      <c r="N892" s="33"/>
      <c r="O892" s="34"/>
    </row>
    <row r="893" spans="5:15">
      <c r="E893" s="33"/>
      <c r="F893" s="33"/>
      <c r="G893" s="33"/>
      <c r="H893" s="33"/>
      <c r="I893" s="33"/>
      <c r="J893" s="33"/>
      <c r="K893" s="33"/>
      <c r="L893" s="33"/>
      <c r="M893" s="33"/>
      <c r="N893" s="33"/>
      <c r="O893" s="34"/>
    </row>
    <row r="894" spans="5:15">
      <c r="E894" s="33"/>
      <c r="F894" s="33"/>
      <c r="G894" s="33"/>
      <c r="H894" s="33"/>
      <c r="I894" s="33"/>
      <c r="J894" s="33"/>
      <c r="K894" s="33"/>
      <c r="L894" s="33"/>
      <c r="M894" s="33"/>
      <c r="N894" s="33"/>
      <c r="O894" s="34"/>
    </row>
    <row r="895" spans="5:15">
      <c r="E895" s="33"/>
      <c r="F895" s="33"/>
      <c r="G895" s="33"/>
      <c r="H895" s="33"/>
      <c r="I895" s="33"/>
      <c r="J895" s="33"/>
      <c r="K895" s="33"/>
      <c r="L895" s="33"/>
      <c r="M895" s="33"/>
      <c r="N895" s="33"/>
      <c r="O895" s="34"/>
    </row>
    <row r="896" spans="5:15">
      <c r="E896" s="33"/>
      <c r="F896" s="33"/>
      <c r="G896" s="33"/>
      <c r="H896" s="33"/>
      <c r="I896" s="33"/>
      <c r="J896" s="33"/>
      <c r="K896" s="33"/>
      <c r="L896" s="33"/>
      <c r="M896" s="33"/>
      <c r="N896" s="33"/>
      <c r="O896" s="34"/>
    </row>
    <row r="897" spans="5:15">
      <c r="E897" s="33"/>
      <c r="F897" s="33"/>
      <c r="G897" s="33"/>
      <c r="H897" s="33"/>
      <c r="I897" s="33"/>
      <c r="J897" s="33"/>
      <c r="K897" s="33"/>
      <c r="L897" s="33"/>
      <c r="M897" s="33"/>
      <c r="N897" s="33"/>
      <c r="O897" s="34"/>
    </row>
    <row r="898" spans="5:15">
      <c r="E898" s="33"/>
      <c r="F898" s="33"/>
      <c r="G898" s="33"/>
      <c r="H898" s="33"/>
      <c r="I898" s="33"/>
      <c r="J898" s="33"/>
      <c r="K898" s="33"/>
      <c r="L898" s="33"/>
      <c r="M898" s="33"/>
      <c r="N898" s="33"/>
      <c r="O898" s="34"/>
    </row>
    <row r="899" spans="5:15">
      <c r="E899" s="33"/>
      <c r="F899" s="33"/>
      <c r="G899" s="33"/>
      <c r="H899" s="33"/>
      <c r="I899" s="33"/>
      <c r="J899" s="33"/>
      <c r="K899" s="33"/>
      <c r="L899" s="33"/>
      <c r="M899" s="33"/>
      <c r="N899" s="33"/>
      <c r="O899" s="34"/>
    </row>
    <row r="900" spans="5:15">
      <c r="E900" s="33"/>
      <c r="F900" s="33"/>
      <c r="G900" s="33"/>
      <c r="H900" s="33"/>
      <c r="I900" s="33"/>
      <c r="J900" s="33"/>
      <c r="K900" s="33"/>
      <c r="L900" s="33"/>
      <c r="M900" s="33"/>
      <c r="N900" s="33"/>
      <c r="O900" s="34"/>
    </row>
    <row r="901" spans="5:15">
      <c r="E901" s="33"/>
      <c r="F901" s="33"/>
      <c r="G901" s="33"/>
      <c r="H901" s="33"/>
      <c r="I901" s="33"/>
      <c r="J901" s="33"/>
      <c r="K901" s="33"/>
      <c r="L901" s="33"/>
      <c r="M901" s="33"/>
      <c r="N901" s="33"/>
      <c r="O901" s="34"/>
    </row>
    <row r="902" spans="5:15">
      <c r="E902" s="33"/>
      <c r="F902" s="33"/>
      <c r="G902" s="33"/>
      <c r="H902" s="33"/>
      <c r="I902" s="33"/>
      <c r="J902" s="33"/>
      <c r="K902" s="33"/>
      <c r="L902" s="33"/>
      <c r="M902" s="33"/>
      <c r="N902" s="33"/>
      <c r="O902" s="34"/>
    </row>
    <row r="903" spans="5:15">
      <c r="E903" s="33"/>
      <c r="F903" s="33"/>
      <c r="G903" s="33"/>
      <c r="H903" s="33"/>
      <c r="I903" s="33"/>
      <c r="J903" s="33"/>
      <c r="K903" s="33"/>
      <c r="L903" s="33"/>
      <c r="M903" s="33"/>
      <c r="N903" s="33"/>
      <c r="O903" s="34"/>
    </row>
    <row r="904" spans="5:15">
      <c r="E904" s="33"/>
      <c r="F904" s="33"/>
      <c r="G904" s="33"/>
      <c r="H904" s="33"/>
      <c r="I904" s="33"/>
      <c r="J904" s="33"/>
      <c r="K904" s="33"/>
      <c r="L904" s="33"/>
      <c r="M904" s="33"/>
      <c r="N904" s="33"/>
      <c r="O904" s="34"/>
    </row>
    <row r="905" spans="5:15">
      <c r="E905" s="33"/>
      <c r="F905" s="33"/>
      <c r="G905" s="33"/>
      <c r="H905" s="33"/>
      <c r="I905" s="33"/>
      <c r="J905" s="33"/>
      <c r="K905" s="33"/>
      <c r="L905" s="33"/>
      <c r="M905" s="33"/>
      <c r="N905" s="33"/>
      <c r="O905" s="34"/>
    </row>
    <row r="906" spans="5:15">
      <c r="E906" s="33"/>
      <c r="F906" s="33"/>
      <c r="G906" s="33"/>
      <c r="H906" s="33"/>
      <c r="I906" s="33"/>
      <c r="J906" s="33"/>
      <c r="K906" s="33"/>
      <c r="L906" s="33"/>
      <c r="M906" s="33"/>
      <c r="N906" s="33"/>
      <c r="O906" s="34"/>
    </row>
    <row r="907" spans="5:15">
      <c r="E907" s="33"/>
      <c r="F907" s="33"/>
      <c r="G907" s="33"/>
      <c r="H907" s="33"/>
      <c r="I907" s="33"/>
      <c r="J907" s="33"/>
      <c r="K907" s="33"/>
      <c r="L907" s="33"/>
      <c r="M907" s="33"/>
      <c r="N907" s="33"/>
      <c r="O907" s="34"/>
    </row>
    <row r="908" spans="5:15">
      <c r="E908" s="33"/>
      <c r="F908" s="33"/>
      <c r="G908" s="33"/>
      <c r="H908" s="33"/>
      <c r="I908" s="33"/>
      <c r="J908" s="33"/>
      <c r="K908" s="33"/>
      <c r="L908" s="33"/>
      <c r="M908" s="33"/>
      <c r="N908" s="33"/>
      <c r="O908" s="34"/>
    </row>
    <row r="909" spans="5:15">
      <c r="E909" s="33"/>
      <c r="F909" s="33"/>
      <c r="G909" s="33"/>
      <c r="H909" s="33"/>
      <c r="I909" s="33"/>
      <c r="J909" s="33"/>
      <c r="K909" s="33"/>
      <c r="L909" s="33"/>
      <c r="M909" s="33"/>
      <c r="N909" s="33"/>
      <c r="O909" s="34"/>
    </row>
    <row r="910" spans="5:15">
      <c r="E910" s="33"/>
      <c r="F910" s="33"/>
      <c r="G910" s="33"/>
      <c r="H910" s="33"/>
      <c r="I910" s="33"/>
      <c r="J910" s="33"/>
      <c r="K910" s="33"/>
      <c r="L910" s="33"/>
      <c r="M910" s="33"/>
      <c r="N910" s="33"/>
      <c r="O910" s="34"/>
    </row>
    <row r="911" spans="5:15">
      <c r="E911" s="33"/>
      <c r="F911" s="33"/>
      <c r="G911" s="33"/>
      <c r="H911" s="33"/>
      <c r="I911" s="33"/>
      <c r="J911" s="33"/>
      <c r="K911" s="33"/>
      <c r="L911" s="33"/>
      <c r="M911" s="33"/>
      <c r="N911" s="33"/>
      <c r="O911" s="34"/>
    </row>
    <row r="912" spans="5:15">
      <c r="E912" s="33"/>
      <c r="F912" s="33"/>
      <c r="G912" s="33"/>
      <c r="H912" s="33"/>
      <c r="I912" s="33"/>
      <c r="J912" s="33"/>
      <c r="K912" s="33"/>
      <c r="L912" s="33"/>
      <c r="M912" s="33"/>
      <c r="N912" s="33"/>
      <c r="O912" s="34"/>
    </row>
    <row r="913" spans="5:15">
      <c r="E913" s="33"/>
      <c r="F913" s="33"/>
      <c r="G913" s="33"/>
      <c r="H913" s="33"/>
      <c r="I913" s="33"/>
      <c r="J913" s="33"/>
      <c r="K913" s="33"/>
      <c r="L913" s="33"/>
      <c r="M913" s="33"/>
      <c r="N913" s="33"/>
      <c r="O913" s="34"/>
    </row>
    <row r="914" spans="5:15">
      <c r="E914" s="33"/>
      <c r="F914" s="33"/>
      <c r="G914" s="33"/>
      <c r="H914" s="33"/>
      <c r="I914" s="33"/>
      <c r="J914" s="33"/>
      <c r="K914" s="33"/>
      <c r="L914" s="33"/>
      <c r="M914" s="33"/>
      <c r="N914" s="33"/>
      <c r="O914" s="34"/>
    </row>
    <row r="915" spans="5:15">
      <c r="E915" s="33"/>
      <c r="F915" s="33"/>
      <c r="G915" s="33"/>
      <c r="H915" s="33"/>
      <c r="I915" s="33"/>
      <c r="J915" s="33"/>
      <c r="K915" s="33"/>
      <c r="L915" s="33"/>
      <c r="M915" s="33"/>
      <c r="N915" s="33"/>
      <c r="O915" s="34"/>
    </row>
    <row r="916" spans="5:15">
      <c r="E916" s="33"/>
      <c r="F916" s="33"/>
      <c r="G916" s="33"/>
      <c r="H916" s="33"/>
      <c r="I916" s="33"/>
      <c r="J916" s="33"/>
      <c r="K916" s="33"/>
      <c r="L916" s="33"/>
      <c r="M916" s="33"/>
      <c r="N916" s="33"/>
      <c r="O916" s="34"/>
    </row>
    <row r="917" spans="5:15">
      <c r="E917" s="33"/>
      <c r="F917" s="33"/>
      <c r="G917" s="33"/>
      <c r="H917" s="33"/>
      <c r="I917" s="33"/>
      <c r="J917" s="33"/>
      <c r="K917" s="33"/>
      <c r="L917" s="33"/>
      <c r="M917" s="33"/>
      <c r="N917" s="33"/>
      <c r="O917" s="34"/>
    </row>
    <row r="918" spans="5:15">
      <c r="E918" s="33"/>
      <c r="F918" s="33"/>
      <c r="G918" s="33"/>
      <c r="H918" s="33"/>
      <c r="I918" s="33"/>
      <c r="J918" s="33"/>
      <c r="K918" s="33"/>
      <c r="L918" s="33"/>
      <c r="M918" s="33"/>
      <c r="N918" s="33"/>
      <c r="O918" s="34"/>
    </row>
    <row r="919" spans="5:15">
      <c r="E919" s="33"/>
      <c r="F919" s="33"/>
      <c r="G919" s="33"/>
      <c r="H919" s="33"/>
      <c r="I919" s="33"/>
      <c r="J919" s="33"/>
      <c r="K919" s="33"/>
      <c r="L919" s="33"/>
      <c r="M919" s="33"/>
      <c r="N919" s="33"/>
      <c r="O919" s="34"/>
    </row>
    <row r="920" spans="5:15">
      <c r="E920" s="33"/>
      <c r="F920" s="33"/>
      <c r="G920" s="33"/>
      <c r="H920" s="33"/>
      <c r="I920" s="33"/>
      <c r="J920" s="33"/>
      <c r="K920" s="33"/>
      <c r="L920" s="33"/>
      <c r="M920" s="33"/>
      <c r="N920" s="33"/>
      <c r="O920" s="34"/>
    </row>
    <row r="921" spans="5:15">
      <c r="E921" s="33"/>
      <c r="F921" s="33"/>
      <c r="G921" s="33"/>
      <c r="H921" s="33"/>
      <c r="I921" s="33"/>
      <c r="J921" s="33"/>
      <c r="K921" s="33"/>
      <c r="L921" s="33"/>
      <c r="M921" s="33"/>
      <c r="N921" s="33"/>
      <c r="O921" s="34"/>
    </row>
    <row r="922" spans="5:15">
      <c r="E922" s="33"/>
      <c r="F922" s="33"/>
      <c r="G922" s="33"/>
      <c r="H922" s="33"/>
      <c r="I922" s="33"/>
      <c r="J922" s="33"/>
      <c r="K922" s="33"/>
      <c r="L922" s="33"/>
      <c r="M922" s="33"/>
      <c r="N922" s="33"/>
      <c r="O922" s="34"/>
    </row>
    <row r="923" spans="5:15">
      <c r="E923" s="33"/>
      <c r="F923" s="33"/>
      <c r="G923" s="33"/>
      <c r="H923" s="33"/>
      <c r="I923" s="33"/>
      <c r="J923" s="33"/>
      <c r="K923" s="33"/>
      <c r="L923" s="33"/>
      <c r="M923" s="33"/>
      <c r="N923" s="33"/>
      <c r="O923" s="34"/>
    </row>
    <row r="924" spans="5:15">
      <c r="E924" s="33"/>
      <c r="F924" s="33"/>
      <c r="G924" s="33"/>
      <c r="H924" s="33"/>
      <c r="I924" s="33"/>
      <c r="J924" s="33"/>
      <c r="K924" s="33"/>
      <c r="L924" s="33"/>
      <c r="M924" s="33"/>
      <c r="N924" s="33"/>
      <c r="O924" s="34"/>
    </row>
    <row r="925" spans="5:15">
      <c r="E925" s="33"/>
      <c r="F925" s="33"/>
      <c r="G925" s="33"/>
      <c r="H925" s="33"/>
      <c r="I925" s="33"/>
      <c r="J925" s="33"/>
      <c r="K925" s="33"/>
      <c r="L925" s="33"/>
      <c r="M925" s="33"/>
      <c r="N925" s="33"/>
      <c r="O925" s="34"/>
    </row>
    <row r="926" spans="5:15">
      <c r="E926" s="33"/>
      <c r="F926" s="33"/>
      <c r="G926" s="33"/>
      <c r="H926" s="33"/>
      <c r="I926" s="33"/>
      <c r="J926" s="33"/>
      <c r="K926" s="33"/>
      <c r="L926" s="33"/>
      <c r="M926" s="33"/>
      <c r="N926" s="33"/>
      <c r="O926" s="34"/>
    </row>
    <row r="927" spans="5:15">
      <c r="E927" s="33"/>
      <c r="F927" s="33"/>
      <c r="G927" s="33"/>
      <c r="H927" s="33"/>
      <c r="I927" s="33"/>
      <c r="J927" s="33"/>
      <c r="K927" s="33"/>
      <c r="L927" s="33"/>
      <c r="M927" s="33"/>
      <c r="N927" s="33"/>
      <c r="O927" s="34"/>
    </row>
    <row r="928" spans="5:15">
      <c r="E928" s="33"/>
      <c r="F928" s="33"/>
      <c r="G928" s="33"/>
      <c r="H928" s="33"/>
      <c r="I928" s="33"/>
      <c r="J928" s="33"/>
      <c r="K928" s="33"/>
      <c r="L928" s="33"/>
      <c r="M928" s="33"/>
      <c r="N928" s="33"/>
      <c r="O928" s="34"/>
    </row>
    <row r="929" spans="5:15">
      <c r="E929" s="33"/>
      <c r="F929" s="33"/>
      <c r="G929" s="33"/>
      <c r="H929" s="33"/>
      <c r="I929" s="33"/>
      <c r="J929" s="33"/>
      <c r="K929" s="33"/>
      <c r="L929" s="33"/>
      <c r="M929" s="33"/>
      <c r="N929" s="33"/>
      <c r="O929" s="34"/>
    </row>
    <row r="930" spans="5:15">
      <c r="E930" s="33"/>
      <c r="F930" s="33"/>
      <c r="G930" s="33"/>
      <c r="H930" s="33"/>
      <c r="I930" s="33"/>
      <c r="J930" s="33"/>
      <c r="K930" s="33"/>
      <c r="L930" s="33"/>
      <c r="M930" s="33"/>
      <c r="N930" s="33"/>
      <c r="O930" s="34"/>
    </row>
    <row r="931" spans="5:15">
      <c r="E931" s="33"/>
      <c r="F931" s="33"/>
      <c r="G931" s="33"/>
      <c r="H931" s="33"/>
      <c r="I931" s="33"/>
      <c r="J931" s="33"/>
      <c r="K931" s="33"/>
      <c r="L931" s="33"/>
      <c r="M931" s="33"/>
      <c r="N931" s="33"/>
      <c r="O931" s="34"/>
    </row>
    <row r="932" spans="5:15">
      <c r="E932" s="33"/>
      <c r="F932" s="33"/>
      <c r="G932" s="33"/>
      <c r="H932" s="33"/>
      <c r="I932" s="33"/>
      <c r="J932" s="33"/>
      <c r="K932" s="33"/>
      <c r="L932" s="33"/>
      <c r="M932" s="33"/>
      <c r="N932" s="33"/>
      <c r="O932" s="34"/>
    </row>
    <row r="933" spans="5:15">
      <c r="E933" s="33"/>
      <c r="F933" s="33"/>
      <c r="G933" s="33"/>
      <c r="H933" s="33"/>
      <c r="I933" s="33"/>
      <c r="J933" s="33"/>
      <c r="K933" s="33"/>
      <c r="L933" s="33"/>
      <c r="M933" s="33"/>
      <c r="N933" s="33"/>
      <c r="O933" s="34"/>
    </row>
    <row r="934" spans="5:15">
      <c r="E934" s="33"/>
      <c r="F934" s="33"/>
      <c r="G934" s="33"/>
      <c r="H934" s="33"/>
      <c r="I934" s="33"/>
      <c r="J934" s="33"/>
      <c r="K934" s="33"/>
      <c r="L934" s="33"/>
      <c r="M934" s="33"/>
      <c r="N934" s="33"/>
      <c r="O934" s="34"/>
    </row>
    <row r="935" spans="5:15">
      <c r="E935" s="33"/>
      <c r="F935" s="33"/>
      <c r="G935" s="33"/>
      <c r="H935" s="33"/>
      <c r="I935" s="33"/>
      <c r="J935" s="33"/>
      <c r="K935" s="33"/>
      <c r="L935" s="33"/>
      <c r="M935" s="33"/>
      <c r="N935" s="33"/>
      <c r="O935" s="34"/>
    </row>
    <row r="936" spans="5:15">
      <c r="E936" s="33"/>
      <c r="F936" s="33"/>
      <c r="G936" s="33"/>
      <c r="H936" s="33"/>
      <c r="I936" s="33"/>
      <c r="J936" s="33"/>
      <c r="K936" s="33"/>
      <c r="L936" s="33"/>
      <c r="M936" s="33"/>
      <c r="N936" s="33"/>
      <c r="O936" s="34"/>
    </row>
    <row r="937" spans="5:15">
      <c r="E937" s="33"/>
      <c r="F937" s="33"/>
      <c r="G937" s="33"/>
      <c r="H937" s="33"/>
      <c r="I937" s="33"/>
      <c r="J937" s="33"/>
      <c r="K937" s="33"/>
      <c r="L937" s="33"/>
      <c r="M937" s="33"/>
      <c r="N937" s="33"/>
      <c r="O937" s="34"/>
    </row>
    <row r="938" spans="5:15">
      <c r="E938" s="33"/>
      <c r="F938" s="33"/>
      <c r="G938" s="33"/>
      <c r="H938" s="33"/>
      <c r="I938" s="33"/>
      <c r="J938" s="33"/>
      <c r="K938" s="33"/>
      <c r="L938" s="33"/>
      <c r="M938" s="33"/>
      <c r="N938" s="33"/>
      <c r="O938" s="34"/>
    </row>
    <row r="939" spans="5:15">
      <c r="E939" s="33"/>
      <c r="F939" s="33"/>
      <c r="G939" s="33"/>
      <c r="H939" s="33"/>
      <c r="I939" s="33"/>
      <c r="J939" s="33"/>
      <c r="K939" s="33"/>
      <c r="L939" s="33"/>
      <c r="M939" s="33"/>
      <c r="N939" s="33"/>
      <c r="O939" s="34"/>
    </row>
    <row r="940" spans="5:15">
      <c r="E940" s="33"/>
      <c r="F940" s="33"/>
      <c r="G940" s="33"/>
      <c r="H940" s="33"/>
      <c r="I940" s="33"/>
      <c r="J940" s="33"/>
      <c r="K940" s="33"/>
      <c r="L940" s="33"/>
      <c r="M940" s="33"/>
      <c r="N940" s="33"/>
      <c r="O940" s="34"/>
    </row>
    <row r="941" spans="5:15">
      <c r="E941" s="33"/>
      <c r="F941" s="33"/>
      <c r="G941" s="33"/>
      <c r="H941" s="33"/>
      <c r="I941" s="33"/>
      <c r="J941" s="33"/>
      <c r="K941" s="33"/>
      <c r="L941" s="33"/>
      <c r="M941" s="33"/>
      <c r="N941" s="33"/>
      <c r="O941" s="34"/>
    </row>
    <row r="942" spans="5:15">
      <c r="E942" s="33"/>
      <c r="F942" s="33"/>
      <c r="G942" s="33"/>
      <c r="H942" s="33"/>
      <c r="I942" s="33"/>
      <c r="J942" s="33"/>
      <c r="K942" s="33"/>
      <c r="L942" s="33"/>
      <c r="M942" s="33"/>
      <c r="N942" s="33"/>
      <c r="O942" s="34"/>
    </row>
    <row r="943" spans="5:15">
      <c r="E943" s="33"/>
      <c r="F943" s="33"/>
      <c r="G943" s="33"/>
      <c r="H943" s="33"/>
      <c r="I943" s="33"/>
      <c r="J943" s="33"/>
      <c r="K943" s="33"/>
      <c r="L943" s="33"/>
      <c r="M943" s="33"/>
      <c r="N943" s="33"/>
      <c r="O943" s="34"/>
    </row>
    <row r="944" spans="5:15">
      <c r="E944" s="33"/>
      <c r="F944" s="33"/>
      <c r="G944" s="33"/>
      <c r="H944" s="33"/>
      <c r="I944" s="33"/>
      <c r="J944" s="33"/>
      <c r="K944" s="33"/>
      <c r="L944" s="33"/>
      <c r="M944" s="33"/>
      <c r="N944" s="33"/>
      <c r="O944" s="34"/>
    </row>
    <row r="945" spans="5:15">
      <c r="E945" s="33"/>
      <c r="F945" s="33"/>
      <c r="G945" s="33"/>
      <c r="H945" s="33"/>
      <c r="I945" s="33"/>
      <c r="J945" s="33"/>
      <c r="K945" s="33"/>
      <c r="L945" s="33"/>
      <c r="M945" s="33"/>
      <c r="N945" s="33"/>
      <c r="O945" s="34"/>
    </row>
    <row r="946" spans="5:15">
      <c r="E946" s="33"/>
      <c r="F946" s="33"/>
      <c r="G946" s="33"/>
      <c r="H946" s="33"/>
      <c r="I946" s="33"/>
      <c r="J946" s="33"/>
      <c r="K946" s="33"/>
      <c r="L946" s="33"/>
      <c r="M946" s="33"/>
      <c r="N946" s="33"/>
      <c r="O946" s="34"/>
    </row>
    <row r="947" spans="5:15">
      <c r="E947" s="33"/>
      <c r="F947" s="33"/>
      <c r="G947" s="33"/>
      <c r="H947" s="33"/>
      <c r="I947" s="33"/>
      <c r="J947" s="33"/>
      <c r="K947" s="33"/>
      <c r="L947" s="33"/>
      <c r="M947" s="33"/>
      <c r="N947" s="33"/>
      <c r="O947" s="34"/>
    </row>
    <row r="948" spans="5:15">
      <c r="E948" s="33"/>
      <c r="F948" s="33"/>
      <c r="G948" s="33"/>
      <c r="H948" s="33"/>
      <c r="I948" s="33"/>
      <c r="J948" s="33"/>
      <c r="K948" s="33"/>
      <c r="L948" s="33"/>
      <c r="M948" s="33"/>
      <c r="N948" s="33"/>
      <c r="O948" s="34"/>
    </row>
    <row r="949" spans="5:15">
      <c r="E949" s="33"/>
      <c r="F949" s="33"/>
      <c r="G949" s="33"/>
      <c r="H949" s="33"/>
      <c r="I949" s="33"/>
      <c r="J949" s="33"/>
      <c r="K949" s="33"/>
      <c r="L949" s="33"/>
      <c r="M949" s="33"/>
      <c r="N949" s="33"/>
      <c r="O949" s="34"/>
    </row>
    <row r="950" spans="5:15">
      <c r="E950" s="33"/>
      <c r="F950" s="33"/>
      <c r="G950" s="33"/>
      <c r="H950" s="33"/>
      <c r="I950" s="33"/>
      <c r="J950" s="33"/>
      <c r="K950" s="33"/>
      <c r="L950" s="33"/>
      <c r="M950" s="33"/>
      <c r="N950" s="33"/>
      <c r="O950" s="34"/>
    </row>
    <row r="951" spans="5:15">
      <c r="E951" s="33"/>
      <c r="F951" s="33"/>
      <c r="G951" s="33"/>
      <c r="H951" s="33"/>
      <c r="I951" s="33"/>
      <c r="J951" s="33"/>
      <c r="K951" s="33"/>
      <c r="L951" s="33"/>
      <c r="M951" s="33"/>
      <c r="N951" s="33"/>
      <c r="O951" s="34"/>
    </row>
    <row r="952" spans="5:15">
      <c r="E952" s="33"/>
      <c r="F952" s="33"/>
      <c r="G952" s="33"/>
      <c r="H952" s="33"/>
      <c r="I952" s="33"/>
      <c r="J952" s="33"/>
      <c r="K952" s="33"/>
      <c r="L952" s="33"/>
      <c r="M952" s="33"/>
      <c r="N952" s="33"/>
      <c r="O952" s="34"/>
    </row>
    <row r="953" spans="5:15">
      <c r="E953" s="33"/>
      <c r="F953" s="33"/>
      <c r="G953" s="33"/>
      <c r="H953" s="33"/>
      <c r="I953" s="33"/>
      <c r="J953" s="33"/>
      <c r="K953" s="33"/>
      <c r="L953" s="33"/>
      <c r="M953" s="33"/>
      <c r="N953" s="33"/>
      <c r="O953" s="34"/>
    </row>
    <row r="954" spans="5:15">
      <c r="E954" s="33"/>
      <c r="F954" s="33"/>
      <c r="G954" s="33"/>
      <c r="H954" s="33"/>
      <c r="I954" s="33"/>
      <c r="J954" s="33"/>
      <c r="K954" s="33"/>
      <c r="L954" s="33"/>
      <c r="M954" s="33"/>
      <c r="N954" s="33"/>
      <c r="O954" s="34"/>
    </row>
    <row r="955" spans="5:15">
      <c r="E955" s="33"/>
      <c r="F955" s="33"/>
      <c r="G955" s="33"/>
      <c r="H955" s="33"/>
      <c r="I955" s="33"/>
      <c r="J955" s="33"/>
      <c r="K955" s="33"/>
      <c r="L955" s="33"/>
      <c r="M955" s="33"/>
      <c r="N955" s="33"/>
      <c r="O955" s="34"/>
    </row>
    <row r="956" spans="5:15">
      <c r="E956" s="33"/>
      <c r="F956" s="33"/>
      <c r="G956" s="33"/>
      <c r="H956" s="33"/>
      <c r="I956" s="33"/>
      <c r="J956" s="33"/>
      <c r="K956" s="33"/>
      <c r="L956" s="33"/>
      <c r="M956" s="33"/>
      <c r="N956" s="33"/>
      <c r="O956" s="34"/>
    </row>
    <row r="957" spans="5:15">
      <c r="E957" s="33"/>
      <c r="F957" s="33"/>
      <c r="G957" s="33"/>
      <c r="H957" s="33"/>
      <c r="I957" s="33"/>
      <c r="J957" s="33"/>
      <c r="K957" s="33"/>
      <c r="L957" s="33"/>
      <c r="M957" s="33"/>
      <c r="N957" s="33"/>
      <c r="O957" s="34"/>
    </row>
    <row r="958" spans="5:15">
      <c r="E958" s="33"/>
      <c r="F958" s="33"/>
      <c r="G958" s="33"/>
      <c r="H958" s="33"/>
      <c r="I958" s="33"/>
      <c r="J958" s="33"/>
      <c r="K958" s="33"/>
      <c r="L958" s="33"/>
      <c r="M958" s="33"/>
      <c r="N958" s="33"/>
      <c r="O958" s="34"/>
    </row>
    <row r="959" spans="5:15">
      <c r="E959" s="33"/>
      <c r="F959" s="33"/>
      <c r="G959" s="33"/>
      <c r="H959" s="33"/>
      <c r="I959" s="33"/>
      <c r="J959" s="33"/>
      <c r="K959" s="33"/>
      <c r="L959" s="33"/>
      <c r="M959" s="33"/>
      <c r="N959" s="33"/>
      <c r="O959" s="34"/>
    </row>
    <row r="960" spans="5:15">
      <c r="E960" s="33"/>
      <c r="F960" s="33"/>
      <c r="G960" s="33"/>
      <c r="H960" s="33"/>
      <c r="I960" s="33"/>
      <c r="J960" s="33"/>
      <c r="K960" s="33"/>
      <c r="L960" s="33"/>
      <c r="M960" s="33"/>
      <c r="N960" s="33"/>
      <c r="O960" s="34"/>
    </row>
    <row r="961" spans="5:15">
      <c r="E961" s="33"/>
      <c r="F961" s="33"/>
      <c r="G961" s="33"/>
      <c r="H961" s="33"/>
      <c r="I961" s="33"/>
      <c r="J961" s="33"/>
      <c r="K961" s="33"/>
      <c r="L961" s="33"/>
      <c r="M961" s="33"/>
      <c r="N961" s="33"/>
      <c r="O961" s="34"/>
    </row>
    <row r="962" spans="5:15">
      <c r="E962" s="33"/>
      <c r="F962" s="33"/>
      <c r="G962" s="33"/>
      <c r="H962" s="33"/>
      <c r="I962" s="33"/>
      <c r="J962" s="33"/>
      <c r="K962" s="33"/>
      <c r="L962" s="33"/>
      <c r="M962" s="33"/>
      <c r="N962" s="33"/>
      <c r="O962" s="34"/>
    </row>
    <row r="963" spans="5:15">
      <c r="E963" s="33"/>
      <c r="F963" s="33"/>
      <c r="G963" s="33"/>
      <c r="H963" s="33"/>
      <c r="I963" s="33"/>
      <c r="J963" s="33"/>
      <c r="K963" s="33"/>
      <c r="L963" s="33"/>
      <c r="M963" s="33"/>
      <c r="N963" s="33"/>
      <c r="O963" s="34"/>
    </row>
    <row r="964" spans="5:15">
      <c r="E964" s="33"/>
      <c r="F964" s="33"/>
      <c r="G964" s="33"/>
      <c r="H964" s="33"/>
      <c r="I964" s="33"/>
      <c r="J964" s="33"/>
      <c r="K964" s="33"/>
      <c r="L964" s="33"/>
      <c r="M964" s="33"/>
      <c r="N964" s="33"/>
      <c r="O964" s="34"/>
    </row>
    <row r="965" spans="5:15">
      <c r="E965" s="33"/>
      <c r="F965" s="33"/>
      <c r="G965" s="33"/>
      <c r="H965" s="33"/>
      <c r="I965" s="33"/>
      <c r="J965" s="33"/>
      <c r="K965" s="33"/>
      <c r="L965" s="33"/>
      <c r="M965" s="33"/>
      <c r="N965" s="33"/>
      <c r="O965" s="34"/>
    </row>
    <row r="966" spans="5:15">
      <c r="E966" s="33"/>
      <c r="F966" s="33"/>
      <c r="G966" s="33"/>
      <c r="H966" s="33"/>
      <c r="I966" s="33"/>
      <c r="J966" s="33"/>
      <c r="K966" s="33"/>
      <c r="L966" s="33"/>
      <c r="M966" s="33"/>
      <c r="N966" s="33"/>
      <c r="O966" s="34"/>
    </row>
    <row r="967" spans="5:15">
      <c r="E967" s="33"/>
      <c r="F967" s="33"/>
      <c r="G967" s="33"/>
      <c r="H967" s="33"/>
      <c r="I967" s="33"/>
      <c r="J967" s="33"/>
      <c r="K967" s="33"/>
      <c r="L967" s="33"/>
      <c r="M967" s="33"/>
      <c r="N967" s="33"/>
      <c r="O967" s="34"/>
    </row>
    <row r="968" spans="5:15">
      <c r="E968" s="33"/>
      <c r="F968" s="33"/>
      <c r="G968" s="33"/>
      <c r="H968" s="33"/>
      <c r="I968" s="33"/>
      <c r="J968" s="33"/>
      <c r="K968" s="33"/>
      <c r="L968" s="33"/>
      <c r="M968" s="33"/>
      <c r="N968" s="33"/>
      <c r="O968" s="34"/>
    </row>
    <row r="969" spans="5:15">
      <c r="E969" s="33"/>
      <c r="F969" s="33"/>
      <c r="G969" s="33"/>
      <c r="H969" s="33"/>
      <c r="I969" s="33"/>
      <c r="J969" s="33"/>
      <c r="K969" s="33"/>
      <c r="L969" s="33"/>
      <c r="M969" s="33"/>
      <c r="N969" s="33"/>
      <c r="O969" s="34"/>
    </row>
    <row r="970" spans="5:15">
      <c r="E970" s="33"/>
      <c r="F970" s="33"/>
      <c r="G970" s="33"/>
      <c r="H970" s="33"/>
      <c r="I970" s="33"/>
      <c r="J970" s="33"/>
      <c r="K970" s="33"/>
      <c r="L970" s="33"/>
      <c r="M970" s="33"/>
      <c r="N970" s="33"/>
      <c r="O970" s="34"/>
    </row>
    <row r="971" spans="5:15">
      <c r="E971" s="33"/>
      <c r="F971" s="33"/>
      <c r="G971" s="33"/>
      <c r="H971" s="33"/>
      <c r="I971" s="33"/>
      <c r="J971" s="33"/>
      <c r="K971" s="33"/>
      <c r="L971" s="33"/>
      <c r="M971" s="33"/>
      <c r="N971" s="33"/>
      <c r="O971" s="34"/>
    </row>
    <row r="972" spans="5:15">
      <c r="E972" s="33"/>
      <c r="F972" s="33"/>
      <c r="G972" s="33"/>
      <c r="H972" s="33"/>
      <c r="I972" s="33"/>
      <c r="J972" s="33"/>
      <c r="K972" s="33"/>
      <c r="L972" s="33"/>
      <c r="M972" s="33"/>
      <c r="N972" s="33"/>
      <c r="O972" s="34"/>
    </row>
    <row r="973" spans="5:15">
      <c r="E973" s="33"/>
      <c r="F973" s="33"/>
      <c r="G973" s="33"/>
      <c r="H973" s="33"/>
      <c r="I973" s="33"/>
      <c r="J973" s="33"/>
      <c r="K973" s="33"/>
      <c r="L973" s="33"/>
      <c r="M973" s="33"/>
      <c r="N973" s="33"/>
      <c r="O973" s="34"/>
    </row>
    <row r="974" spans="5:15">
      <c r="E974" s="33"/>
      <c r="F974" s="33"/>
      <c r="G974" s="33"/>
      <c r="H974" s="33"/>
      <c r="I974" s="33"/>
      <c r="J974" s="33"/>
      <c r="K974" s="33"/>
      <c r="L974" s="33"/>
      <c r="M974" s="33"/>
      <c r="N974" s="33"/>
      <c r="O974" s="34"/>
    </row>
    <row r="975" spans="5:15">
      <c r="E975" s="33"/>
      <c r="F975" s="33"/>
      <c r="G975" s="33"/>
      <c r="H975" s="33"/>
      <c r="I975" s="33"/>
      <c r="J975" s="33"/>
      <c r="K975" s="33"/>
      <c r="L975" s="33"/>
      <c r="M975" s="33"/>
      <c r="N975" s="33"/>
      <c r="O975" s="34"/>
    </row>
    <row r="976" spans="5:15">
      <c r="E976" s="33"/>
      <c r="F976" s="33"/>
      <c r="G976" s="33"/>
      <c r="H976" s="33"/>
      <c r="I976" s="33"/>
      <c r="J976" s="33"/>
      <c r="K976" s="33"/>
      <c r="L976" s="33"/>
      <c r="M976" s="33"/>
      <c r="N976" s="33"/>
      <c r="O976" s="34"/>
    </row>
    <row r="977" spans="5:15">
      <c r="E977" s="33"/>
      <c r="F977" s="33"/>
      <c r="G977" s="33"/>
      <c r="H977" s="33"/>
      <c r="I977" s="33"/>
      <c r="J977" s="33"/>
      <c r="K977" s="33"/>
      <c r="L977" s="33"/>
      <c r="M977" s="33"/>
      <c r="N977" s="33"/>
      <c r="O977" s="34"/>
    </row>
    <row r="978" spans="5:15">
      <c r="E978" s="33"/>
      <c r="F978" s="33"/>
      <c r="G978" s="33"/>
      <c r="H978" s="33"/>
      <c r="I978" s="33"/>
      <c r="J978" s="33"/>
      <c r="K978" s="33"/>
      <c r="L978" s="33"/>
      <c r="M978" s="33"/>
      <c r="N978" s="33"/>
      <c r="O978" s="34"/>
    </row>
    <row r="979" spans="5:15">
      <c r="E979" s="33"/>
      <c r="F979" s="33"/>
      <c r="G979" s="33"/>
      <c r="H979" s="33"/>
      <c r="I979" s="33"/>
      <c r="J979" s="33"/>
      <c r="K979" s="33"/>
      <c r="L979" s="33"/>
      <c r="M979" s="33"/>
      <c r="N979" s="33"/>
      <c r="O979" s="34"/>
    </row>
    <row r="980" spans="5:15">
      <c r="E980" s="33"/>
      <c r="F980" s="33"/>
      <c r="G980" s="33"/>
      <c r="H980" s="33"/>
      <c r="I980" s="33"/>
      <c r="J980" s="33"/>
      <c r="K980" s="33"/>
      <c r="L980" s="33"/>
      <c r="M980" s="33"/>
      <c r="N980" s="33"/>
      <c r="O980" s="34"/>
    </row>
    <row r="981" spans="5:15">
      <c r="E981" s="33"/>
      <c r="F981" s="33"/>
      <c r="G981" s="33"/>
      <c r="H981" s="33"/>
      <c r="I981" s="33"/>
      <c r="J981" s="33"/>
      <c r="K981" s="33"/>
      <c r="L981" s="33"/>
      <c r="M981" s="33"/>
      <c r="N981" s="33"/>
      <c r="O981" s="34"/>
    </row>
    <row r="982" spans="5:15">
      <c r="E982" s="33"/>
      <c r="F982" s="33"/>
      <c r="G982" s="33"/>
      <c r="H982" s="33"/>
      <c r="I982" s="33"/>
      <c r="J982" s="33"/>
      <c r="K982" s="33"/>
      <c r="L982" s="33"/>
      <c r="M982" s="33"/>
      <c r="N982" s="33"/>
      <c r="O982" s="34"/>
    </row>
    <row r="983" spans="5:15">
      <c r="E983" s="33"/>
      <c r="F983" s="33"/>
      <c r="G983" s="33"/>
      <c r="H983" s="33"/>
      <c r="I983" s="33"/>
      <c r="J983" s="33"/>
      <c r="K983" s="33"/>
      <c r="L983" s="33"/>
      <c r="M983" s="33"/>
      <c r="N983" s="33"/>
      <c r="O983" s="34"/>
    </row>
    <row r="984" spans="5:15">
      <c r="E984" s="33"/>
      <c r="F984" s="33"/>
      <c r="G984" s="33"/>
      <c r="H984" s="33"/>
      <c r="I984" s="33"/>
      <c r="J984" s="33"/>
      <c r="K984" s="33"/>
      <c r="L984" s="33"/>
      <c r="M984" s="33"/>
      <c r="N984" s="33"/>
      <c r="O984" s="34"/>
    </row>
    <row r="985" spans="5:15">
      <c r="E985" s="33"/>
      <c r="F985" s="33"/>
      <c r="G985" s="33"/>
      <c r="H985" s="33"/>
      <c r="I985" s="33"/>
      <c r="J985" s="33"/>
      <c r="K985" s="33"/>
      <c r="L985" s="33"/>
      <c r="M985" s="33"/>
      <c r="N985" s="33"/>
      <c r="O985" s="34"/>
    </row>
    <row r="986" spans="5:15">
      <c r="E986" s="33"/>
      <c r="F986" s="33"/>
      <c r="G986" s="33"/>
      <c r="H986" s="33"/>
      <c r="I986" s="33"/>
      <c r="J986" s="33"/>
      <c r="K986" s="33"/>
      <c r="L986" s="33"/>
      <c r="M986" s="33"/>
      <c r="N986" s="33"/>
      <c r="O986" s="34"/>
    </row>
    <row r="987" spans="5:15">
      <c r="E987" s="33"/>
      <c r="F987" s="33"/>
      <c r="G987" s="33"/>
      <c r="H987" s="33"/>
      <c r="I987" s="33"/>
      <c r="J987" s="33"/>
      <c r="K987" s="33"/>
      <c r="L987" s="33"/>
      <c r="M987" s="33"/>
      <c r="N987" s="33"/>
      <c r="O987" s="34"/>
    </row>
    <row r="988" spans="5:15">
      <c r="E988" s="33"/>
      <c r="F988" s="33"/>
      <c r="G988" s="33"/>
      <c r="H988" s="33"/>
      <c r="I988" s="33"/>
      <c r="J988" s="33"/>
      <c r="K988" s="33"/>
      <c r="L988" s="33"/>
      <c r="M988" s="33"/>
      <c r="N988" s="33"/>
      <c r="O988" s="34"/>
    </row>
    <row r="989" spans="5:15">
      <c r="E989" s="33"/>
      <c r="F989" s="33"/>
      <c r="G989" s="33"/>
      <c r="H989" s="33"/>
      <c r="I989" s="33"/>
      <c r="J989" s="33"/>
      <c r="K989" s="33"/>
      <c r="L989" s="33"/>
      <c r="M989" s="33"/>
      <c r="N989" s="33"/>
      <c r="O989" s="34"/>
    </row>
    <row r="990" spans="5:15">
      <c r="E990" s="33"/>
      <c r="F990" s="33"/>
      <c r="G990" s="33"/>
      <c r="H990" s="33"/>
      <c r="I990" s="33"/>
      <c r="J990" s="33"/>
      <c r="K990" s="33"/>
      <c r="L990" s="33"/>
      <c r="M990" s="33"/>
      <c r="N990" s="33"/>
      <c r="O990" s="34"/>
    </row>
    <row r="991" spans="5:15">
      <c r="E991" s="33"/>
      <c r="F991" s="33"/>
      <c r="G991" s="33"/>
      <c r="H991" s="33"/>
      <c r="I991" s="33"/>
      <c r="J991" s="33"/>
      <c r="K991" s="33"/>
      <c r="L991" s="33"/>
      <c r="M991" s="33"/>
      <c r="N991" s="33"/>
      <c r="O991" s="34"/>
    </row>
    <row r="992" spans="5:15">
      <c r="E992" s="33"/>
      <c r="F992" s="33"/>
      <c r="G992" s="33"/>
      <c r="H992" s="33"/>
      <c r="I992" s="33"/>
      <c r="J992" s="33"/>
      <c r="K992" s="33"/>
      <c r="L992" s="33"/>
      <c r="M992" s="33"/>
      <c r="N992" s="33"/>
      <c r="O992" s="34"/>
    </row>
    <row r="993" spans="5:15">
      <c r="E993" s="33"/>
      <c r="F993" s="33"/>
      <c r="G993" s="33"/>
      <c r="H993" s="33"/>
      <c r="I993" s="33"/>
      <c r="J993" s="33"/>
      <c r="K993" s="33"/>
      <c r="L993" s="33"/>
      <c r="M993" s="33"/>
      <c r="N993" s="33"/>
      <c r="O993" s="34"/>
    </row>
    <row r="994" spans="5:15">
      <c r="E994" s="33"/>
      <c r="F994" s="33"/>
      <c r="G994" s="33"/>
      <c r="H994" s="33"/>
      <c r="I994" s="33"/>
      <c r="J994" s="33"/>
      <c r="K994" s="33"/>
      <c r="L994" s="33"/>
      <c r="M994" s="33"/>
      <c r="N994" s="33"/>
      <c r="O994" s="34"/>
    </row>
    <row r="995" spans="5:15">
      <c r="E995" s="33"/>
      <c r="F995" s="33"/>
      <c r="G995" s="33"/>
      <c r="H995" s="33"/>
      <c r="I995" s="33"/>
      <c r="J995" s="33"/>
      <c r="K995" s="33"/>
      <c r="L995" s="33"/>
      <c r="M995" s="33"/>
      <c r="N995" s="33"/>
      <c r="O995" s="34"/>
    </row>
    <row r="996" spans="5:15">
      <c r="E996" s="33"/>
      <c r="F996" s="33"/>
      <c r="G996" s="33"/>
      <c r="H996" s="33"/>
      <c r="I996" s="33"/>
      <c r="J996" s="33"/>
      <c r="K996" s="33"/>
      <c r="L996" s="33"/>
      <c r="M996" s="33"/>
      <c r="N996" s="33"/>
      <c r="O996" s="34"/>
    </row>
    <row r="997" spans="5:15">
      <c r="E997" s="33"/>
      <c r="F997" s="33"/>
      <c r="G997" s="33"/>
      <c r="H997" s="33"/>
      <c r="I997" s="33"/>
      <c r="J997" s="33"/>
      <c r="K997" s="33"/>
      <c r="L997" s="33"/>
      <c r="M997" s="33"/>
      <c r="N997" s="33"/>
      <c r="O997" s="34"/>
    </row>
    <row r="998" spans="5:15">
      <c r="E998" s="33"/>
      <c r="F998" s="33"/>
      <c r="G998" s="33"/>
      <c r="H998" s="33"/>
      <c r="I998" s="33"/>
      <c r="J998" s="33"/>
      <c r="K998" s="33"/>
      <c r="L998" s="33"/>
      <c r="M998" s="33"/>
      <c r="N998" s="33"/>
      <c r="O998" s="34"/>
    </row>
    <row r="999" spans="5:15">
      <c r="E999" s="33"/>
      <c r="F999" s="33"/>
      <c r="G999" s="33"/>
      <c r="H999" s="33"/>
      <c r="I999" s="33"/>
      <c r="J999" s="33"/>
      <c r="K999" s="33"/>
      <c r="L999" s="33"/>
      <c r="M999" s="33"/>
      <c r="N999" s="33"/>
      <c r="O999" s="34"/>
    </row>
    <row r="1000" spans="5:15">
      <c r="E1000" s="33"/>
      <c r="F1000" s="33"/>
      <c r="G1000" s="33"/>
      <c r="H1000" s="33"/>
      <c r="I1000" s="33"/>
      <c r="J1000" s="33"/>
      <c r="K1000" s="33"/>
      <c r="L1000" s="33"/>
      <c r="M1000" s="33"/>
      <c r="N1000" s="33"/>
      <c r="O1000" s="34"/>
    </row>
    <row r="1001" spans="5:15">
      <c r="E1001" s="33"/>
      <c r="F1001" s="33"/>
      <c r="G1001" s="33"/>
      <c r="H1001" s="33"/>
      <c r="I1001" s="33"/>
      <c r="J1001" s="33"/>
      <c r="K1001" s="33"/>
      <c r="L1001" s="33"/>
      <c r="M1001" s="33"/>
      <c r="N1001" s="33"/>
      <c r="O1001" s="34"/>
    </row>
    <row r="1002" spans="5:15">
      <c r="E1002" s="33"/>
      <c r="F1002" s="33"/>
      <c r="G1002" s="33"/>
      <c r="H1002" s="33"/>
      <c r="I1002" s="33"/>
      <c r="J1002" s="33"/>
      <c r="K1002" s="33"/>
      <c r="L1002" s="33"/>
      <c r="M1002" s="33"/>
      <c r="N1002" s="33"/>
      <c r="O1002" s="34"/>
    </row>
    <row r="1003" spans="5:15">
      <c r="E1003" s="33"/>
      <c r="F1003" s="33"/>
      <c r="G1003" s="33"/>
      <c r="H1003" s="33"/>
      <c r="I1003" s="33"/>
      <c r="J1003" s="33"/>
      <c r="K1003" s="33"/>
      <c r="L1003" s="33"/>
      <c r="M1003" s="33"/>
      <c r="N1003" s="33"/>
      <c r="O1003" s="34"/>
    </row>
    <row r="1004" spans="5:15">
      <c r="E1004" s="33"/>
      <c r="F1004" s="33"/>
      <c r="G1004" s="33"/>
      <c r="H1004" s="33"/>
      <c r="I1004" s="33"/>
      <c r="J1004" s="33"/>
      <c r="K1004" s="33"/>
      <c r="L1004" s="33"/>
      <c r="M1004" s="33"/>
      <c r="N1004" s="33"/>
      <c r="O1004" s="34"/>
    </row>
    <row r="1005" spans="5:15">
      <c r="E1005" s="33"/>
      <c r="F1005" s="33"/>
      <c r="G1005" s="33"/>
      <c r="H1005" s="33"/>
      <c r="I1005" s="33"/>
      <c r="J1005" s="33"/>
      <c r="K1005" s="33"/>
      <c r="L1005" s="33"/>
      <c r="M1005" s="33"/>
      <c r="N1005" s="33"/>
      <c r="O1005" s="34"/>
    </row>
    <row r="1006" spans="5:15">
      <c r="E1006" s="33"/>
      <c r="F1006" s="33"/>
      <c r="G1006" s="33"/>
      <c r="H1006" s="33"/>
      <c r="I1006" s="33"/>
      <c r="J1006" s="33"/>
      <c r="K1006" s="33"/>
      <c r="L1006" s="33"/>
      <c r="M1006" s="33"/>
      <c r="N1006" s="33"/>
      <c r="O1006" s="34"/>
    </row>
    <row r="1007" spans="5:15">
      <c r="E1007" s="33"/>
      <c r="F1007" s="33"/>
      <c r="G1007" s="33"/>
      <c r="H1007" s="33"/>
      <c r="I1007" s="33"/>
      <c r="J1007" s="33"/>
      <c r="K1007" s="33"/>
      <c r="L1007" s="33"/>
      <c r="M1007" s="33"/>
      <c r="N1007" s="33"/>
      <c r="O1007" s="34"/>
    </row>
    <row r="1008" spans="5:15">
      <c r="E1008" s="33"/>
      <c r="F1008" s="33"/>
      <c r="G1008" s="33"/>
      <c r="H1008" s="33"/>
      <c r="I1008" s="33"/>
      <c r="J1008" s="33"/>
      <c r="K1008" s="33"/>
      <c r="L1008" s="33"/>
      <c r="M1008" s="33"/>
      <c r="N1008" s="33"/>
      <c r="O1008" s="34"/>
    </row>
    <row r="1009" spans="5:15">
      <c r="E1009" s="33"/>
      <c r="F1009" s="33"/>
      <c r="G1009" s="33"/>
      <c r="H1009" s="33"/>
      <c r="I1009" s="33"/>
      <c r="J1009" s="33"/>
      <c r="K1009" s="33"/>
      <c r="L1009" s="33"/>
      <c r="M1009" s="33"/>
      <c r="N1009" s="33"/>
      <c r="O1009" s="34"/>
    </row>
    <row r="1010" spans="5:15">
      <c r="E1010" s="33"/>
      <c r="F1010" s="33"/>
      <c r="G1010" s="33"/>
      <c r="H1010" s="33"/>
      <c r="I1010" s="33"/>
      <c r="J1010" s="33"/>
      <c r="K1010" s="33"/>
      <c r="L1010" s="33"/>
      <c r="M1010" s="33"/>
      <c r="N1010" s="33"/>
      <c r="O1010" s="34"/>
    </row>
    <row r="1011" spans="5:15">
      <c r="E1011" s="33"/>
      <c r="F1011" s="33"/>
      <c r="G1011" s="33"/>
      <c r="H1011" s="33"/>
      <c r="I1011" s="33"/>
      <c r="J1011" s="33"/>
      <c r="K1011" s="33"/>
      <c r="L1011" s="33"/>
      <c r="M1011" s="33"/>
      <c r="N1011" s="33"/>
      <c r="O1011" s="34"/>
    </row>
    <row r="1012" spans="5:15">
      <c r="E1012" s="33"/>
      <c r="F1012" s="33"/>
      <c r="G1012" s="33"/>
      <c r="H1012" s="33"/>
      <c r="I1012" s="33"/>
      <c r="J1012" s="33"/>
      <c r="K1012" s="33"/>
      <c r="L1012" s="33"/>
      <c r="M1012" s="33"/>
      <c r="N1012" s="33"/>
      <c r="O1012" s="34"/>
    </row>
    <row r="1013" spans="5:15">
      <c r="E1013" s="33"/>
      <c r="F1013" s="33"/>
      <c r="G1013" s="33"/>
      <c r="H1013" s="33"/>
      <c r="I1013" s="33"/>
      <c r="J1013" s="33"/>
      <c r="K1013" s="33"/>
      <c r="L1013" s="33"/>
      <c r="M1013" s="33"/>
      <c r="N1013" s="33"/>
      <c r="O1013" s="34"/>
    </row>
    <row r="1014" spans="5:15">
      <c r="E1014" s="33"/>
      <c r="F1014" s="33"/>
      <c r="G1014" s="33"/>
      <c r="H1014" s="33"/>
      <c r="I1014" s="33"/>
      <c r="J1014" s="33"/>
      <c r="K1014" s="33"/>
      <c r="L1014" s="33"/>
      <c r="M1014" s="33"/>
      <c r="N1014" s="33"/>
      <c r="O1014" s="34"/>
    </row>
    <row r="1015" spans="5:15">
      <c r="E1015" s="33"/>
      <c r="F1015" s="33"/>
      <c r="G1015" s="33"/>
      <c r="H1015" s="33"/>
      <c r="I1015" s="33"/>
      <c r="J1015" s="33"/>
      <c r="K1015" s="33"/>
      <c r="L1015" s="33"/>
      <c r="M1015" s="33"/>
      <c r="N1015" s="33"/>
      <c r="O1015" s="34"/>
    </row>
    <row r="1016" spans="5:15">
      <c r="E1016" s="33"/>
      <c r="F1016" s="33"/>
      <c r="G1016" s="33"/>
      <c r="H1016" s="33"/>
      <c r="I1016" s="33"/>
      <c r="J1016" s="33"/>
      <c r="K1016" s="33"/>
      <c r="L1016" s="33"/>
      <c r="M1016" s="33"/>
      <c r="N1016" s="33"/>
      <c r="O1016" s="34"/>
    </row>
    <row r="1017" spans="5:15">
      <c r="E1017" s="33"/>
      <c r="F1017" s="33"/>
      <c r="G1017" s="33"/>
      <c r="H1017" s="33"/>
      <c r="I1017" s="33"/>
      <c r="J1017" s="33"/>
      <c r="K1017" s="33"/>
      <c r="L1017" s="33"/>
      <c r="M1017" s="33"/>
      <c r="N1017" s="33"/>
      <c r="O1017" s="34"/>
    </row>
    <row r="1018" spans="5:15">
      <c r="E1018" s="33"/>
      <c r="F1018" s="33"/>
      <c r="G1018" s="33"/>
      <c r="H1018" s="33"/>
      <c r="I1018" s="33"/>
      <c r="J1018" s="33"/>
      <c r="K1018" s="33"/>
      <c r="L1018" s="33"/>
      <c r="M1018" s="33"/>
      <c r="N1018" s="33"/>
      <c r="O1018" s="34"/>
    </row>
    <row r="1019" spans="5:15">
      <c r="E1019" s="33"/>
      <c r="F1019" s="33"/>
      <c r="G1019" s="33"/>
      <c r="H1019" s="33"/>
      <c r="I1019" s="33"/>
      <c r="J1019" s="33"/>
      <c r="K1019" s="33"/>
      <c r="L1019" s="33"/>
      <c r="M1019" s="33"/>
      <c r="N1019" s="33"/>
      <c r="O1019" s="34"/>
    </row>
    <row r="1020" spans="5:15">
      <c r="E1020" s="33"/>
      <c r="F1020" s="33"/>
      <c r="G1020" s="33"/>
      <c r="H1020" s="33"/>
      <c r="I1020" s="33"/>
      <c r="J1020" s="33"/>
      <c r="K1020" s="33"/>
      <c r="L1020" s="33"/>
      <c r="M1020" s="33"/>
      <c r="N1020" s="33"/>
      <c r="O1020" s="34"/>
    </row>
    <row r="1021" spans="5:15">
      <c r="E1021" s="33"/>
      <c r="F1021" s="33"/>
      <c r="G1021" s="33"/>
      <c r="H1021" s="33"/>
      <c r="I1021" s="33"/>
      <c r="J1021" s="33"/>
      <c r="K1021" s="33"/>
      <c r="L1021" s="33"/>
      <c r="M1021" s="33"/>
      <c r="N1021" s="33"/>
      <c r="O1021" s="34"/>
    </row>
    <row r="1022" spans="5:15">
      <c r="E1022" s="33"/>
      <c r="F1022" s="33"/>
      <c r="G1022" s="33"/>
      <c r="H1022" s="33"/>
      <c r="I1022" s="33"/>
      <c r="J1022" s="33"/>
      <c r="K1022" s="33"/>
      <c r="L1022" s="33"/>
      <c r="M1022" s="33"/>
      <c r="N1022" s="33"/>
      <c r="O1022" s="34"/>
    </row>
    <row r="1023" spans="5:15">
      <c r="E1023" s="33"/>
      <c r="F1023" s="33"/>
      <c r="G1023" s="33"/>
      <c r="H1023" s="33"/>
      <c r="I1023" s="33"/>
      <c r="J1023" s="33"/>
      <c r="K1023" s="33"/>
      <c r="L1023" s="33"/>
      <c r="M1023" s="33"/>
      <c r="N1023" s="33"/>
      <c r="O1023" s="34"/>
    </row>
    <row r="1024" spans="5:15">
      <c r="E1024" s="33"/>
      <c r="F1024" s="33"/>
      <c r="G1024" s="33"/>
      <c r="H1024" s="33"/>
      <c r="I1024" s="33"/>
      <c r="J1024" s="33"/>
      <c r="K1024" s="33"/>
      <c r="L1024" s="33"/>
      <c r="M1024" s="33"/>
      <c r="N1024" s="33"/>
      <c r="O1024" s="34"/>
    </row>
    <row r="1025" spans="5:15">
      <c r="E1025" s="33"/>
      <c r="F1025" s="33"/>
      <c r="G1025" s="33"/>
      <c r="H1025" s="33"/>
      <c r="I1025" s="33"/>
      <c r="J1025" s="33"/>
      <c r="K1025" s="33"/>
      <c r="L1025" s="33"/>
      <c r="M1025" s="33"/>
      <c r="N1025" s="33"/>
      <c r="O1025" s="34"/>
    </row>
    <row r="1026" spans="5:15">
      <c r="E1026" s="33"/>
      <c r="F1026" s="33"/>
      <c r="G1026" s="33"/>
      <c r="H1026" s="33"/>
      <c r="I1026" s="33"/>
      <c r="J1026" s="33"/>
      <c r="K1026" s="33"/>
      <c r="L1026" s="33"/>
      <c r="M1026" s="33"/>
      <c r="N1026" s="33"/>
      <c r="O1026" s="34"/>
    </row>
    <row r="1027" spans="5:15">
      <c r="E1027" s="33"/>
      <c r="F1027" s="33"/>
      <c r="G1027" s="33"/>
      <c r="H1027" s="33"/>
      <c r="I1027" s="33"/>
      <c r="J1027" s="33"/>
      <c r="K1027" s="33"/>
      <c r="L1027" s="33"/>
      <c r="M1027" s="33"/>
      <c r="N1027" s="33"/>
      <c r="O1027" s="34"/>
    </row>
    <row r="1028" spans="5:15">
      <c r="E1028" s="33"/>
      <c r="F1028" s="33"/>
      <c r="G1028" s="33"/>
      <c r="H1028" s="33"/>
      <c r="I1028" s="33"/>
      <c r="J1028" s="33"/>
      <c r="K1028" s="33"/>
      <c r="L1028" s="33"/>
      <c r="M1028" s="33"/>
      <c r="N1028" s="33"/>
      <c r="O1028" s="34"/>
    </row>
    <row r="1029" spans="5:15">
      <c r="E1029" s="33"/>
      <c r="F1029" s="33"/>
      <c r="G1029" s="33"/>
      <c r="H1029" s="33"/>
      <c r="I1029" s="33"/>
      <c r="J1029" s="33"/>
      <c r="K1029" s="33"/>
      <c r="L1029" s="33"/>
      <c r="M1029" s="33"/>
      <c r="N1029" s="33"/>
      <c r="O1029" s="34"/>
    </row>
    <row r="1030" spans="5:15">
      <c r="E1030" s="33"/>
      <c r="F1030" s="33"/>
      <c r="G1030" s="33"/>
      <c r="H1030" s="33"/>
      <c r="I1030" s="33"/>
      <c r="J1030" s="33"/>
      <c r="K1030" s="33"/>
      <c r="L1030" s="33"/>
      <c r="M1030" s="33"/>
      <c r="N1030" s="33"/>
      <c r="O1030" s="34"/>
    </row>
    <row r="1031" spans="5:15">
      <c r="E1031" s="33"/>
      <c r="F1031" s="33"/>
      <c r="G1031" s="33"/>
      <c r="H1031" s="33"/>
      <c r="I1031" s="33"/>
      <c r="J1031" s="33"/>
      <c r="K1031" s="33"/>
      <c r="L1031" s="33"/>
      <c r="M1031" s="33"/>
      <c r="N1031" s="33"/>
      <c r="O1031" s="34"/>
    </row>
    <row r="1032" spans="5:15">
      <c r="E1032" s="33"/>
      <c r="F1032" s="33"/>
      <c r="G1032" s="33"/>
      <c r="H1032" s="33"/>
      <c r="I1032" s="33"/>
      <c r="J1032" s="33"/>
      <c r="K1032" s="33"/>
      <c r="L1032" s="33"/>
      <c r="M1032" s="33"/>
      <c r="N1032" s="33"/>
      <c r="O1032" s="34"/>
    </row>
    <row r="1033" spans="5:15">
      <c r="E1033" s="33"/>
      <c r="F1033" s="33"/>
      <c r="G1033" s="33"/>
      <c r="H1033" s="33"/>
      <c r="I1033" s="33"/>
      <c r="J1033" s="33"/>
      <c r="K1033" s="33"/>
      <c r="L1033" s="33"/>
      <c r="M1033" s="33"/>
      <c r="N1033" s="33"/>
      <c r="O1033" s="34"/>
    </row>
    <row r="1034" spans="5:15">
      <c r="E1034" s="33"/>
      <c r="F1034" s="33"/>
      <c r="G1034" s="33"/>
      <c r="H1034" s="33"/>
      <c r="I1034" s="33"/>
      <c r="J1034" s="33"/>
      <c r="K1034" s="33"/>
      <c r="L1034" s="33"/>
      <c r="M1034" s="33"/>
      <c r="N1034" s="33"/>
      <c r="O1034" s="34"/>
    </row>
    <row r="1035" spans="5:15">
      <c r="E1035" s="33"/>
      <c r="F1035" s="33"/>
      <c r="G1035" s="33"/>
      <c r="H1035" s="33"/>
      <c r="I1035" s="33"/>
      <c r="J1035" s="33"/>
      <c r="K1035" s="33"/>
      <c r="L1035" s="33"/>
      <c r="M1035" s="33"/>
      <c r="N1035" s="33"/>
      <c r="O1035" s="34"/>
    </row>
    <row r="1036" spans="5:15">
      <c r="E1036" s="33"/>
      <c r="F1036" s="33"/>
      <c r="G1036" s="33"/>
      <c r="H1036" s="33"/>
      <c r="I1036" s="33"/>
      <c r="J1036" s="33"/>
      <c r="K1036" s="33"/>
      <c r="L1036" s="33"/>
      <c r="M1036" s="33"/>
      <c r="N1036" s="33"/>
      <c r="O1036" s="34"/>
    </row>
    <row r="1037" spans="5:15">
      <c r="E1037" s="33"/>
      <c r="F1037" s="33"/>
      <c r="G1037" s="33"/>
      <c r="H1037" s="33"/>
      <c r="I1037" s="33"/>
      <c r="J1037" s="33"/>
      <c r="K1037" s="33"/>
      <c r="L1037" s="33"/>
      <c r="M1037" s="33"/>
      <c r="N1037" s="33"/>
      <c r="O1037" s="34"/>
    </row>
    <row r="1038" spans="5:15">
      <c r="E1038" s="33"/>
      <c r="F1038" s="33"/>
      <c r="G1038" s="33"/>
      <c r="H1038" s="33"/>
      <c r="I1038" s="33"/>
      <c r="J1038" s="33"/>
      <c r="K1038" s="33"/>
      <c r="L1038" s="33"/>
      <c r="M1038" s="33"/>
      <c r="N1038" s="33"/>
      <c r="O1038" s="34"/>
    </row>
    <row r="1039" spans="5:15">
      <c r="E1039" s="33"/>
      <c r="F1039" s="33"/>
      <c r="G1039" s="33"/>
      <c r="H1039" s="33"/>
      <c r="I1039" s="33"/>
      <c r="J1039" s="33"/>
      <c r="K1039" s="33"/>
      <c r="L1039" s="33"/>
      <c r="M1039" s="33"/>
      <c r="N1039" s="33"/>
      <c r="O1039" s="34"/>
    </row>
    <row r="1040" spans="5:15">
      <c r="E1040" s="33"/>
      <c r="F1040" s="33"/>
      <c r="G1040" s="33"/>
      <c r="H1040" s="33"/>
      <c r="I1040" s="33"/>
      <c r="J1040" s="33"/>
      <c r="K1040" s="33"/>
      <c r="L1040" s="33"/>
      <c r="M1040" s="33"/>
      <c r="N1040" s="33"/>
      <c r="O1040" s="34"/>
    </row>
    <row r="1041" spans="5:15">
      <c r="E1041" s="33"/>
      <c r="F1041" s="33"/>
      <c r="G1041" s="33"/>
      <c r="H1041" s="33"/>
      <c r="I1041" s="33"/>
      <c r="J1041" s="33"/>
      <c r="K1041" s="33"/>
      <c r="L1041" s="33"/>
      <c r="M1041" s="33"/>
      <c r="N1041" s="33"/>
      <c r="O1041" s="34"/>
    </row>
    <row r="1042" spans="5:15">
      <c r="E1042" s="33"/>
      <c r="F1042" s="33"/>
      <c r="G1042" s="33"/>
      <c r="H1042" s="33"/>
      <c r="I1042" s="33"/>
      <c r="J1042" s="33"/>
      <c r="K1042" s="33"/>
      <c r="L1042" s="33"/>
      <c r="M1042" s="33"/>
      <c r="N1042" s="33"/>
      <c r="O1042" s="34"/>
    </row>
    <row r="1043" spans="5:15">
      <c r="E1043" s="33"/>
      <c r="F1043" s="33"/>
      <c r="G1043" s="33"/>
      <c r="H1043" s="33"/>
      <c r="I1043" s="33"/>
      <c r="J1043" s="33"/>
      <c r="K1043" s="33"/>
      <c r="L1043" s="33"/>
      <c r="M1043" s="33"/>
      <c r="N1043" s="33"/>
      <c r="O1043" s="34"/>
    </row>
    <row r="1044" spans="5:15">
      <c r="E1044" s="33"/>
      <c r="F1044" s="33"/>
      <c r="G1044" s="33"/>
      <c r="H1044" s="33"/>
      <c r="I1044" s="33"/>
      <c r="J1044" s="33"/>
      <c r="K1044" s="33"/>
      <c r="L1044" s="33"/>
      <c r="M1044" s="33"/>
      <c r="N1044" s="33"/>
      <c r="O1044" s="34"/>
    </row>
    <row r="1045" spans="5:15">
      <c r="E1045" s="33"/>
      <c r="F1045" s="33"/>
      <c r="G1045" s="33"/>
      <c r="H1045" s="33"/>
      <c r="I1045" s="33"/>
      <c r="J1045" s="33"/>
      <c r="K1045" s="33"/>
      <c r="L1045" s="33"/>
      <c r="M1045" s="33"/>
      <c r="N1045" s="33"/>
      <c r="O1045" s="34"/>
    </row>
    <row r="1046" spans="5:15">
      <c r="E1046" s="33"/>
      <c r="F1046" s="33"/>
      <c r="G1046" s="33"/>
      <c r="H1046" s="33"/>
      <c r="I1046" s="33"/>
      <c r="J1046" s="33"/>
      <c r="K1046" s="33"/>
      <c r="L1046" s="33"/>
      <c r="M1046" s="33"/>
      <c r="N1046" s="33"/>
      <c r="O1046" s="34"/>
    </row>
    <row r="1047" spans="5:15">
      <c r="E1047" s="33"/>
      <c r="F1047" s="33"/>
      <c r="G1047" s="33"/>
      <c r="H1047" s="33"/>
      <c r="I1047" s="33"/>
      <c r="J1047" s="33"/>
      <c r="K1047" s="33"/>
      <c r="L1047" s="33"/>
      <c r="M1047" s="33"/>
      <c r="N1047" s="33"/>
      <c r="O1047" s="34"/>
    </row>
    <row r="1048" spans="5:15">
      <c r="E1048" s="33"/>
      <c r="F1048" s="33"/>
      <c r="G1048" s="33"/>
      <c r="H1048" s="33"/>
      <c r="I1048" s="33"/>
      <c r="J1048" s="33"/>
      <c r="K1048" s="33"/>
      <c r="L1048" s="33"/>
      <c r="M1048" s="33"/>
      <c r="N1048" s="33"/>
      <c r="O1048" s="34"/>
    </row>
    <row r="1049" spans="5:15">
      <c r="E1049" s="33"/>
      <c r="F1049" s="33"/>
      <c r="G1049" s="33"/>
      <c r="H1049" s="33"/>
      <c r="I1049" s="33"/>
      <c r="J1049" s="33"/>
      <c r="K1049" s="33"/>
      <c r="L1049" s="33"/>
      <c r="M1049" s="33"/>
      <c r="N1049" s="33"/>
      <c r="O1049" s="34"/>
    </row>
    <row r="1050" spans="5:15">
      <c r="E1050" s="33"/>
      <c r="F1050" s="33"/>
      <c r="G1050" s="33"/>
      <c r="H1050" s="33"/>
      <c r="I1050" s="33"/>
      <c r="J1050" s="33"/>
      <c r="K1050" s="33"/>
      <c r="L1050" s="33"/>
      <c r="M1050" s="33"/>
      <c r="N1050" s="33"/>
      <c r="O1050" s="34"/>
    </row>
    <row r="1051" spans="5:15">
      <c r="E1051" s="33"/>
      <c r="F1051" s="33"/>
      <c r="G1051" s="33"/>
      <c r="H1051" s="33"/>
      <c r="I1051" s="33"/>
      <c r="J1051" s="33"/>
      <c r="K1051" s="33"/>
      <c r="L1051" s="33"/>
      <c r="M1051" s="33"/>
      <c r="N1051" s="33"/>
      <c r="O1051" s="34"/>
    </row>
    <row r="1052" spans="5:15">
      <c r="E1052" s="33"/>
      <c r="F1052" s="33"/>
      <c r="G1052" s="33"/>
      <c r="H1052" s="33"/>
      <c r="I1052" s="33"/>
      <c r="J1052" s="33"/>
      <c r="K1052" s="33"/>
      <c r="L1052" s="33"/>
      <c r="M1052" s="33"/>
      <c r="N1052" s="33"/>
      <c r="O1052" s="34"/>
    </row>
    <row r="1053" spans="5:15">
      <c r="E1053" s="33"/>
      <c r="F1053" s="33"/>
      <c r="G1053" s="33"/>
      <c r="H1053" s="33"/>
      <c r="I1053" s="33"/>
      <c r="J1053" s="33"/>
      <c r="K1053" s="33"/>
      <c r="L1053" s="33"/>
      <c r="M1053" s="33"/>
      <c r="N1053" s="33"/>
      <c r="O1053" s="34"/>
    </row>
    <row r="1054" spans="5:15">
      <c r="E1054" s="33"/>
      <c r="F1054" s="33"/>
      <c r="G1054" s="33"/>
      <c r="H1054" s="33"/>
      <c r="I1054" s="33"/>
      <c r="J1054" s="33"/>
      <c r="K1054" s="33"/>
      <c r="L1054" s="33"/>
      <c r="M1054" s="33"/>
      <c r="N1054" s="33"/>
      <c r="O1054" s="34"/>
    </row>
    <row r="1055" spans="5:15">
      <c r="E1055" s="33"/>
      <c r="F1055" s="33"/>
      <c r="G1055" s="33"/>
      <c r="H1055" s="33"/>
      <c r="I1055" s="33"/>
      <c r="J1055" s="33"/>
      <c r="K1055" s="33"/>
      <c r="L1055" s="33"/>
      <c r="M1055" s="33"/>
      <c r="N1055" s="33"/>
      <c r="O1055" s="34"/>
    </row>
    <row r="1056" spans="5:15">
      <c r="E1056" s="33"/>
      <c r="F1056" s="33"/>
      <c r="G1056" s="33"/>
      <c r="H1056" s="33"/>
      <c r="I1056" s="33"/>
      <c r="J1056" s="33"/>
      <c r="K1056" s="33"/>
      <c r="L1056" s="33"/>
      <c r="M1056" s="33"/>
      <c r="N1056" s="33"/>
      <c r="O1056" s="34"/>
    </row>
    <row r="1057" spans="5:15">
      <c r="E1057" s="33"/>
      <c r="F1057" s="33"/>
      <c r="G1057" s="33"/>
      <c r="H1057" s="33"/>
      <c r="I1057" s="33"/>
      <c r="J1057" s="33"/>
      <c r="K1057" s="33"/>
      <c r="L1057" s="33"/>
      <c r="M1057" s="33"/>
      <c r="N1057" s="33"/>
      <c r="O1057" s="34"/>
    </row>
    <row r="1058" spans="5:15">
      <c r="E1058" s="33"/>
      <c r="F1058" s="33"/>
      <c r="G1058" s="33"/>
      <c r="H1058" s="33"/>
      <c r="I1058" s="33"/>
      <c r="J1058" s="33"/>
      <c r="K1058" s="33"/>
      <c r="L1058" s="33"/>
      <c r="M1058" s="33"/>
      <c r="N1058" s="33"/>
      <c r="O1058" s="34"/>
    </row>
    <row r="1059" spans="5:15">
      <c r="E1059" s="33"/>
      <c r="F1059" s="33"/>
      <c r="G1059" s="33"/>
      <c r="H1059" s="33"/>
      <c r="I1059" s="33"/>
      <c r="J1059" s="33"/>
      <c r="K1059" s="33"/>
      <c r="L1059" s="33"/>
      <c r="M1059" s="33"/>
      <c r="N1059" s="33"/>
      <c r="O1059" s="34"/>
    </row>
    <row r="1060" spans="5:15">
      <c r="E1060" s="33"/>
      <c r="F1060" s="33"/>
      <c r="G1060" s="33"/>
      <c r="H1060" s="33"/>
      <c r="I1060" s="33"/>
      <c r="J1060" s="33"/>
      <c r="K1060" s="33"/>
      <c r="L1060" s="33"/>
      <c r="M1060" s="33"/>
      <c r="N1060" s="33"/>
      <c r="O1060" s="34"/>
    </row>
    <row r="1061" spans="5:15">
      <c r="E1061" s="33"/>
      <c r="F1061" s="33"/>
      <c r="G1061" s="33"/>
      <c r="H1061" s="33"/>
      <c r="I1061" s="33"/>
      <c r="J1061" s="33"/>
      <c r="K1061" s="33"/>
      <c r="L1061" s="33"/>
      <c r="M1061" s="33"/>
      <c r="N1061" s="33"/>
      <c r="O1061" s="34"/>
    </row>
    <row r="1062" spans="5:15">
      <c r="E1062" s="33"/>
      <c r="F1062" s="33"/>
      <c r="G1062" s="33"/>
      <c r="H1062" s="33"/>
      <c r="I1062" s="33"/>
      <c r="J1062" s="33"/>
      <c r="K1062" s="33"/>
      <c r="L1062" s="33"/>
      <c r="M1062" s="33"/>
      <c r="N1062" s="33"/>
      <c r="O1062" s="34"/>
    </row>
    <row r="1063" spans="5:15">
      <c r="E1063" s="33"/>
      <c r="F1063" s="33"/>
      <c r="G1063" s="33"/>
      <c r="H1063" s="33"/>
      <c r="I1063" s="33"/>
      <c r="J1063" s="33"/>
      <c r="K1063" s="33"/>
      <c r="L1063" s="33"/>
      <c r="M1063" s="33"/>
      <c r="N1063" s="33"/>
      <c r="O1063" s="34"/>
    </row>
    <row r="1064" spans="5:15">
      <c r="E1064" s="33"/>
      <c r="F1064" s="33"/>
      <c r="G1064" s="33"/>
      <c r="H1064" s="33"/>
      <c r="I1064" s="33"/>
      <c r="J1064" s="33"/>
      <c r="K1064" s="33"/>
      <c r="L1064" s="33"/>
      <c r="M1064" s="33"/>
      <c r="N1064" s="33"/>
      <c r="O1064" s="34"/>
    </row>
    <row r="1065" spans="5:15">
      <c r="E1065" s="33"/>
      <c r="F1065" s="33"/>
      <c r="G1065" s="33"/>
      <c r="H1065" s="33"/>
      <c r="I1065" s="33"/>
      <c r="J1065" s="33"/>
      <c r="K1065" s="33"/>
      <c r="L1065" s="33"/>
      <c r="M1065" s="33"/>
      <c r="N1065" s="33"/>
      <c r="O1065" s="34"/>
    </row>
    <row r="1066" spans="5:15">
      <c r="E1066" s="33"/>
      <c r="F1066" s="33"/>
      <c r="G1066" s="33"/>
      <c r="H1066" s="33"/>
      <c r="I1066" s="33"/>
      <c r="J1066" s="33"/>
      <c r="K1066" s="33"/>
      <c r="L1066" s="33"/>
      <c r="M1066" s="33"/>
      <c r="N1066" s="33"/>
      <c r="O1066" s="34"/>
    </row>
    <row r="1067" spans="5:15">
      <c r="E1067" s="33"/>
      <c r="F1067" s="33"/>
      <c r="G1067" s="33"/>
      <c r="H1067" s="33"/>
      <c r="I1067" s="33"/>
      <c r="J1067" s="33"/>
      <c r="K1067" s="33"/>
      <c r="L1067" s="33"/>
      <c r="M1067" s="33"/>
      <c r="N1067" s="33"/>
      <c r="O1067" s="34"/>
    </row>
    <row r="1068" spans="5:15">
      <c r="E1068" s="33"/>
      <c r="F1068" s="33"/>
      <c r="G1068" s="33"/>
      <c r="H1068" s="33"/>
      <c r="I1068" s="33"/>
      <c r="J1068" s="33"/>
      <c r="K1068" s="33"/>
      <c r="L1068" s="33"/>
      <c r="M1068" s="33"/>
      <c r="N1068" s="33"/>
      <c r="O1068" s="34"/>
    </row>
    <row r="1069" spans="5:15">
      <c r="E1069" s="33"/>
      <c r="F1069" s="33"/>
      <c r="G1069" s="33"/>
      <c r="H1069" s="33"/>
      <c r="I1069" s="33"/>
      <c r="J1069" s="33"/>
      <c r="K1069" s="33"/>
      <c r="L1069" s="33"/>
      <c r="M1069" s="33"/>
      <c r="N1069" s="33"/>
      <c r="O1069" s="34"/>
    </row>
    <row r="1070" spans="5:15">
      <c r="E1070" s="33"/>
      <c r="F1070" s="33"/>
      <c r="G1070" s="33"/>
      <c r="H1070" s="33"/>
      <c r="I1070" s="33"/>
      <c r="J1070" s="33"/>
      <c r="K1070" s="33"/>
      <c r="L1070" s="33"/>
      <c r="M1070" s="33"/>
      <c r="N1070" s="33"/>
      <c r="O1070" s="34"/>
    </row>
    <row r="1071" spans="5:15">
      <c r="E1071" s="33"/>
      <c r="F1071" s="33"/>
      <c r="G1071" s="33"/>
      <c r="H1071" s="33"/>
      <c r="I1071" s="33"/>
      <c r="J1071" s="33"/>
      <c r="K1071" s="33"/>
      <c r="L1071" s="33"/>
      <c r="M1071" s="33"/>
      <c r="N1071" s="33"/>
      <c r="O1071" s="34"/>
    </row>
    <row r="1072" spans="5:15">
      <c r="E1072" s="33"/>
      <c r="F1072" s="33"/>
      <c r="G1072" s="33"/>
      <c r="H1072" s="33"/>
      <c r="I1072" s="33"/>
      <c r="J1072" s="33"/>
      <c r="K1072" s="33"/>
      <c r="L1072" s="33"/>
      <c r="M1072" s="33"/>
      <c r="N1072" s="33"/>
      <c r="O1072" s="34"/>
    </row>
    <row r="1073" spans="5:15">
      <c r="E1073" s="33"/>
      <c r="F1073" s="33"/>
      <c r="G1073" s="33"/>
      <c r="H1073" s="33"/>
      <c r="I1073" s="33"/>
      <c r="J1073" s="33"/>
      <c r="K1073" s="33"/>
      <c r="L1073" s="33"/>
      <c r="M1073" s="33"/>
      <c r="N1073" s="33"/>
      <c r="O1073" s="34"/>
    </row>
    <row r="1074" spans="5:15">
      <c r="E1074" s="33"/>
      <c r="F1074" s="33"/>
      <c r="G1074" s="33"/>
      <c r="H1074" s="33"/>
      <c r="I1074" s="33"/>
      <c r="J1074" s="33"/>
      <c r="K1074" s="33"/>
      <c r="L1074" s="33"/>
      <c r="M1074" s="33"/>
      <c r="N1074" s="33"/>
      <c r="O1074" s="34"/>
    </row>
    <row r="1075" spans="5:15">
      <c r="E1075" s="33"/>
      <c r="F1075" s="33"/>
      <c r="G1075" s="33"/>
      <c r="H1075" s="33"/>
      <c r="I1075" s="33"/>
      <c r="J1075" s="33"/>
      <c r="K1075" s="33"/>
      <c r="L1075" s="33"/>
      <c r="M1075" s="33"/>
      <c r="N1075" s="33"/>
      <c r="O1075" s="34"/>
    </row>
    <row r="1076" spans="5:15">
      <c r="E1076" s="33"/>
      <c r="F1076" s="33"/>
      <c r="G1076" s="33"/>
      <c r="H1076" s="33"/>
      <c r="I1076" s="33"/>
      <c r="J1076" s="33"/>
      <c r="K1076" s="33"/>
      <c r="L1076" s="33"/>
      <c r="M1076" s="33"/>
      <c r="N1076" s="33"/>
      <c r="O1076" s="34"/>
    </row>
    <row r="1077" spans="5:15">
      <c r="E1077" s="33"/>
      <c r="F1077" s="33"/>
      <c r="G1077" s="33"/>
      <c r="H1077" s="33"/>
      <c r="I1077" s="33"/>
      <c r="J1077" s="33"/>
      <c r="K1077" s="33"/>
      <c r="L1077" s="33"/>
      <c r="M1077" s="33"/>
      <c r="N1077" s="33"/>
      <c r="O1077" s="34"/>
    </row>
    <row r="1078" spans="5:15">
      <c r="E1078" s="33"/>
      <c r="F1078" s="33"/>
      <c r="G1078" s="33"/>
      <c r="H1078" s="33"/>
      <c r="I1078" s="33"/>
      <c r="J1078" s="33"/>
      <c r="K1078" s="33"/>
      <c r="L1078" s="33"/>
      <c r="M1078" s="33"/>
      <c r="N1078" s="33"/>
      <c r="O1078" s="34"/>
    </row>
    <row r="1079" spans="5:15">
      <c r="E1079" s="33"/>
      <c r="F1079" s="33"/>
      <c r="G1079" s="33"/>
      <c r="H1079" s="33"/>
      <c r="I1079" s="33"/>
      <c r="J1079" s="33"/>
      <c r="K1079" s="33"/>
      <c r="L1079" s="33"/>
      <c r="M1079" s="33"/>
      <c r="N1079" s="33"/>
      <c r="O1079" s="34"/>
    </row>
    <row r="1080" spans="5:15">
      <c r="E1080" s="33"/>
      <c r="F1080" s="33"/>
      <c r="G1080" s="33"/>
      <c r="H1080" s="33"/>
      <c r="I1080" s="33"/>
      <c r="J1080" s="33"/>
      <c r="K1080" s="33"/>
      <c r="L1080" s="33"/>
      <c r="M1080" s="33"/>
      <c r="N1080" s="33"/>
      <c r="O1080" s="34"/>
    </row>
    <row r="1081" spans="5:15">
      <c r="E1081" s="33"/>
      <c r="F1081" s="33"/>
      <c r="G1081" s="33"/>
      <c r="H1081" s="33"/>
      <c r="I1081" s="33"/>
      <c r="J1081" s="33"/>
      <c r="K1081" s="33"/>
      <c r="L1081" s="33"/>
      <c r="M1081" s="33"/>
      <c r="N1081" s="33"/>
      <c r="O1081" s="34"/>
    </row>
    <row r="1082" spans="5:15">
      <c r="E1082" s="33"/>
      <c r="F1082" s="33"/>
      <c r="G1082" s="33"/>
      <c r="H1082" s="33"/>
      <c r="I1082" s="33"/>
      <c r="J1082" s="33"/>
      <c r="K1082" s="33"/>
      <c r="L1082" s="33"/>
      <c r="M1082" s="33"/>
      <c r="N1082" s="33"/>
      <c r="O1082" s="34"/>
    </row>
    <row r="1083" spans="5:15">
      <c r="E1083" s="33"/>
      <c r="F1083" s="33"/>
      <c r="G1083" s="33"/>
      <c r="H1083" s="33"/>
      <c r="I1083" s="33"/>
      <c r="J1083" s="33"/>
      <c r="K1083" s="33"/>
      <c r="L1083" s="33"/>
      <c r="M1083" s="33"/>
      <c r="N1083" s="33"/>
      <c r="O1083" s="34"/>
    </row>
    <row r="1084" spans="5:15">
      <c r="E1084" s="33"/>
      <c r="F1084" s="33"/>
      <c r="G1084" s="33"/>
      <c r="H1084" s="33"/>
      <c r="I1084" s="33"/>
      <c r="J1084" s="33"/>
      <c r="K1084" s="33"/>
      <c r="L1084" s="33"/>
      <c r="M1084" s="33"/>
      <c r="N1084" s="33"/>
      <c r="O1084" s="34"/>
    </row>
    <row r="1085" spans="5:15">
      <c r="E1085" s="33"/>
      <c r="F1085" s="33"/>
      <c r="G1085" s="33"/>
      <c r="H1085" s="33"/>
      <c r="I1085" s="33"/>
      <c r="J1085" s="33"/>
      <c r="K1085" s="33"/>
      <c r="L1085" s="33"/>
      <c r="M1085" s="33"/>
      <c r="N1085" s="33"/>
      <c r="O1085" s="34"/>
    </row>
    <row r="1086" spans="5:15">
      <c r="E1086" s="33"/>
      <c r="F1086" s="33"/>
      <c r="G1086" s="33"/>
      <c r="H1086" s="33"/>
      <c r="I1086" s="33"/>
      <c r="J1086" s="33"/>
      <c r="K1086" s="33"/>
      <c r="L1086" s="33"/>
      <c r="M1086" s="33"/>
      <c r="N1086" s="33"/>
      <c r="O1086" s="34"/>
    </row>
    <row r="1087" spans="5:15">
      <c r="E1087" s="33"/>
      <c r="F1087" s="33"/>
      <c r="G1087" s="33"/>
      <c r="H1087" s="33"/>
      <c r="I1087" s="33"/>
      <c r="J1087" s="33"/>
      <c r="K1087" s="33"/>
      <c r="L1087" s="33"/>
      <c r="M1087" s="33"/>
      <c r="N1087" s="33"/>
      <c r="O1087" s="34"/>
    </row>
    <row r="1088" spans="5:15">
      <c r="E1088" s="33"/>
      <c r="F1088" s="33"/>
      <c r="G1088" s="33"/>
      <c r="H1088" s="33"/>
      <c r="I1088" s="33"/>
      <c r="J1088" s="33"/>
      <c r="K1088" s="33"/>
      <c r="L1088" s="33"/>
      <c r="M1088" s="33"/>
      <c r="N1088" s="33"/>
      <c r="O1088" s="34"/>
    </row>
    <row r="1089" spans="5:15">
      <c r="E1089" s="33"/>
      <c r="F1089" s="33"/>
      <c r="G1089" s="33"/>
      <c r="H1089" s="33"/>
      <c r="I1089" s="33"/>
      <c r="J1089" s="33"/>
      <c r="K1089" s="33"/>
      <c r="L1089" s="33"/>
      <c r="M1089" s="33"/>
      <c r="N1089" s="33"/>
      <c r="O1089" s="34"/>
    </row>
    <row r="1090" spans="5:15">
      <c r="E1090" s="33"/>
      <c r="F1090" s="33"/>
      <c r="G1090" s="33"/>
      <c r="H1090" s="33"/>
      <c r="I1090" s="33"/>
      <c r="J1090" s="33"/>
      <c r="K1090" s="33"/>
      <c r="L1090" s="33"/>
      <c r="M1090" s="33"/>
      <c r="N1090" s="33"/>
      <c r="O1090" s="34"/>
    </row>
    <row r="1091" spans="5:15">
      <c r="E1091" s="33"/>
      <c r="F1091" s="33"/>
      <c r="G1091" s="33"/>
      <c r="H1091" s="33"/>
      <c r="I1091" s="33"/>
      <c r="J1091" s="33"/>
      <c r="K1091" s="33"/>
      <c r="L1091" s="33"/>
      <c r="M1091" s="33"/>
      <c r="N1091" s="33"/>
      <c r="O1091" s="34"/>
    </row>
    <row r="1092" spans="5:15">
      <c r="E1092" s="33"/>
      <c r="F1092" s="33"/>
      <c r="G1092" s="33"/>
      <c r="H1092" s="33"/>
      <c r="I1092" s="33"/>
      <c r="J1092" s="33"/>
      <c r="K1092" s="33"/>
      <c r="L1092" s="33"/>
      <c r="M1092" s="33"/>
      <c r="N1092" s="33"/>
      <c r="O1092" s="34"/>
    </row>
    <row r="1093" spans="5:15">
      <c r="E1093" s="33"/>
      <c r="F1093" s="33"/>
      <c r="G1093" s="33"/>
      <c r="H1093" s="33"/>
      <c r="I1093" s="33"/>
      <c r="J1093" s="33"/>
      <c r="K1093" s="33"/>
      <c r="L1093" s="33"/>
      <c r="M1093" s="33"/>
      <c r="N1093" s="33"/>
      <c r="O1093" s="34"/>
    </row>
    <row r="1094" spans="5:15">
      <c r="E1094" s="33"/>
      <c r="F1094" s="33"/>
      <c r="G1094" s="33"/>
      <c r="H1094" s="33"/>
      <c r="I1094" s="33"/>
      <c r="J1094" s="33"/>
      <c r="K1094" s="33"/>
      <c r="L1094" s="33"/>
      <c r="M1094" s="33"/>
      <c r="N1094" s="33"/>
      <c r="O1094" s="34"/>
    </row>
    <row r="1095" spans="5:15">
      <c r="E1095" s="33"/>
      <c r="F1095" s="33"/>
      <c r="G1095" s="33"/>
      <c r="H1095" s="33"/>
      <c r="I1095" s="33"/>
      <c r="J1095" s="33"/>
      <c r="K1095" s="33"/>
      <c r="L1095" s="33"/>
      <c r="M1095" s="33"/>
      <c r="N1095" s="33"/>
      <c r="O1095" s="34"/>
    </row>
    <row r="1096" spans="5:15">
      <c r="E1096" s="33"/>
      <c r="F1096" s="33"/>
      <c r="G1096" s="33"/>
      <c r="H1096" s="33"/>
      <c r="I1096" s="33"/>
      <c r="J1096" s="33"/>
      <c r="K1096" s="33"/>
      <c r="L1096" s="33"/>
      <c r="M1096" s="33"/>
      <c r="N1096" s="33"/>
      <c r="O1096" s="34"/>
    </row>
    <row r="1097" spans="5:15">
      <c r="E1097" s="33"/>
      <c r="F1097" s="33"/>
      <c r="G1097" s="33"/>
      <c r="H1097" s="33"/>
      <c r="I1097" s="33"/>
      <c r="J1097" s="33"/>
      <c r="K1097" s="33"/>
      <c r="L1097" s="33"/>
      <c r="M1097" s="33"/>
      <c r="N1097" s="33"/>
      <c r="O1097" s="34"/>
    </row>
    <row r="1098" spans="5:15">
      <c r="E1098" s="33"/>
      <c r="F1098" s="33"/>
      <c r="G1098" s="33"/>
      <c r="H1098" s="33"/>
      <c r="I1098" s="33"/>
      <c r="J1098" s="33"/>
      <c r="K1098" s="33"/>
      <c r="L1098" s="33"/>
      <c r="M1098" s="33"/>
      <c r="N1098" s="33"/>
      <c r="O1098" s="34"/>
    </row>
    <row r="1099" spans="5:15">
      <c r="E1099" s="33"/>
      <c r="F1099" s="33"/>
      <c r="G1099" s="33"/>
      <c r="H1099" s="33"/>
      <c r="I1099" s="33"/>
      <c r="J1099" s="33"/>
      <c r="K1099" s="33"/>
      <c r="L1099" s="33"/>
      <c r="M1099" s="33"/>
      <c r="N1099" s="33"/>
      <c r="O1099" s="34"/>
    </row>
  </sheetData>
  <mergeCells count="1">
    <mergeCell ref="B3:D3"/>
  </mergeCells>
  <printOptions gridLines="1"/>
  <pageMargins left="0.7" right="0.7" top="0.75" bottom="0.75" header="0.3" footer="0.3"/>
  <pageSetup paperSize="9" scale="83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3"/>
  <sheetViews>
    <sheetView zoomScaleNormal="100"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1" width="10.7109375" style="19" hidden="1" customWidth="1" outlineLevel="1"/>
    <col min="12" max="12" width="10.7109375" style="19" customWidth="1" collapsed="1"/>
    <col min="13" max="16" width="10.7109375" style="19" hidden="1" customWidth="1" outlineLevel="1"/>
    <col min="17" max="17" width="10.7109375" style="19" customWidth="1" collapsed="1"/>
    <col min="18" max="21" width="10.7109375" style="19" hidden="1" customWidth="1" outlineLevel="1"/>
    <col min="22" max="22" width="10.7109375" style="19" customWidth="1" collapsed="1"/>
    <col min="23" max="27" width="10.7109375" style="19" hidden="1" customWidth="1" outlineLevel="1"/>
    <col min="28" max="28" width="10.7109375" style="19" customWidth="1" collapsed="1"/>
    <col min="29" max="32" width="10.7109375" style="19" hidden="1" customWidth="1" outlineLevel="1"/>
    <col min="33" max="33" width="10.7109375" style="19" customWidth="1" collapsed="1"/>
    <col min="34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48" width="10.7109375" style="19" hidden="1" customWidth="1" outlineLevel="1"/>
    <col min="49" max="49" width="10.7109375" style="19" customWidth="1" collapsed="1"/>
    <col min="50" max="53" width="10.7109375" style="19" hidden="1" customWidth="1" outlineLevel="1"/>
    <col min="54" max="54" width="10.7109375" style="19" customWidth="1" collapsed="1"/>
    <col min="55" max="59" width="10.7109375" style="19" hidden="1" customWidth="1" outlineLevel="1"/>
    <col min="60" max="60" width="10.7109375" style="19" customWidth="1" collapsed="1"/>
    <col min="61" max="64" width="10.7109375" style="19" hidden="1" customWidth="1" outlineLevel="1"/>
    <col min="65" max="65" width="10.7109375" style="19" customWidth="1" collapsed="1"/>
    <col min="66" max="70" width="10.7109375" style="19" hidden="1" customWidth="1" outlineLevel="1"/>
    <col min="71" max="71" width="10.7109375" style="19" customWidth="1" collapsed="1"/>
    <col min="72" max="73" width="10.7109375" style="19" customWidth="1"/>
    <col min="74" max="74" width="1.5703125" style="19" customWidth="1"/>
    <col min="75" max="75" width="10.28515625" style="19" customWidth="1"/>
    <col min="76" max="76" width="5.7109375" style="19" customWidth="1"/>
    <col min="77" max="77" width="7.140625" style="19" customWidth="1"/>
    <col min="78" max="78" width="5.140625" style="19" customWidth="1"/>
    <col min="79" max="79" width="1.42578125" style="19" customWidth="1"/>
    <col min="80" max="80" width="21.140625" style="19" customWidth="1"/>
    <col min="81" max="81" width="10.140625" style="19" customWidth="1"/>
    <col min="82" max="82" width="9.28515625" style="19" customWidth="1"/>
    <col min="83" max="83" width="23.140625" style="19" customWidth="1" outlineLevel="1"/>
    <col min="84" max="84" width="11.7109375" style="19" customWidth="1" outlineLevel="1"/>
    <col min="85" max="85" width="9.140625" style="19" customWidth="1" outlineLevel="1"/>
    <col min="86" max="16384" width="9.140625" style="19"/>
  </cols>
  <sheetData>
    <row r="1" spans="1:85" ht="18.75">
      <c r="A1" s="20" t="s">
        <v>17</v>
      </c>
      <c r="CC1" s="32">
        <v>1.32</v>
      </c>
      <c r="CF1" s="26" t="s">
        <v>96</v>
      </c>
      <c r="CG1" s="27">
        <v>0.5</v>
      </c>
    </row>
    <row r="2" spans="1:85">
      <c r="B2" s="24" t="s">
        <v>122</v>
      </c>
      <c r="E2" s="15" t="s">
        <v>18</v>
      </c>
      <c r="CB2" s="15" t="s">
        <v>19</v>
      </c>
      <c r="CE2" s="15" t="s">
        <v>97</v>
      </c>
      <c r="CF2" s="28" t="s">
        <v>98</v>
      </c>
      <c r="CG2" s="29">
        <f>CG1</f>
        <v>0.5</v>
      </c>
    </row>
    <row r="3" spans="1:85" ht="15.75" thickBot="1">
      <c r="CF3" s="30" t="s">
        <v>99</v>
      </c>
      <c r="CG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3"/>
  <sheetViews>
    <sheetView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1" width="10.7109375" style="19" hidden="1" customWidth="1" outlineLevel="1"/>
    <col min="12" max="12" width="10.7109375" style="19" customWidth="1" collapsed="1"/>
    <col min="13" max="16" width="10.7109375" style="19" hidden="1" customWidth="1" outlineLevel="1"/>
    <col min="17" max="17" width="10.7109375" style="19" customWidth="1" collapsed="1"/>
    <col min="18" max="21" width="10.7109375" style="19" hidden="1" customWidth="1" outlineLevel="1"/>
    <col min="22" max="22" width="10.7109375" style="19" customWidth="1" collapsed="1"/>
    <col min="23" max="27" width="10.7109375" style="19" hidden="1" customWidth="1" outlineLevel="1"/>
    <col min="28" max="28" width="10.7109375" style="19" customWidth="1" collapsed="1"/>
    <col min="29" max="32" width="10.7109375" style="19" hidden="1" customWidth="1" outlineLevel="1"/>
    <col min="33" max="33" width="10.7109375" style="19" customWidth="1" collapsed="1"/>
    <col min="34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48" width="10.7109375" style="19" hidden="1" customWidth="1" outlineLevel="1"/>
    <col min="49" max="49" width="10.7109375" style="19" customWidth="1" collapsed="1"/>
    <col min="50" max="53" width="10.7109375" style="19" hidden="1" customWidth="1" outlineLevel="1"/>
    <col min="54" max="54" width="10.7109375" style="19" customWidth="1" collapsed="1"/>
    <col min="55" max="59" width="10.7109375" style="19" hidden="1" customWidth="1" outlineLevel="1"/>
    <col min="60" max="60" width="10.7109375" style="19" customWidth="1" collapsed="1"/>
    <col min="61" max="64" width="10.7109375" style="19" hidden="1" customWidth="1" outlineLevel="1"/>
    <col min="65" max="65" width="10.7109375" style="19" customWidth="1" collapsed="1"/>
    <col min="66" max="70" width="10.7109375" style="19" hidden="1" customWidth="1" outlineLevel="1"/>
    <col min="71" max="71" width="10.7109375" style="19" customWidth="1" collapsed="1"/>
    <col min="72" max="73" width="10.7109375" style="19" customWidth="1"/>
    <col min="74" max="74" width="1.5703125" style="19" customWidth="1"/>
    <col min="75" max="75" width="10.28515625" style="19" customWidth="1"/>
    <col min="76" max="76" width="5.7109375" style="19" customWidth="1"/>
    <col min="77" max="77" width="7.140625" style="19" customWidth="1"/>
    <col min="78" max="78" width="5.140625" style="19" customWidth="1"/>
    <col min="79" max="79" width="1.42578125" style="19" customWidth="1"/>
    <col min="80" max="80" width="21.140625" style="19" customWidth="1"/>
    <col min="81" max="81" width="10.140625" style="19" customWidth="1"/>
    <col min="82" max="82" width="9.28515625" style="19" customWidth="1"/>
    <col min="83" max="83" width="23.140625" style="19" customWidth="1" outlineLevel="1"/>
    <col min="84" max="84" width="11.7109375" style="19" customWidth="1" outlineLevel="1"/>
    <col min="85" max="85" width="9.140625" style="19" customWidth="1" outlineLevel="1"/>
    <col min="86" max="16384" width="9.140625" style="19"/>
  </cols>
  <sheetData>
    <row r="1" spans="1:85" ht="18.75">
      <c r="A1" s="20" t="s">
        <v>17</v>
      </c>
      <c r="CC1" s="32">
        <v>1.32</v>
      </c>
      <c r="CF1" s="26" t="s">
        <v>96</v>
      </c>
      <c r="CG1" s="27">
        <v>0.5</v>
      </c>
    </row>
    <row r="2" spans="1:85">
      <c r="B2" s="24" t="s">
        <v>122</v>
      </c>
      <c r="E2" s="15" t="s">
        <v>18</v>
      </c>
      <c r="CB2" s="15" t="s">
        <v>19</v>
      </c>
      <c r="CE2" s="15" t="s">
        <v>97</v>
      </c>
      <c r="CF2" s="28" t="s">
        <v>98</v>
      </c>
      <c r="CG2" s="29">
        <f>CG1</f>
        <v>0.5</v>
      </c>
    </row>
    <row r="3" spans="1:85" ht="15.75" thickBot="1">
      <c r="CF3" s="30" t="s">
        <v>99</v>
      </c>
      <c r="CG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3"/>
  <sheetViews>
    <sheetView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1" width="10.7109375" style="19" hidden="1" customWidth="1" outlineLevel="1"/>
    <col min="12" max="12" width="10.7109375" style="19" customWidth="1" collapsed="1"/>
    <col min="13" max="16" width="10.7109375" style="19" hidden="1" customWidth="1" outlineLevel="1"/>
    <col min="17" max="17" width="10.7109375" style="19" customWidth="1" collapsed="1"/>
    <col min="18" max="21" width="10.7109375" style="19" hidden="1" customWidth="1" outlineLevel="1"/>
    <col min="22" max="22" width="10.7109375" style="19" customWidth="1" collapsed="1"/>
    <col min="23" max="27" width="10.7109375" style="19" hidden="1" customWidth="1" outlineLevel="1"/>
    <col min="28" max="28" width="10.7109375" style="19" customWidth="1" collapsed="1"/>
    <col min="29" max="32" width="10.7109375" style="19" hidden="1" customWidth="1" outlineLevel="1"/>
    <col min="33" max="33" width="10.7109375" style="19" customWidth="1" collapsed="1"/>
    <col min="34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48" width="10.7109375" style="19" hidden="1" customWidth="1" outlineLevel="1"/>
    <col min="49" max="49" width="10.7109375" style="19" customWidth="1" collapsed="1"/>
    <col min="50" max="53" width="10.7109375" style="19" hidden="1" customWidth="1" outlineLevel="1"/>
    <col min="54" max="54" width="10.7109375" style="19" customWidth="1" collapsed="1"/>
    <col min="55" max="59" width="10.7109375" style="19" hidden="1" customWidth="1" outlineLevel="1"/>
    <col min="60" max="60" width="10.7109375" style="19" customWidth="1" collapsed="1"/>
    <col min="61" max="64" width="10.7109375" style="19" hidden="1" customWidth="1" outlineLevel="1"/>
    <col min="65" max="65" width="10.7109375" style="19" customWidth="1" collapsed="1"/>
    <col min="66" max="70" width="10.7109375" style="19" hidden="1" customWidth="1" outlineLevel="1"/>
    <col min="71" max="71" width="10.7109375" style="19" customWidth="1" collapsed="1"/>
    <col min="72" max="73" width="10.7109375" style="19" customWidth="1"/>
    <col min="74" max="74" width="1.5703125" style="19" customWidth="1"/>
    <col min="75" max="75" width="10.28515625" style="19" customWidth="1"/>
    <col min="76" max="76" width="5.7109375" style="19" customWidth="1"/>
    <col min="77" max="77" width="7.140625" style="19" customWidth="1"/>
    <col min="78" max="78" width="5.140625" style="19" customWidth="1"/>
    <col min="79" max="79" width="1.42578125" style="19" customWidth="1"/>
    <col min="80" max="80" width="21.140625" style="19" customWidth="1"/>
    <col min="81" max="81" width="10.140625" style="19" customWidth="1"/>
    <col min="82" max="82" width="9.28515625" style="19" customWidth="1"/>
    <col min="83" max="83" width="23.140625" style="19" customWidth="1" outlineLevel="1"/>
    <col min="84" max="84" width="11.7109375" style="19" customWidth="1" outlineLevel="1"/>
    <col min="85" max="85" width="9.140625" style="19" customWidth="1" outlineLevel="1"/>
    <col min="86" max="16384" width="9.140625" style="19"/>
  </cols>
  <sheetData>
    <row r="1" spans="1:85" ht="18.75">
      <c r="A1" s="20" t="s">
        <v>17</v>
      </c>
      <c r="CC1" s="32">
        <v>1.32</v>
      </c>
      <c r="CF1" s="26" t="s">
        <v>96</v>
      </c>
      <c r="CG1" s="27">
        <v>0.5</v>
      </c>
    </row>
    <row r="2" spans="1:85">
      <c r="B2" s="24" t="s">
        <v>122</v>
      </c>
      <c r="E2" s="15" t="s">
        <v>18</v>
      </c>
      <c r="CB2" s="15" t="s">
        <v>19</v>
      </c>
      <c r="CE2" s="15" t="s">
        <v>97</v>
      </c>
      <c r="CF2" s="28" t="s">
        <v>98</v>
      </c>
      <c r="CG2" s="29">
        <f>CG1</f>
        <v>0.5</v>
      </c>
    </row>
    <row r="3" spans="1:85" ht="15.75" thickBot="1">
      <c r="CF3" s="30" t="s">
        <v>99</v>
      </c>
      <c r="CG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3"/>
  <sheetViews>
    <sheetView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1" width="10.7109375" style="19" hidden="1" customWidth="1" outlineLevel="1"/>
    <col min="12" max="12" width="10.7109375" style="19" customWidth="1" collapsed="1"/>
    <col min="13" max="16" width="10.7109375" style="19" hidden="1" customWidth="1" outlineLevel="1"/>
    <col min="17" max="17" width="10.7109375" style="19" customWidth="1" collapsed="1"/>
    <col min="18" max="21" width="10.7109375" style="19" hidden="1" customWidth="1" outlineLevel="1"/>
    <col min="22" max="22" width="10.7109375" style="19" customWidth="1" collapsed="1"/>
    <col min="23" max="27" width="10.7109375" style="19" hidden="1" customWidth="1" outlineLevel="1"/>
    <col min="28" max="28" width="10.7109375" style="19" customWidth="1" collapsed="1"/>
    <col min="29" max="32" width="10.7109375" style="19" hidden="1" customWidth="1" outlineLevel="1"/>
    <col min="33" max="33" width="10.7109375" style="19" customWidth="1" collapsed="1"/>
    <col min="34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48" width="10.7109375" style="19" hidden="1" customWidth="1" outlineLevel="1"/>
    <col min="49" max="49" width="10.7109375" style="19" customWidth="1" collapsed="1"/>
    <col min="50" max="53" width="10.7109375" style="19" hidden="1" customWidth="1" outlineLevel="1"/>
    <col min="54" max="54" width="10.7109375" style="19" customWidth="1" collapsed="1"/>
    <col min="55" max="59" width="10.7109375" style="19" hidden="1" customWidth="1" outlineLevel="1"/>
    <col min="60" max="60" width="10.7109375" style="19" customWidth="1" collapsed="1"/>
    <col min="61" max="64" width="10.7109375" style="19" hidden="1" customWidth="1" outlineLevel="1"/>
    <col min="65" max="65" width="10.7109375" style="19" customWidth="1" collapsed="1"/>
    <col min="66" max="70" width="10.7109375" style="19" hidden="1" customWidth="1" outlineLevel="1"/>
    <col min="71" max="71" width="10.7109375" style="19" customWidth="1" collapsed="1"/>
    <col min="72" max="73" width="10.7109375" style="19" customWidth="1"/>
    <col min="74" max="74" width="1.5703125" style="19" customWidth="1"/>
    <col min="75" max="75" width="10.28515625" style="19" customWidth="1"/>
    <col min="76" max="76" width="5.7109375" style="19" customWidth="1"/>
    <col min="77" max="77" width="7.140625" style="19" customWidth="1"/>
    <col min="78" max="78" width="5.140625" style="19" customWidth="1"/>
    <col min="79" max="79" width="1.42578125" style="19" customWidth="1"/>
    <col min="80" max="80" width="21.140625" style="19" customWidth="1"/>
    <col min="81" max="81" width="10.140625" style="19" customWidth="1"/>
    <col min="82" max="82" width="9.28515625" style="19" customWidth="1"/>
    <col min="83" max="83" width="23.140625" style="19" customWidth="1" outlineLevel="1"/>
    <col min="84" max="84" width="11.7109375" style="19" customWidth="1" outlineLevel="1"/>
    <col min="85" max="85" width="9.140625" style="19" customWidth="1" outlineLevel="1"/>
    <col min="86" max="16384" width="9.140625" style="19"/>
  </cols>
  <sheetData>
    <row r="1" spans="1:85" ht="18.75">
      <c r="A1" s="20" t="s">
        <v>17</v>
      </c>
      <c r="CC1" s="32">
        <v>1.32</v>
      </c>
      <c r="CF1" s="26" t="s">
        <v>96</v>
      </c>
      <c r="CG1" s="27">
        <v>0.5</v>
      </c>
    </row>
    <row r="2" spans="1:85">
      <c r="B2" s="24" t="s">
        <v>122</v>
      </c>
      <c r="E2" s="15" t="s">
        <v>18</v>
      </c>
      <c r="CB2" s="15" t="s">
        <v>19</v>
      </c>
      <c r="CE2" s="15" t="s">
        <v>97</v>
      </c>
      <c r="CF2" s="28" t="s">
        <v>98</v>
      </c>
      <c r="CG2" s="29">
        <f>CG1</f>
        <v>0.5</v>
      </c>
    </row>
    <row r="3" spans="1:85" ht="15.75" thickBot="1">
      <c r="CF3" s="30" t="s">
        <v>99</v>
      </c>
      <c r="CG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3"/>
  <sheetViews>
    <sheetView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1" width="10.7109375" style="19" hidden="1" customWidth="1" outlineLevel="1"/>
    <col min="12" max="12" width="10.7109375" style="19" customWidth="1" collapsed="1"/>
    <col min="13" max="16" width="10.7109375" style="19" hidden="1" customWidth="1" outlineLevel="1"/>
    <col min="17" max="17" width="10.7109375" style="19" customWidth="1" collapsed="1"/>
    <col min="18" max="21" width="10.7109375" style="19" hidden="1" customWidth="1" outlineLevel="1"/>
    <col min="22" max="22" width="10.7109375" style="19" customWidth="1" collapsed="1"/>
    <col min="23" max="27" width="10.7109375" style="19" hidden="1" customWidth="1" outlineLevel="1"/>
    <col min="28" max="28" width="10.7109375" style="19" customWidth="1" collapsed="1"/>
    <col min="29" max="32" width="10.7109375" style="19" hidden="1" customWidth="1" outlineLevel="1"/>
    <col min="33" max="33" width="10.7109375" style="19" customWidth="1" collapsed="1"/>
    <col min="34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48" width="10.7109375" style="19" hidden="1" customWidth="1" outlineLevel="1"/>
    <col min="49" max="49" width="10.7109375" style="19" customWidth="1" collapsed="1"/>
    <col min="50" max="53" width="10.7109375" style="19" hidden="1" customWidth="1" outlineLevel="1"/>
    <col min="54" max="54" width="10.7109375" style="19" customWidth="1" collapsed="1"/>
    <col min="55" max="59" width="10.7109375" style="19" hidden="1" customWidth="1" outlineLevel="1"/>
    <col min="60" max="60" width="10.7109375" style="19" customWidth="1" collapsed="1"/>
    <col min="61" max="64" width="10.7109375" style="19" hidden="1" customWidth="1" outlineLevel="1"/>
    <col min="65" max="65" width="10.7109375" style="19" customWidth="1" collapsed="1"/>
    <col min="66" max="70" width="10.7109375" style="19" hidden="1" customWidth="1" outlineLevel="1"/>
    <col min="71" max="71" width="10.7109375" style="19" customWidth="1" collapsed="1"/>
    <col min="72" max="73" width="10.7109375" style="19" customWidth="1"/>
    <col min="74" max="74" width="1.5703125" style="19" customWidth="1"/>
    <col min="75" max="75" width="10.28515625" style="19" customWidth="1"/>
    <col min="76" max="76" width="5.7109375" style="19" customWidth="1"/>
    <col min="77" max="77" width="7.140625" style="19" customWidth="1"/>
    <col min="78" max="78" width="5.140625" style="19" customWidth="1"/>
    <col min="79" max="79" width="1.42578125" style="19" customWidth="1"/>
    <col min="80" max="80" width="21.140625" style="19" customWidth="1"/>
    <col min="81" max="81" width="10.140625" style="19" customWidth="1"/>
    <col min="82" max="82" width="9.28515625" style="19" customWidth="1"/>
    <col min="83" max="83" width="23.140625" style="19" customWidth="1" outlineLevel="1"/>
    <col min="84" max="84" width="11.7109375" style="19" customWidth="1" outlineLevel="1"/>
    <col min="85" max="85" width="9.140625" style="19" customWidth="1" outlineLevel="1"/>
    <col min="86" max="16384" width="9.140625" style="19"/>
  </cols>
  <sheetData>
    <row r="1" spans="1:85" ht="18.75">
      <c r="A1" s="20" t="s">
        <v>17</v>
      </c>
      <c r="CC1" s="32">
        <v>1.32</v>
      </c>
      <c r="CF1" s="26" t="s">
        <v>96</v>
      </c>
      <c r="CG1" s="27">
        <v>0.5</v>
      </c>
    </row>
    <row r="2" spans="1:85">
      <c r="B2" s="24" t="s">
        <v>122</v>
      </c>
      <c r="E2" s="15" t="s">
        <v>18</v>
      </c>
      <c r="CB2" s="15" t="s">
        <v>19</v>
      </c>
      <c r="CE2" s="15" t="s">
        <v>97</v>
      </c>
      <c r="CF2" s="28" t="s">
        <v>98</v>
      </c>
      <c r="CG2" s="29">
        <f>CG1</f>
        <v>0.5</v>
      </c>
    </row>
    <row r="3" spans="1:85" ht="15.75" thickBot="1">
      <c r="CF3" s="30" t="s">
        <v>99</v>
      </c>
      <c r="CG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3"/>
  <sheetViews>
    <sheetView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1" width="10.7109375" style="19" hidden="1" customWidth="1" outlineLevel="1"/>
    <col min="12" max="12" width="10.7109375" style="19" customWidth="1" collapsed="1"/>
    <col min="13" max="16" width="10.7109375" style="19" hidden="1" customWidth="1" outlineLevel="1"/>
    <col min="17" max="17" width="10.7109375" style="19" customWidth="1" collapsed="1"/>
    <col min="18" max="21" width="10.7109375" style="19" hidden="1" customWidth="1" outlineLevel="1"/>
    <col min="22" max="22" width="10.7109375" style="19" customWidth="1" collapsed="1"/>
    <col min="23" max="27" width="10.7109375" style="19" hidden="1" customWidth="1" outlineLevel="1"/>
    <col min="28" max="28" width="10.7109375" style="19" customWidth="1" collapsed="1"/>
    <col min="29" max="32" width="10.7109375" style="19" hidden="1" customWidth="1" outlineLevel="1"/>
    <col min="33" max="33" width="10.7109375" style="19" customWidth="1" collapsed="1"/>
    <col min="34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48" width="10.7109375" style="19" hidden="1" customWidth="1" outlineLevel="1"/>
    <col min="49" max="49" width="10.7109375" style="19" customWidth="1" collapsed="1"/>
    <col min="50" max="53" width="10.7109375" style="19" hidden="1" customWidth="1" outlineLevel="1"/>
    <col min="54" max="54" width="10.7109375" style="19" customWidth="1" collapsed="1"/>
    <col min="55" max="59" width="10.7109375" style="19" hidden="1" customWidth="1" outlineLevel="1"/>
    <col min="60" max="60" width="10.7109375" style="19" customWidth="1" collapsed="1"/>
    <col min="61" max="64" width="10.7109375" style="19" hidden="1" customWidth="1" outlineLevel="1"/>
    <col min="65" max="65" width="10.7109375" style="19" customWidth="1" collapsed="1"/>
    <col min="66" max="70" width="10.7109375" style="19" hidden="1" customWidth="1" outlineLevel="1"/>
    <col min="71" max="71" width="10.7109375" style="19" customWidth="1" collapsed="1"/>
    <col min="72" max="73" width="10.7109375" style="19" customWidth="1"/>
    <col min="74" max="74" width="1.5703125" style="19" customWidth="1"/>
    <col min="75" max="75" width="10.28515625" style="19" customWidth="1"/>
    <col min="76" max="76" width="5.7109375" style="19" customWidth="1"/>
    <col min="77" max="77" width="7.140625" style="19" customWidth="1"/>
    <col min="78" max="78" width="5.140625" style="19" customWidth="1"/>
    <col min="79" max="79" width="1.42578125" style="19" customWidth="1"/>
    <col min="80" max="80" width="21.140625" style="19" customWidth="1"/>
    <col min="81" max="81" width="10.140625" style="19" customWidth="1"/>
    <col min="82" max="82" width="9.28515625" style="19" customWidth="1"/>
    <col min="83" max="83" width="23.140625" style="19" customWidth="1" outlineLevel="1"/>
    <col min="84" max="84" width="11.7109375" style="19" customWidth="1" outlineLevel="1"/>
    <col min="85" max="85" width="9.140625" style="19" customWidth="1" outlineLevel="1"/>
    <col min="86" max="16384" width="9.140625" style="19"/>
  </cols>
  <sheetData>
    <row r="1" spans="1:85" ht="18.75">
      <c r="A1" s="20" t="s">
        <v>17</v>
      </c>
      <c r="CC1" s="32">
        <v>1.32</v>
      </c>
      <c r="CF1" s="26" t="s">
        <v>96</v>
      </c>
      <c r="CG1" s="27">
        <v>0.5</v>
      </c>
    </row>
    <row r="2" spans="1:85">
      <c r="B2" s="24" t="s">
        <v>122</v>
      </c>
      <c r="E2" s="15" t="s">
        <v>18</v>
      </c>
      <c r="CB2" s="15" t="s">
        <v>19</v>
      </c>
      <c r="CE2" s="15" t="s">
        <v>97</v>
      </c>
      <c r="CF2" s="28" t="s">
        <v>98</v>
      </c>
      <c r="CG2" s="29">
        <f>CG1</f>
        <v>0.5</v>
      </c>
    </row>
    <row r="3" spans="1:85" ht="15.75" thickBot="1">
      <c r="CF3" s="30" t="s">
        <v>99</v>
      </c>
      <c r="CG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3"/>
  <sheetViews>
    <sheetView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1" width="10.7109375" style="19" hidden="1" customWidth="1" outlineLevel="1"/>
    <col min="12" max="12" width="10.7109375" style="19" customWidth="1" collapsed="1"/>
    <col min="13" max="16" width="10.7109375" style="19" hidden="1" customWidth="1" outlineLevel="1"/>
    <col min="17" max="17" width="10.7109375" style="19" customWidth="1" collapsed="1"/>
    <col min="18" max="21" width="10.7109375" style="19" hidden="1" customWidth="1" outlineLevel="1"/>
    <col min="22" max="22" width="10.7109375" style="19" customWidth="1" collapsed="1"/>
    <col min="23" max="27" width="10.7109375" style="19" hidden="1" customWidth="1" outlineLevel="1"/>
    <col min="28" max="28" width="10.7109375" style="19" customWidth="1" collapsed="1"/>
    <col min="29" max="32" width="10.7109375" style="19" hidden="1" customWidth="1" outlineLevel="1"/>
    <col min="33" max="33" width="10.7109375" style="19" customWidth="1" collapsed="1"/>
    <col min="34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48" width="10.7109375" style="19" hidden="1" customWidth="1" outlineLevel="1"/>
    <col min="49" max="49" width="10.7109375" style="19" customWidth="1" collapsed="1"/>
    <col min="50" max="53" width="10.7109375" style="19" hidden="1" customWidth="1" outlineLevel="1"/>
    <col min="54" max="54" width="10.7109375" style="19" customWidth="1" collapsed="1"/>
    <col min="55" max="59" width="10.7109375" style="19" hidden="1" customWidth="1" outlineLevel="1"/>
    <col min="60" max="60" width="10.7109375" style="19" customWidth="1" collapsed="1"/>
    <col min="61" max="64" width="10.7109375" style="19" hidden="1" customWidth="1" outlineLevel="1"/>
    <col min="65" max="65" width="10.7109375" style="19" customWidth="1" collapsed="1"/>
    <col min="66" max="70" width="10.7109375" style="19" hidden="1" customWidth="1" outlineLevel="1"/>
    <col min="71" max="71" width="10.7109375" style="19" customWidth="1" collapsed="1"/>
    <col min="72" max="73" width="10.7109375" style="19" customWidth="1"/>
    <col min="74" max="74" width="1.5703125" style="19" customWidth="1"/>
    <col min="75" max="75" width="10.28515625" style="19" customWidth="1"/>
    <col min="76" max="76" width="5.7109375" style="19" customWidth="1"/>
    <col min="77" max="77" width="7.140625" style="19" customWidth="1"/>
    <col min="78" max="78" width="5.140625" style="19" customWidth="1"/>
    <col min="79" max="79" width="1.42578125" style="19" customWidth="1"/>
    <col min="80" max="80" width="21.140625" style="19" customWidth="1"/>
    <col min="81" max="81" width="10.140625" style="19" customWidth="1"/>
    <col min="82" max="82" width="9.28515625" style="19" customWidth="1"/>
    <col min="83" max="83" width="23.140625" style="19" customWidth="1" outlineLevel="1"/>
    <col min="84" max="84" width="11.7109375" style="19" customWidth="1" outlineLevel="1"/>
    <col min="85" max="85" width="9.140625" style="19" customWidth="1" outlineLevel="1"/>
    <col min="86" max="16384" width="9.140625" style="19"/>
  </cols>
  <sheetData>
    <row r="1" spans="1:85" ht="18.75">
      <c r="A1" s="20" t="s">
        <v>17</v>
      </c>
      <c r="CC1" s="32">
        <v>1.32</v>
      </c>
      <c r="CF1" s="26" t="s">
        <v>96</v>
      </c>
      <c r="CG1" s="27">
        <v>0.5</v>
      </c>
    </row>
    <row r="2" spans="1:85">
      <c r="B2" s="24" t="s">
        <v>122</v>
      </c>
      <c r="E2" s="15" t="s">
        <v>18</v>
      </c>
      <c r="CB2" s="15" t="s">
        <v>19</v>
      </c>
      <c r="CE2" s="15" t="s">
        <v>97</v>
      </c>
      <c r="CF2" s="28" t="s">
        <v>98</v>
      </c>
      <c r="CG2" s="29">
        <f>CG1</f>
        <v>0.5</v>
      </c>
    </row>
    <row r="3" spans="1:85" ht="15.75" thickBot="1">
      <c r="CF3" s="30" t="s">
        <v>99</v>
      </c>
      <c r="CG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3"/>
  <sheetViews>
    <sheetView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1" width="10.7109375" style="19" hidden="1" customWidth="1" outlineLevel="1"/>
    <col min="12" max="12" width="10.7109375" style="19" customWidth="1" collapsed="1"/>
    <col min="13" max="16" width="10.7109375" style="19" hidden="1" customWidth="1" outlineLevel="1"/>
    <col min="17" max="17" width="10.7109375" style="19" customWidth="1" collapsed="1"/>
    <col min="18" max="21" width="10.7109375" style="19" hidden="1" customWidth="1" outlineLevel="1"/>
    <col min="22" max="22" width="10.7109375" style="19" customWidth="1" collapsed="1"/>
    <col min="23" max="27" width="10.7109375" style="19" hidden="1" customWidth="1" outlineLevel="1"/>
    <col min="28" max="28" width="10.7109375" style="19" customWidth="1" collapsed="1"/>
    <col min="29" max="32" width="10.7109375" style="19" hidden="1" customWidth="1" outlineLevel="1"/>
    <col min="33" max="33" width="10.7109375" style="19" customWidth="1" collapsed="1"/>
    <col min="34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48" width="10.7109375" style="19" hidden="1" customWidth="1" outlineLevel="1"/>
    <col min="49" max="49" width="10.7109375" style="19" customWidth="1" collapsed="1"/>
    <col min="50" max="53" width="10.7109375" style="19" hidden="1" customWidth="1" outlineLevel="1"/>
    <col min="54" max="54" width="10.7109375" style="19" customWidth="1" collapsed="1"/>
    <col min="55" max="59" width="10.7109375" style="19" hidden="1" customWidth="1" outlineLevel="1"/>
    <col min="60" max="60" width="10.7109375" style="19" customWidth="1" collapsed="1"/>
    <col min="61" max="64" width="10.7109375" style="19" hidden="1" customWidth="1" outlineLevel="1"/>
    <col min="65" max="65" width="10.7109375" style="19" customWidth="1" collapsed="1"/>
    <col min="66" max="70" width="10.7109375" style="19" hidden="1" customWidth="1" outlineLevel="1"/>
    <col min="71" max="71" width="10.7109375" style="19" customWidth="1" collapsed="1"/>
    <col min="72" max="73" width="10.7109375" style="19" customWidth="1"/>
    <col min="74" max="74" width="1.5703125" style="19" customWidth="1"/>
    <col min="75" max="75" width="10.28515625" style="19" customWidth="1"/>
    <col min="76" max="76" width="5.7109375" style="19" customWidth="1"/>
    <col min="77" max="77" width="7.140625" style="19" customWidth="1"/>
    <col min="78" max="78" width="5.140625" style="19" customWidth="1"/>
    <col min="79" max="79" width="1.42578125" style="19" customWidth="1"/>
    <col min="80" max="80" width="21.140625" style="19" customWidth="1"/>
    <col min="81" max="81" width="10.140625" style="19" customWidth="1"/>
    <col min="82" max="82" width="9.28515625" style="19" customWidth="1"/>
    <col min="83" max="83" width="23.140625" style="19" customWidth="1" outlineLevel="1"/>
    <col min="84" max="84" width="11.7109375" style="19" customWidth="1" outlineLevel="1"/>
    <col min="85" max="85" width="9.140625" style="19" customWidth="1" outlineLevel="1"/>
    <col min="86" max="16384" width="9.140625" style="19"/>
  </cols>
  <sheetData>
    <row r="1" spans="1:85" ht="18.75">
      <c r="A1" s="20" t="s">
        <v>17</v>
      </c>
      <c r="CC1" s="32">
        <v>1.32</v>
      </c>
      <c r="CF1" s="26" t="s">
        <v>96</v>
      </c>
      <c r="CG1" s="27">
        <v>0.5</v>
      </c>
    </row>
    <row r="2" spans="1:85">
      <c r="B2" s="24" t="s">
        <v>122</v>
      </c>
      <c r="E2" s="15" t="s">
        <v>18</v>
      </c>
      <c r="CB2" s="15" t="s">
        <v>19</v>
      </c>
      <c r="CE2" s="15" t="s">
        <v>97</v>
      </c>
      <c r="CF2" s="28" t="s">
        <v>98</v>
      </c>
      <c r="CG2" s="29">
        <f>CG1</f>
        <v>0.5</v>
      </c>
    </row>
    <row r="3" spans="1:85" ht="15.75" thickBot="1">
      <c r="CF3" s="30" t="s">
        <v>99</v>
      </c>
      <c r="CG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3"/>
  <sheetViews>
    <sheetView zoomScaleNormal="100" workbookViewId="0"/>
  </sheetViews>
  <sheetFormatPr defaultColWidth="9.140625" defaultRowHeight="15" outlineLevelCol="1"/>
  <cols>
    <col min="1" max="1" width="16.7109375" style="14" customWidth="1"/>
    <col min="2" max="2" width="22.7109375" style="14" customWidth="1"/>
    <col min="3" max="3" width="16.7109375" style="14" customWidth="1"/>
    <col min="4" max="4" width="22.7109375" style="14" customWidth="1"/>
    <col min="5" max="5" width="14" style="14" customWidth="1"/>
    <col min="6" max="6" width="10.7109375" style="14" customWidth="1"/>
    <col min="7" max="11" width="10.7109375" style="14" hidden="1" customWidth="1" outlineLevel="1"/>
    <col min="12" max="12" width="10.7109375" style="14" customWidth="1" collapsed="1"/>
    <col min="13" max="16" width="10.7109375" style="14" hidden="1" customWidth="1" outlineLevel="1"/>
    <col min="17" max="17" width="10.7109375" style="14" customWidth="1" collapsed="1"/>
    <col min="18" max="21" width="10.7109375" style="14" hidden="1" customWidth="1" outlineLevel="1"/>
    <col min="22" max="22" width="10.7109375" style="14" customWidth="1" collapsed="1"/>
    <col min="23" max="27" width="10.7109375" style="14" hidden="1" customWidth="1" outlineLevel="1"/>
    <col min="28" max="28" width="10.7109375" style="14" customWidth="1" collapsed="1"/>
    <col min="29" max="32" width="10.7109375" style="14" hidden="1" customWidth="1" outlineLevel="1"/>
    <col min="33" max="33" width="10.7109375" style="14" customWidth="1" collapsed="1"/>
    <col min="34" max="37" width="10.7109375" style="14" hidden="1" customWidth="1" outlineLevel="1"/>
    <col min="38" max="38" width="10.7109375" style="14" customWidth="1" collapsed="1"/>
    <col min="39" max="43" width="10.7109375" style="14" hidden="1" customWidth="1" outlineLevel="1"/>
    <col min="44" max="44" width="10.7109375" style="14" customWidth="1" collapsed="1"/>
    <col min="45" max="48" width="10.7109375" style="14" hidden="1" customWidth="1" outlineLevel="1"/>
    <col min="49" max="49" width="10.7109375" style="14" customWidth="1" collapsed="1"/>
    <col min="50" max="53" width="10.7109375" style="14" hidden="1" customWidth="1" outlineLevel="1"/>
    <col min="54" max="54" width="10.7109375" style="14" customWidth="1" collapsed="1"/>
    <col min="55" max="59" width="10.7109375" style="14" hidden="1" customWidth="1" outlineLevel="1"/>
    <col min="60" max="60" width="10.7109375" style="14" customWidth="1" collapsed="1"/>
    <col min="61" max="64" width="10.7109375" style="14" hidden="1" customWidth="1" outlineLevel="1"/>
    <col min="65" max="65" width="10.7109375" style="14" customWidth="1" collapsed="1"/>
    <col min="66" max="69" width="10.7109375" style="14" hidden="1" customWidth="1" outlineLevel="1"/>
    <col min="70" max="70" width="10.7109375" style="19" hidden="1" customWidth="1" outlineLevel="1"/>
    <col min="71" max="71" width="10.7109375" style="14" customWidth="1" collapsed="1"/>
    <col min="72" max="72" width="10.7109375" style="14" customWidth="1"/>
    <col min="73" max="73" width="10.7109375" style="19" customWidth="1"/>
    <col min="74" max="74" width="1.5703125" style="14" customWidth="1"/>
    <col min="75" max="75" width="10.28515625" style="14" customWidth="1"/>
    <col min="76" max="76" width="5.7109375" style="14" customWidth="1"/>
    <col min="77" max="77" width="7.140625" style="14" customWidth="1"/>
    <col min="78" max="78" width="5.140625" style="14" customWidth="1"/>
    <col min="79" max="79" width="1.42578125" style="14" customWidth="1"/>
    <col min="80" max="80" width="21.140625" style="14" customWidth="1"/>
    <col min="81" max="81" width="10.140625" style="14" customWidth="1"/>
    <col min="82" max="82" width="9.28515625" style="14" customWidth="1"/>
    <col min="83" max="83" width="23.140625" style="14" customWidth="1" outlineLevel="1"/>
    <col min="84" max="84" width="11.7109375" style="14" customWidth="1" outlineLevel="1"/>
    <col min="85" max="85" width="9.140625" style="14" customWidth="1" outlineLevel="1"/>
    <col min="86" max="16384" width="9.140625" style="14"/>
  </cols>
  <sheetData>
    <row r="1" spans="1:85" s="19" customFormat="1" ht="18.75">
      <c r="A1" s="20" t="s">
        <v>17</v>
      </c>
      <c r="CC1" s="32">
        <v>1.32</v>
      </c>
      <c r="CF1" s="26" t="s">
        <v>96</v>
      </c>
      <c r="CG1" s="27">
        <v>0.5</v>
      </c>
    </row>
    <row r="2" spans="1:85">
      <c r="B2" s="24" t="s">
        <v>122</v>
      </c>
      <c r="E2" s="15" t="s">
        <v>18</v>
      </c>
      <c r="CB2" s="15" t="s">
        <v>19</v>
      </c>
      <c r="CE2" s="15" t="s">
        <v>97</v>
      </c>
      <c r="CF2" s="28" t="s">
        <v>98</v>
      </c>
      <c r="CG2" s="29">
        <f>CG1</f>
        <v>0.5</v>
      </c>
    </row>
    <row r="3" spans="1:85" ht="15.75" thickBot="1">
      <c r="CE3" s="19"/>
      <c r="CF3" s="30" t="s">
        <v>99</v>
      </c>
      <c r="CG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L24"/>
  <sheetViews>
    <sheetView workbookViewId="0"/>
  </sheetViews>
  <sheetFormatPr defaultRowHeight="15"/>
  <cols>
    <col min="1" max="1" width="18.85546875" bestFit="1" customWidth="1"/>
    <col min="2" max="9" width="12.28515625" customWidth="1"/>
    <col min="10" max="10" width="2.42578125" customWidth="1"/>
    <col min="11" max="11" width="11.28515625" bestFit="1" customWidth="1"/>
    <col min="12" max="12" width="12.85546875" customWidth="1"/>
  </cols>
  <sheetData>
    <row r="2" spans="1:12">
      <c r="A2" t="s">
        <v>0</v>
      </c>
    </row>
    <row r="3" spans="1:12"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100</v>
      </c>
      <c r="K3" t="s">
        <v>8</v>
      </c>
      <c r="L3" t="s">
        <v>9</v>
      </c>
    </row>
    <row r="4" spans="1:12">
      <c r="A4" t="s">
        <v>0</v>
      </c>
      <c r="B4" s="7">
        <f>SUMIFS('ND Sales Summ'!$F:$F,'ND Sales Summ'!$E:$E,'SUMM-Obsolete'!$A4)</f>
        <v>0</v>
      </c>
      <c r="C4" s="7">
        <f>SUMIFS('SH Sales Summ'!$F:$F,'SH Sales Summ'!$E:$E,'SUMM-Obsolete'!$A4)</f>
        <v>0</v>
      </c>
      <c r="D4" s="7">
        <f>SUMIFS('IN Sales Summ'!$F:$F,'IN Sales Summ'!$E:$E,'SUMM-Obsolete'!$A4)</f>
        <v>0</v>
      </c>
      <c r="E4" s="7">
        <f>SUMIFS('BD Sales Summ'!$F:$F,'BD Sales Summ'!$E:$E,'SUMM-Obsolete'!$A4)</f>
        <v>0</v>
      </c>
      <c r="F4" s="7">
        <f>SUMIFS('LK Sales Summ'!$F:$F,'LK Sales Summ'!$E:$E,'SUMM-Obsolete'!$A4)</f>
        <v>0</v>
      </c>
      <c r="G4" s="7">
        <f>SUMIFS('CA Sales Summ'!$F:$F,'CA Sales Summ'!$E:$E,'SUMM-Obsolete'!$A4)</f>
        <v>0</v>
      </c>
      <c r="H4" s="7">
        <f>SUMIFS('HK Sales Summ'!$F:$F,'HK Sales Summ'!$E:$E,'SUMM-Obsolete'!$A4)</f>
        <v>0</v>
      </c>
      <c r="I4" s="7">
        <f>SUMIFS('TR Sales Summ'!$F:$F,'TR Sales Summ'!$E:$E,'SUMM-Obsolete'!$A4)</f>
        <v>0</v>
      </c>
      <c r="J4" s="6"/>
      <c r="K4" s="7">
        <f>SUM(B4:J4)</f>
        <v>0</v>
      </c>
      <c r="L4" s="10">
        <f>K4/1000</f>
        <v>0</v>
      </c>
    </row>
    <row r="5" spans="1:12" s="23" customFormat="1">
      <c r="A5" s="23" t="s">
        <v>10</v>
      </c>
      <c r="B5" s="12">
        <f>SUMIFS('ND Sales Summ'!$CC:$CC,'ND Sales Summ'!$CB:$CB,'SUMM-Obsolete'!$A5)</f>
        <v>0</v>
      </c>
      <c r="C5" s="12">
        <f>SUMIFS('SH Sales Summ'!$CC:$CC,'SH Sales Summ'!$CB:$CB,'SUMM-Obsolete'!$A5)</f>
        <v>0</v>
      </c>
      <c r="D5" s="12">
        <f>SUMIFS('IN Sales Summ'!$CC:$CC,'IN Sales Summ'!$CB:$CB,'SUMM-Obsolete'!$A5)</f>
        <v>0</v>
      </c>
      <c r="E5" s="12">
        <f>SUMIFS('BD Sales Summ'!$CC:$CC,'BD Sales Summ'!$CB:$CB,'SUMM-Obsolete'!$A5)</f>
        <v>0</v>
      </c>
      <c r="F5" s="12">
        <f>SUMIFS('LK Sales Summ'!$CC:$CC,'LK Sales Summ'!$CB:$CB,'SUMM-Obsolete'!$A5)</f>
        <v>0</v>
      </c>
      <c r="G5" s="12">
        <f>SUMIFS('CA Sales Summ'!$CC:$CC,'CA Sales Summ'!$CB:$CB,'SUMM-Obsolete'!$A5)</f>
        <v>0</v>
      </c>
      <c r="H5" s="12">
        <f>SUMIFS('HK Sales Summ'!$CC:$CC,'HK Sales Summ'!$CB:$CB,'SUMM-Obsolete'!$A5)</f>
        <v>0</v>
      </c>
      <c r="I5" s="12">
        <f>SUMIFS('TR Sales Summ'!$CC:$CC,'TR Sales Summ'!$CB:$CB,'SUMM-Obsolete'!$A5)</f>
        <v>0</v>
      </c>
      <c r="J5" s="1"/>
      <c r="K5" s="12">
        <f>SUM(B5:J5)</f>
        <v>0</v>
      </c>
      <c r="L5" s="11">
        <f>K5/1000</f>
        <v>0</v>
      </c>
    </row>
    <row r="6" spans="1:12">
      <c r="A6">
        <v>2019</v>
      </c>
      <c r="B6" s="7">
        <f>B5-B4</f>
        <v>0</v>
      </c>
      <c r="C6" s="7">
        <f t="shared" ref="C6" si="0">C5-C4</f>
        <v>0</v>
      </c>
      <c r="D6" s="7">
        <f t="shared" ref="D6" si="1">D5-D4</f>
        <v>0</v>
      </c>
      <c r="E6" s="7">
        <f t="shared" ref="E6" si="2">E5-E4</f>
        <v>0</v>
      </c>
      <c r="F6" s="7">
        <f t="shared" ref="F6" si="3">F5-F4</f>
        <v>0</v>
      </c>
      <c r="G6" s="7">
        <f t="shared" ref="G6" si="4">G5-G4</f>
        <v>0</v>
      </c>
      <c r="H6" s="7">
        <f t="shared" ref="H6" si="5">H5-H4</f>
        <v>0</v>
      </c>
      <c r="I6" s="7">
        <f t="shared" ref="I6" si="6">I5-I4</f>
        <v>0</v>
      </c>
      <c r="J6" s="6"/>
      <c r="K6" s="7">
        <f>K5-K4</f>
        <v>0</v>
      </c>
      <c r="L6" s="10">
        <f>K6/1000</f>
        <v>0</v>
      </c>
    </row>
    <row r="7" spans="1:12" s="4" customFormat="1">
      <c r="B7" s="5"/>
      <c r="C7" s="5"/>
      <c r="D7" s="13"/>
      <c r="E7" s="13"/>
      <c r="F7" s="13"/>
      <c r="G7" s="13"/>
      <c r="H7" s="13"/>
      <c r="I7" s="13"/>
      <c r="K7" s="5"/>
      <c r="L7" s="10"/>
    </row>
    <row r="8" spans="1:12">
      <c r="A8" t="s">
        <v>10</v>
      </c>
      <c r="B8" s="7">
        <f>SUMIFS('ND Sales Summ'!$CC:$CC,'ND Sales Summ'!$CB:$CB,'SUMM-Obsolete'!$A8)</f>
        <v>0</v>
      </c>
      <c r="C8" s="7">
        <f>SUMIFS('SH Sales Summ'!$CC:$CC,'SH Sales Summ'!$CB:$CB,'SUMM-Obsolete'!$A8)</f>
        <v>0</v>
      </c>
      <c r="D8" s="13">
        <f>SUMIFS('IN Sales Summ'!$CC:$CC,'IN Sales Summ'!$CB:$CB,'SUMM-Obsolete'!$A8)</f>
        <v>0</v>
      </c>
      <c r="E8" s="13">
        <f>SUMIFS('BD Sales Summ'!$CC:$CC,'BD Sales Summ'!$CB:$CB,'SUMM-Obsolete'!$A8)</f>
        <v>0</v>
      </c>
      <c r="F8" s="13">
        <f>SUMIFS('LK Sales Summ'!$CC:$CC,'LK Sales Summ'!$CB:$CB,'SUMM-Obsolete'!$A8)</f>
        <v>0</v>
      </c>
      <c r="G8" s="13">
        <f>SUMIFS('CA Sales Summ'!$CC:$CC,'CA Sales Summ'!$CB:$CB,'SUMM-Obsolete'!$A8)</f>
        <v>0</v>
      </c>
      <c r="H8" s="13">
        <f>SUMIFS('HK Sales Summ'!$CC:$CC,'HK Sales Summ'!$CB:$CB,'SUMM-Obsolete'!$A8)</f>
        <v>0</v>
      </c>
      <c r="I8" s="13">
        <f>SUMIFS('TR Sales Summ'!$CC:$CC,'TR Sales Summ'!$CB:$CB,'SUMM-Obsolete'!$A8)</f>
        <v>0</v>
      </c>
      <c r="K8" s="7">
        <f>SUM(B8:J8)</f>
        <v>0</v>
      </c>
      <c r="L8" s="10">
        <f>K8/1000</f>
        <v>0</v>
      </c>
    </row>
    <row r="9" spans="1:12">
      <c r="A9" t="s">
        <v>11</v>
      </c>
      <c r="B9" s="7">
        <f>SUMIFS('ND Sales Summ'!$CC:$CC,'ND Sales Summ'!$CB:$CB,'SUMM-Obsolete'!$A9)</f>
        <v>0</v>
      </c>
      <c r="C9" s="7">
        <f>SUMIFS('SH Sales Summ'!$CC:$CC,'SH Sales Summ'!$CB:$CB,'SUMM-Obsolete'!$A9)</f>
        <v>0</v>
      </c>
      <c r="D9" s="13">
        <f>SUMIFS('IN Sales Summ'!$CC:$CC,'IN Sales Summ'!$CB:$CB,'SUMM-Obsolete'!$A9)</f>
        <v>0</v>
      </c>
      <c r="E9" s="13">
        <f>SUMIFS('BD Sales Summ'!$CC:$CC,'BD Sales Summ'!$CB:$CB,'SUMM-Obsolete'!$A9)</f>
        <v>0</v>
      </c>
      <c r="F9" s="13">
        <f>SUMIFS('LK Sales Summ'!$CC:$CC,'LK Sales Summ'!$CB:$CB,'SUMM-Obsolete'!$A9)</f>
        <v>0</v>
      </c>
      <c r="G9" s="13">
        <f>SUMIFS('CA Sales Summ'!$CC:$CC,'CA Sales Summ'!$CB:$CB,'SUMM-Obsolete'!$A9)</f>
        <v>0</v>
      </c>
      <c r="H9" s="13">
        <f>SUMIFS('HK Sales Summ'!$CC:$CC,'HK Sales Summ'!$CB:$CB,'SUMM-Obsolete'!$A9)</f>
        <v>0</v>
      </c>
      <c r="I9" s="13">
        <f>SUMIFS('TR Sales Summ'!$CC:$CC,'TR Sales Summ'!$CB:$CB,'SUMM-Obsolete'!$A9)</f>
        <v>0</v>
      </c>
      <c r="K9" s="7">
        <f>SUM(B9:J9)</f>
        <v>0</v>
      </c>
      <c r="L9" s="10">
        <f>K9/1000</f>
        <v>0</v>
      </c>
    </row>
    <row r="10" spans="1:12">
      <c r="B10" s="7">
        <f>SUM(B8:B9)</f>
        <v>0</v>
      </c>
      <c r="C10" s="7">
        <f t="shared" ref="C10:I10" si="7">SUM(C8:C9)</f>
        <v>0</v>
      </c>
      <c r="D10" s="7">
        <f t="shared" si="7"/>
        <v>0</v>
      </c>
      <c r="E10" s="7">
        <f t="shared" si="7"/>
        <v>0</v>
      </c>
      <c r="F10" s="7">
        <f t="shared" si="7"/>
        <v>0</v>
      </c>
      <c r="G10" s="7">
        <f t="shared" si="7"/>
        <v>0</v>
      </c>
      <c r="H10" s="7">
        <f t="shared" si="7"/>
        <v>0</v>
      </c>
      <c r="I10" s="7">
        <f t="shared" si="7"/>
        <v>0</v>
      </c>
      <c r="K10" s="7">
        <f>SUM(B10:J10)</f>
        <v>0</v>
      </c>
      <c r="L10" s="10">
        <f>K10/1000</f>
        <v>0</v>
      </c>
    </row>
    <row r="11" spans="1:12">
      <c r="B11" s="9" t="e">
        <f t="shared" ref="B11" si="8">B10/B8</f>
        <v>#DIV/0!</v>
      </c>
      <c r="C11" s="9" t="e">
        <f t="shared" ref="C11" si="9">C10/C8</f>
        <v>#DIV/0!</v>
      </c>
      <c r="D11" s="9" t="e">
        <f t="shared" ref="D11" si="10">D10/D8</f>
        <v>#DIV/0!</v>
      </c>
      <c r="E11" s="9" t="e">
        <f t="shared" ref="E11" si="11">E10/E8</f>
        <v>#DIV/0!</v>
      </c>
      <c r="F11" s="9" t="e">
        <f t="shared" ref="F11" si="12">F10/F8</f>
        <v>#DIV/0!</v>
      </c>
      <c r="G11" s="9" t="e">
        <f t="shared" ref="G11" si="13">G10/G8</f>
        <v>#DIV/0!</v>
      </c>
      <c r="H11" s="9" t="e">
        <f t="shared" ref="H11" si="14">H10/H8</f>
        <v>#DIV/0!</v>
      </c>
      <c r="I11" s="9" t="e">
        <f t="shared" ref="I11" si="15">I10/I8</f>
        <v>#DIV/0!</v>
      </c>
      <c r="K11" s="8" t="e">
        <f>K10/K8</f>
        <v>#DIV/0!</v>
      </c>
      <c r="L11" s="3" t="e">
        <f>L10/L8</f>
        <v>#DIV/0!</v>
      </c>
    </row>
    <row r="13" spans="1:12">
      <c r="B13" s="2" t="s">
        <v>12</v>
      </c>
    </row>
    <row r="15" spans="1:12">
      <c r="A15" t="s">
        <v>13</v>
      </c>
    </row>
    <row r="16" spans="1:12">
      <c r="B16" t="s">
        <v>1</v>
      </c>
      <c r="C16" t="s">
        <v>2</v>
      </c>
      <c r="D16" t="s">
        <v>3</v>
      </c>
      <c r="E16" t="s">
        <v>4</v>
      </c>
      <c r="F16" t="s">
        <v>5</v>
      </c>
      <c r="G16" t="s">
        <v>6</v>
      </c>
      <c r="H16" t="s">
        <v>7</v>
      </c>
      <c r="I16" t="s">
        <v>100</v>
      </c>
      <c r="K16" t="s">
        <v>8</v>
      </c>
      <c r="L16" t="s">
        <v>9</v>
      </c>
    </row>
    <row r="17" spans="1:12">
      <c r="A17" t="s">
        <v>14</v>
      </c>
      <c r="B17" s="21">
        <f>SUMIFS('ND Sales Summ'!$CF:$CF,'ND Sales Summ'!$CE:$CE,'SUMM-Obsolete'!$A17)</f>
        <v>0</v>
      </c>
      <c r="C17" s="21">
        <f>SUMIFS('SH Sales Summ'!$CF:$CF,'SH Sales Summ'!$CE:$CE,'SUMM-Obsolete'!$A17)</f>
        <v>0</v>
      </c>
      <c r="D17" s="21">
        <f>SUMIFS('IN Sales Summ'!$CF:$CF,'IN Sales Summ'!$CE:$CE,'SUMM-Obsolete'!$A17)</f>
        <v>0</v>
      </c>
      <c r="E17" s="21">
        <f>SUMIFS('BD Sales Summ'!$CF:$CF,'BD Sales Summ'!$CE:$CE,'SUMM-Obsolete'!$A17)</f>
        <v>0</v>
      </c>
      <c r="F17" s="21">
        <f>SUMIFS('LK Sales Summ'!$CF:$CF,'LK Sales Summ'!$CE:$CE,'SUMM-Obsolete'!$A17)</f>
        <v>0</v>
      </c>
      <c r="G17" s="21">
        <f>SUMIFS('CA Sales Summ'!$CF:$CF,'CA Sales Summ'!$CE:$CE,'SUMM-Obsolete'!$A17)</f>
        <v>0</v>
      </c>
      <c r="H17" s="21">
        <f>SUMIFS('HK Sales Summ'!$CF:$CF,'HK Sales Summ'!$CE:$CE,'SUMM-Obsolete'!$A17)</f>
        <v>0</v>
      </c>
      <c r="I17" s="21">
        <f>SUMIFS('TR Sales Summ'!$CF:$CF,'TR Sales Summ'!$CE:$CE,'SUMM-Obsolete'!$A17)</f>
        <v>0</v>
      </c>
      <c r="K17" s="7">
        <f>SUM(B17:J17)</f>
        <v>0</v>
      </c>
      <c r="L17" s="10">
        <f>K17/1000</f>
        <v>0</v>
      </c>
    </row>
    <row r="18" spans="1:12">
      <c r="A18" t="s">
        <v>11</v>
      </c>
      <c r="B18" s="21">
        <f>SUMIFS('ND Sales Summ'!$CF:$CF,'ND Sales Summ'!$CE:$CE,'SUMM-Obsolete'!$A18)</f>
        <v>0</v>
      </c>
      <c r="C18" s="21">
        <f>SUMIFS('SH Sales Summ'!$CF:$CF,'SH Sales Summ'!$CE:$CE,'SUMM-Obsolete'!$A18)</f>
        <v>0</v>
      </c>
      <c r="D18" s="21">
        <f>SUMIFS('IN Sales Summ'!$CF:$CF,'IN Sales Summ'!$CE:$CE,'SUMM-Obsolete'!$A18)</f>
        <v>0</v>
      </c>
      <c r="E18" s="21">
        <f>SUMIFS('BD Sales Summ'!$CF:$CF,'BD Sales Summ'!$CE:$CE,'SUMM-Obsolete'!$A18)</f>
        <v>0</v>
      </c>
      <c r="F18" s="21">
        <f>SUMIFS('LK Sales Summ'!$CF:$CF,'LK Sales Summ'!$CE:$CE,'SUMM-Obsolete'!$A18)</f>
        <v>0</v>
      </c>
      <c r="G18" s="21">
        <f>SUMIFS('CA Sales Summ'!$CF:$CF,'CA Sales Summ'!$CE:$CE,'SUMM-Obsolete'!$A18)</f>
        <v>0</v>
      </c>
      <c r="H18" s="21">
        <f>SUMIFS('HK Sales Summ'!$CF:$CF,'HK Sales Summ'!$CE:$CE,'SUMM-Obsolete'!$A18)</f>
        <v>0</v>
      </c>
      <c r="I18" s="21">
        <f>SUMIFS('TR Sales Summ'!$CF:$CF,'TR Sales Summ'!$CE:$CE,'SUMM-Obsolete'!$A18)</f>
        <v>0</v>
      </c>
      <c r="K18" s="7">
        <f>SUM(B18:J18)</f>
        <v>0</v>
      </c>
      <c r="L18" s="10">
        <f>K18/1000</f>
        <v>0</v>
      </c>
    </row>
    <row r="19" spans="1:12">
      <c r="A19" t="s">
        <v>15</v>
      </c>
      <c r="B19" s="21">
        <f>SUMIFS('ND Sales Summ'!$CF:$CF,'ND Sales Summ'!$CE:$CE,'SUMM-Obsolete'!$A19)</f>
        <v>0</v>
      </c>
      <c r="C19" s="21">
        <f>SUMIFS('SH Sales Summ'!$CF:$CF,'SH Sales Summ'!$CE:$CE,'SUMM-Obsolete'!$A19)</f>
        <v>0</v>
      </c>
      <c r="D19" s="21">
        <f>SUMIFS('IN Sales Summ'!$CF:$CF,'IN Sales Summ'!$CE:$CE,'SUMM-Obsolete'!$A19)</f>
        <v>0</v>
      </c>
      <c r="E19" s="21">
        <f>SUMIFS('BD Sales Summ'!$CF:$CF,'BD Sales Summ'!$CE:$CE,'SUMM-Obsolete'!$A19)</f>
        <v>0</v>
      </c>
      <c r="F19" s="21">
        <f>SUMIFS('LK Sales Summ'!$CF:$CF,'LK Sales Summ'!$CE:$CE,'SUMM-Obsolete'!$A19)</f>
        <v>0</v>
      </c>
      <c r="G19" s="21">
        <f>SUMIFS('CA Sales Summ'!$CF:$CF,'CA Sales Summ'!$CE:$CE,'SUMM-Obsolete'!$A19)</f>
        <v>0</v>
      </c>
      <c r="H19" s="21">
        <f>SUMIFS('HK Sales Summ'!$CF:$CF,'HK Sales Summ'!$CE:$CE,'SUMM-Obsolete'!$A19)</f>
        <v>0</v>
      </c>
      <c r="I19" s="21">
        <f>SUMIFS('TR Sales Summ'!$CF:$CF,'TR Sales Summ'!$CE:$CE,'SUMM-Obsolete'!$A19)</f>
        <v>0</v>
      </c>
      <c r="K19" s="7">
        <f>SUM(B19:J19)</f>
        <v>0</v>
      </c>
      <c r="L19" s="10">
        <f>K19/1000</f>
        <v>0</v>
      </c>
    </row>
    <row r="20" spans="1:12">
      <c r="B20" s="22" t="e">
        <f>B19/B17</f>
        <v>#DIV/0!</v>
      </c>
      <c r="C20" s="22" t="e">
        <f t="shared" ref="C20:I20" si="16">C19/C17</f>
        <v>#DIV/0!</v>
      </c>
      <c r="D20" s="22" t="e">
        <f t="shared" si="16"/>
        <v>#DIV/0!</v>
      </c>
      <c r="E20" s="22" t="e">
        <f t="shared" si="16"/>
        <v>#DIV/0!</v>
      </c>
      <c r="F20" s="22" t="e">
        <f t="shared" si="16"/>
        <v>#DIV/0!</v>
      </c>
      <c r="G20" s="22" t="e">
        <f t="shared" si="16"/>
        <v>#DIV/0!</v>
      </c>
      <c r="H20" s="22" t="e">
        <f t="shared" si="16"/>
        <v>#DIV/0!</v>
      </c>
      <c r="I20" s="22" t="e">
        <f t="shared" si="16"/>
        <v>#DIV/0!</v>
      </c>
      <c r="K20" s="8" t="e">
        <f>K19/K17</f>
        <v>#DIV/0!</v>
      </c>
      <c r="L20" s="8" t="e">
        <f>L19/L17</f>
        <v>#DIV/0!</v>
      </c>
    </row>
    <row r="22" spans="1:12">
      <c r="B22" t="s">
        <v>16</v>
      </c>
    </row>
    <row r="23" spans="1:12">
      <c r="B23" t="s">
        <v>1</v>
      </c>
      <c r="C23" t="s">
        <v>2</v>
      </c>
      <c r="D23" t="s">
        <v>3</v>
      </c>
      <c r="E23" t="s">
        <v>4</v>
      </c>
      <c r="F23" t="s">
        <v>5</v>
      </c>
      <c r="G23" t="s">
        <v>6</v>
      </c>
      <c r="H23" t="s">
        <v>7</v>
      </c>
      <c r="I23" t="s">
        <v>100</v>
      </c>
      <c r="K23" t="s">
        <v>8</v>
      </c>
      <c r="L23" t="s">
        <v>9</v>
      </c>
    </row>
    <row r="24" spans="1:12">
      <c r="A24" t="s">
        <v>0</v>
      </c>
      <c r="B24" s="21"/>
      <c r="C24" s="21"/>
      <c r="D24" s="21"/>
      <c r="E24" s="21"/>
      <c r="F24" s="21"/>
      <c r="G24" s="21"/>
      <c r="H24" s="21"/>
      <c r="I24" s="21"/>
      <c r="K24" s="21">
        <f>SUM(B24:J24)</f>
        <v>0</v>
      </c>
      <c r="L24" s="10">
        <f>K24/1000</f>
        <v>0</v>
      </c>
    </row>
  </sheetData>
  <pageMargins left="0.7" right="0.7" top="0.75" bottom="0.75" header="0.3" footer="0.3"/>
  <pageSetup paperSize="9" scale="90" fitToHeight="0" orientation="landscape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CF35"/>
  <sheetViews>
    <sheetView tabSelected="1" zoomScale="80" zoomScaleNormal="80" workbookViewId="0">
      <selection activeCell="C39" sqref="C39"/>
    </sheetView>
  </sheetViews>
  <sheetFormatPr defaultColWidth="9.140625" defaultRowHeight="15"/>
  <cols>
    <col min="1" max="1" width="23.42578125" style="19" customWidth="1"/>
    <col min="2" max="2" width="17.28515625" style="19" customWidth="1"/>
    <col min="3" max="3" width="22.5703125" style="19" customWidth="1"/>
    <col min="4" max="4" width="17.28515625" style="19" customWidth="1"/>
    <col min="5" max="5" width="18" style="19" bestFit="1" customWidth="1"/>
    <col min="6" max="79" width="9.140625" style="19"/>
    <col min="80" max="80" width="24.28515625" style="19" bestFit="1" customWidth="1"/>
    <col min="81" max="81" width="9.140625" style="19"/>
    <col min="82" max="82" width="9.140625" style="18"/>
    <col min="83" max="83" width="26" style="19" bestFit="1" customWidth="1"/>
    <col min="84" max="16384" width="9.140625" style="19"/>
  </cols>
  <sheetData>
    <row r="1" spans="1:84">
      <c r="A1" s="48"/>
      <c r="B1" s="48"/>
      <c r="C1" s="48"/>
      <c r="D1" s="48"/>
      <c r="E1" s="49"/>
      <c r="F1" s="50" t="s">
        <v>95</v>
      </c>
      <c r="G1" s="50" t="s">
        <v>20</v>
      </c>
      <c r="H1" s="50" t="s">
        <v>21</v>
      </c>
      <c r="I1" s="50" t="s">
        <v>22</v>
      </c>
      <c r="J1" s="50" t="s">
        <v>23</v>
      </c>
      <c r="K1" s="50" t="s">
        <v>24</v>
      </c>
      <c r="L1" s="50" t="s">
        <v>25</v>
      </c>
      <c r="M1" s="50" t="s">
        <v>26</v>
      </c>
      <c r="N1" s="50" t="s">
        <v>27</v>
      </c>
      <c r="O1" s="50" t="s">
        <v>28</v>
      </c>
      <c r="P1" s="50" t="s">
        <v>29</v>
      </c>
      <c r="Q1" s="51" t="s">
        <v>30</v>
      </c>
      <c r="R1" s="51" t="s">
        <v>31</v>
      </c>
      <c r="S1" s="51" t="s">
        <v>32</v>
      </c>
      <c r="T1" s="51" t="s">
        <v>33</v>
      </c>
      <c r="U1" s="51" t="s">
        <v>34</v>
      </c>
      <c r="V1" s="51" t="s">
        <v>35</v>
      </c>
      <c r="W1" s="51" t="s">
        <v>36</v>
      </c>
      <c r="X1" s="51" t="s">
        <v>37</v>
      </c>
      <c r="Y1" s="51" t="s">
        <v>38</v>
      </c>
      <c r="Z1" s="51" t="s">
        <v>39</v>
      </c>
      <c r="AA1" s="51" t="s">
        <v>40</v>
      </c>
      <c r="AB1" s="51" t="s">
        <v>41</v>
      </c>
      <c r="AC1" s="51" t="s">
        <v>42</v>
      </c>
      <c r="AD1" s="51" t="s">
        <v>43</v>
      </c>
      <c r="AE1" s="51" t="s">
        <v>44</v>
      </c>
      <c r="AF1" s="51" t="s">
        <v>45</v>
      </c>
      <c r="AG1" s="51" t="s">
        <v>46</v>
      </c>
      <c r="AH1" s="51" t="s">
        <v>47</v>
      </c>
      <c r="AI1" s="51" t="s">
        <v>48</v>
      </c>
      <c r="AJ1" s="51" t="s">
        <v>49</v>
      </c>
      <c r="AK1" s="51" t="s">
        <v>50</v>
      </c>
      <c r="AL1" s="51" t="s">
        <v>51</v>
      </c>
      <c r="AM1" s="50" t="s">
        <v>52</v>
      </c>
      <c r="AN1" s="50" t="s">
        <v>53</v>
      </c>
      <c r="AO1" s="50" t="s">
        <v>54</v>
      </c>
      <c r="AP1" s="50" t="s">
        <v>55</v>
      </c>
      <c r="AQ1" s="50" t="s">
        <v>56</v>
      </c>
      <c r="AR1" s="50" t="s">
        <v>57</v>
      </c>
      <c r="AS1" s="50" t="s">
        <v>58</v>
      </c>
      <c r="AT1" s="50" t="s">
        <v>59</v>
      </c>
      <c r="AU1" s="50" t="s">
        <v>60</v>
      </c>
      <c r="AV1" s="50" t="s">
        <v>61</v>
      </c>
      <c r="AW1" s="51" t="s">
        <v>62</v>
      </c>
      <c r="AX1" s="51" t="s">
        <v>63</v>
      </c>
      <c r="AY1" s="51" t="s">
        <v>64</v>
      </c>
      <c r="AZ1" s="51" t="s">
        <v>65</v>
      </c>
      <c r="BA1" s="51" t="s">
        <v>66</v>
      </c>
      <c r="BB1" s="51" t="s">
        <v>67</v>
      </c>
      <c r="BC1" s="51" t="s">
        <v>68</v>
      </c>
      <c r="BD1" s="51" t="s">
        <v>69</v>
      </c>
      <c r="BE1" s="51" t="s">
        <v>70</v>
      </c>
      <c r="BF1" s="51" t="s">
        <v>71</v>
      </c>
      <c r="BG1" s="51" t="s">
        <v>72</v>
      </c>
      <c r="BH1" s="51" t="s">
        <v>73</v>
      </c>
      <c r="BI1" s="51" t="s">
        <v>74</v>
      </c>
      <c r="BJ1" s="51" t="s">
        <v>75</v>
      </c>
      <c r="BK1" s="51" t="s">
        <v>76</v>
      </c>
      <c r="BL1" s="51" t="s">
        <v>77</v>
      </c>
      <c r="BM1" s="51" t="s">
        <v>78</v>
      </c>
      <c r="BN1" s="51" t="s">
        <v>79</v>
      </c>
      <c r="BO1" s="51" t="s">
        <v>80</v>
      </c>
      <c r="BP1" s="51" t="s">
        <v>81</v>
      </c>
      <c r="BQ1" s="51" t="s">
        <v>82</v>
      </c>
      <c r="BR1" s="51" t="s">
        <v>119</v>
      </c>
      <c r="BS1" s="51" t="s">
        <v>83</v>
      </c>
      <c r="BT1" s="51" t="s">
        <v>84</v>
      </c>
      <c r="BU1" s="51" t="s">
        <v>140</v>
      </c>
      <c r="BV1" s="49"/>
      <c r="BW1" s="52"/>
      <c r="BX1" s="53"/>
      <c r="BY1" s="52"/>
      <c r="BZ1" s="53"/>
      <c r="CA1" s="49"/>
      <c r="CB1" s="49"/>
      <c r="CC1" s="51" t="s">
        <v>85</v>
      </c>
      <c r="CD1" s="54"/>
      <c r="CE1" s="48" t="s">
        <v>101</v>
      </c>
      <c r="CF1" s="55"/>
    </row>
    <row r="2" spans="1:84">
      <c r="A2" s="49" t="s">
        <v>86</v>
      </c>
      <c r="B2" s="54"/>
      <c r="C2" s="49" t="s">
        <v>123</v>
      </c>
      <c r="D2" s="54"/>
      <c r="E2" s="52" t="s">
        <v>130</v>
      </c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87"/>
      <c r="AU2" s="87"/>
      <c r="AV2" s="87"/>
      <c r="AW2" s="87"/>
      <c r="AX2" s="87"/>
      <c r="AY2" s="87"/>
      <c r="AZ2" s="87"/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87"/>
      <c r="BP2" s="87"/>
      <c r="BQ2" s="87"/>
      <c r="BR2" s="87"/>
      <c r="BS2" s="87"/>
      <c r="BT2" s="92"/>
      <c r="BU2" s="88"/>
      <c r="BV2" s="48"/>
      <c r="BW2" s="52"/>
      <c r="BX2" s="53"/>
      <c r="BY2" s="52"/>
      <c r="BZ2" s="53"/>
      <c r="CA2" s="57"/>
      <c r="CB2" s="52" t="s">
        <v>10</v>
      </c>
      <c r="CC2" s="58"/>
      <c r="CD2" s="54"/>
      <c r="CE2" s="48" t="s">
        <v>102</v>
      </c>
      <c r="CF2" s="59"/>
    </row>
    <row r="3" spans="1:84">
      <c r="A3" s="49" t="s">
        <v>87</v>
      </c>
      <c r="B3" s="54"/>
      <c r="C3" s="49" t="s">
        <v>90</v>
      </c>
      <c r="D3" s="60">
        <v>1</v>
      </c>
      <c r="E3" s="52" t="s">
        <v>129</v>
      </c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  <c r="S3" s="56"/>
      <c r="T3" s="56"/>
      <c r="U3" s="56"/>
      <c r="V3" s="56"/>
      <c r="W3" s="56"/>
      <c r="X3" s="56"/>
      <c r="Y3" s="56"/>
      <c r="Z3" s="56"/>
      <c r="AA3" s="56"/>
      <c r="AB3" s="56"/>
      <c r="AC3" s="56"/>
      <c r="AD3" s="56"/>
      <c r="AE3" s="56"/>
      <c r="AF3" s="56"/>
      <c r="AG3" s="56"/>
      <c r="AH3" s="56"/>
      <c r="AI3" s="56"/>
      <c r="AJ3" s="56"/>
      <c r="AK3" s="56"/>
      <c r="AL3" s="56"/>
      <c r="AM3" s="56"/>
      <c r="AN3" s="56"/>
      <c r="AO3" s="56"/>
      <c r="AP3" s="56"/>
      <c r="AQ3" s="56"/>
      <c r="AR3" s="56"/>
      <c r="AS3" s="56"/>
      <c r="AT3" s="56"/>
      <c r="AU3" s="56"/>
      <c r="AV3" s="56"/>
      <c r="AW3" s="56"/>
      <c r="AX3" s="56"/>
      <c r="AY3" s="56"/>
      <c r="AZ3" s="56"/>
      <c r="BA3" s="56"/>
      <c r="BB3" s="56"/>
      <c r="BC3" s="56"/>
      <c r="BD3" s="56"/>
      <c r="BE3" s="56"/>
      <c r="BF3" s="56"/>
      <c r="BG3" s="56"/>
      <c r="BH3" s="56"/>
      <c r="BI3" s="56"/>
      <c r="BJ3" s="56"/>
      <c r="BK3" s="56"/>
      <c r="BL3" s="56"/>
      <c r="BM3" s="56"/>
      <c r="BN3" s="56"/>
      <c r="BO3" s="56"/>
      <c r="BP3" s="56"/>
      <c r="BQ3" s="56"/>
      <c r="BR3" s="56"/>
      <c r="BS3" s="56"/>
      <c r="BT3" s="93"/>
      <c r="BU3" s="89"/>
      <c r="BV3" s="48"/>
      <c r="BW3" s="52"/>
      <c r="BX3" s="53"/>
      <c r="BY3" s="52"/>
      <c r="BZ3" s="53"/>
      <c r="CA3" s="57"/>
      <c r="CB3" s="52" t="s">
        <v>11</v>
      </c>
      <c r="CC3" s="58"/>
      <c r="CD3" s="54"/>
      <c r="CE3" s="48" t="s">
        <v>103</v>
      </c>
      <c r="CF3" s="61"/>
    </row>
    <row r="4" spans="1:84">
      <c r="A4" s="49" t="s">
        <v>88</v>
      </c>
      <c r="B4" s="54"/>
      <c r="C4" s="49" t="s">
        <v>92</v>
      </c>
      <c r="D4" s="54"/>
      <c r="E4" s="52" t="s">
        <v>131</v>
      </c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  <c r="AD4" s="56"/>
      <c r="AE4" s="56"/>
      <c r="AF4" s="56"/>
      <c r="AG4" s="56"/>
      <c r="AH4" s="56"/>
      <c r="AI4" s="56"/>
      <c r="AJ4" s="56"/>
      <c r="AK4" s="56"/>
      <c r="AL4" s="56"/>
      <c r="AM4" s="56"/>
      <c r="AN4" s="56"/>
      <c r="AO4" s="56"/>
      <c r="AP4" s="56"/>
      <c r="AQ4" s="56"/>
      <c r="AR4" s="56"/>
      <c r="AS4" s="56"/>
      <c r="AT4" s="56"/>
      <c r="AU4" s="56"/>
      <c r="AV4" s="56"/>
      <c r="AW4" s="56"/>
      <c r="AX4" s="56"/>
      <c r="AY4" s="56"/>
      <c r="AZ4" s="56"/>
      <c r="BA4" s="56"/>
      <c r="BB4" s="56"/>
      <c r="BC4" s="56"/>
      <c r="BD4" s="56"/>
      <c r="BE4" s="56"/>
      <c r="BF4" s="56"/>
      <c r="BG4" s="56"/>
      <c r="BH4" s="56"/>
      <c r="BI4" s="56"/>
      <c r="BJ4" s="56"/>
      <c r="BK4" s="56"/>
      <c r="BL4" s="56"/>
      <c r="BM4" s="56"/>
      <c r="BN4" s="56"/>
      <c r="BO4" s="56"/>
      <c r="BP4" s="56"/>
      <c r="BQ4" s="56"/>
      <c r="BR4" s="56"/>
      <c r="BS4" s="56"/>
      <c r="BT4" s="93"/>
      <c r="BU4" s="89"/>
      <c r="BV4" s="16"/>
      <c r="BW4" s="52"/>
      <c r="BX4" s="53"/>
      <c r="BY4" s="52"/>
      <c r="BZ4" s="53"/>
      <c r="CA4" s="57"/>
      <c r="CB4" s="52" t="s">
        <v>89</v>
      </c>
      <c r="CC4" s="58"/>
      <c r="CD4" s="25">
        <v>0</v>
      </c>
      <c r="CE4" s="48" t="s">
        <v>104</v>
      </c>
      <c r="CF4" s="61"/>
    </row>
    <row r="5" spans="1:84">
      <c r="A5" s="49" t="s">
        <v>120</v>
      </c>
      <c r="B5" s="62"/>
      <c r="C5" s="49" t="s">
        <v>128</v>
      </c>
      <c r="D5" s="63">
        <v>0.15</v>
      </c>
      <c r="E5" s="52" t="s">
        <v>132</v>
      </c>
      <c r="F5" s="56"/>
      <c r="G5" s="56"/>
      <c r="H5" s="56"/>
      <c r="I5" s="56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  <c r="AD5" s="56"/>
      <c r="AE5" s="56"/>
      <c r="AF5" s="56"/>
      <c r="AG5" s="56"/>
      <c r="AH5" s="56"/>
      <c r="AI5" s="56"/>
      <c r="AJ5" s="56"/>
      <c r="AK5" s="56"/>
      <c r="AL5" s="56"/>
      <c r="AM5" s="56"/>
      <c r="AN5" s="56"/>
      <c r="AO5" s="56"/>
      <c r="AP5" s="56"/>
      <c r="AQ5" s="56"/>
      <c r="AR5" s="56"/>
      <c r="AS5" s="56"/>
      <c r="AT5" s="56"/>
      <c r="AU5" s="56"/>
      <c r="AV5" s="56"/>
      <c r="AW5" s="56"/>
      <c r="AX5" s="56"/>
      <c r="AY5" s="56"/>
      <c r="AZ5" s="56"/>
      <c r="BA5" s="56"/>
      <c r="BB5" s="56"/>
      <c r="BC5" s="56"/>
      <c r="BD5" s="56"/>
      <c r="BE5" s="56"/>
      <c r="BF5" s="56"/>
      <c r="BG5" s="56"/>
      <c r="BH5" s="56"/>
      <c r="BI5" s="56"/>
      <c r="BJ5" s="56"/>
      <c r="BK5" s="56"/>
      <c r="BL5" s="56"/>
      <c r="BM5" s="56"/>
      <c r="BN5" s="56"/>
      <c r="BO5" s="56"/>
      <c r="BP5" s="56"/>
      <c r="BQ5" s="56"/>
      <c r="BR5" s="56"/>
      <c r="BS5" s="56"/>
      <c r="BT5" s="93"/>
      <c r="BU5" s="89"/>
      <c r="BV5" s="48"/>
      <c r="BW5" s="52"/>
      <c r="BX5" s="53"/>
      <c r="BY5" s="52"/>
      <c r="BZ5" s="53"/>
      <c r="CA5" s="57"/>
      <c r="CB5" s="52" t="s">
        <v>91</v>
      </c>
      <c r="CC5" s="64"/>
      <c r="CD5" s="54"/>
      <c r="CE5" s="48" t="s">
        <v>105</v>
      </c>
      <c r="CF5" s="65"/>
    </row>
    <row r="6" spans="1:84">
      <c r="A6" s="49" t="s">
        <v>121</v>
      </c>
      <c r="B6" s="62"/>
      <c r="C6" s="97"/>
      <c r="D6" s="63"/>
      <c r="E6" s="17" t="s">
        <v>133</v>
      </c>
      <c r="F6" s="86"/>
      <c r="G6" s="86"/>
      <c r="H6" s="86"/>
      <c r="I6" s="86"/>
      <c r="J6" s="86"/>
      <c r="K6" s="86"/>
      <c r="L6" s="86"/>
      <c r="M6" s="86"/>
      <c r="N6" s="86"/>
      <c r="O6" s="86"/>
      <c r="P6" s="86"/>
      <c r="Q6" s="86"/>
      <c r="R6" s="86"/>
      <c r="S6" s="86"/>
      <c r="T6" s="86"/>
      <c r="U6" s="86"/>
      <c r="V6" s="86"/>
      <c r="W6" s="86"/>
      <c r="X6" s="86"/>
      <c r="Y6" s="86"/>
      <c r="Z6" s="86"/>
      <c r="AA6" s="86"/>
      <c r="AB6" s="86"/>
      <c r="AC6" s="86"/>
      <c r="AD6" s="86"/>
      <c r="AE6" s="86"/>
      <c r="AF6" s="86"/>
      <c r="AG6" s="86"/>
      <c r="AH6" s="86"/>
      <c r="AI6" s="86"/>
      <c r="AJ6" s="86"/>
      <c r="AK6" s="86"/>
      <c r="AL6" s="86"/>
      <c r="AM6" s="86"/>
      <c r="AN6" s="86"/>
      <c r="AO6" s="86"/>
      <c r="AP6" s="86"/>
      <c r="AQ6" s="86"/>
      <c r="AR6" s="86"/>
      <c r="AS6" s="86"/>
      <c r="AT6" s="86"/>
      <c r="AU6" s="86"/>
      <c r="AV6" s="86"/>
      <c r="AW6" s="86"/>
      <c r="AX6" s="86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94"/>
      <c r="BU6" s="90"/>
      <c r="BV6" s="48"/>
      <c r="BW6" s="52"/>
      <c r="BX6" s="53"/>
      <c r="BY6" s="52"/>
      <c r="BZ6" s="53"/>
      <c r="CA6" s="57"/>
      <c r="CB6" s="52" t="s">
        <v>93</v>
      </c>
      <c r="CC6" s="58"/>
      <c r="CD6" s="54"/>
      <c r="CE6" s="48" t="s">
        <v>106</v>
      </c>
      <c r="CF6" s="65"/>
    </row>
    <row r="7" spans="1:84">
      <c r="A7" s="49" t="s">
        <v>126</v>
      </c>
      <c r="B7" s="62"/>
      <c r="C7" s="54"/>
      <c r="D7" s="66"/>
      <c r="E7" s="52" t="s">
        <v>134</v>
      </c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  <c r="AE7" s="56"/>
      <c r="AF7" s="56"/>
      <c r="AG7" s="56"/>
      <c r="AH7" s="56"/>
      <c r="AI7" s="56"/>
      <c r="AJ7" s="56"/>
      <c r="AK7" s="56"/>
      <c r="AL7" s="56"/>
      <c r="AM7" s="56"/>
      <c r="AN7" s="56"/>
      <c r="AO7" s="56"/>
      <c r="AP7" s="56"/>
      <c r="AQ7" s="56"/>
      <c r="AR7" s="56"/>
      <c r="AS7" s="56"/>
      <c r="AT7" s="56"/>
      <c r="AU7" s="56"/>
      <c r="AV7" s="56"/>
      <c r="AW7" s="56"/>
      <c r="AX7" s="56"/>
      <c r="AY7" s="56"/>
      <c r="AZ7" s="56"/>
      <c r="BA7" s="56"/>
      <c r="BB7" s="56"/>
      <c r="BC7" s="56"/>
      <c r="BD7" s="56"/>
      <c r="BE7" s="56"/>
      <c r="BF7" s="56"/>
      <c r="BG7" s="56"/>
      <c r="BH7" s="56"/>
      <c r="BI7" s="56"/>
      <c r="BJ7" s="56"/>
      <c r="BK7" s="56"/>
      <c r="BL7" s="56"/>
      <c r="BM7" s="56"/>
      <c r="BN7" s="56"/>
      <c r="BO7" s="56"/>
      <c r="BP7" s="56"/>
      <c r="BQ7" s="56"/>
      <c r="BR7" s="56"/>
      <c r="BS7" s="56"/>
      <c r="BT7" s="93"/>
      <c r="BU7" s="89"/>
      <c r="BV7" s="48"/>
      <c r="BW7" s="52"/>
      <c r="BX7" s="53"/>
      <c r="BY7" s="52"/>
      <c r="BZ7" s="64"/>
      <c r="CA7" s="57"/>
      <c r="CB7" s="52" t="s">
        <v>94</v>
      </c>
      <c r="CC7" s="58"/>
      <c r="CD7" s="25">
        <v>0</v>
      </c>
      <c r="CE7" s="48" t="s">
        <v>107</v>
      </c>
      <c r="CF7" s="65"/>
    </row>
    <row r="8" spans="1:84">
      <c r="A8" s="49" t="s">
        <v>11</v>
      </c>
      <c r="B8" s="62"/>
      <c r="C8" s="49" t="s">
        <v>127</v>
      </c>
      <c r="D8" s="62"/>
      <c r="E8" s="52" t="s">
        <v>135</v>
      </c>
      <c r="F8" s="56"/>
      <c r="G8" s="56"/>
      <c r="H8" s="56"/>
      <c r="I8" s="56"/>
      <c r="J8" s="56"/>
      <c r="K8" s="56"/>
      <c r="L8" s="56"/>
      <c r="M8" s="56"/>
      <c r="N8" s="56"/>
      <c r="O8" s="56"/>
      <c r="P8" s="56"/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56"/>
      <c r="AE8" s="56"/>
      <c r="AF8" s="56"/>
      <c r="AG8" s="56"/>
      <c r="AH8" s="56"/>
      <c r="AI8" s="56"/>
      <c r="AJ8" s="56"/>
      <c r="AK8" s="56"/>
      <c r="AL8" s="56"/>
      <c r="AM8" s="56"/>
      <c r="AN8" s="56"/>
      <c r="AO8" s="56"/>
      <c r="AP8" s="56"/>
      <c r="AQ8" s="56"/>
      <c r="AR8" s="56"/>
      <c r="AS8" s="56"/>
      <c r="AT8" s="56"/>
      <c r="AU8" s="56"/>
      <c r="AV8" s="56"/>
      <c r="AW8" s="56"/>
      <c r="AX8" s="56"/>
      <c r="AY8" s="56"/>
      <c r="AZ8" s="56"/>
      <c r="BA8" s="56"/>
      <c r="BB8" s="56"/>
      <c r="BC8" s="56"/>
      <c r="BD8" s="56"/>
      <c r="BE8" s="56"/>
      <c r="BF8" s="56"/>
      <c r="BG8" s="56"/>
      <c r="BH8" s="56"/>
      <c r="BI8" s="56"/>
      <c r="BJ8" s="56"/>
      <c r="BK8" s="56"/>
      <c r="BL8" s="56"/>
      <c r="BM8" s="56"/>
      <c r="BN8" s="56"/>
      <c r="BO8" s="56"/>
      <c r="BP8" s="56"/>
      <c r="BQ8" s="56"/>
      <c r="BR8" s="56"/>
      <c r="BS8" s="56"/>
      <c r="BT8" s="93"/>
      <c r="BU8" s="89"/>
      <c r="BV8" s="48"/>
      <c r="BW8" s="52"/>
      <c r="BX8" s="53"/>
      <c r="BY8" s="52"/>
      <c r="BZ8" s="64"/>
      <c r="CA8" s="67"/>
      <c r="CE8" s="48" t="s">
        <v>11</v>
      </c>
      <c r="CF8" s="71"/>
    </row>
    <row r="9" spans="1:84">
      <c r="A9" s="49" t="s">
        <v>124</v>
      </c>
      <c r="B9" s="62"/>
      <c r="C9" s="49" t="s">
        <v>125</v>
      </c>
      <c r="D9" s="96"/>
      <c r="E9" s="46" t="s">
        <v>136</v>
      </c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47"/>
      <c r="AT9" s="47"/>
      <c r="AU9" s="47"/>
      <c r="AV9" s="47"/>
      <c r="AW9" s="47"/>
      <c r="AX9" s="47"/>
      <c r="AY9" s="47"/>
      <c r="AZ9" s="47"/>
      <c r="BA9" s="47"/>
      <c r="BB9" s="47"/>
      <c r="BC9" s="47"/>
      <c r="BD9" s="47"/>
      <c r="BE9" s="47"/>
      <c r="BF9" s="47"/>
      <c r="BG9" s="47"/>
      <c r="BH9" s="47"/>
      <c r="BI9" s="47"/>
      <c r="BJ9" s="47"/>
      <c r="BK9" s="47"/>
      <c r="BL9" s="47"/>
      <c r="BM9" s="47"/>
      <c r="BN9" s="47"/>
      <c r="BO9" s="47"/>
      <c r="BP9" s="47"/>
      <c r="BQ9" s="47"/>
      <c r="BR9" s="47"/>
      <c r="BS9" s="47"/>
      <c r="BT9" s="95"/>
      <c r="BU9" s="91"/>
      <c r="BV9" s="48"/>
      <c r="BW9" s="68"/>
      <c r="BX9" s="69"/>
      <c r="BY9" s="68"/>
      <c r="BZ9" s="57"/>
      <c r="CA9" s="48"/>
      <c r="CB9" s="48"/>
      <c r="CC9" s="70"/>
      <c r="CD9" s="54"/>
      <c r="CE9" s="48" t="s">
        <v>15</v>
      </c>
      <c r="CF9" s="71"/>
    </row>
    <row r="10" spans="1:84">
      <c r="A10" s="49"/>
      <c r="B10" s="62"/>
      <c r="C10" s="49"/>
      <c r="D10" s="62"/>
      <c r="E10" s="46" t="s">
        <v>137</v>
      </c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  <c r="AA10" s="47"/>
      <c r="AB10" s="47"/>
      <c r="AC10" s="47"/>
      <c r="AD10" s="47"/>
      <c r="AE10" s="47"/>
      <c r="AF10" s="47"/>
      <c r="AG10" s="47"/>
      <c r="AH10" s="47"/>
      <c r="AI10" s="47"/>
      <c r="AJ10" s="47"/>
      <c r="AK10" s="47"/>
      <c r="AL10" s="47"/>
      <c r="AM10" s="47"/>
      <c r="AN10" s="47"/>
      <c r="AO10" s="47"/>
      <c r="AP10" s="47"/>
      <c r="AQ10" s="47"/>
      <c r="AR10" s="47"/>
      <c r="AS10" s="47"/>
      <c r="AT10" s="47"/>
      <c r="AU10" s="47"/>
      <c r="AV10" s="47"/>
      <c r="AW10" s="47"/>
      <c r="AX10" s="47"/>
      <c r="AY10" s="47"/>
      <c r="AZ10" s="47"/>
      <c r="BA10" s="47"/>
      <c r="BB10" s="47"/>
      <c r="BC10" s="47"/>
      <c r="BD10" s="47"/>
      <c r="BE10" s="47"/>
      <c r="BF10" s="47"/>
      <c r="BG10" s="47"/>
      <c r="BH10" s="47"/>
      <c r="BI10" s="47"/>
      <c r="BJ10" s="47"/>
      <c r="BK10" s="47"/>
      <c r="BL10" s="47"/>
      <c r="BM10" s="47"/>
      <c r="BN10" s="47"/>
      <c r="BO10" s="47"/>
      <c r="BP10" s="47"/>
      <c r="BQ10" s="47"/>
      <c r="BR10" s="47"/>
      <c r="BS10" s="47"/>
      <c r="BT10" s="95"/>
      <c r="BU10" s="91"/>
      <c r="BV10" s="48"/>
      <c r="BW10" s="68"/>
      <c r="BX10" s="69"/>
      <c r="BY10" s="68"/>
      <c r="BZ10" s="57"/>
      <c r="CA10" s="48"/>
      <c r="CB10" s="48"/>
      <c r="CC10" s="70"/>
      <c r="CD10" s="54"/>
    </row>
    <row r="11" spans="1:84">
      <c r="A11" s="49"/>
      <c r="B11" s="62"/>
      <c r="C11" s="49"/>
      <c r="D11" s="62"/>
      <c r="E11" s="79"/>
      <c r="F11" s="80"/>
      <c r="G11" s="80"/>
      <c r="H11" s="80"/>
      <c r="I11" s="80"/>
      <c r="J11" s="80"/>
      <c r="K11" s="80"/>
      <c r="L11" s="80"/>
      <c r="M11" s="80"/>
      <c r="N11" s="80"/>
      <c r="O11" s="80"/>
      <c r="P11" s="80"/>
      <c r="Q11" s="80"/>
      <c r="R11" s="80"/>
      <c r="S11" s="80"/>
      <c r="T11" s="80"/>
      <c r="U11" s="80"/>
      <c r="V11" s="80"/>
      <c r="W11" s="80"/>
      <c r="X11" s="80"/>
      <c r="Y11" s="80"/>
      <c r="Z11" s="80"/>
      <c r="AA11" s="80"/>
      <c r="AB11" s="80"/>
      <c r="AC11" s="80"/>
      <c r="AD11" s="80"/>
      <c r="AE11" s="80"/>
      <c r="AF11" s="80"/>
      <c r="AG11" s="80"/>
      <c r="AH11" s="80"/>
      <c r="AI11" s="80"/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  <c r="AW11" s="80"/>
      <c r="AX11" s="80"/>
      <c r="AY11" s="80"/>
      <c r="AZ11" s="80"/>
      <c r="BA11" s="80"/>
      <c r="BB11" s="80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48"/>
      <c r="BW11" s="68"/>
      <c r="BX11" s="69"/>
      <c r="BY11" s="68"/>
      <c r="BZ11" s="57"/>
      <c r="CA11" s="48"/>
      <c r="CB11" s="48"/>
      <c r="CC11" s="70"/>
      <c r="CD11" s="54"/>
    </row>
    <row r="12" spans="1:84">
      <c r="A12" s="49"/>
      <c r="B12" s="62"/>
      <c r="C12" s="54"/>
      <c r="D12" s="63"/>
      <c r="E12" s="52" t="s">
        <v>141</v>
      </c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  <c r="BD12" s="56"/>
      <c r="BE12" s="56"/>
      <c r="BF12" s="56"/>
      <c r="BG12" s="56"/>
      <c r="BH12" s="56"/>
      <c r="BI12" s="56"/>
      <c r="BJ12" s="56"/>
      <c r="BK12" s="56"/>
      <c r="BL12" s="56"/>
      <c r="BM12" s="56"/>
      <c r="BN12" s="56"/>
      <c r="BO12" s="56"/>
      <c r="BP12" s="56"/>
      <c r="BQ12" s="56"/>
      <c r="BR12" s="56"/>
      <c r="BS12" s="56"/>
      <c r="BT12" s="93"/>
      <c r="BU12" s="89"/>
      <c r="BV12" s="48"/>
      <c r="BW12" s="67"/>
      <c r="BX12" s="69"/>
      <c r="BY12" s="67"/>
      <c r="BZ12" s="69"/>
      <c r="CA12" s="57"/>
      <c r="CB12" s="67"/>
      <c r="CC12" s="57"/>
      <c r="CD12" s="81"/>
      <c r="CE12" s="67"/>
      <c r="CF12" s="65"/>
    </row>
    <row r="13" spans="1:84">
      <c r="A13" s="49"/>
      <c r="B13" s="62"/>
      <c r="C13" s="54"/>
      <c r="D13" s="66"/>
      <c r="E13" s="52" t="s">
        <v>142</v>
      </c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  <c r="BD13" s="56"/>
      <c r="BE13" s="56"/>
      <c r="BF13" s="56"/>
      <c r="BG13" s="56"/>
      <c r="BH13" s="56"/>
      <c r="BI13" s="56"/>
      <c r="BJ13" s="56"/>
      <c r="BK13" s="56"/>
      <c r="BL13" s="56"/>
      <c r="BM13" s="56"/>
      <c r="BN13" s="56"/>
      <c r="BO13" s="56"/>
      <c r="BP13" s="56"/>
      <c r="BQ13" s="56"/>
      <c r="BR13" s="56"/>
      <c r="BS13" s="56"/>
      <c r="BT13" s="93"/>
      <c r="BU13" s="89"/>
      <c r="BV13" s="48"/>
      <c r="BW13" s="67"/>
      <c r="BX13" s="69"/>
      <c r="BY13" s="67"/>
      <c r="BZ13" s="57"/>
      <c r="CA13" s="57"/>
      <c r="CB13" s="67"/>
      <c r="CC13" s="82"/>
      <c r="CD13" s="81"/>
      <c r="CE13" s="67"/>
      <c r="CF13" s="65"/>
    </row>
    <row r="14" spans="1:84">
      <c r="A14" s="49"/>
      <c r="B14" s="62"/>
      <c r="C14" s="49"/>
      <c r="D14" s="66"/>
      <c r="E14" s="52" t="s">
        <v>143</v>
      </c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  <c r="BD14" s="56"/>
      <c r="BE14" s="56"/>
      <c r="BF14" s="56"/>
      <c r="BG14" s="56"/>
      <c r="BH14" s="56"/>
      <c r="BI14" s="56"/>
      <c r="BJ14" s="56"/>
      <c r="BK14" s="56"/>
      <c r="BL14" s="56"/>
      <c r="BM14" s="56"/>
      <c r="BN14" s="56"/>
      <c r="BO14" s="56"/>
      <c r="BP14" s="56"/>
      <c r="BQ14" s="56"/>
      <c r="BR14" s="56"/>
      <c r="BS14" s="56"/>
      <c r="BT14" s="93"/>
      <c r="BU14" s="89"/>
      <c r="BV14" s="48"/>
      <c r="BW14" s="67"/>
      <c r="BX14" s="69"/>
      <c r="BY14" s="67"/>
      <c r="BZ14" s="57"/>
      <c r="CA14" s="67"/>
      <c r="CB14" s="67"/>
      <c r="CC14" s="82"/>
      <c r="CD14" s="83"/>
      <c r="CE14" s="67"/>
      <c r="CF14" s="71"/>
    </row>
    <row r="15" spans="1:84">
      <c r="A15" s="49"/>
      <c r="B15" s="62"/>
      <c r="C15" s="49"/>
      <c r="D15" s="62"/>
      <c r="E15" s="46" t="s">
        <v>138</v>
      </c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  <c r="AA15" s="47"/>
      <c r="AB15" s="47"/>
      <c r="AC15" s="47"/>
      <c r="AD15" s="47"/>
      <c r="AE15" s="47"/>
      <c r="AF15" s="47"/>
      <c r="AG15" s="47"/>
      <c r="AH15" s="47"/>
      <c r="AI15" s="47"/>
      <c r="AJ15" s="47"/>
      <c r="AK15" s="47"/>
      <c r="AL15" s="47"/>
      <c r="AM15" s="47"/>
      <c r="AN15" s="47"/>
      <c r="AO15" s="47"/>
      <c r="AP15" s="47"/>
      <c r="AQ15" s="47"/>
      <c r="AR15" s="47"/>
      <c r="AS15" s="47"/>
      <c r="AT15" s="47"/>
      <c r="AU15" s="47"/>
      <c r="AV15" s="47"/>
      <c r="AW15" s="47"/>
      <c r="AX15" s="47"/>
      <c r="AY15" s="47"/>
      <c r="AZ15" s="47"/>
      <c r="BA15" s="47"/>
      <c r="BB15" s="47"/>
      <c r="BC15" s="47"/>
      <c r="BD15" s="47"/>
      <c r="BE15" s="47"/>
      <c r="BF15" s="47"/>
      <c r="BG15" s="47"/>
      <c r="BH15" s="47"/>
      <c r="BI15" s="47"/>
      <c r="BJ15" s="47"/>
      <c r="BK15" s="47"/>
      <c r="BL15" s="47"/>
      <c r="BM15" s="47"/>
      <c r="BN15" s="47"/>
      <c r="BO15" s="47"/>
      <c r="BP15" s="47"/>
      <c r="BQ15" s="47"/>
      <c r="BR15" s="47"/>
      <c r="BS15" s="47"/>
      <c r="BT15" s="95"/>
      <c r="BU15" s="91"/>
      <c r="BV15" s="48"/>
      <c r="BW15" s="68"/>
      <c r="BX15" s="69"/>
      <c r="BY15" s="68"/>
      <c r="BZ15" s="57"/>
      <c r="CA15" s="67"/>
      <c r="CB15" s="67"/>
      <c r="CC15" s="84"/>
      <c r="CD15" s="81"/>
      <c r="CE15" s="67"/>
      <c r="CF15" s="71"/>
    </row>
    <row r="16" spans="1:84">
      <c r="A16" s="49"/>
      <c r="B16" s="62"/>
      <c r="C16" s="49"/>
      <c r="D16" s="62"/>
      <c r="E16" s="46" t="s">
        <v>139</v>
      </c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  <c r="AA16" s="47"/>
      <c r="AB16" s="47"/>
      <c r="AC16" s="47"/>
      <c r="AD16" s="47"/>
      <c r="AE16" s="47"/>
      <c r="AF16" s="47"/>
      <c r="AG16" s="47"/>
      <c r="AH16" s="47"/>
      <c r="AI16" s="47"/>
      <c r="AJ16" s="47"/>
      <c r="AK16" s="47"/>
      <c r="AL16" s="47"/>
      <c r="AM16" s="47"/>
      <c r="AN16" s="47"/>
      <c r="AO16" s="47"/>
      <c r="AP16" s="47"/>
      <c r="AQ16" s="47"/>
      <c r="AR16" s="47"/>
      <c r="AS16" s="47"/>
      <c r="AT16" s="47"/>
      <c r="AU16" s="47"/>
      <c r="AV16" s="47"/>
      <c r="AW16" s="47"/>
      <c r="AX16" s="47"/>
      <c r="AY16" s="47"/>
      <c r="AZ16" s="47"/>
      <c r="BA16" s="47"/>
      <c r="BB16" s="47"/>
      <c r="BC16" s="47"/>
      <c r="BD16" s="47"/>
      <c r="BE16" s="47"/>
      <c r="BF16" s="47"/>
      <c r="BG16" s="47"/>
      <c r="BH16" s="47"/>
      <c r="BI16" s="47"/>
      <c r="BJ16" s="47"/>
      <c r="BK16" s="47"/>
      <c r="BL16" s="47"/>
      <c r="BM16" s="47"/>
      <c r="BN16" s="47"/>
      <c r="BO16" s="47"/>
      <c r="BP16" s="47"/>
      <c r="BQ16" s="47"/>
      <c r="BR16" s="47"/>
      <c r="BS16" s="47"/>
      <c r="BT16" s="95"/>
      <c r="BU16" s="91"/>
      <c r="BV16" s="48"/>
      <c r="BW16" s="68"/>
      <c r="BX16" s="69"/>
      <c r="BY16" s="68"/>
      <c r="BZ16" s="57"/>
      <c r="CA16" s="67"/>
      <c r="CB16" s="67"/>
      <c r="CC16" s="84"/>
      <c r="CD16" s="81"/>
      <c r="CE16" s="85"/>
    </row>
    <row r="17" spans="1:84">
      <c r="A17" s="106"/>
      <c r="B17" s="62"/>
      <c r="C17" s="49"/>
      <c r="D17" s="62"/>
      <c r="E17" s="79"/>
      <c r="F17" s="80"/>
      <c r="G17" s="80"/>
      <c r="H17" s="80"/>
      <c r="I17" s="80"/>
      <c r="J17" s="80"/>
      <c r="K17" s="80"/>
      <c r="L17" s="80"/>
      <c r="M17" s="80"/>
      <c r="N17" s="80"/>
      <c r="O17" s="80"/>
      <c r="P17" s="80"/>
      <c r="Q17" s="80"/>
      <c r="R17" s="80"/>
      <c r="S17" s="80"/>
      <c r="T17" s="80"/>
      <c r="U17" s="80"/>
      <c r="V17" s="80"/>
      <c r="W17" s="80"/>
      <c r="X17" s="80"/>
      <c r="Y17" s="80"/>
      <c r="Z17" s="80"/>
      <c r="AA17" s="80"/>
      <c r="AB17" s="80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  <c r="AX17" s="80"/>
      <c r="AY17" s="80"/>
      <c r="AZ17" s="80"/>
      <c r="BA17" s="80"/>
      <c r="BB17" s="80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  <c r="BU17" s="80"/>
      <c r="BV17" s="48"/>
      <c r="BW17" s="68"/>
      <c r="BX17" s="69"/>
      <c r="BY17" s="68"/>
      <c r="BZ17" s="57"/>
      <c r="CA17" s="48"/>
      <c r="CB17" s="48"/>
      <c r="CC17" s="70"/>
      <c r="CD17" s="54"/>
    </row>
    <row r="18" spans="1:84">
      <c r="A18" s="48"/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  <c r="AA18" s="48"/>
      <c r="AB18" s="48"/>
      <c r="AC18" s="48"/>
      <c r="AD18" s="48"/>
      <c r="AE18" s="48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8"/>
      <c r="AT18" s="48"/>
      <c r="AU18" s="48"/>
      <c r="AV18" s="48"/>
      <c r="AW18" s="48"/>
      <c r="AX18" s="48"/>
      <c r="AY18" s="48"/>
      <c r="AZ18" s="48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8"/>
      <c r="BO18" s="48"/>
      <c r="BP18" s="48"/>
      <c r="BQ18" s="48"/>
      <c r="BR18" s="48"/>
      <c r="BS18" s="48"/>
      <c r="BT18" s="48"/>
      <c r="BU18" s="48"/>
      <c r="BV18" s="48"/>
      <c r="BW18" s="48"/>
      <c r="BX18" s="48"/>
      <c r="BY18" s="48"/>
      <c r="BZ18" s="48"/>
      <c r="CA18" s="48"/>
      <c r="CB18" s="48"/>
      <c r="CC18" s="48"/>
      <c r="CD18" s="54"/>
      <c r="CE18" s="48"/>
      <c r="CF18" s="48"/>
    </row>
    <row r="19" spans="1:84" s="45" customFormat="1">
      <c r="A19" s="72"/>
      <c r="B19" s="73" t="s">
        <v>118</v>
      </c>
      <c r="C19" s="72"/>
      <c r="D19" s="72"/>
      <c r="E19" s="72"/>
      <c r="F19" s="72"/>
      <c r="G19" s="72"/>
      <c r="H19" s="72"/>
      <c r="I19" s="72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2"/>
      <c r="W19" s="72"/>
      <c r="X19" s="72"/>
      <c r="Y19" s="72"/>
      <c r="Z19" s="72"/>
      <c r="AA19" s="72"/>
      <c r="AB19" s="72"/>
      <c r="AC19" s="72"/>
      <c r="AD19" s="72"/>
      <c r="AE19" s="72"/>
      <c r="AF19" s="72"/>
      <c r="AG19" s="72"/>
      <c r="AH19" s="72"/>
      <c r="AI19" s="72"/>
      <c r="AJ19" s="72"/>
      <c r="AK19" s="72"/>
      <c r="AL19" s="72"/>
      <c r="AM19" s="72"/>
      <c r="AN19" s="72"/>
      <c r="AO19" s="72"/>
      <c r="AP19" s="72"/>
      <c r="AQ19" s="72"/>
      <c r="AR19" s="72"/>
      <c r="AS19" s="72"/>
      <c r="AT19" s="72"/>
      <c r="AU19" s="72"/>
      <c r="AV19" s="72"/>
      <c r="AW19" s="72"/>
      <c r="AX19" s="72"/>
      <c r="AY19" s="72"/>
      <c r="AZ19" s="72"/>
      <c r="BA19" s="72"/>
      <c r="BB19" s="72"/>
      <c r="BC19" s="72"/>
      <c r="BD19" s="72"/>
      <c r="BE19" s="72"/>
      <c r="BF19" s="72"/>
      <c r="BG19" s="72"/>
      <c r="BH19" s="72"/>
      <c r="BI19" s="72"/>
      <c r="BJ19" s="72"/>
      <c r="BK19" s="72"/>
      <c r="BL19" s="72"/>
      <c r="BM19" s="72"/>
      <c r="BN19" s="72"/>
      <c r="BO19" s="72"/>
      <c r="BP19" s="72"/>
      <c r="BQ19" s="72"/>
      <c r="BR19" s="72"/>
      <c r="BS19" s="72"/>
      <c r="BT19" s="72"/>
      <c r="BU19" s="72"/>
      <c r="BV19" s="72"/>
      <c r="BW19" s="72"/>
      <c r="BX19" s="72"/>
      <c r="BY19" s="72"/>
      <c r="BZ19" s="72"/>
      <c r="CA19" s="72"/>
      <c r="CB19" s="72"/>
      <c r="CC19" s="72"/>
      <c r="CD19" s="74"/>
      <c r="CE19" s="72"/>
      <c r="CF19" s="72"/>
    </row>
    <row r="20" spans="1:84" s="45" customFormat="1">
      <c r="A20" s="72"/>
      <c r="B20" s="72"/>
      <c r="C20" s="72"/>
      <c r="D20" s="72"/>
      <c r="E20" s="75"/>
      <c r="F20" s="76" t="s">
        <v>95</v>
      </c>
      <c r="G20" s="76" t="s">
        <v>20</v>
      </c>
      <c r="H20" s="76" t="s">
        <v>21</v>
      </c>
      <c r="I20" s="76" t="s">
        <v>22</v>
      </c>
      <c r="J20" s="76" t="s">
        <v>23</v>
      </c>
      <c r="K20" s="76" t="s">
        <v>24</v>
      </c>
      <c r="L20" s="76" t="s">
        <v>25</v>
      </c>
      <c r="M20" s="76" t="s">
        <v>26</v>
      </c>
      <c r="N20" s="76" t="s">
        <v>27</v>
      </c>
      <c r="O20" s="76" t="s">
        <v>28</v>
      </c>
      <c r="P20" s="76" t="s">
        <v>29</v>
      </c>
      <c r="Q20" s="76" t="s">
        <v>30</v>
      </c>
      <c r="R20" s="76" t="s">
        <v>31</v>
      </c>
      <c r="S20" s="76" t="s">
        <v>32</v>
      </c>
      <c r="T20" s="76" t="s">
        <v>33</v>
      </c>
      <c r="U20" s="76" t="s">
        <v>34</v>
      </c>
      <c r="V20" s="76" t="s">
        <v>35</v>
      </c>
      <c r="W20" s="76" t="s">
        <v>36</v>
      </c>
      <c r="X20" s="76" t="s">
        <v>37</v>
      </c>
      <c r="Y20" s="76" t="s">
        <v>38</v>
      </c>
      <c r="Z20" s="76" t="s">
        <v>39</v>
      </c>
      <c r="AA20" s="76" t="s">
        <v>40</v>
      </c>
      <c r="AB20" s="76" t="s">
        <v>41</v>
      </c>
      <c r="AC20" s="76" t="s">
        <v>42</v>
      </c>
      <c r="AD20" s="76" t="s">
        <v>43</v>
      </c>
      <c r="AE20" s="76" t="s">
        <v>44</v>
      </c>
      <c r="AF20" s="76" t="s">
        <v>45</v>
      </c>
      <c r="AG20" s="76" t="s">
        <v>46</v>
      </c>
      <c r="AH20" s="76" t="s">
        <v>47</v>
      </c>
      <c r="AI20" s="76" t="s">
        <v>48</v>
      </c>
      <c r="AJ20" s="76" t="s">
        <v>49</v>
      </c>
      <c r="AK20" s="76" t="s">
        <v>50</v>
      </c>
      <c r="AL20" s="76" t="s">
        <v>51</v>
      </c>
      <c r="AM20" s="76" t="s">
        <v>52</v>
      </c>
      <c r="AN20" s="76" t="s">
        <v>53</v>
      </c>
      <c r="AO20" s="76" t="s">
        <v>54</v>
      </c>
      <c r="AP20" s="76" t="s">
        <v>55</v>
      </c>
      <c r="AQ20" s="76" t="s">
        <v>56</v>
      </c>
      <c r="AR20" s="76" t="s">
        <v>57</v>
      </c>
      <c r="AS20" s="76" t="s">
        <v>58</v>
      </c>
      <c r="AT20" s="76" t="s">
        <v>59</v>
      </c>
      <c r="AU20" s="76" t="s">
        <v>60</v>
      </c>
      <c r="AV20" s="76" t="s">
        <v>61</v>
      </c>
      <c r="AW20" s="76" t="s">
        <v>62</v>
      </c>
      <c r="AX20" s="76" t="s">
        <v>63</v>
      </c>
      <c r="AY20" s="76" t="s">
        <v>64</v>
      </c>
      <c r="AZ20" s="76" t="s">
        <v>65</v>
      </c>
      <c r="BA20" s="76" t="s">
        <v>66</v>
      </c>
      <c r="BB20" s="76" t="s">
        <v>67</v>
      </c>
      <c r="BC20" s="76" t="s">
        <v>68</v>
      </c>
      <c r="BD20" s="76" t="s">
        <v>69</v>
      </c>
      <c r="BE20" s="76" t="s">
        <v>70</v>
      </c>
      <c r="BF20" s="76" t="s">
        <v>71</v>
      </c>
      <c r="BG20" s="76" t="s">
        <v>72</v>
      </c>
      <c r="BH20" s="76" t="s">
        <v>73</v>
      </c>
      <c r="BI20" s="76" t="s">
        <v>74</v>
      </c>
      <c r="BJ20" s="76" t="s">
        <v>75</v>
      </c>
      <c r="BK20" s="76" t="s">
        <v>76</v>
      </c>
      <c r="BL20" s="76" t="s">
        <v>77</v>
      </c>
      <c r="BM20" s="76" t="s">
        <v>78</v>
      </c>
      <c r="BN20" s="76" t="s">
        <v>79</v>
      </c>
      <c r="BO20" s="76" t="s">
        <v>80</v>
      </c>
      <c r="BP20" s="76" t="s">
        <v>81</v>
      </c>
      <c r="BQ20" s="76" t="s">
        <v>82</v>
      </c>
      <c r="BR20" s="76" t="s">
        <v>119</v>
      </c>
      <c r="BS20" s="76" t="s">
        <v>83</v>
      </c>
      <c r="BT20" s="76" t="s">
        <v>84</v>
      </c>
      <c r="BU20" s="76" t="s">
        <v>140</v>
      </c>
      <c r="BV20" s="72"/>
      <c r="BW20" s="72"/>
      <c r="BX20" s="72"/>
      <c r="BY20" s="72"/>
      <c r="BZ20" s="72"/>
      <c r="CA20" s="72"/>
      <c r="CB20" s="72"/>
      <c r="CC20" s="72"/>
      <c r="CD20" s="74"/>
      <c r="CE20" s="72"/>
      <c r="CF20" s="72"/>
    </row>
    <row r="21" spans="1:84" s="45" customFormat="1">
      <c r="A21" s="72"/>
      <c r="B21" s="72" t="s">
        <v>8</v>
      </c>
      <c r="C21" s="72"/>
      <c r="D21" s="72"/>
      <c r="E21" s="77" t="s">
        <v>130</v>
      </c>
      <c r="F21" s="78"/>
      <c r="G21" s="78"/>
      <c r="H21" s="78"/>
      <c r="I21" s="78"/>
      <c r="J21" s="78"/>
      <c r="K21" s="78"/>
      <c r="L21" s="78"/>
      <c r="M21" s="78"/>
      <c r="N21" s="78"/>
      <c r="O21" s="78"/>
      <c r="P21" s="78"/>
      <c r="Q21" s="78"/>
      <c r="R21" s="78"/>
      <c r="S21" s="78"/>
      <c r="T21" s="78"/>
      <c r="U21" s="78"/>
      <c r="V21" s="78"/>
      <c r="W21" s="78"/>
      <c r="X21" s="78"/>
      <c r="Y21" s="78"/>
      <c r="Z21" s="78"/>
      <c r="AA21" s="78"/>
      <c r="AB21" s="78"/>
      <c r="AC21" s="78"/>
      <c r="AD21" s="78"/>
      <c r="AE21" s="78"/>
      <c r="AF21" s="78"/>
      <c r="AG21" s="78"/>
      <c r="AH21" s="78"/>
      <c r="AI21" s="78"/>
      <c r="AJ21" s="78"/>
      <c r="AK21" s="78"/>
      <c r="AL21" s="78"/>
      <c r="AM21" s="78"/>
      <c r="AN21" s="78"/>
      <c r="AO21" s="78"/>
      <c r="AP21" s="78"/>
      <c r="AQ21" s="78"/>
      <c r="AR21" s="78"/>
      <c r="AS21" s="78"/>
      <c r="AT21" s="78"/>
      <c r="AU21" s="78"/>
      <c r="AV21" s="78"/>
      <c r="AW21" s="78"/>
      <c r="AX21" s="78"/>
      <c r="AY21" s="78"/>
      <c r="AZ21" s="78"/>
      <c r="BA21" s="78"/>
      <c r="BB21" s="78"/>
      <c r="BC21" s="78"/>
      <c r="BD21" s="78"/>
      <c r="BE21" s="78"/>
      <c r="BF21" s="78"/>
      <c r="BG21" s="78"/>
      <c r="BH21" s="78"/>
      <c r="BI21" s="78"/>
      <c r="BJ21" s="78"/>
      <c r="BK21" s="78"/>
      <c r="BL21" s="78"/>
      <c r="BM21" s="78"/>
      <c r="BN21" s="78"/>
      <c r="BO21" s="78"/>
      <c r="BP21" s="78"/>
      <c r="BQ21" s="78"/>
      <c r="BR21" s="78"/>
      <c r="BS21" s="78"/>
      <c r="BT21" s="92"/>
      <c r="BU21" s="88"/>
      <c r="BV21" s="72"/>
      <c r="BW21" s="72"/>
      <c r="BX21" s="72"/>
      <c r="BY21" s="72"/>
      <c r="BZ21" s="72"/>
      <c r="CA21" s="72"/>
      <c r="CB21" s="72"/>
      <c r="CC21" s="72"/>
      <c r="CD21" s="74"/>
      <c r="CE21" s="72"/>
      <c r="CF21" s="72"/>
    </row>
    <row r="22" spans="1:84" s="45" customFormat="1">
      <c r="A22" s="72"/>
      <c r="B22" s="72" t="s">
        <v>8</v>
      </c>
      <c r="C22" s="72"/>
      <c r="D22" s="72"/>
      <c r="E22" s="77" t="s">
        <v>129</v>
      </c>
      <c r="F22" s="98"/>
      <c r="G22" s="98"/>
      <c r="H22" s="98"/>
      <c r="I22" s="98"/>
      <c r="J22" s="98"/>
      <c r="K22" s="98"/>
      <c r="L22" s="98"/>
      <c r="M22" s="98"/>
      <c r="N22" s="98"/>
      <c r="O22" s="98"/>
      <c r="P22" s="98"/>
      <c r="Q22" s="98"/>
      <c r="R22" s="98"/>
      <c r="S22" s="98"/>
      <c r="T22" s="98"/>
      <c r="U22" s="98"/>
      <c r="V22" s="98"/>
      <c r="W22" s="98"/>
      <c r="X22" s="98"/>
      <c r="Y22" s="98"/>
      <c r="Z22" s="98"/>
      <c r="AA22" s="98"/>
      <c r="AB22" s="98"/>
      <c r="AC22" s="98"/>
      <c r="AD22" s="98"/>
      <c r="AE22" s="98"/>
      <c r="AF22" s="98"/>
      <c r="AG22" s="98"/>
      <c r="AH22" s="98"/>
      <c r="AI22" s="98"/>
      <c r="AJ22" s="98"/>
      <c r="AK22" s="98"/>
      <c r="AL22" s="98"/>
      <c r="AM22" s="98"/>
      <c r="AN22" s="98"/>
      <c r="AO22" s="98"/>
      <c r="AP22" s="98"/>
      <c r="AQ22" s="98"/>
      <c r="AR22" s="98"/>
      <c r="AS22" s="98"/>
      <c r="AT22" s="98"/>
      <c r="AU22" s="98"/>
      <c r="AV22" s="98"/>
      <c r="AW22" s="98"/>
      <c r="AX22" s="98"/>
      <c r="AY22" s="98"/>
      <c r="AZ22" s="98"/>
      <c r="BA22" s="98"/>
      <c r="BB22" s="98"/>
      <c r="BC22" s="98"/>
      <c r="BD22" s="98"/>
      <c r="BE22" s="98"/>
      <c r="BF22" s="98"/>
      <c r="BG22" s="98"/>
      <c r="BH22" s="98"/>
      <c r="BI22" s="98"/>
      <c r="BJ22" s="98"/>
      <c r="BK22" s="98"/>
      <c r="BL22" s="98"/>
      <c r="BM22" s="98"/>
      <c r="BN22" s="98"/>
      <c r="BO22" s="98"/>
      <c r="BP22" s="98"/>
      <c r="BQ22" s="98"/>
      <c r="BR22" s="98"/>
      <c r="BS22" s="98"/>
      <c r="BT22" s="93"/>
      <c r="BU22" s="89"/>
      <c r="BV22" s="72"/>
      <c r="BW22" s="72"/>
      <c r="BX22" s="72"/>
      <c r="BY22" s="72"/>
      <c r="BZ22" s="72"/>
      <c r="CA22" s="72"/>
      <c r="CB22" s="72"/>
      <c r="CC22" s="72"/>
      <c r="CD22" s="74"/>
      <c r="CE22" s="72"/>
      <c r="CF22" s="72"/>
    </row>
    <row r="23" spans="1:84" s="45" customFormat="1">
      <c r="A23" s="72"/>
      <c r="B23" s="72" t="s">
        <v>8</v>
      </c>
      <c r="C23" s="72"/>
      <c r="D23" s="72"/>
      <c r="E23" s="77" t="s">
        <v>131</v>
      </c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8"/>
      <c r="W23" s="98"/>
      <c r="X23" s="98"/>
      <c r="Y23" s="98"/>
      <c r="Z23" s="98"/>
      <c r="AA23" s="98"/>
      <c r="AB23" s="98"/>
      <c r="AC23" s="98"/>
      <c r="AD23" s="98"/>
      <c r="AE23" s="98"/>
      <c r="AF23" s="98"/>
      <c r="AG23" s="98"/>
      <c r="AH23" s="98"/>
      <c r="AI23" s="98"/>
      <c r="AJ23" s="98"/>
      <c r="AK23" s="98"/>
      <c r="AL23" s="98"/>
      <c r="AM23" s="98"/>
      <c r="AN23" s="98"/>
      <c r="AO23" s="98"/>
      <c r="AP23" s="98"/>
      <c r="AQ23" s="98"/>
      <c r="AR23" s="98"/>
      <c r="AS23" s="98"/>
      <c r="AT23" s="98"/>
      <c r="AU23" s="98"/>
      <c r="AV23" s="98"/>
      <c r="AW23" s="98"/>
      <c r="AX23" s="98"/>
      <c r="AY23" s="98"/>
      <c r="AZ23" s="98"/>
      <c r="BA23" s="98"/>
      <c r="BB23" s="98"/>
      <c r="BC23" s="98"/>
      <c r="BD23" s="98"/>
      <c r="BE23" s="98"/>
      <c r="BF23" s="98"/>
      <c r="BG23" s="98"/>
      <c r="BH23" s="98"/>
      <c r="BI23" s="98"/>
      <c r="BJ23" s="98"/>
      <c r="BK23" s="98"/>
      <c r="BL23" s="98"/>
      <c r="BM23" s="98"/>
      <c r="BN23" s="98"/>
      <c r="BO23" s="98"/>
      <c r="BP23" s="98"/>
      <c r="BQ23" s="98"/>
      <c r="BR23" s="98"/>
      <c r="BS23" s="98"/>
      <c r="BT23" s="93"/>
      <c r="BU23" s="89"/>
      <c r="BV23" s="72"/>
      <c r="BW23" s="72"/>
      <c r="BX23" s="72"/>
      <c r="BY23" s="72"/>
      <c r="BZ23" s="72"/>
      <c r="CA23" s="72"/>
      <c r="CB23" s="72"/>
      <c r="CC23" s="72"/>
      <c r="CD23" s="74"/>
      <c r="CE23" s="72"/>
      <c r="CF23" s="72"/>
    </row>
    <row r="24" spans="1:84" s="45" customFormat="1">
      <c r="A24" s="72"/>
      <c r="B24" s="72" t="s">
        <v>8</v>
      </c>
      <c r="C24" s="72"/>
      <c r="D24" s="72"/>
      <c r="E24" s="77" t="s">
        <v>132</v>
      </c>
      <c r="F24" s="98"/>
      <c r="G24" s="98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8"/>
      <c r="V24" s="98"/>
      <c r="W24" s="98"/>
      <c r="X24" s="98"/>
      <c r="Y24" s="98"/>
      <c r="Z24" s="98"/>
      <c r="AA24" s="98"/>
      <c r="AB24" s="98"/>
      <c r="AC24" s="98"/>
      <c r="AD24" s="98"/>
      <c r="AE24" s="98"/>
      <c r="AF24" s="98"/>
      <c r="AG24" s="98"/>
      <c r="AH24" s="98"/>
      <c r="AI24" s="98"/>
      <c r="AJ24" s="98"/>
      <c r="AK24" s="98"/>
      <c r="AL24" s="98"/>
      <c r="AM24" s="98"/>
      <c r="AN24" s="98"/>
      <c r="AO24" s="98"/>
      <c r="AP24" s="98"/>
      <c r="AQ24" s="98"/>
      <c r="AR24" s="98"/>
      <c r="AS24" s="98"/>
      <c r="AT24" s="98"/>
      <c r="AU24" s="98"/>
      <c r="AV24" s="98"/>
      <c r="AW24" s="98"/>
      <c r="AX24" s="98"/>
      <c r="AY24" s="98"/>
      <c r="AZ24" s="98"/>
      <c r="BA24" s="98"/>
      <c r="BB24" s="98"/>
      <c r="BC24" s="98"/>
      <c r="BD24" s="98"/>
      <c r="BE24" s="98"/>
      <c r="BF24" s="98"/>
      <c r="BG24" s="98"/>
      <c r="BH24" s="98"/>
      <c r="BI24" s="98"/>
      <c r="BJ24" s="98"/>
      <c r="BK24" s="98"/>
      <c r="BL24" s="98"/>
      <c r="BM24" s="98"/>
      <c r="BN24" s="98"/>
      <c r="BO24" s="98"/>
      <c r="BP24" s="98"/>
      <c r="BQ24" s="98"/>
      <c r="BR24" s="98"/>
      <c r="BS24" s="98"/>
      <c r="BT24" s="93"/>
      <c r="BU24" s="89"/>
      <c r="BV24" s="72"/>
      <c r="BW24" s="72"/>
      <c r="BX24" s="72"/>
      <c r="BY24" s="72"/>
      <c r="BZ24" s="72"/>
      <c r="CA24" s="72"/>
      <c r="CB24" s="72"/>
      <c r="CC24" s="72"/>
      <c r="CD24" s="74"/>
      <c r="CE24" s="72"/>
      <c r="CF24" s="72"/>
    </row>
    <row r="25" spans="1:84" s="45" customFormat="1">
      <c r="A25" s="72"/>
      <c r="B25" s="72"/>
      <c r="C25" s="72"/>
      <c r="D25" s="72"/>
      <c r="E25" s="99" t="s">
        <v>133</v>
      </c>
      <c r="F25" s="100"/>
      <c r="G25" s="100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  <c r="AB25" s="100"/>
      <c r="AC25" s="100"/>
      <c r="AD25" s="100"/>
      <c r="AE25" s="100"/>
      <c r="AF25" s="100"/>
      <c r="AG25" s="100"/>
      <c r="AH25" s="100"/>
      <c r="AI25" s="100"/>
      <c r="AJ25" s="100"/>
      <c r="AK25" s="100"/>
      <c r="AL25" s="100"/>
      <c r="AM25" s="100"/>
      <c r="AN25" s="100"/>
      <c r="AO25" s="100"/>
      <c r="AP25" s="100"/>
      <c r="AQ25" s="100"/>
      <c r="AR25" s="100"/>
      <c r="AS25" s="100"/>
      <c r="AT25" s="100"/>
      <c r="AU25" s="100"/>
      <c r="AV25" s="100"/>
      <c r="AW25" s="100"/>
      <c r="AX25" s="100"/>
      <c r="AY25" s="100"/>
      <c r="AZ25" s="100"/>
      <c r="BA25" s="100"/>
      <c r="BB25" s="100"/>
      <c r="BC25" s="100"/>
      <c r="BD25" s="100"/>
      <c r="BE25" s="100"/>
      <c r="BF25" s="100"/>
      <c r="BG25" s="100"/>
      <c r="BH25" s="100"/>
      <c r="BI25" s="100"/>
      <c r="BJ25" s="100"/>
      <c r="BK25" s="100"/>
      <c r="BL25" s="100"/>
      <c r="BM25" s="100"/>
      <c r="BN25" s="100"/>
      <c r="BO25" s="100"/>
      <c r="BP25" s="100"/>
      <c r="BQ25" s="100"/>
      <c r="BR25" s="100"/>
      <c r="BS25" s="100"/>
      <c r="BT25" s="94"/>
      <c r="BU25" s="90"/>
      <c r="BV25" s="72"/>
      <c r="BW25" s="72"/>
      <c r="BX25" s="72"/>
      <c r="BY25" s="72"/>
      <c r="BZ25" s="72"/>
      <c r="CA25" s="72"/>
      <c r="CB25" s="72"/>
      <c r="CC25" s="72"/>
      <c r="CD25" s="74"/>
      <c r="CE25" s="72"/>
      <c r="CF25" s="72"/>
    </row>
    <row r="26" spans="1:84" s="45" customFormat="1">
      <c r="B26" s="72"/>
      <c r="E26" s="77" t="s">
        <v>134</v>
      </c>
      <c r="F26" s="98"/>
      <c r="G26" s="98"/>
      <c r="H26" s="98"/>
      <c r="I26" s="98"/>
      <c r="J26" s="98"/>
      <c r="K26" s="98"/>
      <c r="L26" s="98"/>
      <c r="M26" s="98"/>
      <c r="N26" s="98"/>
      <c r="O26" s="98"/>
      <c r="P26" s="98"/>
      <c r="Q26" s="98"/>
      <c r="R26" s="98"/>
      <c r="S26" s="98"/>
      <c r="T26" s="98"/>
      <c r="U26" s="98"/>
      <c r="V26" s="98"/>
      <c r="W26" s="98"/>
      <c r="X26" s="98"/>
      <c r="Y26" s="98"/>
      <c r="Z26" s="98"/>
      <c r="AA26" s="98"/>
      <c r="AB26" s="98"/>
      <c r="AC26" s="98"/>
      <c r="AD26" s="98"/>
      <c r="AE26" s="98"/>
      <c r="AF26" s="98"/>
      <c r="AG26" s="98"/>
      <c r="AH26" s="98"/>
      <c r="AI26" s="98"/>
      <c r="AJ26" s="98"/>
      <c r="AK26" s="98"/>
      <c r="AL26" s="98"/>
      <c r="AM26" s="98"/>
      <c r="AN26" s="98"/>
      <c r="AO26" s="98"/>
      <c r="AP26" s="98"/>
      <c r="AQ26" s="98"/>
      <c r="AR26" s="98"/>
      <c r="AS26" s="98"/>
      <c r="AT26" s="98"/>
      <c r="AU26" s="98"/>
      <c r="AV26" s="98"/>
      <c r="AW26" s="98"/>
      <c r="AX26" s="98"/>
      <c r="AY26" s="98"/>
      <c r="AZ26" s="98"/>
      <c r="BA26" s="98"/>
      <c r="BB26" s="98"/>
      <c r="BC26" s="98"/>
      <c r="BD26" s="98"/>
      <c r="BE26" s="98"/>
      <c r="BF26" s="98"/>
      <c r="BG26" s="98"/>
      <c r="BH26" s="98"/>
      <c r="BI26" s="98"/>
      <c r="BJ26" s="98"/>
      <c r="BK26" s="98"/>
      <c r="BL26" s="98"/>
      <c r="BM26" s="98"/>
      <c r="BN26" s="98"/>
      <c r="BO26" s="98"/>
      <c r="BP26" s="98"/>
      <c r="BQ26" s="98"/>
      <c r="BR26" s="98"/>
      <c r="BS26" s="98"/>
      <c r="BT26" s="93"/>
      <c r="BU26" s="89"/>
      <c r="CD26" s="101"/>
    </row>
    <row r="27" spans="1:84" s="45" customFormat="1">
      <c r="B27" s="72"/>
      <c r="E27" s="77" t="s">
        <v>135</v>
      </c>
      <c r="F27" s="98"/>
      <c r="G27" s="98"/>
      <c r="H27" s="98"/>
      <c r="I27" s="98"/>
      <c r="J27" s="98"/>
      <c r="K27" s="98"/>
      <c r="L27" s="98"/>
      <c r="M27" s="98"/>
      <c r="N27" s="98"/>
      <c r="O27" s="98"/>
      <c r="P27" s="98"/>
      <c r="Q27" s="98"/>
      <c r="R27" s="98"/>
      <c r="S27" s="98"/>
      <c r="T27" s="98"/>
      <c r="U27" s="98"/>
      <c r="V27" s="98"/>
      <c r="W27" s="98"/>
      <c r="X27" s="98"/>
      <c r="Y27" s="98"/>
      <c r="Z27" s="98"/>
      <c r="AA27" s="98"/>
      <c r="AB27" s="98"/>
      <c r="AC27" s="98"/>
      <c r="AD27" s="98"/>
      <c r="AE27" s="98"/>
      <c r="AF27" s="98"/>
      <c r="AG27" s="98"/>
      <c r="AH27" s="98"/>
      <c r="AI27" s="98"/>
      <c r="AJ27" s="98"/>
      <c r="AK27" s="98"/>
      <c r="AL27" s="98"/>
      <c r="AM27" s="98"/>
      <c r="AN27" s="98"/>
      <c r="AO27" s="98"/>
      <c r="AP27" s="98"/>
      <c r="AQ27" s="98"/>
      <c r="AR27" s="98"/>
      <c r="AS27" s="98"/>
      <c r="AT27" s="98"/>
      <c r="AU27" s="98"/>
      <c r="AV27" s="98"/>
      <c r="AW27" s="98"/>
      <c r="AX27" s="98"/>
      <c r="AY27" s="98"/>
      <c r="AZ27" s="98"/>
      <c r="BA27" s="98"/>
      <c r="BB27" s="98"/>
      <c r="BC27" s="98"/>
      <c r="BD27" s="98"/>
      <c r="BE27" s="98"/>
      <c r="BF27" s="98"/>
      <c r="BG27" s="98"/>
      <c r="BH27" s="98"/>
      <c r="BI27" s="98"/>
      <c r="BJ27" s="98"/>
      <c r="BK27" s="98"/>
      <c r="BL27" s="98"/>
      <c r="BM27" s="98"/>
      <c r="BN27" s="98"/>
      <c r="BO27" s="98"/>
      <c r="BP27" s="98"/>
      <c r="BQ27" s="98"/>
      <c r="BR27" s="98"/>
      <c r="BS27" s="98"/>
      <c r="BT27" s="93"/>
      <c r="BU27" s="89"/>
      <c r="CD27" s="101"/>
    </row>
    <row r="28" spans="1:84" s="45" customFormat="1">
      <c r="B28" s="72"/>
      <c r="E28" s="102" t="s">
        <v>136</v>
      </c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  <c r="AF28" s="103"/>
      <c r="AG28" s="103"/>
      <c r="AH28" s="103"/>
      <c r="AI28" s="103"/>
      <c r="AJ28" s="103"/>
      <c r="AK28" s="103"/>
      <c r="AL28" s="103"/>
      <c r="AM28" s="103"/>
      <c r="AN28" s="103"/>
      <c r="AO28" s="103"/>
      <c r="AP28" s="103"/>
      <c r="AQ28" s="103"/>
      <c r="AR28" s="103"/>
      <c r="AS28" s="103"/>
      <c r="AT28" s="103"/>
      <c r="AU28" s="103"/>
      <c r="AV28" s="103"/>
      <c r="AW28" s="103"/>
      <c r="AX28" s="103"/>
      <c r="AY28" s="103"/>
      <c r="AZ28" s="103"/>
      <c r="BA28" s="103"/>
      <c r="BB28" s="103"/>
      <c r="BC28" s="103"/>
      <c r="BD28" s="103"/>
      <c r="BE28" s="103"/>
      <c r="BF28" s="103"/>
      <c r="BG28" s="103"/>
      <c r="BH28" s="103"/>
      <c r="BI28" s="103"/>
      <c r="BJ28" s="103"/>
      <c r="BK28" s="103"/>
      <c r="BL28" s="103"/>
      <c r="BM28" s="103"/>
      <c r="BN28" s="103"/>
      <c r="BO28" s="103"/>
      <c r="BP28" s="103"/>
      <c r="BQ28" s="103"/>
      <c r="BR28" s="103"/>
      <c r="BS28" s="103"/>
      <c r="BT28" s="95"/>
      <c r="BU28" s="91"/>
      <c r="CD28" s="101"/>
    </row>
    <row r="29" spans="1:84" s="45" customFormat="1">
      <c r="B29" s="72"/>
      <c r="E29" s="102" t="s">
        <v>137</v>
      </c>
      <c r="F29" s="103"/>
      <c r="G29" s="103"/>
      <c r="H29" s="103"/>
      <c r="I29" s="103"/>
      <c r="J29" s="103"/>
      <c r="K29" s="103"/>
      <c r="L29" s="103"/>
      <c r="M29" s="103"/>
      <c r="N29" s="103"/>
      <c r="O29" s="103"/>
      <c r="P29" s="103"/>
      <c r="Q29" s="103"/>
      <c r="R29" s="103"/>
      <c r="S29" s="103"/>
      <c r="T29" s="103"/>
      <c r="U29" s="103"/>
      <c r="V29" s="103"/>
      <c r="W29" s="103"/>
      <c r="X29" s="103"/>
      <c r="Y29" s="103"/>
      <c r="Z29" s="103"/>
      <c r="AA29" s="103"/>
      <c r="AB29" s="103"/>
      <c r="AC29" s="103"/>
      <c r="AD29" s="103"/>
      <c r="AE29" s="103"/>
      <c r="AF29" s="103"/>
      <c r="AG29" s="103"/>
      <c r="AH29" s="103"/>
      <c r="AI29" s="103"/>
      <c r="AJ29" s="103"/>
      <c r="AK29" s="103"/>
      <c r="AL29" s="103"/>
      <c r="AM29" s="103"/>
      <c r="AN29" s="103"/>
      <c r="AO29" s="103"/>
      <c r="AP29" s="103"/>
      <c r="AQ29" s="103"/>
      <c r="AR29" s="103"/>
      <c r="AS29" s="103"/>
      <c r="AT29" s="103"/>
      <c r="AU29" s="103"/>
      <c r="AV29" s="103"/>
      <c r="AW29" s="103"/>
      <c r="AX29" s="103"/>
      <c r="AY29" s="103"/>
      <c r="AZ29" s="103"/>
      <c r="BA29" s="103"/>
      <c r="BB29" s="103"/>
      <c r="BC29" s="103"/>
      <c r="BD29" s="103"/>
      <c r="BE29" s="103"/>
      <c r="BF29" s="103"/>
      <c r="BG29" s="103"/>
      <c r="BH29" s="103"/>
      <c r="BI29" s="103"/>
      <c r="BJ29" s="103"/>
      <c r="BK29" s="103"/>
      <c r="BL29" s="103"/>
      <c r="BM29" s="103"/>
      <c r="BN29" s="103"/>
      <c r="BO29" s="103"/>
      <c r="BP29" s="103"/>
      <c r="BQ29" s="103"/>
      <c r="BR29" s="103"/>
      <c r="BS29" s="103"/>
      <c r="BT29" s="95"/>
      <c r="BU29" s="91"/>
      <c r="CD29" s="101"/>
    </row>
    <row r="30" spans="1:84" s="45" customFormat="1">
      <c r="B30" s="72"/>
      <c r="E30" s="104"/>
      <c r="F30" s="105"/>
      <c r="G30" s="105"/>
      <c r="H30" s="105"/>
      <c r="I30" s="105"/>
      <c r="J30" s="105"/>
      <c r="K30" s="105"/>
      <c r="L30" s="105"/>
      <c r="M30" s="105"/>
      <c r="N30" s="105"/>
      <c r="O30" s="105"/>
      <c r="P30" s="105"/>
      <c r="Q30" s="105"/>
      <c r="R30" s="105"/>
      <c r="S30" s="105"/>
      <c r="T30" s="105"/>
      <c r="U30" s="105"/>
      <c r="V30" s="105"/>
      <c r="W30" s="105"/>
      <c r="X30" s="105"/>
      <c r="Y30" s="105"/>
      <c r="Z30" s="105"/>
      <c r="AA30" s="105"/>
      <c r="AB30" s="105"/>
      <c r="AC30" s="105"/>
      <c r="AD30" s="105"/>
      <c r="AE30" s="105"/>
      <c r="AF30" s="105"/>
      <c r="AG30" s="105"/>
      <c r="AH30" s="105"/>
      <c r="AI30" s="105"/>
      <c r="AJ30" s="105"/>
      <c r="AK30" s="105"/>
      <c r="AL30" s="105"/>
      <c r="AM30" s="105"/>
      <c r="AN30" s="105"/>
      <c r="AO30" s="105"/>
      <c r="AP30" s="105"/>
      <c r="AQ30" s="105"/>
      <c r="AR30" s="105"/>
      <c r="AS30" s="105"/>
      <c r="AT30" s="105"/>
      <c r="AU30" s="105"/>
      <c r="AV30" s="105"/>
      <c r="AW30" s="105"/>
      <c r="AX30" s="105"/>
      <c r="AY30" s="105"/>
      <c r="AZ30" s="105"/>
      <c r="BA30" s="105"/>
      <c r="BB30" s="105"/>
      <c r="BC30" s="105"/>
      <c r="BD30" s="105"/>
      <c r="BE30" s="105"/>
      <c r="BF30" s="105"/>
      <c r="BG30" s="105"/>
      <c r="BH30" s="105"/>
      <c r="BI30" s="105"/>
      <c r="BJ30" s="105"/>
      <c r="BK30" s="105"/>
      <c r="BL30" s="105"/>
      <c r="BM30" s="105"/>
      <c r="BN30" s="105"/>
      <c r="BO30" s="105"/>
      <c r="BP30" s="105"/>
      <c r="BQ30" s="105"/>
      <c r="BR30" s="105"/>
      <c r="BS30" s="105"/>
      <c r="BT30" s="105"/>
      <c r="BU30" s="105"/>
      <c r="CD30" s="101"/>
    </row>
    <row r="31" spans="1:84" s="45" customFormat="1">
      <c r="B31" s="72"/>
      <c r="E31" s="77" t="s">
        <v>141</v>
      </c>
      <c r="F31" s="98"/>
      <c r="G31" s="98"/>
      <c r="H31" s="98"/>
      <c r="I31" s="98"/>
      <c r="J31" s="98"/>
      <c r="K31" s="98"/>
      <c r="L31" s="98"/>
      <c r="M31" s="98"/>
      <c r="N31" s="98"/>
      <c r="O31" s="98"/>
      <c r="P31" s="98"/>
      <c r="Q31" s="98"/>
      <c r="R31" s="98"/>
      <c r="S31" s="98"/>
      <c r="T31" s="98"/>
      <c r="U31" s="98"/>
      <c r="V31" s="98"/>
      <c r="W31" s="98"/>
      <c r="X31" s="98"/>
      <c r="Y31" s="98"/>
      <c r="Z31" s="98"/>
      <c r="AA31" s="98"/>
      <c r="AB31" s="98"/>
      <c r="AC31" s="98"/>
      <c r="AD31" s="98"/>
      <c r="AE31" s="98"/>
      <c r="AF31" s="98"/>
      <c r="AG31" s="98"/>
      <c r="AH31" s="98"/>
      <c r="AI31" s="98"/>
      <c r="AJ31" s="98"/>
      <c r="AK31" s="98"/>
      <c r="AL31" s="98"/>
      <c r="AM31" s="98"/>
      <c r="AN31" s="98"/>
      <c r="AO31" s="98"/>
      <c r="AP31" s="98"/>
      <c r="AQ31" s="98"/>
      <c r="AR31" s="98"/>
      <c r="AS31" s="98"/>
      <c r="AT31" s="98"/>
      <c r="AU31" s="98"/>
      <c r="AV31" s="98"/>
      <c r="AW31" s="98"/>
      <c r="AX31" s="98"/>
      <c r="AY31" s="98"/>
      <c r="AZ31" s="98"/>
      <c r="BA31" s="98"/>
      <c r="BB31" s="98"/>
      <c r="BC31" s="98"/>
      <c r="BD31" s="98"/>
      <c r="BE31" s="98"/>
      <c r="BF31" s="98"/>
      <c r="BG31" s="98"/>
      <c r="BH31" s="98"/>
      <c r="BI31" s="98"/>
      <c r="BJ31" s="98"/>
      <c r="BK31" s="98"/>
      <c r="BL31" s="98"/>
      <c r="BM31" s="98"/>
      <c r="BN31" s="98"/>
      <c r="BO31" s="98"/>
      <c r="BP31" s="98"/>
      <c r="BQ31" s="98"/>
      <c r="BR31" s="98"/>
      <c r="BS31" s="98"/>
      <c r="BT31" s="93"/>
      <c r="BU31" s="89"/>
      <c r="CD31" s="101"/>
    </row>
    <row r="32" spans="1:84" s="45" customFormat="1">
      <c r="B32" s="72"/>
      <c r="E32" s="77" t="s">
        <v>142</v>
      </c>
      <c r="F32" s="98"/>
      <c r="G32" s="98"/>
      <c r="H32" s="98"/>
      <c r="I32" s="98"/>
      <c r="J32" s="98"/>
      <c r="K32" s="98"/>
      <c r="L32" s="98"/>
      <c r="M32" s="98"/>
      <c r="N32" s="98"/>
      <c r="O32" s="98"/>
      <c r="P32" s="98"/>
      <c r="Q32" s="98"/>
      <c r="R32" s="98"/>
      <c r="S32" s="98"/>
      <c r="T32" s="98"/>
      <c r="U32" s="98"/>
      <c r="V32" s="98"/>
      <c r="W32" s="98"/>
      <c r="X32" s="98"/>
      <c r="Y32" s="98"/>
      <c r="Z32" s="98"/>
      <c r="AA32" s="98"/>
      <c r="AB32" s="98"/>
      <c r="AC32" s="98"/>
      <c r="AD32" s="98"/>
      <c r="AE32" s="98"/>
      <c r="AF32" s="98"/>
      <c r="AG32" s="98"/>
      <c r="AH32" s="98"/>
      <c r="AI32" s="98"/>
      <c r="AJ32" s="98"/>
      <c r="AK32" s="98"/>
      <c r="AL32" s="98"/>
      <c r="AM32" s="98"/>
      <c r="AN32" s="98"/>
      <c r="AO32" s="98"/>
      <c r="AP32" s="98"/>
      <c r="AQ32" s="98"/>
      <c r="AR32" s="98"/>
      <c r="AS32" s="98"/>
      <c r="AT32" s="98"/>
      <c r="AU32" s="98"/>
      <c r="AV32" s="98"/>
      <c r="AW32" s="98"/>
      <c r="AX32" s="98"/>
      <c r="AY32" s="98"/>
      <c r="AZ32" s="98"/>
      <c r="BA32" s="98"/>
      <c r="BB32" s="98"/>
      <c r="BC32" s="98"/>
      <c r="BD32" s="98"/>
      <c r="BE32" s="98"/>
      <c r="BF32" s="98"/>
      <c r="BG32" s="98"/>
      <c r="BH32" s="98"/>
      <c r="BI32" s="98"/>
      <c r="BJ32" s="98"/>
      <c r="BK32" s="98"/>
      <c r="BL32" s="98"/>
      <c r="BM32" s="98"/>
      <c r="BN32" s="98"/>
      <c r="BO32" s="98"/>
      <c r="BP32" s="98"/>
      <c r="BQ32" s="98"/>
      <c r="BR32" s="98"/>
      <c r="BS32" s="98"/>
      <c r="BT32" s="93"/>
      <c r="BU32" s="89"/>
      <c r="CD32" s="101"/>
    </row>
    <row r="33" spans="2:82" s="45" customFormat="1">
      <c r="B33" s="72"/>
      <c r="E33" s="77" t="s">
        <v>143</v>
      </c>
      <c r="F33" s="98"/>
      <c r="G33" s="98"/>
      <c r="H33" s="98"/>
      <c r="I33" s="98"/>
      <c r="J33" s="98"/>
      <c r="K33" s="98"/>
      <c r="L33" s="98"/>
      <c r="M33" s="98"/>
      <c r="N33" s="98"/>
      <c r="O33" s="98"/>
      <c r="P33" s="98"/>
      <c r="Q33" s="98"/>
      <c r="R33" s="98"/>
      <c r="S33" s="98"/>
      <c r="T33" s="98"/>
      <c r="U33" s="98"/>
      <c r="V33" s="98"/>
      <c r="W33" s="98"/>
      <c r="X33" s="98"/>
      <c r="Y33" s="98"/>
      <c r="Z33" s="98"/>
      <c r="AA33" s="98"/>
      <c r="AB33" s="98"/>
      <c r="AC33" s="98"/>
      <c r="AD33" s="98"/>
      <c r="AE33" s="98"/>
      <c r="AF33" s="98"/>
      <c r="AG33" s="98"/>
      <c r="AH33" s="98"/>
      <c r="AI33" s="98"/>
      <c r="AJ33" s="98"/>
      <c r="AK33" s="98"/>
      <c r="AL33" s="98"/>
      <c r="AM33" s="98"/>
      <c r="AN33" s="98"/>
      <c r="AO33" s="98"/>
      <c r="AP33" s="98"/>
      <c r="AQ33" s="98"/>
      <c r="AR33" s="98"/>
      <c r="AS33" s="98"/>
      <c r="AT33" s="98"/>
      <c r="AU33" s="98"/>
      <c r="AV33" s="98"/>
      <c r="AW33" s="98"/>
      <c r="AX33" s="98"/>
      <c r="AY33" s="98"/>
      <c r="AZ33" s="98"/>
      <c r="BA33" s="98"/>
      <c r="BB33" s="98"/>
      <c r="BC33" s="98"/>
      <c r="BD33" s="98"/>
      <c r="BE33" s="98"/>
      <c r="BF33" s="98"/>
      <c r="BG33" s="98"/>
      <c r="BH33" s="98"/>
      <c r="BI33" s="98"/>
      <c r="BJ33" s="98"/>
      <c r="BK33" s="98"/>
      <c r="BL33" s="98"/>
      <c r="BM33" s="98"/>
      <c r="BN33" s="98"/>
      <c r="BO33" s="98"/>
      <c r="BP33" s="98"/>
      <c r="BQ33" s="98"/>
      <c r="BR33" s="98"/>
      <c r="BS33" s="98"/>
      <c r="BT33" s="93"/>
      <c r="BU33" s="89"/>
      <c r="CD33" s="101"/>
    </row>
    <row r="34" spans="2:82" s="45" customFormat="1">
      <c r="B34" s="72"/>
      <c r="E34" s="102" t="s">
        <v>138</v>
      </c>
      <c r="F34" s="103"/>
      <c r="G34" s="103"/>
      <c r="H34" s="103"/>
      <c r="I34" s="103"/>
      <c r="J34" s="103"/>
      <c r="K34" s="103"/>
      <c r="L34" s="103"/>
      <c r="M34" s="103"/>
      <c r="N34" s="103"/>
      <c r="O34" s="103"/>
      <c r="P34" s="103"/>
      <c r="Q34" s="103"/>
      <c r="R34" s="103"/>
      <c r="S34" s="103"/>
      <c r="T34" s="103"/>
      <c r="U34" s="103"/>
      <c r="V34" s="103"/>
      <c r="W34" s="103"/>
      <c r="X34" s="103"/>
      <c r="Y34" s="103"/>
      <c r="Z34" s="103"/>
      <c r="AA34" s="103"/>
      <c r="AB34" s="103"/>
      <c r="AC34" s="103"/>
      <c r="AD34" s="103"/>
      <c r="AE34" s="103"/>
      <c r="AF34" s="103"/>
      <c r="AG34" s="103"/>
      <c r="AH34" s="103"/>
      <c r="AI34" s="103"/>
      <c r="AJ34" s="103"/>
      <c r="AK34" s="103"/>
      <c r="AL34" s="103"/>
      <c r="AM34" s="103"/>
      <c r="AN34" s="103"/>
      <c r="AO34" s="103"/>
      <c r="AP34" s="103"/>
      <c r="AQ34" s="103"/>
      <c r="AR34" s="103"/>
      <c r="AS34" s="103"/>
      <c r="AT34" s="103"/>
      <c r="AU34" s="103"/>
      <c r="AV34" s="103"/>
      <c r="AW34" s="103"/>
      <c r="AX34" s="103"/>
      <c r="AY34" s="103"/>
      <c r="AZ34" s="103"/>
      <c r="BA34" s="103"/>
      <c r="BB34" s="103"/>
      <c r="BC34" s="103"/>
      <c r="BD34" s="103"/>
      <c r="BE34" s="103"/>
      <c r="BF34" s="103"/>
      <c r="BG34" s="103"/>
      <c r="BH34" s="103"/>
      <c r="BI34" s="103"/>
      <c r="BJ34" s="103"/>
      <c r="BK34" s="103"/>
      <c r="BL34" s="103"/>
      <c r="BM34" s="103"/>
      <c r="BN34" s="103"/>
      <c r="BO34" s="103"/>
      <c r="BP34" s="103"/>
      <c r="BQ34" s="103"/>
      <c r="BR34" s="103"/>
      <c r="BS34" s="103"/>
      <c r="BT34" s="95"/>
      <c r="BU34" s="91"/>
      <c r="CD34" s="101"/>
    </row>
    <row r="35" spans="2:82" s="45" customFormat="1">
      <c r="B35" s="72"/>
      <c r="E35" s="102" t="s">
        <v>139</v>
      </c>
      <c r="F35" s="103"/>
      <c r="G35" s="103"/>
      <c r="H35" s="103"/>
      <c r="I35" s="103"/>
      <c r="J35" s="103"/>
      <c r="K35" s="103"/>
      <c r="L35" s="103"/>
      <c r="M35" s="103"/>
      <c r="N35" s="103"/>
      <c r="O35" s="103"/>
      <c r="P35" s="103"/>
      <c r="Q35" s="103"/>
      <c r="R35" s="103"/>
      <c r="S35" s="103"/>
      <c r="T35" s="103"/>
      <c r="U35" s="103"/>
      <c r="V35" s="103"/>
      <c r="W35" s="103"/>
      <c r="X35" s="103"/>
      <c r="Y35" s="103"/>
      <c r="Z35" s="103"/>
      <c r="AA35" s="103"/>
      <c r="AB35" s="103"/>
      <c r="AC35" s="103"/>
      <c r="AD35" s="103"/>
      <c r="AE35" s="103"/>
      <c r="AF35" s="103"/>
      <c r="AG35" s="103"/>
      <c r="AH35" s="103"/>
      <c r="AI35" s="103"/>
      <c r="AJ35" s="103"/>
      <c r="AK35" s="103"/>
      <c r="AL35" s="103"/>
      <c r="AM35" s="103"/>
      <c r="AN35" s="103"/>
      <c r="AO35" s="103"/>
      <c r="AP35" s="103"/>
      <c r="AQ35" s="103"/>
      <c r="AR35" s="103"/>
      <c r="AS35" s="103"/>
      <c r="AT35" s="103"/>
      <c r="AU35" s="103"/>
      <c r="AV35" s="103"/>
      <c r="AW35" s="103"/>
      <c r="AX35" s="103"/>
      <c r="AY35" s="103"/>
      <c r="AZ35" s="103"/>
      <c r="BA35" s="103"/>
      <c r="BB35" s="103"/>
      <c r="BC35" s="103"/>
      <c r="BD35" s="103"/>
      <c r="BE35" s="103"/>
      <c r="BF35" s="103"/>
      <c r="BG35" s="103"/>
      <c r="BH35" s="103"/>
      <c r="BI35" s="103"/>
      <c r="BJ35" s="103"/>
      <c r="BK35" s="103"/>
      <c r="BL35" s="103"/>
      <c r="BM35" s="103"/>
      <c r="BN35" s="103"/>
      <c r="BO35" s="103"/>
      <c r="BP35" s="103"/>
      <c r="BQ35" s="103"/>
      <c r="BR35" s="103"/>
      <c r="BS35" s="103"/>
      <c r="BT35" s="95"/>
      <c r="BU35" s="91"/>
      <c r="CD35" s="101"/>
    </row>
  </sheetData>
  <pageMargins left="0.7" right="0.7" top="0.75" bottom="0.75" header="0.3" footer="0.3"/>
  <pageSetup paperSize="9"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SUMM</vt:lpstr>
      <vt:lpstr>HK Sales Summ</vt:lpstr>
      <vt:lpstr>CA Sales Summ</vt:lpstr>
      <vt:lpstr>SH Sales Summ</vt:lpstr>
      <vt:lpstr>VN Sales Summ</vt:lpstr>
      <vt:lpstr>BD Sales Summ</vt:lpstr>
      <vt:lpstr>TR Sales Summ</vt:lpstr>
      <vt:lpstr>LK Sales Summ</vt:lpstr>
      <vt:lpstr>IN Sales Summ</vt:lpstr>
      <vt:lpstr>ND Sales Summ</vt:lpstr>
      <vt:lpstr>SUMM-Obsolete</vt:lpstr>
      <vt:lpstr>Template</vt:lpstr>
    </vt:vector>
  </TitlesOfParts>
  <Company>NEXT SOURCING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Cheng</dc:creator>
  <cp:lastModifiedBy>Michael Lau (IT)</cp:lastModifiedBy>
  <cp:lastPrinted>2020-01-06T06:49:52Z</cp:lastPrinted>
  <dcterms:created xsi:type="dcterms:W3CDTF">2020-01-02T00:43:20Z</dcterms:created>
  <dcterms:modified xsi:type="dcterms:W3CDTF">2021-03-26T06:19:18Z</dcterms:modified>
</cp:coreProperties>
</file>