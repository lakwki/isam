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<sst xmlns="http://schemas.openxmlformats.org/spreadsheetml/2006/main" count="57" uniqueCount="41">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</sst>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8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12" fillId="9" borderId="13" xfId="0" applyFont="1" applyFill="1" applyBorder="1" applyAlignment="1">
      <alignment vertical="top"/>
    </xf>
    <xf numFmtId="10" fontId="12" fillId="9" borderId="13" xfId="0" applyNumberFormat="1" applyFont="1" applyFill="1" applyBorder="1" applyAlignment="1">
      <alignment vertical="top"/>
    </xf>
    <xf numFmtId="0" fontId="12" fillId="9" borderId="14" xfId="0" applyFont="1" applyFill="1" applyBorder="1" applyAlignment="1">
      <alignment vertical="top"/>
    </xf>
    <xf numFmtId="0" fontId="12" fillId="9" borderId="12" xfId="0" applyFont="1" applyFill="1" applyBorder="1" applyAlignment="1">
      <alignment vertical="top"/>
    </xf>
    <xf numFmtId="0" fontId="12" fillId="9" borderId="12" xfId="0" applyFont="1" applyFill="1" applyBorder="1" applyAlignment="1">
      <alignment horizontal="center" vertical="top" wrapText="1"/>
    </xf>
    <xf numFmtId="0" fontId="12" fillId="9" borderId="13" xfId="0" applyFont="1" applyFill="1" applyBorder="1" applyAlignment="1">
      <alignment horizontal="center" vertical="top" wrapText="1"/>
    </xf>
    <xf numFmtId="10" fontId="12" fillId="9" borderId="13" xfId="0" applyNumberFormat="1" applyFont="1" applyFill="1" applyBorder="1" applyAlignment="1">
      <alignment horizontal="center" vertical="top" wrapText="1"/>
    </xf>
    <xf numFmtId="0" fontId="12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12" fillId="10" borderId="13" xfId="0" applyFont="1" applyFill="1" applyBorder="1" applyAlignment="1">
      <alignment vertical="top"/>
    </xf>
    <xf numFmtId="10" fontId="12" fillId="10" borderId="13" xfId="0" applyNumberFormat="1" applyFont="1" applyFill="1" applyBorder="1" applyAlignment="1">
      <alignment vertical="top"/>
    </xf>
    <xf numFmtId="0" fontId="12" fillId="10" borderId="14" xfId="0" applyFont="1" applyFill="1" applyBorder="1" applyAlignment="1">
      <alignment vertical="top"/>
    </xf>
    <xf numFmtId="0" fontId="12" fillId="10" borderId="6" xfId="0" applyFont="1" applyFill="1" applyBorder="1" applyAlignment="1">
      <alignment horizontal="center" vertical="top" wrapText="1"/>
    </xf>
    <xf numFmtId="0" fontId="12" fillId="10" borderId="7" xfId="0" applyFont="1" applyFill="1" applyBorder="1" applyAlignment="1">
      <alignment horizontal="center" vertical="top" wrapText="1"/>
    </xf>
    <xf numFmtId="10" fontId="12" fillId="10" borderId="7" xfId="0" applyNumberFormat="1" applyFont="1" applyFill="1" applyBorder="1" applyAlignment="1">
      <alignment horizontal="center" vertical="top" wrapText="1"/>
    </xf>
    <xf numFmtId="0" fontId="12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4" fillId="6" borderId="0" xfId="0" applyFont="1" applyFill="1" applyBorder="1" applyAlignment="1">
      <alignment horizontal="right" vertical="top"/>
    </xf>
    <xf numFmtId="0" fontId="14" fillId="7" borderId="0" xfId="0" applyFont="1" applyFill="1" applyBorder="1" applyAlignment="1">
      <alignment horizontal="right" vertical="top"/>
    </xf>
    <xf numFmtId="0" fontId="14" fillId="8" borderId="0" xfId="0" applyFont="1" applyFill="1" applyBorder="1" applyAlignment="1">
      <alignment horizontal="right" vertical="top"/>
    </xf>
    <xf numFmtId="9" fontId="7" fillId="0" borderId="0" xfId="1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2" xfId="0" applyFont="1" applyBorder="1" applyAlignment="1">
      <alignment horizontal="center" vertical="top"/>
    </xf>
    <xf numFmtId="0" fontId="14" fillId="0" borderId="2" xfId="0" applyFont="1" applyFill="1" applyBorder="1" applyAlignment="1">
      <alignment vertical="top"/>
    </xf>
    <xf numFmtId="0" fontId="14" fillId="0" borderId="3" xfId="0" applyFont="1" applyFill="1" applyBorder="1" applyAlignment="1">
      <alignment vertical="top"/>
    </xf>
    <xf numFmtId="0" fontId="14" fillId="0" borderId="4" xfId="0" applyFont="1" applyBorder="1" applyAlignment="1">
      <alignment vertical="top"/>
    </xf>
    <xf numFmtId="0" fontId="14" fillId="0" borderId="0" xfId="0" applyFont="1" applyBorder="1" applyAlignment="1">
      <alignment vertical="top"/>
    </xf>
    <xf numFmtId="0" fontId="15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5" xfId="0" applyFont="1" applyFill="1" applyBorder="1" applyAlignment="1">
      <alignment vertical="top"/>
    </xf>
    <xf numFmtId="0" fontId="14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4" fillId="0" borderId="7" xfId="0" applyFont="1" applyBorder="1" applyAlignment="1">
      <alignment vertical="top"/>
    </xf>
    <xf numFmtId="0" fontId="14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  <xf numFmtId="165" fontId="16" fillId="0" borderId="0" xfId="2" applyNumberFormat="1" applyFont="1" applyBorder="1"/>
    <xf numFmtId="166" fontId="17" fillId="0" borderId="0" xfId="3" applyNumberFormat="1" applyFont="1" applyFill="1" applyBorder="1"/>
    <xf numFmtId="9" fontId="16" fillId="0" borderId="0" xfId="1" applyFont="1" applyBorder="1"/>
    <xf numFmtId="167" fontId="6" fillId="0" borderId="0" xfId="1" applyNumberFormat="1" applyFont="1" applyBorder="1"/>
    <xf numFmtId="0" fontId="18" fillId="0" borderId="0" xfId="0" applyFont="1"/>
    <xf numFmtId="0" fontId="6" fillId="11" borderId="0" xfId="0" applyFont="1" applyFill="1" applyBorder="1" applyAlignment="1">
      <alignment horizontal="right" vertical="top"/>
    </xf>
    <xf numFmtId="0" fontId="14" fillId="11" borderId="0" xfId="0" applyFont="1" applyFill="1" applyBorder="1" applyAlignment="1">
      <alignment horizontal="right" vertical="top"/>
    </xf>
    <xf numFmtId="0" fontId="11" fillId="0" borderId="0" xfId="0" applyFont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2"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pageSetUpPr fitToPage="1"/>
  </x:sheetPr>
  <x:dimension ref="A1:BJ3"/>
  <x:sheetViews>
    <x:sheetView tabSelected="1" workbookViewId="0">
      <x:selection activeCell="C8" sqref="C8"/>
    </x:sheetView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  <x:col min="47" max="47" width="0" hidden="1" customWidth="1"/>
    <x:col min="48" max="48" width="0" hidden="1" customWidth="1"/>
    <x:col min="49" max="49" width="0" hidden="1" customWidth="1"/>
    <x:col min="50" max="50" width="0" hidden="1" customWidth="1"/>
    <x:col min="51" max="51" width="0" hidden="1" customWidth="1"/>
    <x:col min="52" max="52" width="0" hidden="1" customWidth="1"/>
    <x:col min="53" max="53" width="0" hidden="1" customWidth="1"/>
    <x:col min="54" max="54" width="0" hidden="1" customWidth="1"/>
    <x:col min="55" max="55" width="0" hidden="1" customWidth="1"/>
    <x:col min="56" max="56" width="0" hidden="1" customWidth="1"/>
    <x:col min="57" max="57" width="0" hidden="1" customWidth="1"/>
    <x:col min="58" max="58" width="0" hidden="1" customWidth="1"/>
    <x:col min="59" max="59" width="0" hidden="1" customWidth="1"/>
    <x:col min="60" max="60" width="0" hidden="1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2"/>
      <x:c r="BJ1" s="38"/>
    </x:row>
    <x:row r="2" spans="1:62" x14ac:dyDescent="0.25">
      <x:c r="A2" s="94" t="s">
        <x:v>41</x:v>
      </x:c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7" t="s">
        <x:v>3</x:v>
      </x:c>
    </x:row>
    <x:row r="4">
      <x:c r="A4" s="10" t="s">
        <x:v>42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5" t="s"/>
      <x:c r="BD4" s="5" t="s"/>
      <x:c r="BE4" s="5" t="s"/>
      <x:c r="BF4" s="5" t="s"/>
      <x:c r="BG4" s="5" t="s"/>
      <x:c r="BH4" s="5" t="s"/>
      <x:c r="BI4" s="7" t="s"/>
      <x:c r="BJ4" s="10" t="s"/>
      <x:c r="BK4" s="5" t="s"/>
      <x:c r="BL4" s="5" t="s"/>
      <x:c r="BM4" s="5" t="s"/>
      <x:c r="BN4" s="5" t="s"/>
      <x:c r="BO4" s="5" t="s"/>
      <x:c r="BP4" s="5" t="s"/>
      <x:c r="BQ4" s="5" t="s"/>
      <x:c r="BR4" s="5" t="s"/>
      <x:c r="BS4" s="7" t="s"/>
      <x:c r="BT4" s="47" t="s">
        <x:v>11</x:v>
      </x:c>
      <x:c r="BU4" s="48"/>
      <x:c r="BV4" s="49"/>
      <x:c r="BW4" s="50"/>
      <x:c r="BX4" s="50"/>
      <x:c r="BY4" s="51"/>
      <x:c r="BZ4" s="52"/>
      <x:c r="CA4" s="51"/>
      <x:c r="CC4" s="57" t="s">
        <x:v>26</x:v>
      </x:c>
      <x:c r="CD4" s="58"/>
      <x:c r="CE4" s="58"/>
      <x:c r="CF4" s="58"/>
      <x:c r="CG4" s="58"/>
      <x:c r="CH4" s="59"/>
      <x:c r="CI4" s="59"/>
      <x:c r="CJ4" s="59"/>
      <x:c r="CK4" s="59"/>
      <x:c r="CL4" s="58"/>
      <x:c r="CM4" s="60"/>
    </x:row>
    <x:row r="5" ht="45.75" customHeight="1">
      <x:c r="A5" s="40" t="s">
        <x:v>43</x:v>
      </x:c>
      <x:c r="B5" s="40" t="s">
        <x:v>44</x:v>
      </x:c>
      <x:c r="C5" s="40" t="s">
        <x:v>45</x:v>
      </x:c>
      <x:c r="D5" s="40" t="s">
        <x:v>46</x:v>
      </x:c>
      <x:c r="E5" s="40" t="s">
        <x:v>47</x:v>
      </x:c>
      <x:c r="F5" s="40" t="s">
        <x:v>102</x:v>
      </x:c>
      <x:c r="G5" s="40" t="s">
        <x:v>48</x:v>
      </x:c>
      <x:c r="H5" s="40" t="s">
        <x:v>49</x:v>
      </x:c>
      <x:c r="I5" s="40" t="s">
        <x:v>50</x:v>
      </x:c>
      <x:c r="J5" s="40" t="s">
        <x:v>51</x:v>
      </x:c>
      <x:c r="K5" s="40" t="s">
        <x:v>52</x:v>
      </x:c>
      <x:c r="L5" s="40" t="s">
        <x:v>53</x:v>
      </x:c>
      <x:c r="M5" s="40" t="s">
        <x:v>54</x:v>
      </x:c>
      <x:c r="N5" s="40" t="s">
        <x:v>55</x:v>
      </x:c>
      <x:c r="O5" s="40" t="s">
        <x:v>56</x:v>
      </x:c>
      <x:c r="P5" s="40" t="s">
        <x:v>57</x:v>
      </x:c>
      <x:c r="Q5" s="40" t="s">
        <x:v>58</x:v>
      </x:c>
      <x:c r="R5" s="40" t="s">
        <x:v>59</x:v>
      </x:c>
      <x:c r="S5" s="40" t="s">
        <x:v>60</x:v>
      </x:c>
      <x:c r="T5" s="40" t="s">
        <x:v>61</x:v>
      </x:c>
      <x:c r="U5" s="40" t="s">
        <x:v>62</x:v>
      </x:c>
      <x:c r="V5" s="40" t="s">
        <x:v>63</x:v>
      </x:c>
      <x:c r="W5" s="40" t="s">
        <x:v>64</x:v>
      </x:c>
      <x:c r="X5" s="40" t="s">
        <x:v>65</x:v>
      </x:c>
      <x:c r="Y5" s="40" t="s">
        <x:v>66</x:v>
      </x:c>
      <x:c r="Z5" s="40" t="s">
        <x:v>67</x:v>
      </x:c>
      <x:c r="AA5" s="40" t="s">
        <x:v>68</x:v>
      </x:c>
      <x:c r="AB5" s="40" t="s">
        <x:v>69</x:v>
      </x:c>
      <x:c r="AC5" s="40" t="s">
        <x:v>70</x:v>
      </x:c>
      <x:c r="AD5" s="40" t="s">
        <x:v>71</x:v>
      </x:c>
      <x:c r="AE5" s="40" t="s">
        <x:v>72</x:v>
      </x:c>
      <x:c r="AF5" s="40" t="s">
        <x:v>73</x:v>
      </x:c>
      <x:c r="AG5" s="40" t="s">
        <x:v>74</x:v>
      </x:c>
      <x:c r="AH5" s="40" t="s">
        <x:v>75</x:v>
      </x:c>
      <x:c r="AI5" s="40" t="s">
        <x:v>76</x:v>
      </x:c>
      <x:c r="AJ5" s="40" t="s">
        <x:v>77</x:v>
      </x:c>
      <x:c r="AK5" s="40" t="s">
        <x:v>78</x:v>
      </x:c>
      <x:c r="AL5" s="40" t="s">
        <x:v>79</x:v>
      </x:c>
      <x:c r="AM5" s="40" t="s">
        <x:v>80</x:v>
      </x:c>
      <x:c r="AN5" s="40" t="s">
        <x:v>81</x:v>
      </x:c>
      <x:c r="AO5" s="40" t="s">
        <x:v>82</x:v>
      </x:c>
      <x:c r="AP5" s="40" t="s">
        <x:v>83</x:v>
      </x:c>
      <x:c r="AQ5" s="40" t="s">
        <x:v>84</x:v>
      </x:c>
      <x:c r="AR5" s="40" t="s">
        <x:v>85</x:v>
      </x:c>
      <x:c r="AS5" s="40" t="s">
        <x:v>86</x:v>
      </x:c>
      <x:c r="AT5" s="40" t="s">
        <x:v>87</x:v>
      </x:c>
      <x:c r="AU5" s="40" t="s">
        <x:v>88</x:v>
      </x:c>
      <x:c r="AV5" s="40" t="s">
        <x:v>89</x:v>
      </x:c>
      <x:c r="AW5" s="40" t="s">
        <x:v>90</x:v>
      </x:c>
      <x:c r="AX5" s="40" t="s">
        <x:v>91</x:v>
      </x:c>
      <x:c r="AY5" s="40" t="s">
        <x:v>92</x:v>
      </x:c>
      <x:c r="AZ5" s="40" t="s">
        <x:v>93</x:v>
      </x:c>
      <x:c r="BA5" s="40" t="s">
        <x:v>94</x:v>
      </x:c>
      <x:c r="BB5" s="40" t="s">
        <x:v>95</x:v>
      </x:c>
      <x:c r="BC5" s="40" t="s">
        <x:v>96</x:v>
      </x:c>
      <x:c r="BD5" s="40" t="s">
        <x:v>97</x:v>
      </x:c>
      <x:c r="BE5" s="40" t="s">
        <x:v>98</x:v>
      </x:c>
      <x:c r="BF5" s="40" t="s">
        <x:v>99</x:v>
      </x:c>
      <x:c r="BG5" s="40" t="s">
        <x:v>100</x:v>
      </x:c>
      <x:c r="BH5" s="40" t="s">
        <x:v>101</x:v>
      </x:c>
      <x:c r="BJ5" s="31" t="s">
        <x:v>103</x:v>
      </x:c>
      <x:c r="BK5" s="32" t="s">
        <x:v>104</x:v>
      </x:c>
      <x:c r="BL5" s="32" t="s">
        <x:v>105</x:v>
      </x:c>
      <x:c r="BM5" s="32" t="s">
        <x:v>106</x:v>
      </x:c>
      <x:c r="BN5" s="32" t="s">
        <x:v>107</x:v>
      </x:c>
      <x:c r="BO5" s="32" t="s">
        <x:v>108</x:v>
      </x:c>
      <x:c r="BP5" s="32" t="s">
        <x:v>109</x:v>
      </x:c>
      <x:c r="BQ5" s="32" t="s">
        <x:v>110</x:v>
      </x:c>
      <x:c r="BR5" s="32" t="s">
        <x:v>111</x:v>
      </x:c>
      <x:c r="BS5" s="33" t="s">
        <x:v>112</x:v>
      </x:c>
      <x:c r="BT5" s="53" t="s">
        <x:v>12</x:v>
      </x:c>
      <x:c r="BU5" s="54" t="s">
        <x:v>13</x:v>
      </x:c>
      <x:c r="BV5" s="54" t="s">
        <x:v>14</x:v>
      </x:c>
      <x:c r="BW5" s="55" t="s">
        <x:v>15</x:v>
      </x:c>
      <x:c r="BX5" s="55" t="s">
        <x:v>27</x:v>
      </x:c>
      <x:c r="BY5" s="56" t="s">
        <x:v>16</x:v>
      </x:c>
      <x:c r="BZ5" s="53" t="s">
        <x:v>17</x:v>
      </x:c>
      <x:c r="CA5" s="56" t="s">
        <x:v>18</x:v>
      </x:c>
      <x:c r="CC5" s="61" t="s">
        <x:v>19</x:v>
      </x:c>
      <x:c r="CD5" s="62" t="s">
        <x:v>20</x:v>
      </x:c>
      <x:c r="CE5" s="62" t="s">
        <x:v>21</x:v>
      </x:c>
      <x:c r="CF5" s="62" t="s">
        <x:v>15</x:v>
      </x:c>
      <x:c r="CG5" s="62"/>
      <x:c r="CH5" s="63" t="s">
        <x:v>22</x:v>
      </x:c>
      <x:c r="CI5" s="63" t="s">
        <x:v>23</x:v>
      </x:c>
      <x:c r="CJ5" s="63" t="s">
        <x:v>25</x:v>
      </x:c>
      <x:c r="CK5" s="63" t="s">
        <x:v>24</x:v>
      </x:c>
      <x:c r="CL5" s="62"/>
      <x:c r="CM5" s="64" t="s">
        <x:v>28</x:v>
      </x:c>
    </x:row>
    <x:row r="6">
      <x:c r="BJ6" s="31" t="s"/>
      <x:c r="BS6" s="33" t="s"/>
    </x:row>
    <x:row r="7">
      <x:c r="A7" s="35" t="s">
        <x:v>113</x:v>
      </x:c>
      <x:c r="BI7" s="33" t="s"/>
      <x:c r="BJ7" s="11" t="s"/>
      <x:c r="BS7" s="13" t="s"/>
    </x:row>
    <x:row r="8">
      <x:c r="A8" s="17" t="s">
        <x:v>114</x:v>
      </x:c>
      <x:c r="BI8" s="33" t="s"/>
      <x:c r="BJ8" s="11" t="s"/>
      <x:c r="BS8" s="13" t="s"/>
    </x:row>
    <x:row r="9">
      <x:c r="A9" s="31" t="s">
        <x:v>115</x:v>
      </x:c>
      <x:c r="B9" t="s">
        <x:v>116</x:v>
      </x:c>
      <x:c r="C9" t="s">
        <x:v>117</x:v>
      </x:c>
      <x:c r="D9" t="s">
        <x:v>118</x:v>
      </x:c>
      <x:c r="E9" s="68" t="s">
        <x:v>119</x:v>
      </x:c>
      <x:c r="F9" t="n">
        <x:v>1002</x:v>
      </x:c>
      <x:c r="G9" s="32" t="n">
        <x:v>0.0009980039920159680638722555</x:v>
      </x:c>
      <x:c r="H9" s="32" t="n">
        <x:v>0.0129740518962075848303393214</x:v>
      </x:c>
      <x:c r="I9" s="32" t="n">
        <x:v>0.0379241516966067864271457086</x:v>
      </x:c>
      <x:c r="J9" s="32" t="n">
        <x:v>0.0658682634730538922155688623</x:v>
      </x:c>
      <x:c r="K9" s="32" t="n">
        <x:v>0.0808383233532934131736526946</x:v>
      </x:c>
      <x:c r="L9" s="32" t="n">
        <x:v>0.1077844311377245508982035928</x:v>
      </x:c>
      <x:c r="M9" s="32" t="n">
        <x:v>0.1267465069860279441117764471</x:v>
      </x:c>
      <x:c r="N9" s="32" t="n">
        <x:v>0.1457085828343313373253493014</x:v>
      </x:c>
      <x:c r="O9" s="32" t="n">
        <x:v>0.1526946107784431137724550898</x:v>
      </x:c>
      <x:c r="P9" s="32" t="n">
        <x:v>0.1586826347305389221556886228</x:v>
      </x:c>
      <x:c r="Q9" s="32" t="n">
        <x:v>0.1586826347305389221556886228</x:v>
      </x:c>
      <x:c r="R9" s="32" t="n">
        <x:v>0.1636726546906187624750499002</x:v>
      </x:c>
      <x:c r="S9" s="32" t="n">
        <x:v>0.1746506986027944111776447106</x:v>
      </x:c>
      <x:c r="T9" s="32" t="n">
        <x:v>0.179640718562874251497005988</x:v>
      </x:c>
      <x:c r="U9" s="32" t="n">
        <x:v>0.1976047904191616766467065868</x:v>
      </x:c>
      <x:c r="V9" s="32" t="n">
        <x:v>0.2095808383233532934131736527</x:v>
      </x:c>
      <x:c r="BI9" s="33" t="s"/>
      <x:c r="BJ9" s="11" t="s">
        <x:v>120</x:v>
      </x:c>
      <x:c r="BK9" s="12" t="str">
        <x:f>=BX9</x:f>
      </x:c>
      <x:c r="BL9" s="12" t="n">
        <x:v>0.2325349301397205588822355289</x:v>
      </x:c>
      <x:c r="BM9" s="12" t="n">
        <x:v>0.730538922155688622754491018</x:v>
      </x:c>
      <x:c r="BN9" s="12" t="n">
        <x:v>0.0369261477045908183632734531</x:v>
      </x:c>
      <x:c r="BO9" s="12" t="str">
        <x:f>=BW9</x:f>
      </x:c>
      <x:c r="BP9" s="12" t="str">
        <x:f>=CF9</x:f>
      </x:c>
      <x:c r="BQ9" s="12" t="str"/>
      <x:c r="BR9" s="12" t="str">
        <x:v>AW 2018 EOS</x:v>
      </x:c>
      <x:c r="BS9" s="13" t="str"/>
      <x:c r="BT9" s="30" t="n">
        <x:v>4025.40</x:v>
      </x:c>
      <x:c r="BU9" s="30" t="n">
        <x:v>-4517.1162</x:v>
      </x:c>
      <x:c r="BV9" s="30" t="str">
        <x:f>=BT9+BU9</x:f>
      </x:c>
      <x:c r="BW9" s="66" t="str">
        <x:f>=BV9/BT9</x:f>
      </x:c>
      <x:c r="BX9" s="66" t="n">
        <x:v>0.9630738522954091816367265469</x:v>
      </x:c>
      <x:c r="BY9" s="30" t="n">
        <x:v>4088.16</x:v>
      </x:c>
      <x:c r="BZ9" s="41" t="n">
        <x:v>37</x:v>
      </x:c>
      <x:c r="CA9" s="30" t="n">
        <x:v>150.96</x:v>
      </x:c>
      <x:c r="CC9" s="30" t="n">
        <x:v>4025.6095808383233532934131737</x:v>
      </x:c>
      <x:c r="CD9" s="30" t="n">
        <x:v>-4517.1162</x:v>
      </x:c>
      <x:c r="CE9" s="30" t="str">
        <x:f>=CC9+CD9</x:f>
      </x:c>
      <x:c r="CF9" s="66" t="str">
        <x:f>=CE9/CC9</x:f>
      </x:c>
      <x:c r="CH9" s="66" t="str">
        <x:f>=CI9+CJ9</x:f>
      </x:c>
      <x:c r="CI9" s="66" t="str">
        <x:f>=BX9+(0*7)</x:f>
      </x:c>
      <x:c r="CJ9" s="66" t="str">
        <x:f>=(1-CI9)*0.5</x:f>
      </x:c>
      <x:c r="CK9" s="66" t="str">
        <x:f>=1-CH9</x:f>
      </x:c>
      <x:c r="CM9" s="66" t="str">
        <x:f>=CJ9/(1-CI9)</x:f>
      </x:c>
    </x:row>
    <x:row r="10">
      <x:c r="A10" s="31" t="s">
        <x:v>121</x:v>
      </x:c>
      <x:c r="B10" t="s">
        <x:v>116</x:v>
      </x:c>
      <x:c r="C10" t="s">
        <x:v>122</x:v>
      </x:c>
      <x:c r="D10" t="s">
        <x:v>118</x:v>
      </x:c>
      <x:c r="E10" s="68" t="s">
        <x:v>119</x:v>
      </x:c>
      <x:c r="F10" t="n">
        <x:v>1037</x:v>
      </x:c>
      <x:c r="G10" s="32" t="n">
        <x:v>0.0154291224686595949855351977</x:v>
      </x:c>
      <x:c r="H10" s="32" t="n">
        <x:v>0.0482160077145612343297974928</x:v>
      </x:c>
      <x:c r="I10" s="32" t="n">
        <x:v>0.0810028929604628736740597878</x:v>
      </x:c>
      <x:c r="J10" s="32" t="n">
        <x:v>0.1147540983606557377049180328</x:v>
      </x:c>
      <x:c r="K10" s="32" t="n">
        <x:v>0.1292189006750241080038572806</x:v>
      </x:c>
      <x:c r="L10" s="32" t="n">
        <x:v>0.1436837029893924783027965284</x:v>
      </x:c>
      <x:c r="M10" s="32" t="n">
        <x:v>0.1485053037608486017357762777</x:v>
      </x:c>
      <x:c r="N10" s="32" t="n">
        <x:v>0.1513982642237222757955641273</x:v>
      </x:c>
      <x:c r="O10" s="32" t="n">
        <x:v>0.1523625843780135004821600771</x:v>
      </x:c>
      <x:c r="P10" s="32" t="n">
        <x:v>0.1591128254580520732883317261</x:v>
      </x:c>
      <x:c r="Q10" s="32" t="n">
        <x:v>0.166827386692381870781099325</x:v>
      </x:c>
      <x:c r="R10" s="32" t="n">
        <x:v>0.1764705882352941176470588235</x:v>
      </x:c>
      <x:c r="S10" s="32" t="n">
        <x:v>0.1832208293153326904532304725</x:v>
      </x:c>
      <x:c r="T10" s="32" t="n">
        <x:v>0.2015429122468659594985535198</x:v>
      </x:c>
      <x:c r="BI10" s="33" t="s"/>
      <x:c r="BJ10" s="11" t="s">
        <x:v>123</x:v>
      </x:c>
      <x:c r="BK10" s="12" t="str">
        <x:f>=BX10</x:f>
      </x:c>
      <x:c r="BL10" s="12" t="n">
        <x:v>0.2295081967213114754098360656</x:v>
      </x:c>
      <x:c r="BM10" s="12" t="n">
        <x:v>0.766634522661523625843780135</x:v>
      </x:c>
      <x:c r="BN10" s="12" t="n">
        <x:v>0.0038572806171648987463837994</x:v>
      </x:c>
      <x:c r="BO10" s="12" t="str">
        <x:f>=BW10</x:f>
      </x:c>
      <x:c r="BP10" s="12" t="str">
        <x:f>=CF10</x:f>
      </x:c>
      <x:c r="BQ10" s="12" t="str"/>
      <x:c r="BR10" s="12" t="str">
        <x:v>AW 2018 EOS</x:v>
      </x:c>
      <x:c r="BS10" s="13" t="str"/>
      <x:c r="BT10" s="30" t="n">
        <x:v>4307.80</x:v>
      </x:c>
      <x:c r="BU10" s="30" t="n">
        <x:v>-4697.1952</x:v>
      </x:c>
      <x:c r="BV10" s="30" t="str">
        <x:f>=BT10+BU10</x:f>
      </x:c>
      <x:c r="BW10" s="66" t="str">
        <x:f>=BV10/BT10</x:f>
      </x:c>
      <x:c r="BX10" s="66" t="n">
        <x:v>0.9961427193828351012536162006</x:v>
      </x:c>
      <x:c r="BY10" s="30" t="n">
        <x:v>4230.96</x:v>
      </x:c>
      <x:c r="BZ10" s="41" t="n">
        <x:v>4</x:v>
      </x:c>
      <x:c r="CA10" s="30" t="n">
        <x:v>16.32</x:v>
      </x:c>
      <x:c r="CC10" s="30" t="n">
        <x:v>4308.0015429122468659594985535</x:v>
      </x:c>
      <x:c r="CD10" s="30" t="n">
        <x:v>-4697.1952</x:v>
      </x:c>
      <x:c r="CE10" s="30" t="str">
        <x:f>=CC10+CD10</x:f>
      </x:c>
      <x:c r="CF10" s="66" t="str">
        <x:f>=CE10/CC10</x:f>
      </x:c>
      <x:c r="CH10" s="66" t="str">
        <x:f>=CI10+CJ10</x:f>
      </x:c>
      <x:c r="CI10" s="66" t="str">
        <x:f>=BX10+(0*7)</x:f>
      </x:c>
      <x:c r="CJ10" s="66" t="str">
        <x:f>=(1-CI10)*0.5</x:f>
      </x:c>
      <x:c r="CK10" s="66" t="str">
        <x:f>=1-CH10</x:f>
      </x:c>
      <x:c r="CM10" s="66" t="str">
        <x:f>=CJ10/(1-CI10)</x:f>
      </x:c>
    </x:row>
    <x:row r="11">
      <x:c r="A11" s="31" t="s">
        <x:v>124</x:v>
      </x:c>
      <x:c r="B11" t="s">
        <x:v>116</x:v>
      </x:c>
      <x:c r="C11" t="s">
        <x:v>125</x:v>
      </x:c>
      <x:c r="D11" t="s">
        <x:v>118</x:v>
      </x:c>
      <x:c r="E11" s="68" t="s">
        <x:v>119</x:v>
      </x:c>
      <x:c r="F11" t="n">
        <x:v>868</x:v>
      </x:c>
      <x:c r="G11" s="32" t="n">
        <x:v>0.025345622119815668202764977</x:v>
      </x:c>
      <x:c r="H11" s="32" t="n">
        <x:v>0.0529953917050691244239631336</x:v>
      </x:c>
      <x:c r="I11" s="32" t="n">
        <x:v>0.0771889400921658986175115207</x:v>
      </x:c>
      <x:c r="J11" s="32" t="n">
        <x:v>0.0956221198156682027649769585</x:v>
      </x:c>
      <x:c r="K11" s="32" t="n">
        <x:v>0.1071428571428571428571428571</x:v>
      </x:c>
      <x:c r="L11" s="32" t="n">
        <x:v>0.1175115207373271889400921659</x:v>
      </x:c>
      <x:c r="M11" s="32" t="n">
        <x:v>0.1278801843317972350230414747</x:v>
      </x:c>
      <x:c r="N11" s="32" t="n">
        <x:v>0.133640552995391705069124424</x:v>
      </x:c>
      <x:c r="O11" s="32" t="n">
        <x:v>0.1382488479262672811059907834</x:v>
      </x:c>
      <x:c r="P11" s="32" t="n">
        <x:v>0.1405529953917050691244239631</x:v>
      </x:c>
      <x:c r="Q11" s="32" t="n">
        <x:v>0.1428571428571428571428571429</x:v>
      </x:c>
      <x:c r="R11" s="32" t="n">
        <x:v>0.1509216589861751152073732719</x:v>
      </x:c>
      <x:c r="S11" s="32" t="n">
        <x:v>0.1566820276497695852534562212</x:v>
      </x:c>
      <x:c r="T11" s="32" t="n">
        <x:v>0.1682027649769585253456221198</x:v>
      </x:c>
      <x:c r="BI11" s="33" t="s"/>
      <x:c r="BJ11" s="11" t="s">
        <x:v>123</x:v>
      </x:c>
      <x:c r="BK11" s="12" t="str">
        <x:f>=BX11</x:f>
      </x:c>
      <x:c r="BL11" s="12" t="n">
        <x:v>0.1912442396313364055299539171</x:v>
      </x:c>
      <x:c r="BM11" s="12" t="n">
        <x:v>0.7983870967741935483870967742</x:v>
      </x:c>
      <x:c r="BN11" s="12" t="n">
        <x:v>0.0103686635944700460829493088</x:v>
      </x:c>
      <x:c r="BO11" s="12" t="str">
        <x:f>=BW11</x:f>
      </x:c>
      <x:c r="BP11" s="12" t="str">
        <x:f>=CF11</x:f>
      </x:c>
      <x:c r="BQ11" s="12" t="str"/>
      <x:c r="BR11" s="12" t="str">
        <x:v>AW 2018 EOS</x:v>
      </x:c>
      <x:c r="BS11" s="13" t="str"/>
      <x:c r="BT11" s="30" t="n">
        <x:v>3437.43</x:v>
      </x:c>
      <x:c r="BU11" s="30" t="n">
        <x:v>-3931.1720</x:v>
      </x:c>
      <x:c r="BV11" s="30" t="str">
        <x:f>=BT11+BU11</x:f>
      </x:c>
      <x:c r="BW11" s="66" t="str">
        <x:f>=BV11/BT11</x:f>
      </x:c>
      <x:c r="BX11" s="66" t="n">
        <x:v>0.9896313364055299539170506912</x:v>
      </x:c>
      <x:c r="BY11" s="30" t="n">
        <x:v>3541.44</x:v>
      </x:c>
      <x:c r="BZ11" s="41" t="n">
        <x:v>9</x:v>
      </x:c>
      <x:c r="CA11" s="30" t="n">
        <x:v>36.72</x:v>
      </x:c>
      <x:c r="CC11" s="30" t="n">
        <x:v>3437.5982027649769585253456221</x:v>
      </x:c>
      <x:c r="CD11" s="30" t="n">
        <x:v>-3931.1720</x:v>
      </x:c>
      <x:c r="CE11" s="30" t="str">
        <x:f>=CC11+CD11</x:f>
      </x:c>
      <x:c r="CF11" s="66" t="str">
        <x:f>=CE11/CC11</x:f>
      </x:c>
      <x:c r="CH11" s="66" t="str">
        <x:f>=CI11+CJ11</x:f>
      </x:c>
      <x:c r="CI11" s="66" t="str">
        <x:f>=BX11+(0*7)</x:f>
      </x:c>
      <x:c r="CJ11" s="66" t="str">
        <x:f>=(1-CI11)*0.5</x:f>
      </x:c>
      <x:c r="CK11" s="66" t="str">
        <x:f>=1-CH11</x:f>
      </x:c>
      <x:c r="CM11" s="66" t="str">
        <x:f>=CJ11/(1-CI11)</x:f>
      </x:c>
    </x:row>
    <x:row r="12">
      <x:c r="BI12" s="33" t="s"/>
      <x:c r="BJ12" s="11" t="s"/>
      <x:c r="BS12" s="13" t="s"/>
      <x:c r="BT12" s="20" t="n">
        <x:v>11770.63</x:v>
      </x:c>
      <x:c r="BU12" s="20" t="n">
        <x:v>-13145.4834</x:v>
      </x:c>
      <x:c r="BV12" s="20" t="str">
        <x:f>=BT12+BU12</x:f>
      </x:c>
      <x:c r="BW12" s="21" t="n">
        <x:v>-0.1168037224855424051219008668</x:v>
      </x:c>
      <x:c r="BY12" s="20" t="n">
        <x:v>-11860.56</x:v>
      </x:c>
      <x:c r="BZ12" s="20" t="n">
        <x:v>50</x:v>
      </x:c>
      <x:c r="CA12" s="20" t="n">
        <x:v>204.00</x:v>
      </x:c>
      <x:c r="CC12" s="20" t="n">
        <x:v>11771.209326515547177778257349</x:v>
      </x:c>
      <x:c r="CD12" s="20" t="n">
        <x:v>-13145.4834</x:v>
      </x:c>
      <x:c r="CE12" s="20" t="str">
        <x:f>=CC12+CD12</x:f>
      </x:c>
      <x:c r="CF12" s="21" t="n">
        <x:v>-0.1167487583785291806415180774</x:v>
      </x:c>
    </x:row>
    <x:row r="13">
      <x:c r="A13" s="35" t="s">
        <x:v>126</x:v>
      </x:c>
      <x:c r="BI13" s="33" t="s"/>
      <x:c r="BJ13" s="11" t="s"/>
      <x:c r="BS13" s="13" t="s"/>
    </x:row>
    <x:row r="14">
      <x:c r="A14" s="17" t="s">
        <x:v>127</x:v>
      </x:c>
      <x:c r="BI14" s="33" t="s"/>
      <x:c r="BJ14" s="11" t="s"/>
      <x:c r="BS14" s="13" t="s"/>
    </x:row>
    <x:row r="15">
      <x:c r="A15" s="31" t="s">
        <x:v>128</x:v>
      </x:c>
      <x:c r="B15" t="s"/>
      <x:c r="C15" t="s">
        <x:v>129</x:v>
      </x:c>
      <x:c r="D15" t="s">
        <x:v>130</x:v>
      </x:c>
      <x:c r="E15" s="67" t="s">
        <x:v>131</x:v>
      </x:c>
      <x:c r="F15" t="n">
        <x:v>547</x:v>
      </x:c>
      <x:c r="G15" s="32" t="n">
        <x:v>0.0859232175502742230347349177</x:v>
      </x:c>
      <x:c r="H15" s="32" t="n">
        <x:v>0.2321755027422303473491773309</x:v>
      </x:c>
      <x:c r="I15" s="32" t="n">
        <x:v>0.288848263254113345521023766</x:v>
      </x:c>
      <x:c r="J15" s="32" t="n">
        <x:v>0.3345521023765996343692870201</x:v>
      </x:c>
      <x:c r="K15" s="32" t="n">
        <x:v>0.3711151736745886654478976234</x:v>
      </x:c>
      <x:c r="L15" s="32" t="n">
        <x:v>0.422303473491773308957952468</x:v>
      </x:c>
      <x:c r="M15" s="32" t="n">
        <x:v>0.455210237659963436928702011</x:v>
      </x:c>
      <x:c r="N15" s="32" t="n">
        <x:v>0.6965265082266910420475319927</x:v>
      </x:c>
      <x:c r="O15" s="23" t="n">
        <x:v>0.7733089579524680073126142596</x:v>
      </x:c>
      <x:c r="P15" s="32" t="n">
        <x:v>0.7733089579524680073126142596</x:v>
      </x:c>
      <x:c r="Q15" s="32" t="n">
        <x:v>0.7733089579524680073126142596</x:v>
      </x:c>
      <x:c r="R15" s="32" t="n">
        <x:v>0.7733089579524680073126142596</x:v>
      </x:c>
      <x:c r="S15" s="32" t="n">
        <x:v>0.7733089579524680073126142596</x:v>
      </x:c>
      <x:c r="T15" s="32" t="n">
        <x:v>0.8007312614259597806215722121</x:v>
      </x:c>
      <x:c r="U15" s="32" t="n">
        <x:v>0.8007312614259597806215722121</x:v>
      </x:c>
      <x:c r="V15" s="32" t="n">
        <x:v>0.8007312614259597806215722121</x:v>
      </x:c>
      <x:c r="W15" s="32" t="n">
        <x:v>0.7989031078610603290676416819</x:v>
      </x:c>
      <x:c r="X15" s="32" t="n">
        <x:v>0.822669104204753199268738574</x:v>
      </x:c>
      <x:c r="Y15" s="32" t="n">
        <x:v>0.822669104204753199268738574</x:v>
      </x:c>
      <x:c r="Z15" s="32" t="n">
        <x:v>0.8281535648994515539305301645</x:v>
      </x:c>
      <x:c r="BI15" s="33" t="s"/>
      <x:c r="BJ15" s="11" t="s">
        <x:v>132</x:v>
      </x:c>
      <x:c r="BK15" s="12" t="str">
        <x:f>=BX15</x:f>
      </x:c>
      <x:c r="BL15" s="12" t="n">
        <x:v>0.8135283363802559414990859232</x:v>
      </x:c>
      <x:c r="BM15" s="12" t="n">
        <x:v>0.1755027422303473491773308958</x:v>
      </x:c>
      <x:c r="BN15" s="12" t="n">
        <x:v>0.010968921389396709323583181</x:v>
      </x:c>
      <x:c r="BO15" s="12" t="str">
        <x:f>=BW15</x:f>
      </x:c>
      <x:c r="BP15" s="12" t="str">
        <x:f>=CF15</x:f>
      </x:c>
      <x:c r="BQ15" s="12" t="str"/>
      <x:c r="BR15" s="12" t="str">
        <x:v>AW 2018 EOS</x:v>
      </x:c>
      <x:c r="BS15" s="13" t="str"/>
      <x:c r="BT15" s="30" t="n">
        <x:v>5464.70</x:v>
      </x:c>
      <x:c r="BU15" s="30" t="n">
        <x:v>-3751.13741648274753088392</x:v>
      </x:c>
      <x:c r="BV15" s="30" t="str">
        <x:f>=BT15+BU15</x:f>
      </x:c>
      <x:c r="BW15" s="66" t="str">
        <x:f>=BV15/BT15</x:f>
      </x:c>
      <x:c r="BX15" s="66" t="n">
        <x:v>0.989031078610603290676416819</x:v>
      </x:c>
      <x:c r="BY15" s="30" t="n">
        <x:v>3793.842697404894361736</x:v>
      </x:c>
      <x:c r="BZ15" s="41" t="n">
        <x:v>6</x:v>
      </x:c>
      <x:c r="CA15" s="30" t="n">
        <x:v>41.614362311571053328</x:v>
      </x:c>
      <x:c r="CC15" s="30" t="n">
        <x:v>5465.5281535648994515539305302</x:v>
      </x:c>
      <x:c r="CD15" s="30" t="n">
        <x:v>-3751.13741648274753088392</x:v>
      </x:c>
      <x:c r="CE15" s="30" t="str">
        <x:f>=CC15+CD15</x:f>
      </x:c>
      <x:c r="CF15" s="66" t="str">
        <x:f>=CE15/CC15</x:f>
      </x:c>
      <x:c r="CH15" s="66" t="str">
        <x:f>=CI15+CJ15</x:f>
      </x:c>
      <x:c r="CI15" s="66" t="str">
        <x:f>=BX15+(0*7)</x:f>
      </x:c>
      <x:c r="CJ15" s="66" t="str">
        <x:f>=(1-CI15)*0.5</x:f>
      </x:c>
      <x:c r="CK15" s="66" t="str">
        <x:f>=1-CH15</x:f>
      </x:c>
      <x:c r="CM15" s="66" t="str">
        <x:f>=CJ15/(1-CI15)</x:f>
      </x:c>
    </x:row>
    <x:row r="16">
      <x:c r="A16" s="31" t="s">
        <x:v>133</x:v>
      </x:c>
      <x:c r="B16" t="s"/>
      <x:c r="C16" t="s">
        <x:v>134</x:v>
      </x:c>
      <x:c r="D16" t="s">
        <x:v>130</x:v>
      </x:c>
      <x:c r="E16" s="67" t="s">
        <x:v>131</x:v>
      </x:c>
      <x:c r="F16" t="n">
        <x:v>365</x:v>
      </x:c>
      <x:c r="G16" s="32" t="n">
        <x:v>0.126027397260273972602739726</x:v>
      </x:c>
      <x:c r="H16" s="32" t="n">
        <x:v>0.3589041095890410958904109589</x:v>
      </x:c>
      <x:c r="I16" s="32" t="n">
        <x:v>0.5041095890410958904109589041</x:v>
      </x:c>
      <x:c r="J16" s="32" t="n">
        <x:v>0.6054794520547945205479452055</x:v>
      </x:c>
      <x:c r="K16" s="32" t="n">
        <x:v>0.6410958904109589041095890411</x:v>
      </x:c>
      <x:c r="L16" s="23" t="n">
        <x:v>0.7287671232876712328767123288</x:v>
      </x:c>
      <x:c r="M16" s="32" t="n">
        <x:v>0.8191780821917808219178082192</x:v>
      </x:c>
      <x:c r="N16" s="32" t="n">
        <x:v>0.9287671232876712328767123288</x:v>
      </x:c>
      <x:c r="O16" s="32" t="n">
        <x:v>0.9643835616438356164383561644</x:v>
      </x:c>
      <x:c r="P16" s="32" t="n">
        <x:v>0.9643835616438356164383561644</x:v>
      </x:c>
      <x:c r="Q16" s="32" t="n">
        <x:v>0.9643835616438356164383561644</x:v>
      </x:c>
      <x:c r="R16" s="32" t="n">
        <x:v>0.9643835616438356164383561644</x:v>
      </x:c>
      <x:c r="S16" s="32" t="n">
        <x:v>0.9643835616438356164383561644</x:v>
      </x:c>
      <x:c r="T16" s="32" t="n">
        <x:v>0.9726027397260273972602739726</x:v>
      </x:c>
      <x:c r="U16" s="32" t="n">
        <x:v>0.9726027397260273972602739726</x:v>
      </x:c>
      <x:c r="V16" s="32" t="n">
        <x:v>0.9726027397260273972602739726</x:v>
      </x:c>
      <x:c r="W16" s="32" t="n">
        <x:v>0.9835616438356164383561643836</x:v>
      </x:c>
      <x:c r="X16" s="32" t="n">
        <x:v>0.9808219178082191780821917808</x:v>
      </x:c>
      <x:c r="Y16" s="32" t="n">
        <x:v>0.9808219178082191780821917808</x:v>
      </x:c>
      <x:c r="Z16" s="32" t="n">
        <x:v>0.9780821917808219178082191781</x:v>
      </x:c>
      <x:c r="BI16" s="33" t="s"/>
      <x:c r="BJ16" s="11" t="s">
        <x:v>132</x:v>
      </x:c>
      <x:c r="BK16" s="12" t="str">
        <x:f>=BX16</x:f>
      </x:c>
      <x:c r="BL16" s="12" t="n">
        <x:v>0.9726027397260273972602739726</x:v>
      </x:c>
      <x:c r="BM16" s="12" t="n">
        <x:v>0.0082191780821917808219178082</x:v>
      </x:c>
      <x:c r="BN16" s="12" t="n">
        <x:v>0.0191780821917808219178082192</x:v>
      </x:c>
      <x:c r="BO16" s="12" t="str">
        <x:f>=BW16</x:f>
      </x:c>
      <x:c r="BP16" s="12" t="str">
        <x:f>=CF16</x:f>
      </x:c>
      <x:c r="BQ16" s="12" t="str"/>
      <x:c r="BR16" s="12" t="str">
        <x:v>AW 2018 EOS</x:v>
      </x:c>
      <x:c r="BS16" s="13" t="str"/>
      <x:c r="BT16" s="30" t="n">
        <x:v>3884.07</x:v>
      </x:c>
      <x:c r="BU16" s="30" t="n">
        <x:v>-2503.04416273528857179640</x:v>
      </x:c>
      <x:c r="BV16" s="30" t="str">
        <x:f>=BT16+BU16</x:f>
      </x:c>
      <x:c r="BW16" s="66" t="str">
        <x:f>=BV16/BT16</x:f>
      </x:c>
      <x:c r="BX16" s="66" t="n">
        <x:v>0.9808219178082191780821917808</x:v>
      </x:c>
      <x:c r="BY16" s="30" t="n">
        <x:v>2531.540373953905744120</x:v>
      </x:c>
      <x:c r="BZ16" s="41" t="n">
        <x:v>7</x:v>
      </x:c>
      <x:c r="CA16" s="30" t="n">
        <x:v>48.550089363499562216</x:v>
      </x:c>
      <x:c r="CC16" s="30" t="n">
        <x:v>3891.5480886917808219178082193</x:v>
      </x:c>
      <x:c r="CD16" s="30" t="n">
        <x:v>-2503.04416273528857179640</x:v>
      </x:c>
      <x:c r="CE16" s="30" t="str">
        <x:f>=CC16+CD16</x:f>
      </x:c>
      <x:c r="CF16" s="66" t="str">
        <x:f>=CE16/CC16</x:f>
      </x:c>
      <x:c r="CH16" s="66" t="str">
        <x:f>=CI16+CJ16</x:f>
      </x:c>
      <x:c r="CI16" s="66" t="str">
        <x:f>=BX16+(0*7)</x:f>
      </x:c>
      <x:c r="CJ16" s="66" t="str">
        <x:f>=(1-CI16)*0.5</x:f>
      </x:c>
      <x:c r="CK16" s="66" t="str">
        <x:f>=1-CH16</x:f>
      </x:c>
      <x:c r="CM16" s="66" t="str">
        <x:f>=CJ16/(1-CI16)</x:f>
      </x:c>
    </x:row>
    <x:row r="17">
      <x:c r="A17" s="31" t="s">
        <x:v>135</x:v>
      </x:c>
      <x:c r="B17" t="s"/>
      <x:c r="C17" t="s">
        <x:v>136</x:v>
      </x:c>
      <x:c r="D17" t="s">
        <x:v>130</x:v>
      </x:c>
      <x:c r="E17" s="67" t="s">
        <x:v>131</x:v>
      </x:c>
      <x:c r="F17" t="n">
        <x:v>697</x:v>
      </x:c>
      <x:c r="G17" s="32" t="n">
        <x:v>0.0028694404591104734576757532</x:v>
      </x:c>
      <x:c r="H17" s="32" t="n">
        <x:v>0.3357245337159253945480631277</x:v>
      </x:c>
      <x:c r="I17" s="32" t="n">
        <x:v>0.698708751793400286944045911</x:v>
      </x:c>
      <x:c r="J17" s="23" t="n">
        <x:v>0.7847919655667144906743185079</x:v>
      </x:c>
      <x:c r="K17" s="32" t="n">
        <x:v>0.7905308464849354375896700143</x:v>
      </x:c>
      <x:c r="L17" s="32" t="n">
        <x:v>0.8593974175035868005738880918</x:v>
      </x:c>
      <x:c r="M17" s="32" t="n">
        <x:v>0.9784791965566714490674318508</x:v>
      </x:c>
      <x:c r="N17" s="32" t="n">
        <x:v>0.9756097560975609756097560976</x:v>
      </x:c>
      <x:c r="O17" s="32" t="n">
        <x:v>0.9756097560975609756097560976</x:v>
      </x:c>
      <x:c r="P17" s="32" t="n">
        <x:v>0.9756097560975609756097560976</x:v>
      </x:c>
      <x:c r="Q17" s="32" t="n">
        <x:v>0.9756097560975609756097560976</x:v>
      </x:c>
      <x:c r="R17" s="32" t="n">
        <x:v>0.9756097560975609756097560976</x:v>
      </x:c>
      <x:c r="S17" s="32" t="n">
        <x:v>0.9827833572453371592539454806</x:v>
      </x:c>
      <x:c r="T17" s="32" t="n">
        <x:v>0.9827833572453371592539454806</x:v>
      </x:c>
      <x:c r="U17" s="32" t="n">
        <x:v>0.9827833572453371592539454806</x:v>
      </x:c>
      <x:c r="V17" s="32" t="n">
        <x:v>0.9870875179340028694404591105</x:v>
      </x:c>
      <x:c r="W17" s="32" t="n">
        <x:v>0.9928263988522238163558106169</x:v>
      </x:c>
      <x:c r="X17" s="32" t="n">
        <x:v>0.9928263988522238163558106169</x:v>
      </x:c>
      <x:c r="Y17" s="32" t="n">
        <x:v>0.9885222381635581061692969871</x:v>
      </x:c>
      <x:c r="BI17" s="33" t="s"/>
      <x:c r="BJ17" s="11" t="s">
        <x:v>137</x:v>
      </x:c>
      <x:c r="BK17" s="12" t="str">
        <x:f>=BX17</x:f>
      </x:c>
      <x:c r="BL17" s="12" t="n">
        <x:v>0.9885222381635581061692969871</x:v>
      </x:c>
      <x:c r="BM17" s="12" t="n">
        <x:v>0.0172166427546628407460545194</x:v>
      </x:c>
      <x:c r="BN17" s="12" t="n">
        <x:v>-0.0057388809182209469153515065</x:v>
      </x:c>
      <x:c r="BO17" s="12" t="str">
        <x:f>=BW17</x:f>
      </x:c>
      <x:c r="BP17" s="12" t="str">
        <x:f>=CF17</x:f>
      </x:c>
      <x:c r="BQ17" s="12" t="str"/>
      <x:c r="BR17" s="12" t="str">
        <x:v>AW 2018 EOS</x:v>
      </x:c>
      <x:c r="BS17" s="13" t="str"/>
      <x:c r="BT17" s="30" t="n">
        <x:v>5179.94</x:v>
      </x:c>
      <x:c r="BU17" s="30" t="n">
        <x:v>-2874.59347746475534000000</x:v>
      </x:c>
      <x:c r="BV17" s="30" t="str">
        <x:f>=BT17+BU17</x:f>
      </x:c>
      <x:c r="BW17" s="66" t="str">
        <x:f>=BV17/BT17</x:f>
      </x:c>
      <x:c r="BX17" s="66" t="n">
        <x:v>1.0057388809182209469153515065</x:v>
      </x:c>
      <x:c r="BY17" s="30" t="n">
        <x:v>2898.109770582222000000</x:v>
      </x:c>
      <x:c r="BZ17" s="41" t="n">
        <x:v>-4</x:v>
      </x:c>
      <x:c r="CA17" s="30" t="n">
        <x:v>-16.631906861304000000</x:v>
      </x:c>
      <x:c r="CC17" s="30" t="n">
        <x:v>5180.9285222381635581061692970</x:v>
      </x:c>
      <x:c r="CD17" s="30" t="n">
        <x:v>-2874.59347746475534000000</x:v>
      </x:c>
      <x:c r="CE17" s="30" t="str">
        <x:f>=CC17+CD17</x:f>
      </x:c>
      <x:c r="CF17" s="66" t="str">
        <x:f>=CE17/CC17</x:f>
      </x:c>
      <x:c r="CH17" s="66" t="str">
        <x:f>=CI17+CJ17</x:f>
      </x:c>
      <x:c r="CI17" s="66" t="str">
        <x:f>=BX17+(0*7)</x:f>
      </x:c>
      <x:c r="CJ17" s="66" t="str">
        <x:f>=(1-CI17)*0.5</x:f>
      </x:c>
      <x:c r="CK17" s="66" t="str">
        <x:f>=1-CH17</x:f>
      </x:c>
      <x:c r="CM17" s="66" t="str">
        <x:f>=CJ17/(1-CI17)</x:f>
      </x:c>
    </x:row>
    <x:row r="18">
      <x:c r="A18" s="31" t="s">
        <x:v>138</x:v>
      </x:c>
      <x:c r="B18" t="s"/>
      <x:c r="C18" t="s">
        <x:v>139</x:v>
      </x:c>
      <x:c r="D18" t="s">
        <x:v>130</x:v>
      </x:c>
      <x:c r="E18" s="67" t="s">
        <x:v>131</x:v>
      </x:c>
      <x:c r="F18" t="n">
        <x:v>350</x:v>
      </x:c>
      <x:c r="G18" s="23" t="n">
        <x:v>0.7171428571428571428571428571</x:v>
      </x:c>
      <x:c r="H18" s="32" t="n">
        <x:v>0.7171428571428571428571428571</x:v>
      </x:c>
      <x:c r="I18" s="32" t="n">
        <x:v>0.7171428571428571428571428571</x:v>
      </x:c>
      <x:c r="J18" s="32" t="n">
        <x:v>0.7171428571428571428571428571</x:v>
      </x:c>
      <x:c r="K18" s="32" t="n">
        <x:v>0.7171428571428571428571428571</x:v>
      </x:c>
      <x:c r="L18" s="32" t="n">
        <x:v>0.7171428571428571428571428571</x:v>
      </x:c>
      <x:c r="M18" s="32" t="n">
        <x:v>0.7828571428571428571428571429</x:v>
      </x:c>
      <x:c r="N18" s="32" t="n">
        <x:v>0.7828571428571428571428571429</x:v>
      </x:c>
      <x:c r="O18" s="32" t="n">
        <x:v>0.7828571428571428571428571429</x:v>
      </x:c>
      <x:c r="P18" s="32" t="n">
        <x:v>0.8028571428571428571428571429</x:v>
      </x:c>
      <x:c r="Q18" s="32" t="n">
        <x:v>0.8771428571428571428571428571</x:v>
      </x:c>
      <x:c r="R18" s="32" t="n">
        <x:v>0.8771428571428571428571428571</x:v>
      </x:c>
      <x:c r="S18" s="32" t="n">
        <x:v>0.8771428571428571428571428571</x:v>
      </x:c>
      <x:c r="BI18" s="33" t="s"/>
      <x:c r="BJ18" s="11" t="s">
        <x:v>140</x:v>
      </x:c>
      <x:c r="BK18" s="12" t="str">
        <x:f>=BX18</x:f>
      </x:c>
      <x:c r="BL18" s="12" t="n">
        <x:v>0.8428571428571428571428571429</x:v>
      </x:c>
      <x:c r="BM18" s="12" t="n">
        <x:v>0.1228571428571428571428571429</x:v>
      </x:c>
      <x:c r="BN18" s="12" t="n">
        <x:v>0.0342857142857142857142857143</x:v>
      </x:c>
      <x:c r="BO18" s="12" t="str">
        <x:f>=BW18</x:f>
      </x:c>
      <x:c r="BP18" s="12" t="str">
        <x:f>=CF18</x:f>
      </x:c>
      <x:c r="BQ18" s="12" t="str"/>
      <x:c r="BR18" s="12" t="str">
        <x:v>AW 2018 EOS</x:v>
      </x:c>
      <x:c r="BS18" s="13" t="str"/>
      <x:c r="BT18" s="30" t="n">
        <x:v>4900.96</x:v>
      </x:c>
      <x:c r="BU18" s="30" t="n">
        <x:v>-3375.02430370037100000000</x:v>
      </x:c>
      <x:c r="BV18" s="30" t="str">
        <x:f>=BT18+BU18</x:f>
      </x:c>
      <x:c r="BW18" s="66" t="str">
        <x:f>=BV18/BT18</x:f>
      </x:c>
      <x:c r="BX18" s="66" t="n">
        <x:v>0.9657142857142857142857142857</x:v>
      </x:c>
      <x:c r="BY18" s="30" t="n">
        <x:v>3441.880725464300000000</x:v>
      </x:c>
      <x:c r="BZ18" s="41" t="n">
        <x:v>12</x:v>
      </x:c>
      <x:c r="CA18" s="30" t="n">
        <x:v>118.007339158776000000</x:v>
      </x:c>
      <x:c r="CC18" s="30" t="n">
        <x:v>4901.8371428571428571428571429</x:v>
      </x:c>
      <x:c r="CD18" s="30" t="n">
        <x:v>-3375.02430370037100000000</x:v>
      </x:c>
      <x:c r="CE18" s="30" t="str">
        <x:f>=CC18+CD18</x:f>
      </x:c>
      <x:c r="CF18" s="66" t="str">
        <x:f>=CE18/CC18</x:f>
      </x:c>
      <x:c r="CH18" s="66" t="str">
        <x:f>=CI18+CJ18</x:f>
      </x:c>
      <x:c r="CI18" s="66" t="str">
        <x:f>=BX18+(0*7)</x:f>
      </x:c>
      <x:c r="CJ18" s="66" t="str">
        <x:f>=(1-CI18)*0.5</x:f>
      </x:c>
      <x:c r="CK18" s="66" t="str">
        <x:f>=1-CH18</x:f>
      </x:c>
      <x:c r="CM18" s="66" t="str">
        <x:f>=CJ18/(1-CI18)</x:f>
      </x:c>
    </x:row>
    <x:row r="19">
      <x:c r="A19" s="31" t="s"/>
      <x:c r="BI19" s="33" t="s"/>
      <x:c r="BJ19" s="11" t="s"/>
      <x:c r="BS19" s="13" t="s"/>
    </x:row>
    <x:row r="20">
      <x:c r="A20" s="17" t="s">
        <x:v>114</x:v>
      </x:c>
      <x:c r="BI20" s="33" t="s"/>
      <x:c r="BJ20" s="11" t="s"/>
      <x:c r="BS20" s="13" t="s"/>
    </x:row>
    <x:row r="21">
      <x:c r="A21" s="31" t="s">
        <x:v>141</x:v>
      </x:c>
      <x:c r="B21" t="s"/>
      <x:c r="C21" t="s">
        <x:v>142</x:v>
      </x:c>
      <x:c r="D21" t="s">
        <x:v>130</x:v>
      </x:c>
      <x:c r="E21" s="67" t="s">
        <x:v>131</x:v>
      </x:c>
      <x:c r="F21" t="n">
        <x:v>829</x:v>
      </x:c>
      <x:c r="G21" s="32" t="n">
        <x:v>0.11338962605548854041013269</x:v>
      </x:c>
      <x:c r="H21" s="32" t="n">
        <x:v>0.11338962605548854041013269</x:v>
      </x:c>
      <x:c r="I21" s="32" t="n">
        <x:v>0.11338962605548854041013269</x:v>
      </x:c>
      <x:c r="J21" s="32" t="n">
        <x:v>0.11338962605548854041013269</x:v>
      </x:c>
      <x:c r="K21" s="32" t="n">
        <x:v>0.11338962605548854041013269</x:v>
      </x:c>
      <x:c r="L21" s="32" t="n">
        <x:v>0.11338962605548854041013269</x:v>
      </x:c>
      <x:c r="M21" s="32" t="n">
        <x:v>0.1712907117008443908323281062</x:v>
      </x:c>
      <x:c r="N21" s="32" t="n">
        <x:v>0.1712907117008443908323281062</x:v>
      </x:c>
      <x:c r="O21" s="32" t="n">
        <x:v>0.1712907117008443908323281062</x:v>
      </x:c>
      <x:c r="P21" s="32" t="n">
        <x:v>0.1966224366706875753920386007</x:v>
      </x:c>
      <x:c r="Q21" s="32" t="n">
        <x:v>0.2207478890229191797346200241</x:v>
      </x:c>
      <x:c r="R21" s="32" t="n">
        <x:v>0.2207478890229191797346200241</x:v>
      </x:c>
      <x:c r="S21" s="32" t="n">
        <x:v>0.2364294330518697225572979493</x:v>
      </x:c>
      <x:c r="BI21" s="33" t="s"/>
      <x:c r="BJ21" s="11" t="s">
        <x:v>140</x:v>
      </x:c>
      <x:c r="BK21" s="12" t="str">
        <x:f>=BX21</x:f>
      </x:c>
      <x:c r="BL21" s="12" t="n">
        <x:v>0.22677925211097708082026538</x:v>
      </x:c>
      <x:c r="BM21" s="12" t="n">
        <x:v>0.7551266586248492159227985525</x:v>
      </x:c>
      <x:c r="BN21" s="12" t="n">
        <x:v>0.0180940892641737032569360676</x:v>
      </x:c>
      <x:c r="BO21" s="12" t="str">
        <x:f>=BW21</x:f>
      </x:c>
      <x:c r="BP21" s="12" t="str">
        <x:f>=CF21</x:f>
      </x:c>
      <x:c r="BQ21" s="12" t="str"/>
      <x:c r="BR21" s="12" t="str">
        <x:v>AW 2018 EOS</x:v>
      </x:c>
      <x:c r="BS21" s="13" t="str"/>
      <x:c r="BT21" s="30" t="n">
        <x:v>8139.53</x:v>
      </x:c>
      <x:c r="BU21" s="30" t="n">
        <x:v>-10275.69756549012888000000</x:v>
      </x:c>
      <x:c r="BV21" s="30" t="str">
        <x:f>=BT21+BU21</x:f>
      </x:c>
      <x:c r="BW21" s="66" t="str">
        <x:f>=BV21/BT21</x:f>
      </x:c>
      <x:c r="BX21" s="66" t="n">
        <x:v>0.9819059107358262967430639324</x:v>
      </x:c>
      <x:c r="BY21" s="30" t="n">
        <x:v>10286.174397412504000000</x:v>
      </x:c>
      <x:c r="BZ21" s="41" t="n">
        <x:v>15</x:v>
      </x:c>
      <x:c r="CA21" s="30" t="n">
        <x:v>186.118957733640000000</x:v>
      </x:c>
      <x:c r="CC21" s="30" t="n">
        <x:v>8139.766429433051869722557298</x:v>
      </x:c>
      <x:c r="CD21" s="30" t="n">
        <x:v>-10275.69756549012888000000</x:v>
      </x:c>
      <x:c r="CE21" s="30" t="str">
        <x:f>=CC21+CD21</x:f>
      </x:c>
      <x:c r="CF21" s="66" t="str">
        <x:f>=CE21/CC21</x:f>
      </x:c>
      <x:c r="CH21" s="66" t="str">
        <x:f>=CI21+CJ21</x:f>
      </x:c>
      <x:c r="CI21" s="66" t="str">
        <x:f>=BX21+(0*7)</x:f>
      </x:c>
      <x:c r="CJ21" s="66" t="str">
        <x:f>=(1-CI21)*0.5</x:f>
      </x:c>
      <x:c r="CK21" s="66" t="str">
        <x:f>=1-CH21</x:f>
      </x:c>
      <x:c r="CM21" s="66" t="str">
        <x:f>=CJ21/(1-CI21)</x:f>
      </x:c>
    </x:row>
    <x:row r="22">
      <x:c r="A22" s="31" t="s">
        <x:v>143</x:v>
      </x:c>
      <x:c r="B22" t="s"/>
      <x:c r="C22" t="s">
        <x:v>144</x:v>
      </x:c>
      <x:c r="D22" t="s">
        <x:v>130</x:v>
      </x:c>
      <x:c r="E22" s="67" t="s">
        <x:v>131</x:v>
      </x:c>
      <x:c r="F22" t="n">
        <x:v>574</x:v>
      </x:c>
      <x:c r="G22" s="32" t="n">
        <x:v>0.1533101045296167247386759582</x:v>
      </x:c>
      <x:c r="H22" s="32" t="n">
        <x:v>0.1533101045296167247386759582</x:v>
      </x:c>
      <x:c r="I22" s="32" t="n">
        <x:v>0.1533101045296167247386759582</x:v>
      </x:c>
      <x:c r="J22" s="32" t="n">
        <x:v>0.1533101045296167247386759582</x:v>
      </x:c>
      <x:c r="K22" s="32" t="n">
        <x:v>0.1533101045296167247386759582</x:v>
      </x:c>
      <x:c r="L22" s="32" t="n">
        <x:v>0.1533101045296167247386759582</x:v>
      </x:c>
      <x:c r="M22" s="32" t="n">
        <x:v>0.1515679442508710801393728223</x:v>
      </x:c>
      <x:c r="N22" s="32" t="n">
        <x:v>0.1515679442508710801393728223</x:v>
      </x:c>
      <x:c r="O22" s="32" t="n">
        <x:v>0.1515679442508710801393728223</x:v>
      </x:c>
      <x:c r="P22" s="32" t="n">
        <x:v>0.2020905923344947735191637631</x:v>
      </x:c>
      <x:c r="Q22" s="32" t="n">
        <x:v>0.2735191637630662020905923345</x:v>
      </x:c>
      <x:c r="R22" s="32" t="n">
        <x:v>0.2735191637630662020905923345</x:v>
      </x:c>
      <x:c r="S22" s="32" t="n">
        <x:v>0.3310104529616724738675958188</x:v>
      </x:c>
      <x:c r="BI22" s="33" t="s"/>
      <x:c r="BJ22" s="11" t="s">
        <x:v>140</x:v>
      </x:c>
      <x:c r="BK22" s="12" t="str">
        <x:f>=BX22</x:f>
      </x:c>
      <x:c r="BL22" s="12" t="n">
        <x:v>0.2770034843205574912891986063</x:v>
      </x:c>
      <x:c r="BM22" s="12" t="n">
        <x:v>0.6585365853658536585365853659</x:v>
      </x:c>
      <x:c r="BN22" s="12" t="n">
        <x:v>0.0644599303135888501742160279</x:v>
      </x:c>
      <x:c r="BO22" s="12" t="str">
        <x:f>=BW22</x:f>
      </x:c>
      <x:c r="BP22" s="12" t="str">
        <x:f>=CF22</x:f>
      </x:c>
      <x:c r="BQ22" s="12" t="str"/>
      <x:c r="BR22" s="12" t="str">
        <x:v>AW 2018 EOS</x:v>
      </x:c>
      <x:c r="BS22" s="13" t="str"/>
      <x:c r="BT22" s="30" t="n">
        <x:v>4167.49</x:v>
      </x:c>
      <x:c r="BU22" s="30" t="n">
        <x:v>-5535.03985806860844000000</x:v>
      </x:c>
      <x:c r="BV22" s="30" t="str">
        <x:f>=BT22+BU22</x:f>
      </x:c>
      <x:c r="BW22" s="66" t="str">
        <x:f>=BV22/BT22</x:f>
      </x:c>
      <x:c r="BX22" s="66" t="n">
        <x:v>0.9355400696864111498257839721</x:v>
      </x:c>
      <x:c r="BY22" s="30" t="n">
        <x:v>5644.684389761452000000</x:v>
      </x:c>
      <x:c r="BZ22" s="41" t="n">
        <x:v>37</x:v>
      </x:c>
      <x:c r="CA22" s="30" t="n">
        <x:v>363.855962406226000000</x:v>
      </x:c>
      <x:c r="CC22" s="30" t="n">
        <x:v>4167.8210104529616724738675958</x:v>
      </x:c>
      <x:c r="CD22" s="30" t="n">
        <x:v>-5535.03985806860844000000</x:v>
      </x:c>
      <x:c r="CE22" s="30" t="str">
        <x:f>=CC22+CD22</x:f>
      </x:c>
      <x:c r="CF22" s="66" t="str">
        <x:f>=CE22/CC22</x:f>
      </x:c>
      <x:c r="CH22" s="66" t="str">
        <x:f>=CI22+CJ22</x:f>
      </x:c>
      <x:c r="CI22" s="66" t="str">
        <x:f>=BX22+(0*7)</x:f>
      </x:c>
      <x:c r="CJ22" s="66" t="str">
        <x:f>=(1-CI22)*0.5</x:f>
      </x:c>
      <x:c r="CK22" s="66" t="str">
        <x:f>=1-CH22</x:f>
      </x:c>
      <x:c r="CM22" s="66" t="str">
        <x:f>=CJ22/(1-CI22)</x:f>
      </x:c>
    </x:row>
    <x:row r="23">
      <x:c r="A23" s="31" t="s">
        <x:v>145</x:v>
      </x:c>
      <x:c r="B23" t="s"/>
      <x:c r="C23" t="s">
        <x:v>146</x:v>
      </x:c>
      <x:c r="D23" t="s">
        <x:v>147</x:v>
      </x:c>
      <x:c r="E23" s="67" t="s">
        <x:v>131</x:v>
      </x:c>
      <x:c r="F23" t="n">
        <x:v>502</x:v>
      </x:c>
      <x:c r="G23" s="32" t="n">
        <x:v>0.1414342629482071713147410359</x:v>
      </x:c>
      <x:c r="H23" s="32" t="n">
        <x:v>0.1414342629482071713147410359</x:v>
      </x:c>
      <x:c r="I23" s="32" t="n">
        <x:v>0.1952191235059760956175298805</x:v>
      </x:c>
      <x:c r="J23" s="32" t="n">
        <x:v>0.1792828685258964143426294821</x:v>
      </x:c>
      <x:c r="K23" s="32" t="n">
        <x:v>0.1772908366533864541832669323</x:v>
      </x:c>
      <x:c r="L23" s="32" t="n">
        <x:v>0.1792828685258964143426294821</x:v>
      </x:c>
      <x:c r="M23" s="32" t="n">
        <x:v>0.1932270916334661354581673307</x:v>
      </x:c>
      <x:c r="N23" s="32" t="n">
        <x:v>0.1932270916334661354581673307</x:v>
      </x:c>
      <x:c r="O23" s="32" t="n">
        <x:v>0.2051792828685258964143426295</x:v>
      </x:c>
      <x:c r="P23" s="32" t="n">
        <x:v>0.2071713147410358565737051793</x:v>
      </x:c>
      <x:c r="BI23" s="33" t="s"/>
      <x:c r="BJ23" s="11" t="s">
        <x:v>148</x:v>
      </x:c>
      <x:c r="BK23" s="12" t="str">
        <x:f>=BX23</x:f>
      </x:c>
      <x:c r="BL23" s="12" t="n">
        <x:v>0.1972111553784860557768924303</x:v>
      </x:c>
      <x:c r="BM23" s="12" t="n">
        <x:v>0.7768924302788844621513944223</x:v>
      </x:c>
      <x:c r="BN23" s="12" t="n">
        <x:v>0.0258964143426294820717131474</x:v>
      </x:c>
      <x:c r="BO23" s="12" t="str">
        <x:f>=BW23</x:f>
      </x:c>
      <x:c r="BP23" s="12" t="str">
        <x:f>=CF23</x:f>
      </x:c>
      <x:c r="BQ23" s="12" t="str"/>
      <x:c r="BR23" s="12" t="str">
        <x:v>AW 2018 EOS</x:v>
      </x:c>
      <x:c r="BS23" s="13" t="str"/>
      <x:c r="BT23" s="30" t="n">
        <x:v>2361.41</x:v>
      </x:c>
      <x:c r="BU23" s="30" t="n">
        <x:v>-3052.2604</x:v>
      </x:c>
      <x:c r="BV23" s="30" t="str">
        <x:f>=BT23+BU23</x:f>
      </x:c>
      <x:c r="BW23" s="66" t="str">
        <x:f>=BV23/BT23</x:f>
      </x:c>
      <x:c r="BX23" s="66" t="n">
        <x:v>0.9741035856573705179282868526</x:v>
      </x:c>
      <x:c r="BY23" s="30" t="n">
        <x:v>2841.32</x:v>
      </x:c>
      <x:c r="BZ23" s="41" t="n">
        <x:v>13</x:v>
      </x:c>
      <x:c r="CA23" s="30" t="n">
        <x:v>73.58</x:v>
      </x:c>
      <x:c r="CC23" s="30" t="n">
        <x:v>2361.6171713147410358565737052</x:v>
      </x:c>
      <x:c r="CD23" s="30" t="n">
        <x:v>-3052.2604</x:v>
      </x:c>
      <x:c r="CE23" s="30" t="str">
        <x:f>=CC23+CD23</x:f>
      </x:c>
      <x:c r="CF23" s="66" t="str">
        <x:f>=CE23/CC23</x:f>
      </x:c>
      <x:c r="CH23" s="66" t="str">
        <x:f>=CI23+CJ23</x:f>
      </x:c>
      <x:c r="CI23" s="66" t="str">
        <x:f>=BX23+(0*7)</x:f>
      </x:c>
      <x:c r="CJ23" s="66" t="str">
        <x:f>=(1-CI23)*0.5</x:f>
      </x:c>
      <x:c r="CK23" s="66" t="str">
        <x:f>=1-CH23</x:f>
      </x:c>
      <x:c r="CM23" s="66" t="str">
        <x:f>=CJ23/(1-CI23)</x:f>
      </x:c>
    </x:row>
    <x:row r="24">
      <x:c r="A24" s="34" t="s"/>
      <x:c r="B24" s="6" t="s"/>
      <x:c r="C24" s="6" t="s"/>
      <x:c r="D24" s="6" t="s"/>
      <x:c r="E24" s="6" t="s"/>
      <x:c r="F24" s="6" t="s"/>
      <x:c r="G24" s="6" t="s"/>
      <x:c r="H24" s="6" t="s"/>
      <x:c r="I24" s="6" t="s"/>
      <x:c r="J24" s="6" t="s"/>
      <x:c r="K24" s="6" t="s"/>
      <x:c r="L24" s="6" t="s"/>
      <x:c r="M24" s="6" t="s"/>
      <x:c r="N24" s="6" t="s"/>
      <x:c r="O24" s="6" t="s"/>
      <x:c r="P24" s="6" t="s"/>
      <x:c r="Q24" s="6" t="s"/>
      <x:c r="R24" s="6" t="s"/>
      <x:c r="S24" s="6" t="s"/>
      <x:c r="T24" s="6" t="s"/>
      <x:c r="U24" s="6" t="s"/>
      <x:c r="V24" s="6" t="s"/>
      <x:c r="W24" s="6" t="s"/>
      <x:c r="X24" s="6" t="s"/>
      <x:c r="Y24" s="6" t="s"/>
      <x:c r="Z24" s="6" t="s"/>
      <x:c r="AA24" s="6" t="s"/>
      <x:c r="AB24" s="6" t="s"/>
      <x:c r="AC24" s="6" t="s"/>
      <x:c r="AD24" s="6" t="s"/>
      <x:c r="AE24" s="6" t="s"/>
      <x:c r="AF24" s="6" t="s"/>
      <x:c r="AG24" s="6" t="s"/>
      <x:c r="AH24" s="6" t="s"/>
      <x:c r="AI24" s="6" t="s"/>
      <x:c r="AJ24" s="6" t="s"/>
      <x:c r="AK24" s="6" t="s"/>
      <x:c r="AL24" s="6" t="s"/>
      <x:c r="AM24" s="6" t="s"/>
      <x:c r="AN24" s="6" t="s"/>
      <x:c r="AO24" s="6" t="s"/>
      <x:c r="AP24" s="6" t="s"/>
      <x:c r="AQ24" s="6" t="s"/>
      <x:c r="AR24" s="6" t="s"/>
      <x:c r="AS24" s="6" t="s"/>
      <x:c r="AT24" s="6" t="s"/>
      <x:c r="AU24" s="6" t="s"/>
      <x:c r="AV24" s="6" t="s"/>
      <x:c r="AW24" s="6" t="s"/>
      <x:c r="AX24" s="6" t="s"/>
      <x:c r="AY24" s="6" t="s"/>
      <x:c r="AZ24" s="6" t="s"/>
      <x:c r="BA24" s="6" t="s"/>
      <x:c r="BB24" s="6" t="s"/>
      <x:c r="BC24" s="6" t="s"/>
      <x:c r="BD24" s="6" t="s"/>
      <x:c r="BE24" s="6" t="s"/>
      <x:c r="BF24" s="6" t="s"/>
      <x:c r="BG24" s="6" t="s"/>
      <x:c r="BH24" s="6" t="s"/>
      <x:c r="BI24" s="8" t="s"/>
      <x:c r="BJ24" s="14" t="s">
        <x:v>36</x:v>
      </x:c>
      <x:c r="BK24" s="15" t="s"/>
      <x:c r="BL24" s="15" t="s"/>
      <x:c r="BM24" s="15" t="s"/>
      <x:c r="BN24" s="15" t="s"/>
      <x:c r="BO24" s="37">
        <x:f>=BV25/BT25</x:f>
      </x:c>
      <x:c r="BP24" s="37">
        <x:f>=CF25</x:f>
      </x:c>
      <x:c r="BQ24" s="6" t="s"/>
      <x:c r="BR24" s="6" t="s"/>
      <x:c r="BS24" s="8" t="s"/>
      <x:c r="BT24" s="20" t="n">
        <x:v>34098.10</x:v>
      </x:c>
      <x:c r="BU24" s="20" t="n">
        <x:v>-31366.79718394189976268032</x:v>
      </x:c>
      <x:c r="BV24" s="20" t="str">
        <x:f>=BT24+BU24</x:f>
      </x:c>
      <x:c r="BW24" s="21" t="n">
        <x:v>0.0801013198992935159824060578</x:v>
      </x:c>
      <x:c r="BY24" s="20" t="n">
        <x:v>-31437.552354579278105856</x:v>
      </x:c>
      <x:c r="BZ24" s="20" t="n">
        <x:v>86</x:v>
      </x:c>
      <x:c r="CA24" s="20" t="n">
        <x:v>699.69707621475618972660869563</x:v>
      </x:c>
      <x:c r="CC24" s="20" t="n">
        <x:v>34109.046518552741266773763789</x:v>
      </x:c>
      <x:c r="CD24" s="20" t="n">
        <x:v>-31366.79718394189976268032</x:v>
      </x:c>
      <x:c r="CE24" s="20" t="str">
        <x:f>=CC24+CD24</x:f>
      </x:c>
      <x:c r="CF24" s="21" t="n">
        <x:v>0.0803965403465401852350327595</x:v>
      </x:c>
    </x:row>
    <x:row r="25">
      <x:c r="BT25" s="18" t="n">
        <x:v>45868.73</x:v>
      </x:c>
      <x:c r="BU25" s="18" t="n">
        <x:v>-44512.28058394189976268032</x:v>
      </x:c>
      <x:c r="BV25" s="18" t="str">
        <x:f>=BT25+BU25</x:f>
      </x:c>
      <x:c r="BW25" s="19" t="n">
        <x:v>0.0295724214744576585686954926</x:v>
      </x:c>
      <x:c r="BY25" s="18" t="n">
        <x:v>-43298.112354579278105856</x:v>
      </x:c>
      <x:c r="BZ25" s="18" t="n">
        <x:v>136</x:v>
      </x:c>
      <x:c r="CA25" s="18" t="n">
        <x:v>1523.9501242812582356098385093</x:v>
      </x:c>
      <x:c r="CC25" s="18" t="n">
        <x:v>45880.255845068288444552021138</x:v>
      </x:c>
      <x:c r="CD25" s="18" t="n">
        <x:v>-44512.28058394189976268032</x:v>
      </x:c>
      <x:c r="CE25" s="18" t="str">
        <x:f>=CC25+CD25</x:f>
      </x:c>
      <x:c r="CF25" s="19" t="n">
        <x:v>0.0298162082126539322786642539</x:v>
      </x:c>
    </x:row>
    <x:row r="26">
      <x:c r="A26" s="10" t="s">
        <x:v>149</x:v>
      </x:c>
      <x:c r="B26" s="5" t="s"/>
      <x:c r="C26" s="5" t="s"/>
      <x:c r="D26" s="5" t="s"/>
      <x:c r="E26" s="5" t="s"/>
      <x:c r="F26" s="5" t="s"/>
      <x:c r="G26" s="5" t="s"/>
      <x:c r="H26" s="5" t="s"/>
      <x:c r="I26" s="5" t="s"/>
      <x:c r="J26" s="5" t="s"/>
      <x:c r="K26" s="5" t="s"/>
      <x:c r="L26" s="5" t="s"/>
      <x:c r="M26" s="5" t="s"/>
      <x:c r="N26" s="5" t="s"/>
      <x:c r="O26" s="5" t="s"/>
      <x:c r="P26" s="5" t="s"/>
      <x:c r="Q26" s="5" t="s"/>
      <x:c r="R26" s="5" t="s"/>
      <x:c r="S26" s="5" t="s"/>
      <x:c r="T26" s="5" t="s"/>
      <x:c r="U26" s="5" t="s"/>
      <x:c r="V26" s="5" t="s"/>
      <x:c r="W26" s="5" t="s"/>
      <x:c r="X26" s="5" t="s"/>
      <x:c r="Y26" s="5" t="s"/>
      <x:c r="Z26" s="5" t="s"/>
      <x:c r="AA26" s="5" t="s"/>
      <x:c r="AB26" s="5" t="s"/>
      <x:c r="AC26" s="5" t="s"/>
      <x:c r="AD26" s="5" t="s"/>
      <x:c r="AE26" s="5" t="s"/>
      <x:c r="AF26" s="5" t="s"/>
      <x:c r="AG26" s="5" t="s"/>
      <x:c r="AH26" s="5" t="s"/>
      <x:c r="AI26" s="5" t="s"/>
      <x:c r="AJ26" s="5" t="s"/>
      <x:c r="AK26" s="5" t="s"/>
      <x:c r="AL26" s="5" t="s"/>
      <x:c r="AM26" s="5" t="s"/>
      <x:c r="AN26" s="5" t="s"/>
      <x:c r="AO26" s="5" t="s"/>
      <x:c r="AP26" s="5" t="s"/>
      <x:c r="AQ26" s="5" t="s"/>
      <x:c r="AR26" s="5" t="s"/>
      <x:c r="AS26" s="5" t="s"/>
      <x:c r="AT26" s="5" t="s"/>
      <x:c r="AU26" s="5" t="s"/>
      <x:c r="AV26" s="5" t="s"/>
      <x:c r="AW26" s="5" t="s"/>
      <x:c r="AX26" s="5" t="s"/>
      <x:c r="AY26" s="5" t="s"/>
      <x:c r="AZ26" s="5" t="s"/>
      <x:c r="BA26" s="5" t="s"/>
      <x:c r="BB26" s="5" t="s"/>
      <x:c r="BC26" s="5" t="s"/>
      <x:c r="BD26" s="5" t="s"/>
      <x:c r="BE26" s="5" t="s"/>
      <x:c r="BF26" s="5" t="s"/>
      <x:c r="BG26" s="5" t="s"/>
      <x:c r="BH26" s="5" t="s"/>
      <x:c r="BI26" s="7" t="s"/>
      <x:c r="BJ26" s="10" t="s"/>
      <x:c r="BK26" s="5" t="s"/>
      <x:c r="BL26" s="5" t="s"/>
      <x:c r="BM26" s="5" t="s"/>
      <x:c r="BN26" s="5" t="s"/>
      <x:c r="BO26" s="5" t="s"/>
      <x:c r="BP26" s="5" t="s"/>
      <x:c r="BQ26" s="5" t="s"/>
      <x:c r="BR26" s="5" t="s"/>
      <x:c r="BS26" s="7" t="s"/>
      <x:c r="BT26" s="47" t="s">
        <x:v>11</x:v>
      </x:c>
      <x:c r="BU26" s="48"/>
      <x:c r="BV26" s="49"/>
      <x:c r="BW26" s="50"/>
      <x:c r="BX26" s="50"/>
      <x:c r="BY26" s="51"/>
      <x:c r="BZ26" s="52"/>
      <x:c r="CA26" s="51"/>
      <x:c r="CC26" s="57" t="s">
        <x:v>26</x:v>
      </x:c>
      <x:c r="CD26" s="58"/>
      <x:c r="CE26" s="58"/>
      <x:c r="CF26" s="58"/>
      <x:c r="CG26" s="58"/>
      <x:c r="CH26" s="59"/>
      <x:c r="CI26" s="59"/>
      <x:c r="CJ26" s="59"/>
      <x:c r="CK26" s="59"/>
      <x:c r="CL26" s="58"/>
      <x:c r="CM26" s="60"/>
    </x:row>
    <x:row r="27" ht="45.75" customHeight="1">
      <x:c r="A27" s="40" t="s">
        <x:v>43</x:v>
      </x:c>
      <x:c r="B27" s="40" t="s">
        <x:v>44</x:v>
      </x:c>
      <x:c r="C27" s="40" t="s">
        <x:v>45</x:v>
      </x:c>
      <x:c r="D27" s="40" t="s">
        <x:v>46</x:v>
      </x:c>
      <x:c r="E27" s="40" t="s">
        <x:v>47</x:v>
      </x:c>
      <x:c r="F27" s="40" t="s">
        <x:v>102</x:v>
      </x:c>
      <x:c r="G27" s="40" t="s">
        <x:v>48</x:v>
      </x:c>
      <x:c r="H27" s="40" t="s">
        <x:v>49</x:v>
      </x:c>
      <x:c r="I27" s="40" t="s">
        <x:v>50</x:v>
      </x:c>
      <x:c r="J27" s="40" t="s">
        <x:v>51</x:v>
      </x:c>
      <x:c r="K27" s="40" t="s">
        <x:v>52</x:v>
      </x:c>
      <x:c r="L27" s="40" t="s">
        <x:v>53</x:v>
      </x:c>
      <x:c r="M27" s="40" t="s">
        <x:v>54</x:v>
      </x:c>
      <x:c r="N27" s="40" t="s">
        <x:v>55</x:v>
      </x:c>
      <x:c r="O27" s="40" t="s">
        <x:v>56</x:v>
      </x:c>
      <x:c r="P27" s="40" t="s">
        <x:v>57</x:v>
      </x:c>
      <x:c r="Q27" s="40" t="s">
        <x:v>58</x:v>
      </x:c>
      <x:c r="R27" s="40" t="s">
        <x:v>59</x:v>
      </x:c>
      <x:c r="S27" s="40" t="s">
        <x:v>60</x:v>
      </x:c>
      <x:c r="T27" s="40" t="s">
        <x:v>61</x:v>
      </x:c>
      <x:c r="U27" s="40" t="s">
        <x:v>62</x:v>
      </x:c>
      <x:c r="V27" s="40" t="s">
        <x:v>63</x:v>
      </x:c>
      <x:c r="W27" s="40" t="s">
        <x:v>64</x:v>
      </x:c>
      <x:c r="X27" s="40" t="s">
        <x:v>65</x:v>
      </x:c>
      <x:c r="Y27" s="40" t="s">
        <x:v>66</x:v>
      </x:c>
      <x:c r="Z27" s="40" t="s">
        <x:v>67</x:v>
      </x:c>
      <x:c r="AA27" s="40" t="s">
        <x:v>68</x:v>
      </x:c>
      <x:c r="AB27" s="40" t="s">
        <x:v>69</x:v>
      </x:c>
      <x:c r="AC27" s="40" t="s">
        <x:v>70</x:v>
      </x:c>
      <x:c r="AD27" s="40" t="s">
        <x:v>71</x:v>
      </x:c>
      <x:c r="AE27" s="40" t="s">
        <x:v>72</x:v>
      </x:c>
      <x:c r="AF27" s="40" t="s">
        <x:v>73</x:v>
      </x:c>
      <x:c r="AG27" s="40" t="s">
        <x:v>74</x:v>
      </x:c>
      <x:c r="AH27" s="40" t="s">
        <x:v>75</x:v>
      </x:c>
      <x:c r="AI27" s="40" t="s">
        <x:v>76</x:v>
      </x:c>
      <x:c r="AJ27" s="40" t="s">
        <x:v>77</x:v>
      </x:c>
      <x:c r="AK27" s="40" t="s">
        <x:v>78</x:v>
      </x:c>
      <x:c r="AL27" s="40" t="s">
        <x:v>79</x:v>
      </x:c>
      <x:c r="AM27" s="40" t="s">
        <x:v>80</x:v>
      </x:c>
      <x:c r="AN27" s="40" t="s">
        <x:v>81</x:v>
      </x:c>
      <x:c r="AO27" s="40" t="s">
        <x:v>82</x:v>
      </x:c>
      <x:c r="AP27" s="40" t="s">
        <x:v>83</x:v>
      </x:c>
      <x:c r="AQ27" s="40" t="s">
        <x:v>84</x:v>
      </x:c>
      <x:c r="AR27" s="40" t="s">
        <x:v>85</x:v>
      </x:c>
      <x:c r="AS27" s="40" t="s">
        <x:v>86</x:v>
      </x:c>
      <x:c r="AT27" s="40" t="s">
        <x:v>87</x:v>
      </x:c>
      <x:c r="AU27" s="40" t="s">
        <x:v>88</x:v>
      </x:c>
      <x:c r="AV27" s="40" t="s">
        <x:v>89</x:v>
      </x:c>
      <x:c r="AW27" s="40" t="s">
        <x:v>90</x:v>
      </x:c>
      <x:c r="AX27" s="40" t="s">
        <x:v>91</x:v>
      </x:c>
      <x:c r="AY27" s="40" t="s">
        <x:v>92</x:v>
      </x:c>
      <x:c r="AZ27" s="40" t="s">
        <x:v>93</x:v>
      </x:c>
      <x:c r="BA27" s="40" t="s">
        <x:v>94</x:v>
      </x:c>
      <x:c r="BB27" s="40" t="s">
        <x:v>95</x:v>
      </x:c>
      <x:c r="BC27" s="40" t="s">
        <x:v>96</x:v>
      </x:c>
      <x:c r="BD27" s="40" t="s">
        <x:v>97</x:v>
      </x:c>
      <x:c r="BE27" s="40" t="s">
        <x:v>98</x:v>
      </x:c>
      <x:c r="BF27" s="40" t="s">
        <x:v>99</x:v>
      </x:c>
      <x:c r="BG27" s="40" t="s">
        <x:v>100</x:v>
      </x:c>
      <x:c r="BH27" s="40" t="s">
        <x:v>101</x:v>
      </x:c>
      <x:c r="BJ27" s="31" t="s">
        <x:v>103</x:v>
      </x:c>
      <x:c r="BK27" s="32" t="s">
        <x:v>104</x:v>
      </x:c>
      <x:c r="BL27" s="32" t="s">
        <x:v>105</x:v>
      </x:c>
      <x:c r="BM27" s="32" t="s">
        <x:v>106</x:v>
      </x:c>
      <x:c r="BN27" s="32" t="s">
        <x:v>107</x:v>
      </x:c>
      <x:c r="BO27" s="32" t="s">
        <x:v>108</x:v>
      </x:c>
      <x:c r="BP27" s="32" t="s">
        <x:v>109</x:v>
      </x:c>
      <x:c r="BQ27" s="32" t="s">
        <x:v>110</x:v>
      </x:c>
      <x:c r="BR27" s="32" t="s">
        <x:v>111</x:v>
      </x:c>
      <x:c r="BS27" s="33" t="s">
        <x:v>112</x:v>
      </x:c>
      <x:c r="BT27" s="53" t="s">
        <x:v>12</x:v>
      </x:c>
      <x:c r="BU27" s="54" t="s">
        <x:v>13</x:v>
      </x:c>
      <x:c r="BV27" s="54" t="s">
        <x:v>14</x:v>
      </x:c>
      <x:c r="BW27" s="55" t="s">
        <x:v>15</x:v>
      </x:c>
      <x:c r="BX27" s="55" t="s">
        <x:v>27</x:v>
      </x:c>
      <x:c r="BY27" s="56" t="s">
        <x:v>16</x:v>
      </x:c>
      <x:c r="BZ27" s="53" t="s">
        <x:v>17</x:v>
      </x:c>
      <x:c r="CA27" s="56" t="s">
        <x:v>18</x:v>
      </x:c>
      <x:c r="CC27" s="61" t="s">
        <x:v>19</x:v>
      </x:c>
      <x:c r="CD27" s="62" t="s">
        <x:v>20</x:v>
      </x:c>
      <x:c r="CE27" s="62" t="s">
        <x:v>21</x:v>
      </x:c>
      <x:c r="CF27" s="62" t="s">
        <x:v>15</x:v>
      </x:c>
      <x:c r="CG27" s="62"/>
      <x:c r="CH27" s="63" t="s">
        <x:v>22</x:v>
      </x:c>
      <x:c r="CI27" s="63" t="s">
        <x:v>23</x:v>
      </x:c>
      <x:c r="CJ27" s="63" t="s">
        <x:v>25</x:v>
      </x:c>
      <x:c r="CK27" s="63" t="s">
        <x:v>24</x:v>
      </x:c>
      <x:c r="CL27" s="62"/>
      <x:c r="CM27" s="64" t="s">
        <x:v>28</x:v>
      </x:c>
    </x:row>
    <x:row r="28">
      <x:c r="BJ28" s="31" t="s"/>
      <x:c r="BS28" s="33" t="s"/>
    </x:row>
    <x:row r="29">
      <x:c r="A29" s="35" t="s">
        <x:v>150</x:v>
      </x:c>
      <x:c r="BI29" s="33" t="s"/>
      <x:c r="BJ29" s="11" t="s"/>
      <x:c r="BS29" s="13" t="s"/>
    </x:row>
    <x:row r="30">
      <x:c r="A30" s="17" t="s">
        <x:v>127</x:v>
      </x:c>
      <x:c r="BI30" s="33" t="s"/>
      <x:c r="BJ30" s="11" t="s"/>
      <x:c r="BS30" s="13" t="s"/>
    </x:row>
    <x:row r="31">
      <x:c r="A31" s="31" t="s">
        <x:v>151</x:v>
      </x:c>
      <x:c r="B31" t="s"/>
      <x:c r="C31" t="s">
        <x:v>152</x:v>
      </x:c>
      <x:c r="D31" t="s">
        <x:v>118</x:v>
      </x:c>
      <x:c r="E31" s="69" t="s">
        <x:v>153</x:v>
      </x:c>
      <x:c r="F31" t="n">
        <x:v>1998</x:v>
      </x:c>
      <x:c r="G31" s="32" t="n">
        <x:v>0.0015015015015015015015015015</x:v>
      </x:c>
      <x:c r="H31" s="32" t="n">
        <x:v>0.011011011011011011011011011</x:v>
      </x:c>
      <x:c r="I31" s="32" t="n">
        <x:v>0.0295295295295295295295295295</x:v>
      </x:c>
      <x:c r="J31" s="32" t="n">
        <x:v>0.0475475475475475475475475475</x:v>
      </x:c>
      <x:c r="K31" s="32" t="n">
        <x:v>0.0605605605605605605605605606</x:v>
      </x:c>
      <x:c r="L31" s="32" t="n">
        <x:v>0.0635635635635635635635635636</x:v>
      </x:c>
      <x:c r="M31" s="32" t="n">
        <x:v>0.0665665665665665665665665666</x:v>
      </x:c>
      <x:c r="N31" s="32" t="n">
        <x:v>0.0750750750750750750750750751</x:v>
      </x:c>
      <x:c r="O31" s="32" t="n">
        <x:v>0.1001001001001001001001001001</x:v>
      </x:c>
      <x:c r="P31" s="32" t="n">
        <x:v>0.1226226226226226226226226226</x:v>
      </x:c>
      <x:c r="Q31" s="32" t="n">
        <x:v>0.1226226226226226226226226226</x:v>
      </x:c>
      <x:c r="R31" s="32" t="n">
        <x:v>0.1401401401401401401401401401</x:v>
      </x:c>
      <x:c r="S31" s="32" t="n">
        <x:v>0.1586586586586586586586586587</x:v>
      </x:c>
      <x:c r="T31" s="32" t="n">
        <x:v>0.1746746746746746746746746747</x:v>
      </x:c>
      <x:c r="U31" s="32" t="n">
        <x:v>0.1911911911911911911911911912</x:v>
      </x:c>
      <x:c r="V31" s="32" t="n">
        <x:v>0.2112112112112112112112112112</x:v>
      </x:c>
      <x:c r="W31" s="32" t="n">
        <x:v>0.2227227227227227227227227227</x:v>
      </x:c>
      <x:c r="BI31" s="33" t="s"/>
      <x:c r="BJ31" s="11" t="s">
        <x:v>154</x:v>
      </x:c>
      <x:c r="BK31" s="12" t="str">
        <x:f>=BX31</x:f>
      </x:c>
      <x:c r="BL31" s="12" t="n">
        <x:v>0.2517517517517517517517517518</x:v>
      </x:c>
      <x:c r="BM31" s="12" t="n">
        <x:v>0.6971971971971971971971971972</x:v>
      </x:c>
      <x:c r="BN31" s="12" t="n">
        <x:v>0.0510510510510510510510510511</x:v>
      </x:c>
      <x:c r="BO31" s="12" t="str">
        <x:f>=BW31</x:f>
      </x:c>
      <x:c r="BP31" s="12" t="str">
        <x:f>=CF31</x:f>
      </x:c>
      <x:c r="BQ31" s="12" t="str"/>
      <x:c r="BR31" s="12" t="str">
        <x:v>SS 2019 MSS</x:v>
      </x:c>
      <x:c r="BS31" s="13" t="str"/>
      <x:c r="BT31" s="30" t="n">
        <x:v>6165.22</x:v>
      </x:c>
      <x:c r="BU31" s="30" t="n">
        <x:v>-5970.7470</x:v>
      </x:c>
      <x:c r="BV31" s="30" t="str">
        <x:f>=BT31+BU31</x:f>
      </x:c>
      <x:c r="BW31" s="66" t="str">
        <x:f>=BV31/BT31</x:f>
      </x:c>
      <x:c r="BX31" s="66" t="n">
        <x:v>0.9489489489489489489489489489</x:v>
      </x:c>
      <x:c r="BY31" s="30" t="n">
        <x:v>5249.10</x:v>
      </x:c>
      <x:c r="BZ31" s="41" t="n">
        <x:v>102</x:v>
      </x:c>
      <x:c r="CA31" s="30" t="n">
        <x:v>267.97207207207207207207207207</x:v>
      </x:c>
      <x:c r="CC31" s="30" t="n">
        <x:v>6165.4427227227227227227227227</x:v>
      </x:c>
      <x:c r="CD31" s="30" t="n">
        <x:v>-5970.7470</x:v>
      </x:c>
      <x:c r="CE31" s="30" t="str">
        <x:f>=CC31+CD31</x:f>
      </x:c>
      <x:c r="CF31" s="66" t="str">
        <x:f>=CE31/CC31</x:f>
      </x:c>
      <x:c r="CH31" s="66" t="str">
        <x:f>=CI31+CJ31</x:f>
      </x:c>
      <x:c r="CI31" s="66" t="str">
        <x:f>=BX31+(0*7)</x:f>
      </x:c>
      <x:c r="CJ31" s="66" t="str">
        <x:f>=(1-CI31)*0.5</x:f>
      </x:c>
      <x:c r="CK31" s="66" t="str">
        <x:f>=1-CH31</x:f>
      </x:c>
      <x:c r="CM31" s="66" t="str">
        <x:f>=CJ31/(1-CI31)</x:f>
      </x:c>
    </x:row>
    <x:row r="32">
      <x:c r="A32" s="31" t="s">
        <x:v>155</x:v>
      </x:c>
      <x:c r="B32" t="s"/>
      <x:c r="C32" t="s">
        <x:v>156</x:v>
      </x:c>
      <x:c r="D32" t="s">
        <x:v>147</x:v>
      </x:c>
      <x:c r="E32" s="69" t="s">
        <x:v>153</x:v>
      </x:c>
      <x:c r="F32" t="n">
        <x:v>906</x:v>
      </x:c>
      <x:c r="G32" s="32" t="n">
        <x:v>0.1412803532008830022075055188</x:v>
      </x:c>
      <x:c r="H32" s="32" t="n">
        <x:v>0.2207505518763796909492273731</x:v>
      </x:c>
      <x:c r="I32" s="32" t="n">
        <x:v>0.2759381898454746136865342163</x:v>
      </x:c>
      <x:c r="J32" s="32" t="n">
        <x:v>0.3245033112582781456953642384</x:v>
      </x:c>
      <x:c r="K32" s="32" t="n">
        <x:v>0.368653421633554083885209713</x:v>
      </x:c>
      <x:c r="L32" s="32" t="n">
        <x:v>0.3874172185430463576158940397</x:v>
      </x:c>
      <x:c r="M32" s="32" t="n">
        <x:v>0.4083885209713024282560706402</x:v>
      </x:c>
      <x:c r="N32" s="32" t="n">
        <x:v>0.4558498896247240618101545254</x:v>
      </x:c>
      <x:c r="O32" s="32" t="n">
        <x:v>0.5110375275938189845474613687</x:v>
      </x:c>
      <x:c r="P32" s="32" t="n">
        <x:v>0.5871964679911699779249448124</x:v>
      </x:c>
      <x:c r="Q32" s="32" t="n">
        <x:v>0.5871964679911699779249448124</x:v>
      </x:c>
      <x:c r="R32" s="32" t="n">
        <x:v>0.655629139072847682119205298</x:v>
      </x:c>
      <x:c r="S32" s="23" t="n">
        <x:v>0.7395143487858719646799116998</x:v>
      </x:c>
      <x:c r="T32" s="32" t="n">
        <x:v>0.8653421633554083885209713024</x:v>
      </x:c>
      <x:c r="U32" s="32" t="n">
        <x:v>0.9227373068432671081677704194</x:v>
      </x:c>
      <x:c r="V32" s="32" t="n">
        <x:v>0.9359823399558498896247240618</x:v>
      </x:c>
      <x:c r="W32" s="32" t="n">
        <x:v>0.9492273730684326710816777042</x:v>
      </x:c>
      <x:c r="BI32" s="33" t="s"/>
      <x:c r="BJ32" s="11" t="s">
        <x:v>154</x:v>
      </x:c>
      <x:c r="BK32" s="12" t="str">
        <x:f>=BX32</x:f>
      </x:c>
      <x:c r="BL32" s="12" t="n">
        <x:v>0.966887417218543046357615894</x:v>
      </x:c>
      <x:c r="BM32" s="12" t="n">
        <x:v>0.0286975717439293598233995585</x:v>
      </x:c>
      <x:c r="BN32" s="12" t="n">
        <x:v>0.0044150110375275938189845475</x:v>
      </x:c>
      <x:c r="BO32" s="12" t="str">
        <x:f>=BW32</x:f>
      </x:c>
      <x:c r="BP32" s="12" t="str">
        <x:f>=CF32</x:f>
      </x:c>
      <x:c r="BQ32" s="12" t="str"/>
      <x:c r="BR32" s="12" t="str">
        <x:v>SS 2019 MSS</x:v>
      </x:c>
      <x:c r="BS32" s="13" t="str"/>
      <x:c r="BT32" s="30" t="n">
        <x:v>4358.61</x:v>
      </x:c>
      <x:c r="BU32" s="30" t="n">
        <x:v>-2968.9070</x:v>
      </x:c>
      <x:c r="BV32" s="30" t="str">
        <x:f>=BT32+BU32</x:f>
      </x:c>
      <x:c r="BW32" s="66" t="str">
        <x:f>=BV32/BT32</x:f>
      </x:c>
      <x:c r="BX32" s="66" t="n">
        <x:v>0.9955849889624724061810154525</x:v>
      </x:c>
      <x:c r="BY32" s="30" t="n">
        <x:v>2659.10</x:v>
      </x:c>
      <x:c r="BZ32" s="41" t="n">
        <x:v>4</x:v>
      </x:c>
      <x:c r="CA32" s="30" t="n">
        <x:v>11.739955849889624724061810154</x:v>
      </x:c>
      <x:c r="CC32" s="30" t="n">
        <x:v>4359.5592273730684326710816777</x:v>
      </x:c>
      <x:c r="CD32" s="30" t="n">
        <x:v>-2968.9070</x:v>
      </x:c>
      <x:c r="CE32" s="30" t="str">
        <x:f>=CC32+CD32</x:f>
      </x:c>
      <x:c r="CF32" s="66" t="str">
        <x:f>=CE32/CC32</x:f>
      </x:c>
      <x:c r="CH32" s="66" t="str">
        <x:f>=CI32+CJ32</x:f>
      </x:c>
      <x:c r="CI32" s="66" t="str">
        <x:f>=BX32+(0*7)</x:f>
      </x:c>
      <x:c r="CJ32" s="66" t="str">
        <x:f>=(1-CI32)*0.5</x:f>
      </x:c>
      <x:c r="CK32" s="66" t="str">
        <x:f>=1-CH32</x:f>
      </x:c>
      <x:c r="CM32" s="66" t="str">
        <x:f>=CJ32/(1-CI32)</x:f>
      </x:c>
    </x:row>
    <x:row r="33">
      <x:c r="A33" s="31" t="s">
        <x:v>157</x:v>
      </x:c>
      <x:c r="B33" t="s"/>
      <x:c r="C33" t="s">
        <x:v>158</x:v>
      </x:c>
      <x:c r="D33" t="s">
        <x:v>147</x:v>
      </x:c>
      <x:c r="E33" s="69" t="s">
        <x:v>153</x:v>
      </x:c>
      <x:c r="F33" t="n">
        <x:v>1004</x:v>
      </x:c>
      <x:c r="G33" s="32" t="n">
        <x:v>0.0229083665338645418326693227</x:v>
      </x:c>
      <x:c r="H33" s="32" t="n">
        <x:v>0.0687250996015936254980079681</x:v>
      </x:c>
      <x:c r="I33" s="32" t="n">
        <x:v>0.1145418326693227091633466135</x:v>
      </x:c>
      <x:c r="J33" s="32" t="n">
        <x:v>0.1563745019920318725099601594</x:v>
      </x:c>
      <x:c r="K33" s="32" t="n">
        <x:v>0.1822709163346613545816733068</x:v>
      </x:c>
      <x:c r="L33" s="32" t="n">
        <x:v>0.1932270916334661354581673307</x:v>
      </x:c>
      <x:c r="M33" s="32" t="n">
        <x:v>0.2061752988047808764940239044</x:v>
      </x:c>
      <x:c r="N33" s="32" t="n">
        <x:v>0.230079681274900398406374502</x:v>
      </x:c>
      <x:c r="O33" s="32" t="n">
        <x:v>0.3227091633466135458167330677</x:v>
      </x:c>
      <x:c r="P33" s="32" t="n">
        <x:v>0.4183266932270916334661354582</x:v>
      </x:c>
      <x:c r="Q33" s="32" t="n">
        <x:v>0.4183266932270916334661354582</x:v>
      </x:c>
      <x:c r="R33" s="32" t="n">
        <x:v>0.5418326693227091633466135458</x:v>
      </x:c>
      <x:c r="S33" s="32" t="n">
        <x:v>0.6683266932270916334661354582</x:v>
      </x:c>
      <x:c r="T33" s="23" t="n">
        <x:v>0.789840637450199203187250996</x:v>
      </x:c>
      <x:c r="U33" s="32" t="n">
        <x:v>0.8834661354581673306772908367</x:v>
      </x:c>
      <x:c r="V33" s="32" t="n">
        <x:v>0.9143426294820717131474103586</x:v>
      </x:c>
      <x:c r="W33" s="32" t="n">
        <x:v>0.9352589641434262948207171315</x:v>
      </x:c>
      <x:c r="BI33" s="33" t="s"/>
      <x:c r="BJ33" s="11" t="s">
        <x:v>154</x:v>
      </x:c>
      <x:c r="BK33" s="12" t="str">
        <x:f>=BX33</x:f>
      </x:c>
      <x:c r="BL33" s="12" t="n">
        <x:v>0.9462151394422310756972111554</x:v>
      </x:c>
      <x:c r="BM33" s="12" t="n">
        <x:v>0.039840637450199203187250996</x:v>
      </x:c>
      <x:c r="BN33" s="12" t="n">
        <x:v>0.0139442231075697211155378486</x:v>
      </x:c>
      <x:c r="BO33" s="12" t="str">
        <x:f>=BW33</x:f>
      </x:c>
      <x:c r="BP33" s="12" t="str">
        <x:f>=CF33</x:f>
      </x:c>
      <x:c r="BQ33" s="12" t="str"/>
      <x:c r="BR33" s="12" t="str">
        <x:v>SS 2019 MSS</x:v>
      </x:c>
      <x:c r="BS33" s="13" t="str"/>
      <x:c r="BT33" s="30" t="n">
        <x:v>4817.86</x:v>
      </x:c>
      <x:c r="BU33" s="30" t="n">
        <x:v>-3313.1632</x:v>
      </x:c>
      <x:c r="BV33" s="30" t="str">
        <x:f>=BT33+BU33</x:f>
      </x:c>
      <x:c r="BW33" s="66" t="str">
        <x:f>=BV33/BT33</x:f>
      </x:c>
      <x:c r="BX33" s="66" t="n">
        <x:v>0.9860557768924302788844621514</x:v>
      </x:c>
      <x:c r="BY33" s="30" t="n">
        <x:v>2970.56</x:v>
      </x:c>
      <x:c r="BZ33" s="41" t="n">
        <x:v>14</x:v>
      </x:c>
      <x:c r="CA33" s="30" t="n">
        <x:v>41.422151394422310756972111553</x:v>
      </x:c>
      <x:c r="CC33" s="30" t="n">
        <x:v>4818.7952589641434262948207171</x:v>
      </x:c>
      <x:c r="CD33" s="30" t="n">
        <x:v>-3313.1632</x:v>
      </x:c>
      <x:c r="CE33" s="30" t="str">
        <x:f>=CC33+CD33</x:f>
      </x:c>
      <x:c r="CF33" s="66" t="str">
        <x:f>=CE33/CC33</x:f>
      </x:c>
      <x:c r="CH33" s="66" t="str">
        <x:f>=CI33+CJ33</x:f>
      </x:c>
      <x:c r="CI33" s="66" t="str">
        <x:f>=BX33+(0*7)</x:f>
      </x:c>
      <x:c r="CJ33" s="66" t="str">
        <x:f>=(1-CI33)*0.5</x:f>
      </x:c>
      <x:c r="CK33" s="66" t="str">
        <x:f>=1-CH33</x:f>
      </x:c>
      <x:c r="CM33" s="66" t="str">
        <x:f>=CJ33/(1-CI33)</x:f>
      </x:c>
    </x:row>
    <x:row r="34">
      <x:c r="A34" s="31" t="s">
        <x:v>159</x:v>
      </x:c>
      <x:c r="B34" t="s"/>
      <x:c r="C34" t="s">
        <x:v>160</x:v>
      </x:c>
      <x:c r="D34" t="s">
        <x:v>118</x:v>
      </x:c>
      <x:c r="E34" s="69" t="s">
        <x:v>153</x:v>
      </x:c>
      <x:c r="F34" t="n">
        <x:v>1957</x:v>
      </x:c>
      <x:c r="G34" s="32" t="n">
        <x:v>0.0403679100664282064384261625</x:v>
      </x:c>
      <x:c r="H34" s="32" t="n">
        <x:v>0.1062851303014818599897802759</x:v>
      </x:c>
      <x:c r="I34" s="32" t="n">
        <x:v>0.1062851303014818599897802759</x:v>
      </x:c>
      <x:c r="J34" s="32" t="n">
        <x:v>0.2003065917220235053653551354</x:v>
      </x:c>
      <x:c r="K34" s="32" t="n">
        <x:v>0.2912621359223300970873786408</x:v>
      </x:c>
      <x:c r="L34" s="32" t="n">
        <x:v>0.4302503832396525293817066939</x:v>
      </x:c>
      <x:c r="M34" s="32" t="n">
        <x:v>0.5692386305569749616760347471</x:v>
      </x:c>
      <x:c r="N34" s="32" t="n">
        <x:v>0.6739908022483392948390393459</x:v>
      </x:c>
      <x:c r="O34" s="23" t="n">
        <x:v>0.7445068983137455288707204905</x:v>
      </x:c>
      <x:c r="BI34" s="33" t="s"/>
      <x:c r="BJ34" s="11" t="s">
        <x:v>161</x:v>
      </x:c>
      <x:c r="BK34" s="12" t="str">
        <x:f>=BX34</x:f>
      </x:c>
      <x:c r="BL34" s="12" t="n">
        <x:v>0.811446090955544200306591722</x:v>
      </x:c>
      <x:c r="BM34" s="12" t="n">
        <x:v>0.1757792539601430761369443025</x:v>
      </x:c>
      <x:c r="BN34" s="12" t="n">
        <x:v>0.0127746550843127235564639755</x:v>
      </x:c>
      <x:c r="BO34" s="12" t="str">
        <x:f>=BW34</x:f>
      </x:c>
      <x:c r="BP34" s="12" t="str">
        <x:f>=CF34</x:f>
      </x:c>
      <x:c r="BQ34" s="12" t="str"/>
      <x:c r="BR34" s="12" t="str">
        <x:v>SS 2019 MSS</x:v>
      </x:c>
      <x:c r="BS34" s="13" t="str"/>
      <x:c r="BT34" s="30" t="n">
        <x:v>6142.49</x:v>
      </x:c>
      <x:c r="BU34" s="30" t="n">
        <x:v>-3728.5670</x:v>
      </x:c>
      <x:c r="BV34" s="30" t="str">
        <x:f>=BT34+BU34</x:f>
      </x:c>
      <x:c r="BW34" s="66" t="str">
        <x:f>=BV34/BT34</x:f>
      </x:c>
      <x:c r="BX34" s="66" t="n">
        <x:v>0.9872253449156872764435360245</x:v>
      </x:c>
      <x:c r="BY34" s="30" t="n">
        <x:v>3178.10</x:v>
      </x:c>
      <x:c r="BZ34" s="41" t="n">
        <x:v>25</x:v>
      </x:c>
      <x:c r="CA34" s="30" t="n">
        <x:v>40.599131323454266734798160450</x:v>
      </x:c>
      <x:c r="CC34" s="30" t="n">
        <x:v>6143.2345068983137455288707205</x:v>
      </x:c>
      <x:c r="CD34" s="30" t="n">
        <x:v>-3728.5670</x:v>
      </x:c>
      <x:c r="CE34" s="30" t="str">
        <x:f>=CC34+CD34</x:f>
      </x:c>
      <x:c r="CF34" s="66" t="str">
        <x:f>=CE34/CC34</x:f>
      </x:c>
      <x:c r="CH34" s="66" t="str">
        <x:f>=CI34+CJ34</x:f>
      </x:c>
      <x:c r="CI34" s="66" t="str">
        <x:f>=BX34+(0*7)</x:f>
      </x:c>
      <x:c r="CJ34" s="66" t="str">
        <x:f>=(1-CI34)*0.5</x:f>
      </x:c>
      <x:c r="CK34" s="66" t="str">
        <x:f>=1-CH34</x:f>
      </x:c>
      <x:c r="CM34" s="66" t="str">
        <x:f>=CJ34/(1-CI34)</x:f>
      </x:c>
    </x:row>
    <x:row r="35">
      <x:c r="A35" s="31" t="s">
        <x:v>162</x:v>
      </x:c>
      <x:c r="B35" t="s"/>
      <x:c r="C35" t="s">
        <x:v>163</x:v>
      </x:c>
      <x:c r="D35" t="s">
        <x:v>164</x:v>
      </x:c>
      <x:c r="E35" s="69" t="s">
        <x:v>153</x:v>
      </x:c>
      <x:c r="F35" t="n">
        <x:v>862</x:v>
      </x:c>
      <x:c r="G35" s="32" t="n">
        <x:v>0.1009280742459396751740139211</x:v>
      </x:c>
      <x:c r="H35" s="32" t="n">
        <x:v>0.1009280742459396751740139211</x:v>
      </x:c>
      <x:c r="I35" s="32" t="n">
        <x:v>0.1890951276102088167053364269</x:v>
      </x:c>
      <x:c r="J35" s="32" t="n">
        <x:v>0.3074245939675174013921113689</x:v>
      </x:c>
      <x:c r="K35" s="32" t="n">
        <x:v>0.4419953596287703016241299304</x:v>
      </x:c>
      <x:c r="L35" s="32" t="n">
        <x:v>0.5742459396751740139211136891</x:v>
      </x:c>
      <x:c r="M35" s="32" t="n">
        <x:v>0.6821345707656612529002320186</x:v>
      </x:c>
      <x:c r="N35" s="23" t="n">
        <x:v>0.7354988399071925754060324826</x:v>
      </x:c>
      <x:c r="BI35" s="33" t="s"/>
      <x:c r="BJ35" s="11" t="s">
        <x:v>165</x:v>
      </x:c>
      <x:c r="BK35" s="12" t="str">
        <x:f>=BX35</x:f>
      </x:c>
      <x:c r="BL35" s="12" t="n">
        <x:v>0.7946635730858468677494199536</x:v>
      </x:c>
      <x:c r="BM35" s="12" t="n">
        <x:v>0.1438515081206496519721577726</x:v>
      </x:c>
      <x:c r="BN35" s="12" t="n">
        <x:v>0.0614849187935034802784222738</x:v>
      </x:c>
      <x:c r="BO35" s="12" t="str">
        <x:f>=BW35</x:f>
      </x:c>
      <x:c r="BP35" s="12" t="str">
        <x:f>=CF35</x:f>
      </x:c>
      <x:c r="BQ35" s="12" t="str"/>
      <x:c r="BR35" s="12" t="str">
        <x:v>SS 2019 MSS</x:v>
      </x:c>
      <x:c r="BS35" s="13" t="str"/>
      <x:c r="BT35" s="30" t="n">
        <x:v>4033.05</x:v>
      </x:c>
      <x:c r="BU35" s="30" t="n">
        <x:v>-3063.99100</x:v>
      </x:c>
      <x:c r="BV35" s="30" t="str">
        <x:f>=BT35+BU35</x:f>
      </x:c>
      <x:c r="BW35" s="66" t="str">
        <x:f>=BV35/BT35</x:f>
      </x:c>
      <x:c r="BX35" s="66" t="n">
        <x:v>0.9385150812064965197215777262</x:v>
      </x:c>
      <x:c r="BY35" s="30" t="n">
        <x:v>2725.50</x:v>
      </x:c>
      <x:c r="BZ35" s="41" t="n">
        <x:v>53</x:v>
      </x:c>
      <x:c r="CA35" s="30" t="n">
        <x:v>167.57714617169373549883990719</x:v>
      </x:c>
      <x:c r="CC35" s="30" t="n">
        <x:v>4033.7854988399071925754060325</x:v>
      </x:c>
      <x:c r="CD35" s="30" t="n">
        <x:v>-3063.99100</x:v>
      </x:c>
      <x:c r="CE35" s="30" t="str">
        <x:f>=CC35+CD35</x:f>
      </x:c>
      <x:c r="CF35" s="66" t="str">
        <x:f>=CE35/CC35</x:f>
      </x:c>
      <x:c r="CH35" s="66" t="str">
        <x:f>=CI35+CJ35</x:f>
      </x:c>
      <x:c r="CI35" s="66" t="str">
        <x:f>=BX35+(0*7)</x:f>
      </x:c>
      <x:c r="CJ35" s="66" t="str">
        <x:f>=(1-CI35)*0.5</x:f>
      </x:c>
      <x:c r="CK35" s="66" t="str">
        <x:f>=1-CH35</x:f>
      </x:c>
      <x:c r="CM35" s="66" t="str">
        <x:f>=CJ35/(1-CI35)</x:f>
      </x:c>
    </x:row>
    <x:row r="36">
      <x:c r="BI36" s="33" t="s"/>
      <x:c r="BJ36" s="11" t="s"/>
      <x:c r="BS36" s="13" t="s"/>
    </x:row>
    <x:row r="37">
      <x:c r="A37" s="35" t="s">
        <x:v>126</x:v>
      </x:c>
      <x:c r="BI37" s="33" t="s"/>
      <x:c r="BJ37" s="11" t="s"/>
      <x:c r="BS37" s="13" t="s"/>
    </x:row>
    <x:row r="38">
      <x:c r="A38" s="17" t="s">
        <x:v>127</x:v>
      </x:c>
      <x:c r="BI38" s="33" t="s"/>
      <x:c r="BJ38" s="11" t="s"/>
      <x:c r="BS38" s="13" t="s"/>
    </x:row>
    <x:row r="39">
      <x:c r="A39" s="31" t="s">
        <x:v>166</x:v>
      </x:c>
      <x:c r="B39" t="s"/>
      <x:c r="C39" t="s">
        <x:v>167</x:v>
      </x:c>
      <x:c r="D39" t="s">
        <x:v>130</x:v>
      </x:c>
      <x:c r="E39" s="67" t="s">
        <x:v>131</x:v>
      </x:c>
      <x:c r="F39" t="n">
        <x:v>546</x:v>
      </x:c>
      <x:c r="G39" s="32" t="n">
        <x:v>0.2509157509157509157509157509</x:v>
      </x:c>
      <x:c r="H39" s="32" t="n">
        <x:v>0.2509157509157509157509157509</x:v>
      </x:c>
      <x:c r="I39" s="32" t="n">
        <x:v>0.2509157509157509157509157509</x:v>
      </x:c>
      <x:c r="J39" s="32" t="n">
        <x:v>0.2509157509157509157509157509</x:v>
      </x:c>
      <x:c r="K39" s="32" t="n">
        <x:v>0.2509157509157509157509157509</x:v>
      </x:c>
      <x:c r="L39" s="32" t="n">
        <x:v>0.2509157509157509157509157509</x:v>
      </x:c>
      <x:c r="M39" s="32" t="n">
        <x:v>0.3131868131868131868131868132</x:v>
      </x:c>
      <x:c r="N39" s="32" t="n">
        <x:v>0.3131868131868131868131868132</x:v>
      </x:c>
      <x:c r="O39" s="32" t="n">
        <x:v>0.3131868131868131868131868132</x:v>
      </x:c>
      <x:c r="P39" s="32" t="n">
        <x:v>0.4450549450549450549450549451</x:v>
      </x:c>
      <x:c r="Q39" s="32" t="n">
        <x:v>0.4249084249084249084249084249</x:v>
      </x:c>
      <x:c r="R39" s="32" t="n">
        <x:v>0.4249084249084249084249084249</x:v>
      </x:c>
      <x:c r="S39" s="32" t="n">
        <x:v>0.4450549450549450549450549451</x:v>
      </x:c>
      <x:c r="T39" s="32" t="n">
        <x:v>0.4450549450549450549450549451</x:v>
      </x:c>
      <x:c r="U39" s="32" t="n">
        <x:v>0.4706959706959706959706959707</x:v>
      </x:c>
      <x:c r="V39" s="32" t="n">
        <x:v>0.489010989010989010989010989</x:v>
      </x:c>
      <x:c r="W39" s="32" t="n">
        <x:v>0.532967032967032967032967033</x:v>
      </x:c>
      <x:c r="X39" s="32" t="n">
        <x:v>0.532967032967032967032967033</x:v>
      </x:c>
      <x:c r="Y39" s="32" t="n">
        <x:v>0.532967032967032967032967033</x:v>
      </x:c>
      <x:c r="Z39" s="32" t="n">
        <x:v>0.5421245421245421245421245421</x:v>
      </x:c>
      <x:c r="AA39" s="32" t="n">
        <x:v>0.5659340659340659340659340659</x:v>
      </x:c>
      <x:c r="AB39" s="32" t="n">
        <x:v>0.6080586080586080586080586081</x:v>
      </x:c>
      <x:c r="AC39" s="32" t="n">
        <x:v>0.6648351648351648351648351648</x:v>
      </x:c>
      <x:c r="AD39" s="32" t="n">
        <x:v>0.6794871794871794871794871795</x:v>
      </x:c>
      <x:c r="AE39" s="23" t="n">
        <x:v>0.7142857142857142857142857143</x:v>
      </x:c>
      <x:c r="BI39" s="33" t="s"/>
      <x:c r="BJ39" s="11" t="s">
        <x:v>168</x:v>
      </x:c>
      <x:c r="BK39" s="12" t="str">
        <x:f>=BX39</x:f>
      </x:c>
      <x:c r="BL39" s="12" t="n">
        <x:v>0.7032967032967032967032967033</x:v>
      </x:c>
      <x:c r="BM39" s="12" t="n">
        <x:v>0.2600732600732600732600732601</x:v>
      </x:c>
      <x:c r="BN39" s="12" t="n">
        <x:v>0.0366300366300366300366300366</x:v>
      </x:c>
      <x:c r="BO39" s="12" t="str">
        <x:f>=BW39</x:f>
      </x:c>
      <x:c r="BP39" s="12" t="str">
        <x:f>=CF39</x:f>
      </x:c>
      <x:c r="BQ39" s="12" t="str"/>
      <x:c r="BR39" s="12" t="str">
        <x:v>SS 2019 MSS</x:v>
      </x:c>
      <x:c r="BS39" s="13" t="str"/>
      <x:c r="BT39" s="30" t="n">
        <x:v>5077.60</x:v>
      </x:c>
      <x:c r="BU39" s="30" t="n">
        <x:v>-4070.95487174447171842560</x:v>
      </x:c>
      <x:c r="BV39" s="30" t="str">
        <x:f>=BT39+BU39</x:f>
      </x:c>
      <x:c r="BW39" s="66" t="str">
        <x:f>=BV39/BT39</x:f>
      </x:c>
      <x:c r="BX39" s="66" t="n">
        <x:v>0.9633699633699633699633699634</x:v>
      </x:c>
      <x:c r="BY39" s="30" t="n">
        <x:v>4138.095331695331668480</x:v>
      </x:c>
      <x:c r="BZ39" s="41" t="n">
        <x:v>20</x:v>
      </x:c>
      <x:c r="CA39" s="30" t="n">
        <x:v>151.578583578583577600</x:v>
      </x:c>
      <x:c r="CC39" s="30" t="n">
        <x:v>5078.3142857142857142857142857</x:v>
      </x:c>
      <x:c r="CD39" s="30" t="n">
        <x:v>-4070.95487174447171842560</x:v>
      </x:c>
      <x:c r="CE39" s="30" t="str">
        <x:f>=CC39+CD39</x:f>
      </x:c>
      <x:c r="CF39" s="66" t="str">
        <x:f>=CE39/CC39</x:f>
      </x:c>
      <x:c r="CH39" s="66" t="str">
        <x:f>=CI39+CJ39</x:f>
      </x:c>
      <x:c r="CI39" s="66" t="str">
        <x:f>=BX39+(0*7)</x:f>
      </x:c>
      <x:c r="CJ39" s="66" t="str">
        <x:f>=(1-CI39)*0.5</x:f>
      </x:c>
      <x:c r="CK39" s="66" t="str">
        <x:f>=1-CH39</x:f>
      </x:c>
      <x:c r="CM39" s="66" t="str">
        <x:f>=CJ39/(1-CI39)</x:f>
      </x:c>
    </x:row>
    <x:row r="40">
      <x:c r="A40" s="31" t="s">
        <x:v>169</x:v>
      </x:c>
      <x:c r="B40" t="s"/>
      <x:c r="C40" t="s">
        <x:v>170</x:v>
      </x:c>
      <x:c r="D40" t="s">
        <x:v>130</x:v>
      </x:c>
      <x:c r="E40" s="67" t="s">
        <x:v>131</x:v>
      </x:c>
      <x:c r="F40" t="n">
        <x:v>418</x:v>
      </x:c>
      <x:c r="G40" s="32" t="n">
        <x:v>0.2344497607655502392344497608</x:v>
      </x:c>
      <x:c r="H40" s="32" t="n">
        <x:v>0.2344497607655502392344497608</x:v>
      </x:c>
      <x:c r="I40" s="32" t="n">
        <x:v>0.2344497607655502392344497608</x:v>
      </x:c>
      <x:c r="J40" s="32" t="n">
        <x:v>0.2344497607655502392344497608</x:v>
      </x:c>
      <x:c r="K40" s="32" t="n">
        <x:v>0.2344497607655502392344497608</x:v>
      </x:c>
      <x:c r="L40" s="32" t="n">
        <x:v>0.2344497607655502392344497608</x:v>
      </x:c>
      <x:c r="M40" s="32" t="n">
        <x:v>0.2727272727272727272727272727</x:v>
      </x:c>
      <x:c r="N40" s="32" t="n">
        <x:v>0.2727272727272727272727272727</x:v>
      </x:c>
      <x:c r="O40" s="32" t="n">
        <x:v>0.2727272727272727272727272727</x:v>
      </x:c>
      <x:c r="P40" s="32" t="n">
        <x:v>0.2990430622009569377990430622</x:v>
      </x:c>
      <x:c r="Q40" s="32" t="n">
        <x:v>0.3229665071770334928229665072</x:v>
      </x:c>
      <x:c r="R40" s="32" t="n">
        <x:v>0.3229665071770334928229665072</x:v>
      </x:c>
      <x:c r="S40" s="32" t="n">
        <x:v>0.3540669856459330143540669856</x:v>
      </x:c>
      <x:c r="T40" s="32" t="n">
        <x:v>0.3492822966507177033492822967</x:v>
      </x:c>
      <x:c r="U40" s="32" t="n">
        <x:v>0.3468899521531100478468899522</x:v>
      </x:c>
      <x:c r="V40" s="32" t="n">
        <x:v>0.3684210526315789473684210526</x:v>
      </x:c>
      <x:c r="W40" s="32" t="n">
        <x:v>0.3779904306220095693779904306</x:v>
      </x:c>
      <x:c r="X40" s="32" t="n">
        <x:v>0.3875598086124401913875598086</x:v>
      </x:c>
      <x:c r="Y40" s="32" t="n">
        <x:v>0.3875598086124401913875598086</x:v>
      </x:c>
      <x:c r="Z40" s="32" t="n">
        <x:v>0.4043062200956937799043062201</x:v>
      </x:c>
      <x:c r="AA40" s="32" t="n">
        <x:v>0.3971291866028708133971291866</x:v>
      </x:c>
      <x:c r="AB40" s="32" t="n">
        <x:v>0.4330143540669856459330143541</x:v>
      </x:c>
      <x:c r="AC40" s="32" t="n">
        <x:v>0.461722488038277511961722488</x:v>
      </x:c>
      <x:c r="AD40" s="32" t="n">
        <x:v>0.4736842105263157894736842105</x:v>
      </x:c>
      <x:c r="AE40" s="32" t="n">
        <x:v>0.480861244019138755980861244</x:v>
      </x:c>
      <x:c r="BI40" s="33" t="s"/>
      <x:c r="BJ40" s="11" t="s">
        <x:v>168</x:v>
      </x:c>
      <x:c r="BK40" s="12" t="str">
        <x:f>=BX40</x:f>
      </x:c>
      <x:c r="BL40" s="12" t="n">
        <x:v>0.466507177033492822966507177</x:v>
      </x:c>
      <x:c r="BM40" s="12" t="n">
        <x:v>0.4449760765550239234449760766</x:v>
      </x:c>
      <x:c r="BN40" s="12" t="n">
        <x:v>0.0885167464114832535885167464</x:v>
      </x:c>
      <x:c r="BO40" s="12" t="str">
        <x:f>=BW40</x:f>
      </x:c>
      <x:c r="BP40" s="12" t="str">
        <x:f>=CF40</x:f>
      </x:c>
      <x:c r="BQ40" s="12" t="str"/>
      <x:c r="BR40" s="12" t="str">
        <x:v>SS 2019 MSS</x:v>
      </x:c>
      <x:c r="BS40" s="13" t="str"/>
      <x:c r="BT40" s="30" t="n">
        <x:v>5508.30</x:v>
      </x:c>
      <x:c r="BU40" s="30" t="n">
        <x:v>-4924.84275830143330160240</x:v>
      </x:c>
      <x:c r="BV40" s="30" t="str">
        <x:f>=BT40+BU40</x:f>
      </x:c>
      <x:c r="BW40" s="66" t="str">
        <x:f>=BV40/BT40</x:f>
      </x:c>
      <x:c r="BX40" s="66" t="n">
        <x:v>0.9114832535885167464114832536</x:v>
      </x:c>
      <x:c r="BY40" s="30" t="n">
        <x:v>4815.756658042714743920</x:v>
      </x:c>
      <x:c r="BZ40" s="41" t="n">
        <x:v>37</x:v>
      </x:c>
      <x:c r="CA40" s="30" t="n">
        <x:v>426.275110879379056280</x:v>
      </x:c>
      <x:c r="CC40" s="30" t="n">
        <x:v>5508.7808612440191387559808612</x:v>
      </x:c>
      <x:c r="CD40" s="30" t="n">
        <x:v>-4924.84275830143330160240</x:v>
      </x:c>
      <x:c r="CE40" s="30" t="str">
        <x:f>=CC40+CD40</x:f>
      </x:c>
      <x:c r="CF40" s="66" t="str">
        <x:f>=CE40/CC40</x:f>
      </x:c>
      <x:c r="CH40" s="66" t="str">
        <x:f>=CI40+CJ40</x:f>
      </x:c>
      <x:c r="CI40" s="66" t="str">
        <x:f>=BX40+(0*7)</x:f>
      </x:c>
      <x:c r="CJ40" s="66" t="str">
        <x:f>=(1-CI40)*0.5</x:f>
      </x:c>
      <x:c r="CK40" s="66" t="str">
        <x:f>=1-CH40</x:f>
      </x:c>
      <x:c r="CM40" s="66" t="str">
        <x:f>=CJ40/(1-CI40)</x:f>
      </x:c>
    </x:row>
    <x:row r="41">
      <x:c r="A41" s="31" t="s">
        <x:v>171</x:v>
      </x:c>
      <x:c r="B41" t="s"/>
      <x:c r="C41" t="s">
        <x:v>172</x:v>
      </x:c>
      <x:c r="D41" t="s">
        <x:v>130</x:v>
      </x:c>
      <x:c r="E41" s="67" t="s">
        <x:v>131</x:v>
      </x:c>
      <x:c r="F41" t="n">
        <x:v>508</x:v>
      </x:c>
      <x:c r="G41" s="32" t="n">
        <x:v>0.1988188976377952755905511811</x:v>
      </x:c>
      <x:c r="H41" s="32" t="n">
        <x:v>0.1988188976377952755905511811</x:v>
      </x:c>
      <x:c r="I41" s="32" t="n">
        <x:v>0.1988188976377952755905511811</x:v>
      </x:c>
      <x:c r="J41" s="32" t="n">
        <x:v>0.1988188976377952755905511811</x:v>
      </x:c>
      <x:c r="K41" s="32" t="n">
        <x:v>0.1988188976377952755905511811</x:v>
      </x:c>
      <x:c r="L41" s="32" t="n">
        <x:v>0.1988188976377952755905511811</x:v>
      </x:c>
      <x:c r="M41" s="32" t="n">
        <x:v>0.2401574803149606299212598425</x:v>
      </x:c>
      <x:c r="N41" s="32" t="n">
        <x:v>0.2401574803149606299212598425</x:v>
      </x:c>
      <x:c r="O41" s="32" t="n">
        <x:v>0.2401574803149606299212598425</x:v>
      </x:c>
      <x:c r="P41" s="32" t="n">
        <x:v>0.3385826771653543307086614173</x:v>
      </x:c>
      <x:c r="Q41" s="32" t="n">
        <x:v>0.3759842519685039370078740157</x:v>
      </x:c>
      <x:c r="R41" s="32" t="n">
        <x:v>0.3759842519685039370078740157</x:v>
      </x:c>
      <x:c r="S41" s="32" t="n">
        <x:v>0.4035433070866141732283464567</x:v>
      </x:c>
      <x:c r="T41" s="32" t="n">
        <x:v>0.3759842519685039370078740157</x:v>
      </x:c>
      <x:c r="U41" s="32" t="n">
        <x:v>0.3858267716535433070866141732</x:v>
      </x:c>
      <x:c r="V41" s="32" t="n">
        <x:v>0.4015748031496062992125984252</x:v>
      </x:c>
      <x:c r="W41" s="32" t="n">
        <x:v>0.4448818897637795275590551181</x:v>
      </x:c>
      <x:c r="X41" s="32" t="n">
        <x:v>0.4468503937007874015748031496</x:v>
      </x:c>
      <x:c r="Y41" s="32" t="n">
        <x:v>0.4468503937007874015748031496</x:v>
      </x:c>
      <x:c r="Z41" s="32" t="n">
        <x:v>0.4704724409448818897637795276</x:v>
      </x:c>
      <x:c r="AA41" s="32" t="n">
        <x:v>0.4862204724409448818897637795</x:v>
      </x:c>
      <x:c r="AB41" s="32" t="n">
        <x:v>0.4901574803149606299212598425</x:v>
      </x:c>
      <x:c r="AC41" s="32" t="n">
        <x:v>0.5177165354330708661417322835</x:v>
      </x:c>
      <x:c r="AD41" s="32" t="n">
        <x:v>0.523622047244094488188976378</x:v>
      </x:c>
      <x:c r="AE41" s="32" t="n">
        <x:v>0.5433070866141732283464566929</x:v>
      </x:c>
      <x:c r="BI41" s="33" t="s"/>
      <x:c r="BJ41" s="11" t="s">
        <x:v>168</x:v>
      </x:c>
      <x:c r="BK41" s="12" t="str">
        <x:f>=BX41</x:f>
      </x:c>
      <x:c r="BL41" s="12" t="n">
        <x:v>0.5748031496062992125984251969</x:v>
      </x:c>
      <x:c r="BM41" s="12" t="n">
        <x:v>0.3818897637795275590551181102</x:v>
      </x:c>
      <x:c r="BN41" s="12" t="n">
        <x:v>0.0433070866141732283464566929</x:v>
      </x:c>
      <x:c r="BO41" s="12" t="str">
        <x:f>=BW41</x:f>
      </x:c>
      <x:c r="BP41" s="12" t="str">
        <x:f>=CF41</x:f>
      </x:c>
      <x:c r="BQ41" s="12" t="str"/>
      <x:c r="BR41" s="12" t="str">
        <x:v>SS 2019 MSS</x:v>
      </x:c>
      <x:c r="BS41" s="13" t="str"/>
      <x:c r="BT41" s="30" t="n">
        <x:v>4256.79</x:v>
      </x:c>
      <x:c r="BU41" s="30" t="n">
        <x:v>-3782.14194220914218490880</x:v>
      </x:c>
      <x:c r="BV41" s="30" t="str">
        <x:f>=BT41+BU41</x:f>
      </x:c>
      <x:c r="BW41" s="66" t="str">
        <x:f>=BV41/BT41</x:f>
      </x:c>
      <x:c r="BX41" s="66" t="n">
        <x:v>0.9566929133858267716535433071</x:v>
      </x:c>
      <x:c r="BY41" s="30" t="n">
        <x:v>3850.096022896022871040</x:v>
      </x:c>
      <x:c r="BZ41" s="41" t="n">
        <x:v>22</x:v>
      </x:c>
      <x:c r="CA41" s="30" t="n">
        <x:v>166.736441936441935360</x:v>
      </x:c>
      <x:c r="CC41" s="30" t="n">
        <x:v>4257.3333070866141732283464567</x:v>
      </x:c>
      <x:c r="CD41" s="30" t="n">
        <x:v>-3782.14194220914218490880</x:v>
      </x:c>
      <x:c r="CE41" s="30" t="str">
        <x:f>=CC41+CD41</x:f>
      </x:c>
      <x:c r="CF41" s="66" t="str">
        <x:f>=CE41/CC41</x:f>
      </x:c>
      <x:c r="CH41" s="66" t="str">
        <x:f>=CI41+CJ41</x:f>
      </x:c>
      <x:c r="CI41" s="66" t="str">
        <x:f>=BX41+(0*7)</x:f>
      </x:c>
      <x:c r="CJ41" s="66" t="str">
        <x:f>=(1-CI41)*0.5</x:f>
      </x:c>
      <x:c r="CK41" s="66" t="str">
        <x:f>=1-CH41</x:f>
      </x:c>
      <x:c r="CM41" s="66" t="str">
        <x:f>=CJ41/(1-CI41)</x:f>
      </x:c>
    </x:row>
    <x:row r="42">
      <x:c r="A42" s="31" t="s">
        <x:v>173</x:v>
      </x:c>
      <x:c r="B42" t="s"/>
      <x:c r="C42" t="s">
        <x:v>174</x:v>
      </x:c>
      <x:c r="D42" t="s">
        <x:v>130</x:v>
      </x:c>
      <x:c r="E42" s="67" t="s">
        <x:v>131</x:v>
      </x:c>
      <x:c r="F42" t="n">
        <x:v>955</x:v>
      </x:c>
      <x:c r="G42" s="32" t="n">
        <x:v>0.1026178010471204188481675393</x:v>
      </x:c>
      <x:c r="H42" s="32" t="n">
        <x:v>0.1026178010471204188481675393</x:v>
      </x:c>
      <x:c r="I42" s="32" t="n">
        <x:v>0.1026178010471204188481675393</x:v>
      </x:c>
      <x:c r="J42" s="32" t="n">
        <x:v>0.1026178010471204188481675393</x:v>
      </x:c>
      <x:c r="K42" s="32" t="n">
        <x:v>0.1026178010471204188481675393</x:v>
      </x:c>
      <x:c r="L42" s="32" t="n">
        <x:v>0.1026178010471204188481675393</x:v>
      </x:c>
      <x:c r="M42" s="32" t="n">
        <x:v>0.1057591623036649214659685864</x:v>
      </x:c>
      <x:c r="N42" s="32" t="n">
        <x:v>0.1057591623036649214659685864</x:v>
      </x:c>
      <x:c r="O42" s="32" t="n">
        <x:v>0.1057591623036649214659685864</x:v>
      </x:c>
      <x:c r="P42" s="32" t="n">
        <x:v>0.1057591623036649214659685864</x:v>
      </x:c>
      <x:c r="Q42" s="32" t="n">
        <x:v>0.1476439790575916230366492147</x:v>
      </x:c>
      <x:c r="R42" s="32" t="n">
        <x:v>0.1476439790575916230366492147</x:v>
      </x:c>
      <x:c r="S42" s="32" t="n">
        <x:v>0.2293193717277486910994764398</x:v>
      </x:c>
      <x:c r="T42" s="32" t="n">
        <x:v>0.2282722513089005235602094241</x:v>
      </x:c>
      <x:c r="U42" s="32" t="n">
        <x:v>0.2387434554973821989528795812</x:v>
      </x:c>
      <x:c r="V42" s="32" t="n">
        <x:v>0.2502617801047120418848167539</x:v>
      </x:c>
      <x:c r="W42" s="32" t="n">
        <x:v>0.2670157068062827225130890052</x:v>
      </x:c>
      <x:c r="X42" s="32" t="n">
        <x:v>0.285863874345549738219895288</x:v>
      </x:c>
      <x:c r="Y42" s="32" t="n">
        <x:v>0.285863874345549738219895288</x:v>
      </x:c>
      <x:c r="Z42" s="32" t="n">
        <x:v>0.2900523560209424083769633508</x:v>
      </x:c>
      <x:c r="AA42" s="32" t="n">
        <x:v>0.3151832460732984293193717277</x:v>
      </x:c>
      <x:c r="AB42" s="32" t="n">
        <x:v>0.3246073298429319371727748691</x:v>
      </x:c>
      <x:c r="AC42" s="32" t="n">
        <x:v>0.3361256544502617801047120419</x:v>
      </x:c>
      <x:c r="AD42" s="32" t="n">
        <x:v>0.3528795811518324607329842932</x:v>
      </x:c>
      <x:c r="AE42" s="32" t="n">
        <x:v>0.3612565445026178010471204188</x:v>
      </x:c>
      <x:c r="BI42" s="33" t="s"/>
      <x:c r="BJ42" s="11" t="s">
        <x:v>168</x:v>
      </x:c>
      <x:c r="BK42" s="12" t="str">
        <x:f>=BX42</x:f>
      </x:c>
      <x:c r="BL42" s="12" t="n">
        <x:v>0.3863874345549738219895287958</x:v>
      </x:c>
      <x:c r="BM42" s="12" t="n">
        <x:v>0.5685863874345549738219895288</x:v>
      </x:c>
      <x:c r="BN42" s="12" t="n">
        <x:v>0.0450261780104712041884816754</x:v>
      </x:c>
      <x:c r="BO42" s="12" t="str">
        <x:f>=BW42</x:f>
      </x:c>
      <x:c r="BP42" s="12" t="str">
        <x:f>=CF42</x:f>
      </x:c>
      <x:c r="BQ42" s="12" t="str"/>
      <x:c r="BR42" s="12" t="str">
        <x:v>SS 2019 MSS</x:v>
      </x:c>
      <x:c r="BS42" s="13" t="str"/>
      <x:c r="BT42" s="30" t="n">
        <x:v>5654.77</x:v>
      </x:c>
      <x:c r="BU42" s="30" t="n">
        <x:v>-4485.74404884827440000000</x:v>
      </x:c>
      <x:c r="BV42" s="30" t="str">
        <x:f>=BT42+BU42</x:f>
      </x:c>
      <x:c r="BW42" s="66" t="str">
        <x:f>=BV42/BT42</x:f>
      </x:c>
      <x:c r="BX42" s="66" t="n">
        <x:v>0.9549738219895287958115183246</x:v>
      </x:c>
      <x:c r="BY42" s="30" t="n">
        <x:v>4538.134586441520000000</x:v>
      </x:c>
      <x:c r="BZ42" s="41" t="n">
        <x:v>43</x:v>
      </x:c>
      <x:c r="CA42" s="30" t="n">
        <x:v>204.334855724592000000</x:v>
      </x:c>
      <x:c r="CC42" s="30" t="n">
        <x:v>5655.1312565445026178010471204</x:v>
      </x:c>
      <x:c r="CD42" s="30" t="n">
        <x:v>-4485.74404884827440000000</x:v>
      </x:c>
      <x:c r="CE42" s="30" t="str">
        <x:f>=CC42+CD42</x:f>
      </x:c>
      <x:c r="CF42" s="66" t="str">
        <x:f>=CE42/CC42</x:f>
      </x:c>
      <x:c r="CH42" s="66" t="str">
        <x:f>=CI42+CJ42</x:f>
      </x:c>
      <x:c r="CI42" s="66" t="str">
        <x:f>=BX42+(0*7)</x:f>
      </x:c>
      <x:c r="CJ42" s="66" t="str">
        <x:f>=(1-CI42)*0.5</x:f>
      </x:c>
      <x:c r="CK42" s="66" t="str">
        <x:f>=1-CH42</x:f>
      </x:c>
      <x:c r="CM42" s="66" t="str">
        <x:f>=CJ42/(1-CI42)</x:f>
      </x:c>
    </x:row>
    <x:row r="43">
      <x:c r="A43" s="31" t="s">
        <x:v>175</x:v>
      </x:c>
      <x:c r="B43" t="s"/>
      <x:c r="C43" t="s">
        <x:v>176</x:v>
      </x:c>
      <x:c r="D43" t="s">
        <x:v>130</x:v>
      </x:c>
      <x:c r="E43" s="67" t="s">
        <x:v>131</x:v>
      </x:c>
      <x:c r="F43" t="n">
        <x:v>364</x:v>
      </x:c>
      <x:c r="G43" s="32" t="n">
        <x:v>0.2857142857142857142857142857</x:v>
      </x:c>
      <x:c r="H43" s="32" t="n">
        <x:v>0.2857142857142857142857142857</x:v>
      </x:c>
      <x:c r="I43" s="32" t="n">
        <x:v>0.2857142857142857142857142857</x:v>
      </x:c>
      <x:c r="J43" s="32" t="n">
        <x:v>0.2857142857142857142857142857</x:v>
      </x:c>
      <x:c r="K43" s="32" t="n">
        <x:v>0.2857142857142857142857142857</x:v>
      </x:c>
      <x:c r="L43" s="32" t="n">
        <x:v>0.2857142857142857142857142857</x:v>
      </x:c>
      <x:c r="M43" s="32" t="n">
        <x:v>0.2857142857142857142857142857</x:v>
      </x:c>
      <x:c r="N43" s="32" t="n">
        <x:v>0.2857142857142857142857142857</x:v>
      </x:c>
      <x:c r="O43" s="32" t="n">
        <x:v>0.2857142857142857142857142857</x:v>
      </x:c>
      <x:c r="P43" s="32" t="n">
        <x:v>0.3296703296703296703296703297</x:v>
      </x:c>
      <x:c r="Q43" s="32" t="n">
        <x:v>0.3846153846153846153846153846</x:v>
      </x:c>
      <x:c r="R43" s="32" t="n">
        <x:v>0.3846153846153846153846153846</x:v>
      </x:c>
      <x:c r="S43" s="32" t="n">
        <x:v>0.4065934065934065934065934066</x:v>
      </x:c>
      <x:c r="T43" s="32" t="n">
        <x:v>0.4203296703296703296703296703</x:v>
      </x:c>
      <x:c r="U43" s="32" t="n">
        <x:v>0.4285714285714285714285714286</x:v>
      </x:c>
      <x:c r="V43" s="32" t="n">
        <x:v>0.4615384615384615384615384615</x:v>
      </x:c>
      <x:c r="W43" s="32" t="n">
        <x:v>0.467032967032967032967032967</x:v>
      </x:c>
      <x:c r="X43" s="32" t="n">
        <x:v>0.4697802197802197802197802198</x:v>
      </x:c>
      <x:c r="Y43" s="32" t="n">
        <x:v>0.4697802197802197802197802198</x:v>
      </x:c>
      <x:c r="Z43" s="32" t="n">
        <x:v>0.4807692307692307692307692308</x:v>
      </x:c>
      <x:c r="AA43" s="32" t="n">
        <x:v>0.4917582417582417582417582418</x:v>
      </x:c>
      <x:c r="AB43" s="32" t="n">
        <x:v>0.5027472527472527472527472527</x:v>
      </x:c>
      <x:c r="AC43" s="32" t="n">
        <x:v>0.5247252747252747252747252747</x:v>
      </x:c>
      <x:c r="AD43" s="32" t="n">
        <x:v>0.5302197802197802197802197802</x:v>
      </x:c>
      <x:c r="AE43" s="32" t="n">
        <x:v>0.5274725274725274725274725275</x:v>
      </x:c>
      <x:c r="BI43" s="33" t="s"/>
      <x:c r="BJ43" s="11" t="s">
        <x:v>168</x:v>
      </x:c>
      <x:c r="BK43" s="12" t="str">
        <x:f>=BX43</x:f>
      </x:c>
      <x:c r="BL43" s="12" t="n">
        <x:v>0.5384615384615384615384615385</x:v>
      </x:c>
      <x:c r="BM43" s="12" t="n">
        <x:v>0.4285714285714285714285714286</x:v>
      </x:c>
      <x:c r="BN43" s="12" t="n">
        <x:v>0.032967032967032967032967033</x:v>
      </x:c>
      <x:c r="BO43" s="12" t="str">
        <x:f>=BW43</x:f>
      </x:c>
      <x:c r="BP43" s="12" t="str">
        <x:f>=CF43</x:f>
      </x:c>
      <x:c r="BQ43" s="12" t="str"/>
      <x:c r="BR43" s="12" t="str">
        <x:v>SS 2019 MSS</x:v>
      </x:c>
      <x:c r="BS43" s="13" t="str"/>
      <x:c r="BT43" s="30" t="n">
        <x:v>3557.99</x:v>
      </x:c>
      <x:c r="BU43" s="30" t="n">
        <x:v>-2800.20232186732184955080</x:v>
      </x:c>
      <x:c r="BV43" s="30" t="str">
        <x:f>=BT43+BU43</x:f>
      </x:c>
      <x:c r="BW43" s="66" t="str">
        <x:f>=BV43/BT43</x:f>
      </x:c>
      <x:c r="BX43" s="66" t="n">
        <x:v>0.967032967032967032967032967</x:v>
      </x:c>
      <x:c r="BY43" s="30" t="n">
        <x:v>2823.387960687960669640</x:v>
      </x:c>
      <x:c r="BZ43" s="41" t="n">
        <x:v>12</x:v>
      </x:c>
      <x:c r="CA43" s="30" t="n">
        <x:v>93.078723978723978120</x:v>
      </x:c>
      <x:c r="CC43" s="30" t="n">
        <x:v>3558.5174725274725274725274725</x:v>
      </x:c>
      <x:c r="CD43" s="30" t="n">
        <x:v>-2800.20232186732184955080</x:v>
      </x:c>
      <x:c r="CE43" s="30" t="str">
        <x:f>=CC43+CD43</x:f>
      </x:c>
      <x:c r="CF43" s="66" t="str">
        <x:f>=CE43/CC43</x:f>
      </x:c>
      <x:c r="CH43" s="66" t="str">
        <x:f>=CI43+CJ43</x:f>
      </x:c>
      <x:c r="CI43" s="66" t="str">
        <x:f>=BX43+(0*7)</x:f>
      </x:c>
      <x:c r="CJ43" s="66" t="str">
        <x:f>=(1-CI43)*0.5</x:f>
      </x:c>
      <x:c r="CK43" s="66" t="str">
        <x:f>=1-CH43</x:f>
      </x:c>
      <x:c r="CM43" s="66" t="str">
        <x:f>=CJ43/(1-CI43)</x:f>
      </x:c>
    </x:row>
    <x:row r="44">
      <x:c r="A44" s="31" t="s">
        <x:v>177</x:v>
      </x:c>
      <x:c r="B44" t="s"/>
      <x:c r="C44" t="s">
        <x:v>178</x:v>
      </x:c>
      <x:c r="D44" t="s">
        <x:v>130</x:v>
      </x:c>
      <x:c r="E44" s="67" t="s">
        <x:v>131</x:v>
      </x:c>
      <x:c r="F44" t="n">
        <x:v>970</x:v>
      </x:c>
      <x:c r="G44" s="32" t="n">
        <x:v>0.3103092783505154639175257732</x:v>
      </x:c>
      <x:c r="H44" s="32" t="n">
        <x:v>0.3103092783505154639175257732</x:v>
      </x:c>
      <x:c r="I44" s="32" t="n">
        <x:v>0.3103092783505154639175257732</x:v>
      </x:c>
      <x:c r="J44" s="32" t="n">
        <x:v>0.3103092783505154639175257732</x:v>
      </x:c>
      <x:c r="K44" s="32" t="n">
        <x:v>0.3103092783505154639175257732</x:v>
      </x:c>
      <x:c r="L44" s="32" t="n">
        <x:v>0.3103092783505154639175257732</x:v>
      </x:c>
      <x:c r="M44" s="32" t="n">
        <x:v>0.4597938144329896907216494845</x:v>
      </x:c>
      <x:c r="N44" s="32" t="n">
        <x:v>0.4597938144329896907216494845</x:v>
      </x:c>
      <x:c r="O44" s="32" t="n">
        <x:v>0.4597938144329896907216494845</x:v>
      </x:c>
      <x:c r="P44" s="32" t="n">
        <x:v>0.5288659793814432989690721649</x:v>
      </x:c>
      <x:c r="Q44" s="32" t="n">
        <x:v>0.5597938144329896907216494845</x:v>
      </x:c>
      <x:c r="R44" s="32" t="n">
        <x:v>0.5597938144329896907216494845</x:v>
      </x:c>
      <x:c r="S44" s="32" t="n">
        <x:v>0.5958762886597938144329896907</x:v>
      </x:c>
      <x:c r="T44" s="32" t="n">
        <x:v>0.5989690721649484536082474227</x:v>
      </x:c>
      <x:c r="U44" s="32" t="n">
        <x:v>0.6103092783505154639175257732</x:v>
      </x:c>
      <x:c r="V44" s="32" t="n">
        <x:v>0.6268041237113402061855670103</x:v>
      </x:c>
      <x:c r="W44" s="32" t="n">
        <x:v>0.6391752577319587628865979381</x:v>
      </x:c>
      <x:c r="X44" s="32" t="n">
        <x:v>0.6762886597938144329896907216</x:v>
      </x:c>
      <x:c r="Y44" s="32" t="n">
        <x:v>0.6762886597938144329896907216</x:v>
      </x:c>
      <x:c r="Z44" s="23" t="n">
        <x:v>0.7010309278350515463917525773</x:v>
      </x:c>
      <x:c r="AA44" s="32" t="n">
        <x:v>0.6958762886597938144329896907</x:v>
      </x:c>
      <x:c r="AB44" s="32" t="n">
        <x:v>0.6989690721649484536082474227</x:v>
      </x:c>
      <x:c r="AC44" s="32" t="n">
        <x:v>0.6886597938144329896907216495</x:v>
      </x:c>
      <x:c r="AD44" s="32" t="n">
        <x:v>0.6855670103092783505154639175</x:v>
      </x:c>
      <x:c r="AE44" s="32" t="n">
        <x:v>0.6835051546391752577319587629</x:v>
      </x:c>
      <x:c r="BI44" s="33" t="s"/>
      <x:c r="BJ44" s="11" t="s">
        <x:v>168</x:v>
      </x:c>
      <x:c r="BK44" s="12" t="str">
        <x:f>=BX44</x:f>
      </x:c>
      <x:c r="BL44" s="12" t="n">
        <x:v>0.6804123711340206185567010309</x:v>
      </x:c>
      <x:c r="BM44" s="12" t="n">
        <x:v>0.3020618556701030927835051546</x:v>
      </x:c>
      <x:c r="BN44" s="12" t="n">
        <x:v>0.0175257731958762886597938144</x:v>
      </x:c>
      <x:c r="BO44" s="12" t="str">
        <x:f>=BW44</x:f>
      </x:c>
      <x:c r="BP44" s="12" t="str">
        <x:f>=CF44</x:f>
      </x:c>
      <x:c r="BQ44" s="12" t="str"/>
      <x:c r="BR44" s="12" t="str">
        <x:v>SS 2019 MSS</x:v>
      </x:c>
      <x:c r="BS44" s="13" t="str"/>
      <x:c r="BT44" s="30" t="n">
        <x:v>14917.16</x:v>
      </x:c>
      <x:c r="BU44" s="30" t="n">
        <x:v>-12027.70182210545840000000</x:v>
      </x:c>
      <x:c r="BV44" s="30" t="str">
        <x:f>=BT44+BU44</x:f>
      </x:c>
      <x:c r="BW44" s="66" t="str">
        <x:f>=BV44/BT44</x:f>
      </x:c>
      <x:c r="BX44" s="66" t="n">
        <x:v>0.9824742268041237113402061856</x:v>
      </x:c>
      <x:c r="BY44" s="30" t="n">
        <x:v>12035.692600108720000000</x:v>
      </x:c>
      <x:c r="BZ44" s="41" t="n">
        <x:v>17</x:v>
      </x:c>
      <x:c r="CA44" s="30" t="n">
        <x:v>210.934818764792000000</x:v>
      </x:c>
      <x:c r="CC44" s="30" t="n">
        <x:v>14917.843505154639175257731959</x:v>
      </x:c>
      <x:c r="CD44" s="30" t="n">
        <x:v>-12027.70182210545840000000</x:v>
      </x:c>
      <x:c r="CE44" s="30" t="str">
        <x:f>=CC44+CD44</x:f>
      </x:c>
      <x:c r="CF44" s="66" t="str">
        <x:f>=CE44/CC44</x:f>
      </x:c>
      <x:c r="CH44" s="66" t="str">
        <x:f>=CI44+CJ44</x:f>
      </x:c>
      <x:c r="CI44" s="66" t="str">
        <x:f>=BX44+(0*7)</x:f>
      </x:c>
      <x:c r="CJ44" s="66" t="str">
        <x:f>=(1-CI44)*0.5</x:f>
      </x:c>
      <x:c r="CK44" s="66" t="str">
        <x:f>=1-CH44</x:f>
      </x:c>
      <x:c r="CM44" s="66" t="str">
        <x:f>=CJ44/(1-CI44)</x:f>
      </x:c>
    </x:row>
    <x:row r="45">
      <x:c r="A45" s="31" t="s">
        <x:v>179</x:v>
      </x:c>
      <x:c r="B45" t="s"/>
      <x:c r="C45" t="s">
        <x:v>180</x:v>
      </x:c>
      <x:c r="D45" t="s">
        <x:v>118</x:v>
      </x:c>
      <x:c r="E45" s="67" t="s">
        <x:v>131</x:v>
      </x:c>
      <x:c r="F45" t="n">
        <x:v>1049</x:v>
      </x:c>
      <x:c r="G45" s="32" t="n">
        <x:v>0.1611058150619637750238322212</x:v>
      </x:c>
      <x:c r="H45" s="32" t="n">
        <x:v>0.3326978074356530028598665396</x:v>
      </x:c>
      <x:c r="I45" s="32" t="n">
        <x:v>0.3937082936129647283126787417</x:v>
      </x:c>
      <x:c r="J45" s="32" t="n">
        <x:v>0.4165872259294566253574833174</x:v>
      </x:c>
      <x:c r="K45" s="32" t="n">
        <x:v>0.5243088655862726406101048618</x:v>
      </x:c>
      <x:c r="L45" s="23" t="n">
        <x:v>0.8131553860819828408007626311</x:v>
      </x:c>
      <x:c r="M45" s="32" t="n">
        <x:v>0.8007626310772163965681601525</x:v>
      </x:c>
      <x:c r="N45" s="32" t="n">
        <x:v>0.8007626310772163965681601525</x:v>
      </x:c>
      <x:c r="O45" s="32" t="n">
        <x:v>0.8408007626310772163965681602</x:v>
      </x:c>
      <x:c r="P45" s="32" t="n">
        <x:v>0.8817921830314585319351763584</x:v>
      </x:c>
      <x:c r="Q45" s="32" t="n">
        <x:v>0.8856053384175405147759771211</x:v>
      </x:c>
      <x:c r="R45" s="32" t="n">
        <x:v>0.9094375595805529075309818875</x:v>
      </x:c>
      <x:c r="S45" s="32" t="n">
        <x:v>0.9351763584366062917063870353</x:v>
      </x:c>
      <x:c r="T45" s="32" t="n">
        <x:v>0.9437559580552907530981887512</x:v>
      </x:c>
      <x:c r="BI45" s="33" t="s"/>
      <x:c r="BJ45" s="11" t="s">
        <x:v>123</x:v>
      </x:c>
      <x:c r="BK45" s="12" t="str">
        <x:f>=BX45</x:f>
      </x:c>
      <x:c r="BL45" s="12" t="n">
        <x:v>0.924690181124880838894184938</x:v>
      </x:c>
      <x:c r="BM45" s="12" t="n">
        <x:v>0.0514775977121067683508102955</x:v>
      </x:c>
      <x:c r="BN45" s="12" t="n">
        <x:v>0.0238322211630123927550047664</x:v>
      </x:c>
      <x:c r="BO45" s="12" t="str">
        <x:f>=BW45</x:f>
      </x:c>
      <x:c r="BP45" s="12" t="str">
        <x:f>=CF45</x:f>
      </x:c>
      <x:c r="BQ45" s="12" t="str"/>
      <x:c r="BR45" s="12" t="str">
        <x:v>SS 2019 MSS</x:v>
      </x:c>
      <x:c r="BS45" s="13" t="str"/>
      <x:c r="BT45" s="30" t="n">
        <x:v>12977.31</x:v>
      </x:c>
      <x:c r="BU45" s="30" t="n">
        <x:v>-7611.0195</x:v>
      </x:c>
      <x:c r="BV45" s="30" t="str">
        <x:f>=BT45+BU45</x:f>
      </x:c>
      <x:c r="BW45" s="66" t="str">
        <x:f>=BV45/BT45</x:f>
      </x:c>
      <x:c r="BX45" s="66" t="n">
        <x:v>0.9761677788369876072449952336</x:v>
      </x:c>
      <x:c r="BY45" s="30" t="n">
        <x:v>7238.10</x:v>
      </x:c>
      <x:c r="BZ45" s="41" t="n">
        <x:v>25</x:v>
      </x:c>
      <x:c r="CA45" s="30" t="n">
        <x:v>172.50</x:v>
      </x:c>
      <x:c r="CC45" s="30" t="n">
        <x:v>12978.253755958055290753098189</x:v>
      </x:c>
      <x:c r="CD45" s="30" t="n">
        <x:v>-7611.0195</x:v>
      </x:c>
      <x:c r="CE45" s="30" t="str">
        <x:f>=CC45+CD45</x:f>
      </x:c>
      <x:c r="CF45" s="66" t="str">
        <x:f>=CE45/CC45</x:f>
      </x:c>
      <x:c r="CH45" s="66" t="str">
        <x:f>=CI45+CJ45</x:f>
      </x:c>
      <x:c r="CI45" s="66" t="str">
        <x:f>=BX45+(0*7)</x:f>
      </x:c>
      <x:c r="CJ45" s="66" t="str">
        <x:f>=(1-CI45)*0.5</x:f>
      </x:c>
      <x:c r="CK45" s="66" t="str">
        <x:f>=1-CH45</x:f>
      </x:c>
      <x:c r="CM45" s="66" t="str">
        <x:f>=CJ45/(1-CI45)</x:f>
      </x:c>
    </x:row>
    <x:row r="46">
      <x:c r="A46" s="31" t="s">
        <x:v>181</x:v>
      </x:c>
      <x:c r="B46" t="s"/>
      <x:c r="C46" t="s">
        <x:v>182</x:v>
      </x:c>
      <x:c r="D46" t="s">
        <x:v>118</x:v>
      </x:c>
      <x:c r="E46" s="67" t="s">
        <x:v>131</x:v>
      </x:c>
      <x:c r="F46" t="n">
        <x:v>1050</x:v>
      </x:c>
      <x:c r="G46" s="32" t="n">
        <x:v>0.26</x:v>
      </x:c>
      <x:c r="H46" s="32" t="n">
        <x:v>0.3657142857142857142857142857</x:v>
      </x:c>
      <x:c r="I46" s="32" t="n">
        <x:v>0.3685714285714285714285714286</x:v>
      </x:c>
      <x:c r="J46" s="32" t="n">
        <x:v>0.3904761904761904761904761905</x:v>
      </x:c>
      <x:c r="K46" s="32" t="n">
        <x:v>0.4161904761904761904761904762</x:v>
      </x:c>
      <x:c r="L46" s="32" t="n">
        <x:v>0.4495238095238095238095238095</x:v>
      </x:c>
      <x:c r="M46" s="32" t="n">
        <x:v>0.4933333333333333333333333333</x:v>
      </x:c>
      <x:c r="N46" s="32" t="n">
        <x:v>0.4933333333333333333333333333</x:v>
      </x:c>
      <x:c r="O46" s="32" t="n">
        <x:v>0.5171428571428571428571428571</x:v>
      </x:c>
      <x:c r="P46" s="32" t="n">
        <x:v>0.5552380952380952380952380952</x:v>
      </x:c>
      <x:c r="Q46" s="32" t="n">
        <x:v>0.5819047619047619047619047619</x:v>
      </x:c>
      <x:c r="R46" s="32" t="n">
        <x:v>0.5838095238095238095238095238</x:v>
      </x:c>
      <x:c r="S46" s="32" t="n">
        <x:v>0.58</x:v>
      </x:c>
      <x:c r="T46" s="32" t="n">
        <x:v>0.58</x:v>
      </x:c>
      <x:c r="BI46" s="33" t="s"/>
      <x:c r="BJ46" s="11" t="s">
        <x:v>123</x:v>
      </x:c>
      <x:c r="BK46" s="12" t="str">
        <x:f>=BX46</x:f>
      </x:c>
      <x:c r="BL46" s="12" t="n">
        <x:v>0.579047619047619047619047619</x:v>
      </x:c>
      <x:c r="BM46" s="12" t="n">
        <x:v>0.3933333333333333333333333333</x:v>
      </x:c>
      <x:c r="BN46" s="12" t="n">
        <x:v>0.0276190476190476190476190476</x:v>
      </x:c>
      <x:c r="BO46" s="12" t="str">
        <x:f>=BW46</x:f>
      </x:c>
      <x:c r="BP46" s="12" t="str">
        <x:f>=CF46</x:f>
      </x:c>
      <x:c r="BQ46" s="12" t="str"/>
      <x:c r="BR46" s="12" t="str">
        <x:v>SS 2019 MSS</x:v>
      </x:c>
      <x:c r="BS46" s="13" t="str"/>
      <x:c r="BT46" s="30" t="n">
        <x:v>16280.73</x:v>
      </x:c>
      <x:c r="BU46" s="30" t="n">
        <x:v>-14848.9950</x:v>
      </x:c>
      <x:c r="BV46" s="30" t="str">
        <x:f>=BT46+BU46</x:f>
      </x:c>
      <x:c r="BW46" s="66" t="str">
        <x:f>=BV46/BT46</x:f>
      </x:c>
      <x:c r="BX46" s="66" t="n">
        <x:v>0.9723809523809523809523809524</x:v>
      </x:c>
      <x:c r="BY46" s="30" t="n">
        <x:v>13314.00</x:v>
      </x:c>
      <x:c r="BZ46" s="41" t="n">
        <x:v>29</x:v>
      </x:c>
      <x:c r="CA46" s="30" t="n">
        <x:v>367.72</x:v>
      </x:c>
      <x:c r="CC46" s="30" t="n">
        <x:v>16281.31</x:v>
      </x:c>
      <x:c r="CD46" s="30" t="n">
        <x:v>-14848.9950</x:v>
      </x:c>
      <x:c r="CE46" s="30" t="str">
        <x:f>=CC46+CD46</x:f>
      </x:c>
      <x:c r="CF46" s="66" t="str">
        <x:f>=CE46/CC46</x:f>
      </x:c>
      <x:c r="CH46" s="66" t="str">
        <x:f>=CI46+CJ46</x:f>
      </x:c>
      <x:c r="CI46" s="66" t="str">
        <x:f>=BX46+(0*7)</x:f>
      </x:c>
      <x:c r="CJ46" s="66" t="str">
        <x:f>=(1-CI46)*0.5</x:f>
      </x:c>
      <x:c r="CK46" s="66" t="str">
        <x:f>=1-CH46</x:f>
      </x:c>
      <x:c r="CM46" s="66" t="str">
        <x:f>=CJ46/(1-CI46)</x:f>
      </x:c>
    </x:row>
    <x:row r="47">
      <x:c r="A47" s="31" t="s">
        <x:v>183</x:v>
      </x:c>
      <x:c r="B47" t="s"/>
      <x:c r="C47" t="s">
        <x:v>184</x:v>
      </x:c>
      <x:c r="D47" t="s">
        <x:v>118</x:v>
      </x:c>
      <x:c r="E47" s="67" t="s">
        <x:v>131</x:v>
      </x:c>
      <x:c r="F47" t="n">
        <x:v>1050</x:v>
      </x:c>
      <x:c r="G47" s="32" t="n">
        <x:v>0.5580952380952380952380952381</x:v>
      </x:c>
      <x:c r="H47" s="32" t="n">
        <x:v>0.6180952380952380952380952381</x:v>
      </x:c>
      <x:c r="I47" s="32" t="n">
        <x:v>0.6380952380952380952380952381</x:v>
      </x:c>
      <x:c r="J47" s="32" t="n">
        <x:v>0.6438095238095238095238095238</x:v>
      </x:c>
      <x:c r="K47" s="32" t="n">
        <x:v>0.6714285714285714285714285714</x:v>
      </x:c>
      <x:c r="L47" s="23" t="n">
        <x:v>0.7133333333333333333333333333</x:v>
      </x:c>
      <x:c r="M47" s="32" t="n">
        <x:v>0.7742857142857142857142857143</x:v>
      </x:c>
      <x:c r="N47" s="32" t="n">
        <x:v>0.7742857142857142857142857143</x:v>
      </x:c>
      <x:c r="O47" s="32" t="n">
        <x:v>0.7838095238095238095238095238</x:v>
      </x:c>
      <x:c r="P47" s="32" t="n">
        <x:v>0.8219047619047619047619047619</x:v>
      </x:c>
      <x:c r="Q47" s="32" t="n">
        <x:v>0.8228571428571428571428571429</x:v>
      </x:c>
      <x:c r="R47" s="32" t="n">
        <x:v>0.8333333333333333333333333333</x:v>
      </x:c>
      <x:c r="S47" s="32" t="n">
        <x:v>0.8295238095238095238095238095</x:v>
      </x:c>
      <x:c r="T47" s="32" t="n">
        <x:v>0.8276190476190476190476190476</x:v>
      </x:c>
      <x:c r="BI47" s="33" t="s"/>
      <x:c r="BJ47" s="11" t="s">
        <x:v>123</x:v>
      </x:c>
      <x:c r="BK47" s="12" t="str">
        <x:f>=BX47</x:f>
      </x:c>
      <x:c r="BL47" s="12" t="n">
        <x:v>0.8285714285714285714285714286</x:v>
      </x:c>
      <x:c r="BM47" s="12" t="n">
        <x:v>0.1657142857142857142857142857</x:v>
      </x:c>
      <x:c r="BN47" s="12" t="n">
        <x:v>0.0057142857142857142857142857</x:v>
      </x:c>
      <x:c r="BO47" s="12" t="str">
        <x:f>=BW47</x:f>
      </x:c>
      <x:c r="BP47" s="12" t="str">
        <x:f>=CF47</x:f>
      </x:c>
      <x:c r="BQ47" s="12" t="str"/>
      <x:c r="BR47" s="12" t="str">
        <x:v>SS 2019 MSS</x:v>
      </x:c>
      <x:c r="BS47" s="13" t="str"/>
      <x:c r="BT47" s="30" t="n">
        <x:v>18389.95</x:v>
      </x:c>
      <x:c r="BU47" s="30" t="n">
        <x:v>-14848.9950</x:v>
      </x:c>
      <x:c r="BV47" s="30" t="str">
        <x:f>=BT47+BU47</x:f>
      </x:c>
      <x:c r="BW47" s="66" t="str">
        <x:f>=BV47/BT47</x:f>
      </x:c>
      <x:c r="BX47" s="66" t="n">
        <x:v>0.9942857142857142857142857143</x:v>
      </x:c>
      <x:c r="BY47" s="30" t="n">
        <x:v>13314.00</x:v>
      </x:c>
      <x:c r="BZ47" s="41" t="n">
        <x:v>6</x:v>
      </x:c>
      <x:c r="CA47" s="30" t="n">
        <x:v>76.08</x:v>
      </x:c>
      <x:c r="CC47" s="30" t="n">
        <x:v>18390.777619047619047619047619</x:v>
      </x:c>
      <x:c r="CD47" s="30" t="n">
        <x:v>-14848.9950</x:v>
      </x:c>
      <x:c r="CE47" s="30" t="str">
        <x:f>=CC47+CD47</x:f>
      </x:c>
      <x:c r="CF47" s="66" t="str">
        <x:f>=CE47/CC47</x:f>
      </x:c>
      <x:c r="CH47" s="66" t="str">
        <x:f>=CI47+CJ47</x:f>
      </x:c>
      <x:c r="CI47" s="66" t="str">
        <x:f>=BX47+(0*7)</x:f>
      </x:c>
      <x:c r="CJ47" s="66" t="str">
        <x:f>=(1-CI47)*0.5</x:f>
      </x:c>
      <x:c r="CK47" s="66" t="str">
        <x:f>=1-CH47</x:f>
      </x:c>
      <x:c r="CM47" s="66" t="str">
        <x:f>=CJ47/(1-CI47)</x:f>
      </x:c>
    </x:row>
    <x:row r="48">
      <x:c r="A48" s="31" t="s"/>
      <x:c r="BI48" s="33" t="s"/>
      <x:c r="BJ48" s="11" t="s"/>
      <x:c r="BS48" s="13" t="s"/>
    </x:row>
    <x:row r="49">
      <x:c r="A49" s="17" t="s">
        <x:v>114</x:v>
      </x:c>
      <x:c r="BI49" s="33" t="s"/>
      <x:c r="BJ49" s="11" t="s"/>
      <x:c r="BS49" s="13" t="s"/>
    </x:row>
    <x:row r="50">
      <x:c r="A50" s="31" t="s">
        <x:v>185</x:v>
      </x:c>
      <x:c r="B50" t="s"/>
      <x:c r="C50" t="s">
        <x:v>186</x:v>
      </x:c>
      <x:c r="D50" t="s">
        <x:v>130</x:v>
      </x:c>
      <x:c r="E50" s="67" t="s">
        <x:v>131</x:v>
      </x:c>
      <x:c r="F50" t="n">
        <x:v>454</x:v>
      </x:c>
      <x:c r="G50" s="32" t="n">
        <x:v>0.1674008810572687224669603524</x:v>
      </x:c>
      <x:c r="H50" s="32" t="n">
        <x:v>0.1674008810572687224669603524</x:v>
      </x:c>
      <x:c r="I50" s="32" t="n">
        <x:v>0.1674008810572687224669603524</x:v>
      </x:c>
      <x:c r="J50" s="32" t="n">
        <x:v>0.1674008810572687224669603524</x:v>
      </x:c>
      <x:c r="K50" s="32" t="n">
        <x:v>0.1674008810572687224669603524</x:v>
      </x:c>
      <x:c r="L50" s="32" t="n">
        <x:v>0.1674008810572687224669603524</x:v>
      </x:c>
      <x:c r="M50" s="32" t="n">
        <x:v>0.1850220264317180616740088106</x:v>
      </x:c>
      <x:c r="N50" s="32" t="n">
        <x:v>0.1850220264317180616740088106</x:v>
      </x:c>
      <x:c r="O50" s="32" t="n">
        <x:v>0.1850220264317180616740088106</x:v>
      </x:c>
      <x:c r="P50" s="32" t="n">
        <x:v>0.2004405286343612334801762115</x:v>
      </x:c>
      <x:c r="Q50" s="32" t="n">
        <x:v>0.2092511013215859030837004405</x:v>
      </x:c>
      <x:c r="R50" s="32" t="n">
        <x:v>0.2092511013215859030837004405</x:v>
      </x:c>
      <x:c r="S50" s="32" t="n">
        <x:v>0.1916299559471365638766519824</x:v>
      </x:c>
      <x:c r="T50" s="32" t="n">
        <x:v>0.204845814977973568281938326</x:v>
      </x:c>
      <x:c r="U50" s="32" t="n">
        <x:v>0.2488986784140969162995594714</x:v>
      </x:c>
      <x:c r="V50" s="32" t="n">
        <x:v>0.262114537444933920704845815</x:v>
      </x:c>
      <x:c r="W50" s="32" t="n">
        <x:v>0.295154185022026431718061674</x:v>
      </x:c>
      <x:c r="X50" s="32" t="n">
        <x:v>0.2797356828193832599118942731</x:v>
      </x:c>
      <x:c r="Y50" s="32" t="n">
        <x:v>0.2797356828193832599118942731</x:v>
      </x:c>
      <x:c r="Z50" s="32" t="n">
        <x:v>0.2665198237885462555066079295</x:v>
      </x:c>
      <x:c r="AA50" s="32" t="n">
        <x:v>0.2665198237885462555066079295</x:v>
      </x:c>
      <x:c r="AB50" s="32" t="n">
        <x:v>0.2797356828193832599118942731</x:v>
      </x:c>
      <x:c r="AC50" s="32" t="n">
        <x:v>0.3105726872246696035242290749</x:v>
      </x:c>
      <x:c r="AD50" s="32" t="n">
        <x:v>0.3171806167400881057268722467</x:v>
      </x:c>
      <x:c r="AE50" s="32" t="n">
        <x:v>0.3237885462555066079295154185</x:v>
      </x:c>
      <x:c r="BI50" s="33" t="s"/>
      <x:c r="BJ50" s="11" t="s">
        <x:v>168</x:v>
      </x:c>
      <x:c r="BK50" s="12" t="str">
        <x:f>=BX50</x:f>
      </x:c>
      <x:c r="BL50" s="12" t="n">
        <x:v>0.3061674008810572687224669604</x:v>
      </x:c>
      <x:c r="BM50" s="12" t="n">
        <x:v>0.4603524229074889867841409692</x:v>
      </x:c>
      <x:c r="BN50" s="12" t="n">
        <x:v>0.2334801762114537444933920705</x:v>
      </x:c>
      <x:c r="BO50" s="12" t="str">
        <x:f>=BW50</x:f>
      </x:c>
      <x:c r="BP50" s="12" t="str">
        <x:f>=CF50</x:f>
      </x:c>
      <x:c r="BQ50" s="12" t="str"/>
      <x:c r="BR50" s="12" t="str">
        <x:v>SS 2019 MSS</x:v>
      </x:c>
      <x:c r="BS50" s="13" t="str"/>
      <x:c r="BT50" s="30" t="n">
        <x:v>5873.16</x:v>
      </x:c>
      <x:c r="BU50" s="30" t="n">
        <x:v>-7317.53109217772349244160</x:v>
      </x:c>
      <x:c r="BV50" s="30" t="str">
        <x:f>=BT50+BU50</x:f>
      </x:c>
      <x:c r="BW50" s="66" t="str">
        <x:f>=BV50/BT50</x:f>
      </x:c>
      <x:c r="BX50" s="66" t="n">
        <x:v>0.7665198237885462555066079295</x:v>
      </x:c>
      <x:c r="BY50" s="30" t="n">
        <x:v>7149.240919770848961280</x:v>
      </x:c>
      <x:c r="BZ50" s="41" t="n">
        <x:v>106</x:v>
      </x:c>
      <x:c r="CA50" s="30" t="n">
        <x:v>1669.206029726233457920</x:v>
      </x:c>
      <x:c r="CC50" s="30" t="n">
        <x:v>5873.4837885462555066079295154</x:v>
      </x:c>
      <x:c r="CD50" s="30" t="n">
        <x:v>-7317.53109217772349244160</x:v>
      </x:c>
      <x:c r="CE50" s="30" t="str">
        <x:f>=CC50+CD50</x:f>
      </x:c>
      <x:c r="CF50" s="66" t="str">
        <x:f>=CE50/CC50</x:f>
      </x:c>
      <x:c r="CH50" s="66" t="str">
        <x:f>=CI50+CJ50</x:f>
      </x:c>
      <x:c r="CI50" s="66" t="str">
        <x:f>=BX50+(0*7)</x:f>
      </x:c>
      <x:c r="CJ50" s="66" t="str">
        <x:f>=(1-CI50)*0.5</x:f>
      </x:c>
      <x:c r="CK50" s="66" t="str">
        <x:f>=1-CH50</x:f>
      </x:c>
      <x:c r="CM50" s="66" t="str">
        <x:f>=CJ50/(1-CI50)</x:f>
      </x:c>
    </x:row>
    <x:row r="51">
      <x:c r="A51" s="31" t="s">
        <x:v>187</x:v>
      </x:c>
      <x:c r="B51" t="s"/>
      <x:c r="C51" t="s">
        <x:v>188</x:v>
      </x:c>
      <x:c r="D51" t="s">
        <x:v>130</x:v>
      </x:c>
      <x:c r="E51" s="67" t="s">
        <x:v>131</x:v>
      </x:c>
      <x:c r="F51" t="n">
        <x:v>526</x:v>
      </x:c>
      <x:c r="G51" s="32" t="n">
        <x:v>0.1026615969581749049429657795</x:v>
      </x:c>
      <x:c r="H51" s="32" t="n">
        <x:v>0.1026615969581749049429657795</x:v>
      </x:c>
      <x:c r="I51" s="32" t="n">
        <x:v>0.1026615969581749049429657795</x:v>
      </x:c>
      <x:c r="J51" s="32" t="n">
        <x:v>0.1026615969581749049429657795</x:v>
      </x:c>
      <x:c r="K51" s="32" t="n">
        <x:v>0.1026615969581749049429657795</x:v>
      </x:c>
      <x:c r="L51" s="32" t="n">
        <x:v>0.1026615969581749049429657795</x:v>
      </x:c>
      <x:c r="M51" s="32" t="n">
        <x:v>0.1026615969581749049429657795</x:v>
      </x:c>
      <x:c r="N51" s="32" t="n">
        <x:v>0.1026615969581749049429657795</x:v>
      </x:c>
      <x:c r="O51" s="32" t="n">
        <x:v>0.1026615969581749049429657795</x:v>
      </x:c>
      <x:c r="P51" s="32" t="n">
        <x:v>0.1216730038022813688212927757</x:v>
      </x:c>
      <x:c r="Q51" s="32" t="n">
        <x:v>0.0969581749049429657794676806</x:v>
      </x:c>
      <x:c r="R51" s="32" t="n">
        <x:v>0.0969581749049429657794676806</x:v>
      </x:c>
      <x:c r="S51" s="32" t="n">
        <x:v>0.0874524714828897338403041825</x:v>
      </x:c>
      <x:c r="T51" s="32" t="n">
        <x:v>0.0817490494296577946768060837</x:v>
      </x:c>
      <x:c r="U51" s="32" t="n">
        <x:v>0.0817490494296577946768060837</x:v>
      </x:c>
      <x:c r="V51" s="32" t="n">
        <x:v>0.0874524714828897338403041825</x:v>
      </x:c>
      <x:c r="W51" s="32" t="n">
        <x:v>0.0988593155893536121673003802</x:v>
      </x:c>
      <x:c r="X51" s="32" t="n">
        <x:v>0.1026615969581749049429657795</x:v>
      </x:c>
      <x:c r="Y51" s="32" t="n">
        <x:v>0.1026615969581749049429657795</x:v>
      </x:c>
      <x:c r="Z51" s="32" t="n">
        <x:v>0.1083650190114068441064638783</x:v>
      </x:c>
      <x:c r="AA51" s="32" t="n">
        <x:v>0.1102661596958174904942965779</x:v>
      </x:c>
      <x:c r="AB51" s="32" t="n">
        <x:v>0.119771863117870722433460076</x:v>
      </x:c>
      <x:c r="AC51" s="32" t="n">
        <x:v>0.1121673003802281368821292776</x:v>
      </x:c>
      <x:c r="AD51" s="32" t="n">
        <x:v>0.1216730038022813688212927757</x:v>
      </x:c>
      <x:c r="AE51" s="32" t="n">
        <x:v>0.1254752851711026615969581749</x:v>
      </x:c>
      <x:c r="BI51" s="33" t="s"/>
      <x:c r="BJ51" s="11" t="s">
        <x:v>168</x:v>
      </x:c>
      <x:c r="BK51" s="12" t="str">
        <x:f>=BX51</x:f>
      </x:c>
      <x:c r="BL51" s="12" t="n">
        <x:v>0.1273764258555133079847908745</x:v>
      </x:c>
      <x:c r="BM51" s="12" t="n">
        <x:v>0.6958174904942965779467680608</x:v>
      </x:c>
      <x:c r="BN51" s="12" t="n">
        <x:v>0.1768060836501901140684410646</x:v>
      </x:c>
      <x:c r="BO51" s="12" t="str">
        <x:f>=BW51</x:f>
      </x:c>
      <x:c r="BP51" s="12" t="str">
        <x:f>=CF51</x:f>
      </x:c>
      <x:c r="BQ51" s="12" t="str"/>
      <x:c r="BR51" s="12" t="str">
        <x:v>SS 2019 MSS</x:v>
      </x:c>
      <x:c r="BS51" s="13" t="str"/>
      <x:c r="BT51" s="30" t="n">
        <x:v>4072.77</x:v>
      </x:c>
      <x:c r="BU51" s="30" t="n">
        <x:v>-7352.24845401937717488160</x:v>
      </x:c>
      <x:c r="BV51" s="30" t="str">
        <x:f>=BT51+BU51</x:f>
      </x:c>
      <x:c r="BW51" s="66" t="str">
        <x:f>=BV51/BT51</x:f>
      </x:c>
      <x:c r="BX51" s="66" t="n">
        <x:v>0.8231939163498098859315589354</x:v>
      </x:c>
      <x:c r="BY51" s="30" t="n">
        <x:v>7247.661086617914613280</x:v>
      </x:c>
      <x:c r="BZ51" s="41" t="n">
        <x:v>93</x:v>
      </x:c>
      <x:c r="CA51" s="30" t="n">
        <x:v>1281.430572348794789040</x:v>
      </x:c>
      <x:c r="CC51" s="30" t="n">
        <x:v>4072.8954752851711026615969582</x:v>
      </x:c>
      <x:c r="CD51" s="30" t="n">
        <x:v>-7352.24845401937717488160</x:v>
      </x:c>
      <x:c r="CE51" s="30" t="str">
        <x:f>=CC51+CD51</x:f>
      </x:c>
      <x:c r="CF51" s="66" t="str">
        <x:f>=CE51/CC51</x:f>
      </x:c>
      <x:c r="CH51" s="66" t="str">
        <x:f>=CI51+CJ51</x:f>
      </x:c>
      <x:c r="CI51" s="66" t="str">
        <x:f>=BX51+(0*7)</x:f>
      </x:c>
      <x:c r="CJ51" s="66" t="str">
        <x:f>=(1-CI51)*0.5</x:f>
      </x:c>
      <x:c r="CK51" s="66" t="str">
        <x:f>=1-CH51</x:f>
      </x:c>
      <x:c r="CM51" s="66" t="str">
        <x:f>=CJ51/(1-CI51)</x:f>
      </x:c>
    </x:row>
    <x:row r="52">
      <x:c r="A52" s="31" t="s">
        <x:v>189</x:v>
      </x:c>
      <x:c r="B52" t="s"/>
      <x:c r="C52" t="s">
        <x:v>190</x:v>
      </x:c>
      <x:c r="D52" t="s">
        <x:v>130</x:v>
      </x:c>
      <x:c r="E52" s="67" t="s">
        <x:v>131</x:v>
      </x:c>
      <x:c r="F52" t="n">
        <x:v>527</x:v>
      </x:c>
      <x:c r="G52" s="32" t="n">
        <x:v>0.2220113851992409867172675522</x:v>
      </x:c>
      <x:c r="H52" s="32" t="n">
        <x:v>0.2220113851992409867172675522</x:v>
      </x:c>
      <x:c r="I52" s="32" t="n">
        <x:v>0.2220113851992409867172675522</x:v>
      </x:c>
      <x:c r="J52" s="32" t="n">
        <x:v>0.2220113851992409867172675522</x:v>
      </x:c>
      <x:c r="K52" s="32" t="n">
        <x:v>0.2220113851992409867172675522</x:v>
      </x:c>
      <x:c r="L52" s="32" t="n">
        <x:v>0.2220113851992409867172675522</x:v>
      </x:c>
      <x:c r="M52" s="32" t="n">
        <x:v>0.2770398481973434535104364326</x:v>
      </x:c>
      <x:c r="N52" s="32" t="n">
        <x:v>0.2770398481973434535104364326</x:v>
      </x:c>
      <x:c r="O52" s="32" t="n">
        <x:v>0.2770398481973434535104364326</x:v>
      </x:c>
      <x:c r="P52" s="32" t="n">
        <x:v>0.4117647058823529411764705882</x:v>
      </x:c>
      <x:c r="Q52" s="32" t="n">
        <x:v>0.3776091081593927893738140417</x:v>
      </x:c>
      <x:c r="R52" s="32" t="n">
        <x:v>0.3776091081593927893738140417</x:v>
      </x:c>
      <x:c r="S52" s="32" t="n">
        <x:v>0.3700189753320683111954459203</x:v>
      </x:c>
      <x:c r="T52" s="32" t="n">
        <x:v>0.3092979127134724857685009488</x:v>
      </x:c>
      <x:c r="U52" s="32" t="n">
        <x:v>0.2713472485768500948766603416</x:v>
      </x:c>
      <x:c r="V52" s="32" t="n">
        <x:v>0.2751423149905123339658444023</x:v>
      </x:c>
      <x:c r="W52" s="32" t="n">
        <x:v>0.2922201138519924098671726755</x:v>
      </x:c>
      <x:c r="X52" s="32" t="n">
        <x:v>0.326375711574952561669829222</x:v>
      </x:c>
      <x:c r="Y52" s="32" t="n">
        <x:v>0.326375711574952561669829222</x:v>
      </x:c>
      <x:c r="Z52" s="32" t="n">
        <x:v>0.3282732447817836812144212524</x:v>
      </x:c>
      <x:c r="AA52" s="32" t="n">
        <x:v>0.3092979127134724857685009488</x:v>
      </x:c>
      <x:c r="AB52" s="32" t="n">
        <x:v>0.3396584440227703984819734345</x:v>
      </x:c>
      <x:c r="AC52" s="32" t="n">
        <x:v>0.3529411764705882352941176471</x:v>
      </x:c>
      <x:c r="AD52" s="32" t="n">
        <x:v>0.415559772296015180265654649</x:v>
      </x:c>
      <x:c r="AE52" s="32" t="n">
        <x:v>0.4136622390891840607210626186</x:v>
      </x:c>
      <x:c r="BI52" s="33" t="s"/>
      <x:c r="BJ52" s="11" t="s">
        <x:v>168</x:v>
      </x:c>
      <x:c r="BK52" s="12" t="str">
        <x:f>=BX52</x:f>
      </x:c>
      <x:c r="BL52" s="12" t="n">
        <x:v>0.3377609108159392789373814042</x:v>
      </x:c>
      <x:c r="BM52" s="12" t="n">
        <x:v>0.1574952561669829222011385199</x:v>
      </x:c>
      <x:c r="BN52" s="12" t="n">
        <x:v>0.5047438330170777988614800759</x:v>
      </x:c>
      <x:c r="BO52" s="12" t="str">
        <x:f>=BW52</x:f>
      </x:c>
      <x:c r="BP52" s="12" t="str">
        <x:f>=CF52</x:f>
      </x:c>
      <x:c r="BQ52" s="12" t="str"/>
      <x:c r="BR52" s="12" t="str">
        <x:v>SS 2019 MSS</x:v>
      </x:c>
      <x:c r="BS52" s="13" t="str"/>
      <x:c r="BT52" s="30" t="n">
        <x:v>3925.31</x:v>
      </x:c>
      <x:c r="BU52" s="30" t="n">
        <x:v>-5867.34069785619781888100</x:v>
      </x:c>
      <x:c r="BV52" s="30" t="str">
        <x:f>=BT52+BU52</x:f>
      </x:c>
      <x:c r="BW52" s="66" t="str">
        <x:f>=BV52/BT52</x:f>
      </x:c>
      <x:c r="BX52" s="66" t="n">
        <x:v>0.4952561669829222011385199241</x:v>
      </x:c>
      <x:c r="BY52" s="30" t="n">
        <x:v>5928.735770985770947300</x:v>
      </x:c>
      <x:c r="BZ52" s="41" t="n">
        <x:v>266</x:v>
      </x:c>
      <x:c r="CA52" s="30" t="n">
        <x:v>2992.492817992817973400</x:v>
      </x:c>
      <x:c r="CC52" s="30" t="n">
        <x:v>4715.7994523140891840607210627</x:v>
      </x:c>
      <x:c r="CD52" s="30" t="n">
        <x:v>-5867.34069785619781888100</x:v>
      </x:c>
      <x:c r="CE52" s="30" t="str">
        <x:f>=CC52+CD52</x:f>
      </x:c>
      <x:c r="CF52" s="66" t="str">
        <x:f>=CE52/CC52</x:f>
      </x:c>
      <x:c r="CH52" s="66" t="str">
        <x:f>=CI52+CJ52</x:f>
      </x:c>
      <x:c r="CI52" s="66" t="str">
        <x:f>=BX52+(0*7)</x:f>
      </x:c>
      <x:c r="CJ52" s="66" t="str">
        <x:f>=(1-CI52)*0.5</x:f>
      </x:c>
      <x:c r="CK52" s="66" t="str">
        <x:f>=1-CH52</x:f>
      </x:c>
      <x:c r="CM52" s="66" t="str">
        <x:f>=CJ52/(1-CI52)</x:f>
      </x:c>
    </x:row>
    <x:row r="53">
      <x:c r="A53" s="31" t="s">
        <x:v>191</x:v>
      </x:c>
      <x:c r="B53" t="s"/>
      <x:c r="C53" t="s">
        <x:v>192</x:v>
      </x:c>
      <x:c r="D53" t="s">
        <x:v>193</x:v>
      </x:c>
      <x:c r="E53" s="67" t="s">
        <x:v>131</x:v>
      </x:c>
      <x:c r="F53" t="n">
        <x:v>523</x:v>
      </x:c>
      <x:c r="G53" s="32" t="n">
        <x:v>0.3518164435946462715105162524</x:v>
      </x:c>
      <x:c r="H53" s="32" t="n">
        <x:v>0.3537284894837476099426386233</x:v>
      </x:c>
      <x:c r="I53" s="32" t="n">
        <x:v>0.304015296367112810707456979</x:v>
      </x:c>
      <x:c r="J53" s="32" t="n">
        <x:v>0.273422562141491395793499044</x:v>
      </x:c>
      <x:c r="K53" s="32" t="n">
        <x:v>0.2504780114722753346080305927</x:v>
      </x:c>
      <x:c r="L53" s="32" t="n">
        <x:v>0.2466539196940726577437858509</x:v>
      </x:c>
      <x:c r="M53" s="32" t="n">
        <x:v>0.242829827915869980879541109</x:v>
      </x:c>
      <x:c r="N53" s="32" t="n">
        <x:v>0.242829827915869980879541109</x:v>
      </x:c>
      <x:c r="O53" s="32" t="n">
        <x:v>0.2256214149139579349904397706</x:v>
      </x:c>
      <x:c r="P53" s="32" t="n">
        <x:v>0.2198852772466539196940726577</x:v>
      </x:c>
      <x:c r="Q53" s="32" t="n">
        <x:v>0.2237093690248565965583173996</x:v>
      </x:c>
      <x:c r="R53" s="32" t="n">
        <x:v>0.2217973231357552581261950287</x:v>
      </x:c>
      <x:c r="S53" s="32" t="n">
        <x:v>0.2217973231357552581261950287</x:v>
      </x:c>
      <x:c r="T53" s="32" t="n">
        <x:v>0.2275334608030592734225621415</x:v>
      </x:c>
      <x:c r="BI53" s="33" t="s"/>
      <x:c r="BJ53" s="11" t="s">
        <x:v>123</x:v>
      </x:c>
      <x:c r="BK53" s="12" t="str">
        <x:f>=BX53</x:f>
      </x:c>
      <x:c r="BL53" s="12" t="n">
        <x:v>0.2256214149139579349904397706</x:v>
      </x:c>
      <x:c r="BM53" s="12" t="n">
        <x:v>0.6998087954110898661567877629</x:v>
      </x:c>
      <x:c r="BN53" s="12" t="n">
        <x:v>0.0745697896749521988527724665</x:v>
      </x:c>
      <x:c r="BO53" s="12" t="str">
        <x:f>=BW53</x:f>
      </x:c>
      <x:c r="BP53" s="12" t="str">
        <x:f>=CF53</x:f>
      </x:c>
      <x:c r="BQ53" s="12" t="str"/>
      <x:c r="BR53" s="12" t="str">
        <x:v>SS 2019 MSS</x:v>
      </x:c>
      <x:c r="BS53" s="13" t="str"/>
      <x:c r="BT53" s="30" t="n">
        <x:v>7106.32</x:v>
      </x:c>
      <x:c r="BU53" s="30" t="n">
        <x:v>-9962.3655</x:v>
      </x:c>
      <x:c r="BV53" s="30" t="str">
        <x:f>=BT53+BU53</x:f>
      </x:c>
      <x:c r="BW53" s="66" t="str">
        <x:f>=BV53/BT53</x:f>
      </x:c>
      <x:c r="BX53" s="66" t="n">
        <x:v>0.9254302103250478011472275335</x:v>
      </x:c>
      <x:c r="BY53" s="30" t="n">
        <x:v>8734.10</x:v>
      </x:c>
      <x:c r="BZ53" s="41" t="n">
        <x:v>39</x:v>
      </x:c>
      <x:c r="CA53" s="30" t="n">
        <x:v>651.30</x:v>
      </x:c>
      <x:c r="CC53" s="30" t="n">
        <x:v>7106.5475334608030592734225621</x:v>
      </x:c>
      <x:c r="CD53" s="30" t="n">
        <x:v>-9962.3655</x:v>
      </x:c>
      <x:c r="CE53" s="30" t="str">
        <x:f>=CC53+CD53</x:f>
      </x:c>
      <x:c r="CF53" s="66" t="str">
        <x:f>=CE53/CC53</x:f>
      </x:c>
      <x:c r="CH53" s="66" t="str">
        <x:f>=CI53+CJ53</x:f>
      </x:c>
      <x:c r="CI53" s="66" t="str">
        <x:f>=BX53+(0*7)</x:f>
      </x:c>
      <x:c r="CJ53" s="66" t="str">
        <x:f>=(1-CI53)*0.5</x:f>
      </x:c>
      <x:c r="CK53" s="66" t="str">
        <x:f>=1-CH53</x:f>
      </x:c>
      <x:c r="CM53" s="66" t="str">
        <x:f>=CJ53/(1-CI53)</x:f>
      </x:c>
    </x:row>
    <x:row r="54">
      <x:c r="A54" s="34" t="s"/>
      <x:c r="B54" s="6" t="s"/>
      <x:c r="C54" s="6" t="s"/>
      <x:c r="D54" s="6" t="s"/>
      <x:c r="E54" s="6" t="s"/>
      <x:c r="F54" s="6" t="s"/>
      <x:c r="G54" s="6" t="s"/>
      <x:c r="H54" s="6" t="s"/>
      <x:c r="I54" s="6" t="s"/>
      <x:c r="J54" s="6" t="s"/>
      <x:c r="K54" s="6" t="s"/>
      <x:c r="L54" s="6" t="s"/>
      <x:c r="M54" s="6" t="s"/>
      <x:c r="N54" s="6" t="s"/>
      <x:c r="O54" s="6" t="s"/>
      <x:c r="P54" s="6" t="s"/>
      <x:c r="Q54" s="6" t="s"/>
      <x:c r="R54" s="6" t="s"/>
      <x:c r="S54" s="6" t="s"/>
      <x:c r="T54" s="6" t="s"/>
      <x:c r="U54" s="6" t="s"/>
      <x:c r="V54" s="6" t="s"/>
      <x:c r="W54" s="6" t="s"/>
      <x:c r="X54" s="6" t="s"/>
      <x:c r="Y54" s="6" t="s"/>
      <x:c r="Z54" s="6" t="s"/>
      <x:c r="AA54" s="6" t="s"/>
      <x:c r="AB54" s="6" t="s"/>
      <x:c r="AC54" s="6" t="s"/>
      <x:c r="AD54" s="6" t="s"/>
      <x:c r="AE54" s="6" t="s"/>
      <x:c r="AF54" s="6" t="s"/>
      <x:c r="AG54" s="6" t="s"/>
      <x:c r="AH54" s="6" t="s"/>
      <x:c r="AI54" s="6" t="s"/>
      <x:c r="AJ54" s="6" t="s"/>
      <x:c r="AK54" s="6" t="s"/>
      <x:c r="AL54" s="6" t="s"/>
      <x:c r="AM54" s="6" t="s"/>
      <x:c r="AN54" s="6" t="s"/>
      <x:c r="AO54" s="6" t="s"/>
      <x:c r="AP54" s="6" t="s"/>
      <x:c r="AQ54" s="6" t="s"/>
      <x:c r="AR54" s="6" t="s"/>
      <x:c r="AS54" s="6" t="s"/>
      <x:c r="AT54" s="6" t="s"/>
      <x:c r="AU54" s="6" t="s"/>
      <x:c r="AV54" s="6" t="s"/>
      <x:c r="AW54" s="6" t="s"/>
      <x:c r="AX54" s="6" t="s"/>
      <x:c r="AY54" s="6" t="s"/>
      <x:c r="AZ54" s="6" t="s"/>
      <x:c r="BA54" s="6" t="s"/>
      <x:c r="BB54" s="6" t="s"/>
      <x:c r="BC54" s="6" t="s"/>
      <x:c r="BD54" s="6" t="s"/>
      <x:c r="BE54" s="6" t="s"/>
      <x:c r="BF54" s="6" t="s"/>
      <x:c r="BG54" s="6" t="s"/>
      <x:c r="BH54" s="6" t="s"/>
      <x:c r="BI54" s="8" t="s"/>
      <x:c r="BJ54" s="14" t="s">
        <x:v>36</x:v>
      </x:c>
      <x:c r="BK54" s="15" t="s"/>
      <x:c r="BL54" s="15" t="s"/>
      <x:c r="BM54" s="15" t="s"/>
      <x:c r="BN54" s="15" t="s"/>
      <x:c r="BO54" s="37">
        <x:f>=BV55/BT55</x:f>
      </x:c>
      <x:c r="BP54" s="37">
        <x:f>=CF55</x:f>
      </x:c>
      <x:c r="BQ54" s="6" t="s"/>
      <x:c r="BR54" s="6" t="s"/>
      <x:c r="BS54" s="8" t="s"/>
      <x:c r="BT54" s="20" t="n">
        <x:v>133115.39</x:v>
      </x:c>
      <x:c r="BU54" s="20" t="n">
        <x:v>-118945.45820912940034069180</x:v>
      </x:c>
      <x:c r="BV54" s="20" t="str">
        <x:f>=BT54+BU54</x:f>
      </x:c>
      <x:c r="BW54" s="21" t="n">
        <x:v>0.1064484864662951418262621625</x:v>
      </x:c>
      <x:c r="BY54" s="20" t="n">
        <x:v>-111909.360937246804474940</x:v>
      </x:c>
      <x:c r="BZ54" s="20" t="n">
        <x:v>913</x:v>
      </x:c>
      <x:c r="CA54" s="20" t="n">
        <x:v>6521.5578308359183306070224038</x:v>
      </x:c>
      <x:c r="CC54" s="20" t="n">
        <x:v>133915.80552768168205757006593</x:v>
      </x:c>
      <x:c r="CD54" s="20" t="n">
        <x:v>-118945.45820912940034069180</x:v>
      </x:c>
      <x:c r="CE54" s="20" t="str">
        <x:f>=CC54+CD54</x:f>
      </x:c>
      <x:c r="CF54" s="21" t="n">
        <x:v>0.1117892489207165861448701942</x:v>
      </x:c>
    </x:row>
    <x:row r="55">
      <x:c r="BT55" s="18" t="n">
        <x:v>133115.39</x:v>
      </x:c>
      <x:c r="BU55" s="18" t="n">
        <x:v>-118945.45820912940034069180</x:v>
      </x:c>
      <x:c r="BV55" s="18" t="str">
        <x:f>=BT55+BU55</x:f>
      </x:c>
      <x:c r="BW55" s="19" t="n">
        <x:v>0.1064484864662951418262621625</x:v>
      </x:c>
      <x:c r="BY55" s="18" t="n">
        <x:v>-111909.360937246804474940</x:v>
      </x:c>
      <x:c r="BZ55" s="18" t="n">
        <x:v>913</x:v>
      </x:c>
      <x:c r="CA55" s="18" t="n">
        <x:v>6521.5578308359183306070224038</x:v>
      </x:c>
      <x:c r="CC55" s="18" t="n">
        <x:v>133915.80552768168205757006593</x:v>
      </x:c>
      <x:c r="CD55" s="18" t="n">
        <x:v>-118945.45820912940034069180</x:v>
      </x:c>
      <x:c r="CE55" s="18" t="str">
        <x:f>=CC55+CD55</x:f>
      </x:c>
      <x:c r="CF55" s="19" t="n">
        <x:v>0.1117892489207165861448701942</x:v>
      </x:c>
    </x:row>
    <x:row r="56">
      <x:c r="A56" s="10" t="s">
        <x:v>194</x:v>
      </x:c>
      <x:c r="B56" s="5" t="s"/>
      <x:c r="C56" s="5" t="s"/>
      <x:c r="D56" s="5" t="s"/>
      <x:c r="E56" s="5" t="s"/>
      <x:c r="F56" s="5" t="s"/>
      <x:c r="G56" s="5" t="s"/>
      <x:c r="H56" s="5" t="s"/>
      <x:c r="I56" s="5" t="s"/>
      <x:c r="J56" s="5" t="s"/>
      <x:c r="K56" s="5" t="s"/>
      <x:c r="L56" s="5" t="s"/>
      <x:c r="M56" s="5" t="s"/>
      <x:c r="N56" s="5" t="s"/>
      <x:c r="O56" s="5" t="s"/>
      <x:c r="P56" s="5" t="s"/>
      <x:c r="Q56" s="5" t="s"/>
      <x:c r="R56" s="5" t="s"/>
      <x:c r="S56" s="5" t="s"/>
      <x:c r="T56" s="5" t="s"/>
      <x:c r="U56" s="5" t="s"/>
      <x:c r="V56" s="5" t="s"/>
      <x:c r="W56" s="5" t="s"/>
      <x:c r="X56" s="5" t="s"/>
      <x:c r="Y56" s="5" t="s"/>
      <x:c r="Z56" s="5" t="s"/>
      <x:c r="AA56" s="5" t="s"/>
      <x:c r="AB56" s="5" t="s"/>
      <x:c r="AC56" s="5" t="s"/>
      <x:c r="AD56" s="5" t="s"/>
      <x:c r="AE56" s="5" t="s"/>
      <x:c r="AF56" s="5" t="s"/>
      <x:c r="AG56" s="5" t="s"/>
      <x:c r="AH56" s="5" t="s"/>
      <x:c r="AI56" s="5" t="s"/>
      <x:c r="AJ56" s="5" t="s"/>
      <x:c r="AK56" s="5" t="s"/>
      <x:c r="AL56" s="5" t="s"/>
      <x:c r="AM56" s="5" t="s"/>
      <x:c r="AN56" s="5" t="s"/>
      <x:c r="AO56" s="5" t="s"/>
      <x:c r="AP56" s="5" t="s"/>
      <x:c r="AQ56" s="5" t="s"/>
      <x:c r="AR56" s="5" t="s"/>
      <x:c r="AS56" s="5" t="s"/>
      <x:c r="AT56" s="5" t="s"/>
      <x:c r="AU56" s="5" t="s"/>
      <x:c r="AV56" s="5" t="s"/>
      <x:c r="AW56" s="5" t="s"/>
      <x:c r="AX56" s="5" t="s"/>
      <x:c r="AY56" s="5" t="s"/>
      <x:c r="AZ56" s="5" t="s"/>
      <x:c r="BA56" s="5" t="s"/>
      <x:c r="BB56" s="5" t="s"/>
      <x:c r="BC56" s="5" t="s"/>
      <x:c r="BD56" s="5" t="s"/>
      <x:c r="BE56" s="5" t="s"/>
      <x:c r="BF56" s="5" t="s"/>
      <x:c r="BG56" s="5" t="s"/>
      <x:c r="BH56" s="5" t="s"/>
      <x:c r="BI56" s="7" t="s"/>
      <x:c r="BJ56" s="10" t="s"/>
      <x:c r="BK56" s="5" t="s"/>
      <x:c r="BL56" s="5" t="s"/>
      <x:c r="BM56" s="5" t="s"/>
      <x:c r="BN56" s="5" t="s"/>
      <x:c r="BO56" s="5" t="s"/>
      <x:c r="BP56" s="5" t="s"/>
      <x:c r="BQ56" s="5" t="s"/>
      <x:c r="BR56" s="5" t="s"/>
      <x:c r="BS56" s="7" t="s"/>
      <x:c r="BT56" s="47" t="s">
        <x:v>11</x:v>
      </x:c>
      <x:c r="BU56" s="48"/>
      <x:c r="BV56" s="49"/>
      <x:c r="BW56" s="50"/>
      <x:c r="BX56" s="50"/>
      <x:c r="BY56" s="51"/>
      <x:c r="BZ56" s="52"/>
      <x:c r="CA56" s="51"/>
      <x:c r="CC56" s="57" t="s">
        <x:v>26</x:v>
      </x:c>
      <x:c r="CD56" s="58"/>
      <x:c r="CE56" s="58"/>
      <x:c r="CF56" s="58"/>
      <x:c r="CG56" s="58"/>
      <x:c r="CH56" s="59"/>
      <x:c r="CI56" s="59"/>
      <x:c r="CJ56" s="59"/>
      <x:c r="CK56" s="59"/>
      <x:c r="CL56" s="58"/>
      <x:c r="CM56" s="60"/>
    </x:row>
    <x:row r="57" ht="45.75" customHeight="1">
      <x:c r="A57" s="40" t="s">
        <x:v>43</x:v>
      </x:c>
      <x:c r="B57" s="40" t="s">
        <x:v>44</x:v>
      </x:c>
      <x:c r="C57" s="40" t="s">
        <x:v>45</x:v>
      </x:c>
      <x:c r="D57" s="40" t="s">
        <x:v>46</x:v>
      </x:c>
      <x:c r="E57" s="40" t="s">
        <x:v>47</x:v>
      </x:c>
      <x:c r="F57" s="40" t="s">
        <x:v>102</x:v>
      </x:c>
      <x:c r="G57" s="40" t="s">
        <x:v>48</x:v>
      </x:c>
      <x:c r="H57" s="40" t="s">
        <x:v>49</x:v>
      </x:c>
      <x:c r="I57" s="40" t="s">
        <x:v>50</x:v>
      </x:c>
      <x:c r="J57" s="40" t="s">
        <x:v>51</x:v>
      </x:c>
      <x:c r="K57" s="40" t="s">
        <x:v>52</x:v>
      </x:c>
      <x:c r="L57" s="40" t="s">
        <x:v>53</x:v>
      </x:c>
      <x:c r="M57" s="40" t="s">
        <x:v>54</x:v>
      </x:c>
      <x:c r="N57" s="40" t="s">
        <x:v>55</x:v>
      </x:c>
      <x:c r="O57" s="40" t="s">
        <x:v>56</x:v>
      </x:c>
      <x:c r="P57" s="40" t="s">
        <x:v>57</x:v>
      </x:c>
      <x:c r="Q57" s="40" t="s">
        <x:v>58</x:v>
      </x:c>
      <x:c r="R57" s="40" t="s">
        <x:v>59</x:v>
      </x:c>
      <x:c r="S57" s="40" t="s">
        <x:v>60</x:v>
      </x:c>
      <x:c r="T57" s="40" t="s">
        <x:v>61</x:v>
      </x:c>
      <x:c r="U57" s="40" t="s">
        <x:v>62</x:v>
      </x:c>
      <x:c r="V57" s="40" t="s">
        <x:v>63</x:v>
      </x:c>
      <x:c r="W57" s="40" t="s">
        <x:v>64</x:v>
      </x:c>
      <x:c r="X57" s="40" t="s">
        <x:v>65</x:v>
      </x:c>
      <x:c r="Y57" s="40" t="s">
        <x:v>66</x:v>
      </x:c>
      <x:c r="Z57" s="40" t="s">
        <x:v>67</x:v>
      </x:c>
      <x:c r="AA57" s="40" t="s">
        <x:v>68</x:v>
      </x:c>
      <x:c r="AB57" s="40" t="s">
        <x:v>69</x:v>
      </x:c>
      <x:c r="AC57" s="40" t="s">
        <x:v>70</x:v>
      </x:c>
      <x:c r="AD57" s="40" t="s">
        <x:v>71</x:v>
      </x:c>
      <x:c r="AE57" s="40" t="s">
        <x:v>72</x:v>
      </x:c>
      <x:c r="AF57" s="40" t="s">
        <x:v>73</x:v>
      </x:c>
      <x:c r="AG57" s="40" t="s">
        <x:v>74</x:v>
      </x:c>
      <x:c r="AH57" s="40" t="s">
        <x:v>75</x:v>
      </x:c>
      <x:c r="AI57" s="40" t="s">
        <x:v>76</x:v>
      </x:c>
      <x:c r="AJ57" s="40" t="s">
        <x:v>77</x:v>
      </x:c>
      <x:c r="AK57" s="40" t="s">
        <x:v>78</x:v>
      </x:c>
      <x:c r="AL57" s="40" t="s">
        <x:v>79</x:v>
      </x:c>
      <x:c r="AM57" s="40" t="s">
        <x:v>80</x:v>
      </x:c>
      <x:c r="AN57" s="40" t="s">
        <x:v>81</x:v>
      </x:c>
      <x:c r="AO57" s="40" t="s">
        <x:v>82</x:v>
      </x:c>
      <x:c r="AP57" s="40" t="s">
        <x:v>83</x:v>
      </x:c>
      <x:c r="AQ57" s="40" t="s">
        <x:v>84</x:v>
      </x:c>
      <x:c r="AR57" s="40" t="s">
        <x:v>85</x:v>
      </x:c>
      <x:c r="AS57" s="40" t="s">
        <x:v>86</x:v>
      </x:c>
      <x:c r="AT57" s="40" t="s">
        <x:v>87</x:v>
      </x:c>
      <x:c r="AU57" s="40" t="s">
        <x:v>88</x:v>
      </x:c>
      <x:c r="AV57" s="40" t="s">
        <x:v>89</x:v>
      </x:c>
      <x:c r="AW57" s="40" t="s">
        <x:v>90</x:v>
      </x:c>
      <x:c r="AX57" s="40" t="s">
        <x:v>91</x:v>
      </x:c>
      <x:c r="AY57" s="40" t="s">
        <x:v>92</x:v>
      </x:c>
      <x:c r="AZ57" s="40" t="s">
        <x:v>93</x:v>
      </x:c>
      <x:c r="BA57" s="40" t="s">
        <x:v>94</x:v>
      </x:c>
      <x:c r="BB57" s="40" t="s">
        <x:v>95</x:v>
      </x:c>
      <x:c r="BC57" s="40" t="s">
        <x:v>96</x:v>
      </x:c>
      <x:c r="BD57" s="40" t="s">
        <x:v>97</x:v>
      </x:c>
      <x:c r="BE57" s="40" t="s">
        <x:v>98</x:v>
      </x:c>
      <x:c r="BF57" s="40" t="s">
        <x:v>99</x:v>
      </x:c>
      <x:c r="BG57" s="40" t="s">
        <x:v>100</x:v>
      </x:c>
      <x:c r="BH57" s="40" t="s">
        <x:v>101</x:v>
      </x:c>
      <x:c r="BJ57" s="31" t="s">
        <x:v>103</x:v>
      </x:c>
      <x:c r="BK57" s="32" t="s">
        <x:v>104</x:v>
      </x:c>
      <x:c r="BL57" s="32" t="s">
        <x:v>105</x:v>
      </x:c>
      <x:c r="BM57" s="32" t="s">
        <x:v>106</x:v>
      </x:c>
      <x:c r="BN57" s="32" t="s">
        <x:v>107</x:v>
      </x:c>
      <x:c r="BO57" s="32" t="s">
        <x:v>108</x:v>
      </x:c>
      <x:c r="BP57" s="32" t="s">
        <x:v>109</x:v>
      </x:c>
      <x:c r="BQ57" s="32" t="s">
        <x:v>110</x:v>
      </x:c>
      <x:c r="BR57" s="32" t="s">
        <x:v>111</x:v>
      </x:c>
      <x:c r="BS57" s="33" t="s">
        <x:v>112</x:v>
      </x:c>
      <x:c r="BT57" s="53" t="s">
        <x:v>12</x:v>
      </x:c>
      <x:c r="BU57" s="54" t="s">
        <x:v>13</x:v>
      </x:c>
      <x:c r="BV57" s="54" t="s">
        <x:v>14</x:v>
      </x:c>
      <x:c r="BW57" s="55" t="s">
        <x:v>15</x:v>
      </x:c>
      <x:c r="BX57" s="55" t="s">
        <x:v>27</x:v>
      </x:c>
      <x:c r="BY57" s="56" t="s">
        <x:v>16</x:v>
      </x:c>
      <x:c r="BZ57" s="53" t="s">
        <x:v>17</x:v>
      </x:c>
      <x:c r="CA57" s="56" t="s">
        <x:v>18</x:v>
      </x:c>
      <x:c r="CC57" s="61" t="s">
        <x:v>19</x:v>
      </x:c>
      <x:c r="CD57" s="62" t="s">
        <x:v>20</x:v>
      </x:c>
      <x:c r="CE57" s="62" t="s">
        <x:v>21</x:v>
      </x:c>
      <x:c r="CF57" s="62" t="s">
        <x:v>15</x:v>
      </x:c>
      <x:c r="CG57" s="62"/>
      <x:c r="CH57" s="63" t="s">
        <x:v>22</x:v>
      </x:c>
      <x:c r="CI57" s="63" t="s">
        <x:v>23</x:v>
      </x:c>
      <x:c r="CJ57" s="63" t="s">
        <x:v>25</x:v>
      </x:c>
      <x:c r="CK57" s="63" t="s">
        <x:v>24</x:v>
      </x:c>
      <x:c r="CL57" s="62"/>
      <x:c r="CM57" s="64" t="s">
        <x:v>28</x:v>
      </x:c>
    </x:row>
    <x:row r="58">
      <x:c r="BJ58" s="31" t="s"/>
      <x:c r="BS58" s="33" t="s"/>
    </x:row>
    <x:row r="59">
      <x:c r="A59" s="35" t="s">
        <x:v>150</x:v>
      </x:c>
      <x:c r="BI59" s="33" t="s"/>
      <x:c r="BJ59" s="11" t="s"/>
      <x:c r="BS59" s="13" t="s"/>
    </x:row>
    <x:row r="60">
      <x:c r="A60" s="17" t="s">
        <x:v>127</x:v>
      </x:c>
      <x:c r="BI60" s="33" t="s"/>
      <x:c r="BJ60" s="11" t="s"/>
      <x:c r="BS60" s="13" t="s"/>
    </x:row>
    <x:row r="61">
      <x:c r="A61" s="31" t="s">
        <x:v>195</x:v>
      </x:c>
      <x:c r="B61" t="s"/>
      <x:c r="C61" t="s">
        <x:v>196</x:v>
      </x:c>
      <x:c r="D61" t="s">
        <x:v>118</x:v>
      </x:c>
      <x:c r="E61" s="69" t="s">
        <x:v>153</x:v>
      </x:c>
      <x:c r="F61" t="n">
        <x:v>1998</x:v>
      </x:c>
      <x:c r="G61" s="32" t="n">
        <x:v>0.001001001001001001001001001</x:v>
      </x:c>
      <x:c r="H61" s="32" t="n">
        <x:v>0.016016016016016016016016016</x:v>
      </x:c>
      <x:c r="I61" s="32" t="n">
        <x:v>0.035035035035035035035035035</x:v>
      </x:c>
      <x:c r="J61" s="32" t="n">
        <x:v>0.0530530530530530530530530531</x:v>
      </x:c>
      <x:c r="K61" s="32" t="n">
        <x:v>0.0640640640640640640640640641</x:v>
      </x:c>
      <x:c r="L61" s="32" t="n">
        <x:v>0.0740740740740740740740740741</x:v>
      </x:c>
      <x:c r="M61" s="32" t="n">
        <x:v>0.0830830830830830830830830831</x:v>
      </x:c>
      <x:c r="N61" s="32" t="n">
        <x:v>0.0950950950950950950950950951</x:v>
      </x:c>
      <x:c r="O61" s="32" t="n">
        <x:v>0.1291291291291291291291291291</x:v>
      </x:c>
      <x:c r="P61" s="32" t="n">
        <x:v>0.1631631631631631631631631632</x:v>
      </x:c>
      <x:c r="Q61" s="32" t="n">
        <x:v>0.1631631631631631631631631632</x:v>
      </x:c>
      <x:c r="R61" s="32" t="n">
        <x:v>0.1966966966966966966966966967</x:v>
      </x:c>
      <x:c r="S61" s="32" t="n">
        <x:v>0.2262262262262262262262262262</x:v>
      </x:c>
      <x:c r="T61" s="32" t="n">
        <x:v>0.2622622622622622622622622623</x:v>
      </x:c>
      <x:c r="U61" s="32" t="n">
        <x:v>0.2937937937937937937937937938</x:v>
      </x:c>
      <x:c r="V61" s="32" t="n">
        <x:v>0.3278278278278278278278278278</x:v>
      </x:c>
      <x:c r="W61" s="32" t="n">
        <x:v>0.3498498498498498498498498498</x:v>
      </x:c>
      <x:c r="X61" s="32" t="n">
        <x:v>0.3798798798798798798798798799</x:v>
      </x:c>
      <x:c r="Y61" s="32" t="n">
        <x:v>0.4009009009009009009009009009</x:v>
      </x:c>
      <x:c r="Z61" s="32" t="n">
        <x:v>0.4259259259259259259259259259</x:v>
      </x:c>
      <x:c r="AA61" s="32" t="n">
        <x:v>0.4514514514514514514514514515</x:v>
      </x:c>
      <x:c r="AB61" s="32" t="n">
        <x:v>0.4734734734734734734734734735</x:v>
      </x:c>
      <x:c r="AC61" s="32" t="n">
        <x:v>0.501001001001001001001001001</x:v>
      </x:c>
      <x:c r="AD61" s="32" t="n">
        <x:v>0.52002002002002002002002002</x:v>
      </x:c>
      <x:c r="AE61" s="32" t="n">
        <x:v>0.546046046046046046046046046</x:v>
      </x:c>
      <x:c r="AF61" s="32" t="n">
        <x:v>0.5545545545545545545545545546</x:v>
      </x:c>
      <x:c r="AG61" s="32" t="n">
        <x:v>0.5765765765765765765765765766</x:v>
      </x:c>
      <x:c r="AH61" s="32" t="n">
        <x:v>0.5940940940940940940940940941</x:v>
      </x:c>
      <x:c r="AI61" s="32" t="n">
        <x:v>0.6066066066066066066066066066</x:v>
      </x:c>
      <x:c r="AJ61" s="32" t="n">
        <x:v>0.6226226226226226226226226226</x:v>
      </x:c>
      <x:c r="AK61" s="32" t="n">
        <x:v>0.6336336336336336336336336336</x:v>
      </x:c>
      <x:c r="AL61" s="32" t="n">
        <x:v>0.6476476476476476476476476476</x:v>
      </x:c>
      <x:c r="BI61" s="33" t="s"/>
      <x:c r="BJ61" s="11" t="s">
        <x:v>197</x:v>
      </x:c>
      <x:c r="BK61" s="12" t="str">
        <x:f>=BX61</x:f>
      </x:c>
      <x:c r="BL61" s="12" t="n">
        <x:v>0.6641641641641641641641641642</x:v>
      </x:c>
      <x:c r="BM61" s="12" t="n">
        <x:v>0.3163163163163163163163163163</x:v>
      </x:c>
      <x:c r="BN61" s="12" t="n">
        <x:v>0.0195195195195195195195195195</x:v>
      </x:c>
      <x:c r="BO61" s="12" t="str">
        <x:f>=BW61</x:f>
      </x:c>
      <x:c r="BP61" s="12" t="str">
        <x:f>=CF61</x:f>
      </x:c>
      <x:c r="BQ61" s="12" t="str"/>
      <x:c r="BR61" s="12" t="str">
        <x:v>SS 2019 EOS</x:v>
      </x:c>
      <x:c r="BS61" s="13" t="str"/>
      <x:c r="BT61" s="30" t="n">
        <x:v>8514.87</x:v>
      </x:c>
      <x:c r="BU61" s="30" t="n">
        <x:v>-5532.6465</x:v>
      </x:c>
      <x:c r="BV61" s="30" t="str">
        <x:f>=BT61+BU61</x:f>
      </x:c>
      <x:c r="BW61" s="66" t="str">
        <x:f>=BV61/BT61</x:f>
      </x:c>
      <x:c r="BX61" s="66" t="n">
        <x:v>0.9804804804804804804804804805</x:v>
      </x:c>
      <x:c r="BY61" s="30" t="n">
        <x:v>4797.45</x:v>
      </x:c>
      <x:c r="BZ61" s="41" t="n">
        <x:v>39</x:v>
      </x:c>
      <x:c r="CA61" s="30" t="n">
        <x:v>93.64391891891891891891891892</x:v>
      </x:c>
      <x:c r="CC61" s="30" t="n">
        <x:v>8515.517647647647647647647648</x:v>
      </x:c>
      <x:c r="CD61" s="30" t="n">
        <x:v>-5532.6465</x:v>
      </x:c>
      <x:c r="CE61" s="30" t="str">
        <x:f>=CC61+CD61</x:f>
      </x:c>
      <x:c r="CF61" s="66" t="str">
        <x:f>=CE61/CC61</x:f>
      </x:c>
      <x:c r="CH61" s="66" t="str">
        <x:f>=CI61+CJ61</x:f>
      </x:c>
      <x:c r="CI61" s="66" t="str">
        <x:f>=BX61+(0*7)</x:f>
      </x:c>
      <x:c r="CJ61" s="66" t="str">
        <x:f>=(1-CI61)*0.5</x:f>
      </x:c>
      <x:c r="CK61" s="66" t="str">
        <x:f>=1-CH61</x:f>
      </x:c>
      <x:c r="CM61" s="66" t="str">
        <x:f>=CJ61/(1-CI61)</x:f>
      </x:c>
    </x:row>
    <x:row r="62">
      <x:c r="A62" s="31" t="s">
        <x:v>198</x:v>
      </x:c>
      <x:c r="B62" t="s"/>
      <x:c r="C62" t="s">
        <x:v>199</x:v>
      </x:c>
      <x:c r="D62" t="s">
        <x:v>118</x:v>
      </x:c>
      <x:c r="E62" s="69" t="s">
        <x:v>153</x:v>
      </x:c>
      <x:c r="F62" t="n">
        <x:v>1048</x:v>
      </x:c>
      <x:c r="G62" s="32" t="n">
        <x:v>0.0343511450381679389312977099</x:v>
      </x:c>
      <x:c r="H62" s="32" t="n">
        <x:v>0.0429389312977099236641221374</x:v>
      </x:c>
      <x:c r="I62" s="32" t="n">
        <x:v>0.0467557251908396946564885496</x:v>
      </x:c>
      <x:c r="J62" s="32" t="n">
        <x:v>0.0591603053435114503816793893</x:v>
      </x:c>
      <x:c r="K62" s="32" t="n">
        <x:v>0.0677480916030534351145038168</x:v>
      </x:c>
      <x:c r="L62" s="32" t="n">
        <x:v>0.0658396946564885496183206107</x:v>
      </x:c>
      <x:c r="M62" s="32" t="n">
        <x:v>0.0677480916030534351145038168</x:v>
      </x:c>
      <x:c r="N62" s="32" t="n">
        <x:v>0.071564885496183206106870229</x:v>
      </x:c>
      <x:c r="O62" s="32" t="n">
        <x:v>0.0772900763358778625954198473</x:v>
      </x:c>
      <x:c r="P62" s="32" t="n">
        <x:v>0.0830152671755725190839694656</x:v>
      </x:c>
      <x:c r="Q62" s="32" t="n">
        <x:v>0.0830152671755725190839694656</x:v>
      </x:c>
      <x:c r="R62" s="32" t="n">
        <x:v>0.0877862595419847328244274809</x:v>
      </x:c>
      <x:c r="S62" s="32" t="n">
        <x:v>0.1011450381679389312977099237</x:v>
      </x:c>
      <x:c r="T62" s="32" t="n">
        <x:v>0.1192748091603053435114503817</x:v>
      </x:c>
      <x:c r="U62" s="32" t="n">
        <x:v>0.1297709923664122137404580153</x:v>
      </x:c>
      <x:c r="V62" s="32" t="n">
        <x:v>0.1345419847328244274809160305</x:v>
      </x:c>
      <x:c r="W62" s="32" t="n">
        <x:v>0.1479007633587786259541984733</x:v>
      </x:c>
      <x:c r="X62" s="32" t="n">
        <x:v>0.160305343511450381679389313</x:v>
      </x:c>
      <x:c r="Y62" s="32" t="n">
        <x:v>0.179389312977099236641221374</x:v>
      </x:c>
      <x:c r="Z62" s="32" t="n">
        <x:v>0.2013358778625954198473282443</x:v>
      </x:c>
      <x:c r="AA62" s="32" t="n">
        <x:v>0.2395038167938931297709923664</x:v>
      </x:c>
      <x:c r="AB62" s="32" t="n">
        <x:v>0.2776717557251908396946564885</x:v>
      </x:c>
      <x:c r="AC62" s="32" t="n">
        <x:v>0.304389312977099236641221374</x:v>
      </x:c>
      <x:c r="AD62" s="32" t="n">
        <x:v>0.3196564885496183206106870229</x:v>
      </x:c>
      <x:c r="AE62" s="32" t="n">
        <x:v>0.3520992366412213740458015267</x:v>
      </x:c>
      <x:c r="AF62" s="32" t="n">
        <x:v>0.3883587786259541984732824427</x:v>
      </x:c>
      <x:c r="AG62" s="32" t="n">
        <x:v>0.4351145038167938931297709924</x:v>
      </x:c>
      <x:c r="AH62" s="32" t="n">
        <x:v>0.4685114503816793893129770992</x:v>
      </x:c>
      <x:c r="AI62" s="32" t="n">
        <x:v>0.5</x:v>
      </x:c>
      <x:c r="AJ62" s="32" t="n">
        <x:v>0.5095419847328244274809160305</x:v>
      </x:c>
      <x:c r="AK62" s="32" t="n">
        <x:v>0.517175572519083969465648855</x:v>
      </x:c>
      <x:c r="AL62" s="32" t="n">
        <x:v>0.536259541984732824427480916</x:v>
      </x:c>
      <x:c r="BI62" s="33" t="s"/>
      <x:c r="BJ62" s="11" t="s">
        <x:v>197</x:v>
      </x:c>
      <x:c r="BK62" s="12" t="str">
        <x:f>=BX62</x:f>
      </x:c>
      <x:c r="BL62" s="12" t="n">
        <x:v>0.5438931297709923664122137405</x:v>
      </x:c>
      <x:c r="BM62" s="12" t="n">
        <x:v>0.4303435114503816793893129771</x:v>
      </x:c>
      <x:c r="BN62" s="12" t="n">
        <x:v>0.0257633587786259541984732824</x:v>
      </x:c>
      <x:c r="BO62" s="12" t="str">
        <x:f>=BW62</x:f>
      </x:c>
      <x:c r="BP62" s="12" t="str">
        <x:f>=CF62</x:f>
      </x:c>
      <x:c r="BQ62" s="12" t="str"/>
      <x:c r="BR62" s="12" t="str">
        <x:v>SS 2019 EOS</x:v>
      </x:c>
      <x:c r="BS62" s="13" t="str"/>
      <x:c r="BT62" s="30" t="n">
        <x:v>8020.37</x:v>
      </x:c>
      <x:c r="BU62" s="30" t="n">
        <x:v>-6327.6965</x:v>
      </x:c>
      <x:c r="BV62" s="30" t="str">
        <x:f>=BT62+BU62</x:f>
      </x:c>
      <x:c r="BW62" s="66" t="str">
        <x:f>=BV62/BT62</x:f>
      </x:c>
      <x:c r="BX62" s="66" t="n">
        <x:v>0.9742366412213740458015267176</x:v>
      </x:c>
      <x:c r="BY62" s="30" t="n">
        <x:v>6113.49</x:v>
      </x:c>
      <x:c r="BZ62" s="41" t="n">
        <x:v>27</x:v>
      </x:c>
      <x:c r="CA62" s="30" t="n">
        <x:v>157.50403625954198473282442748</x:v>
      </x:c>
      <x:c r="CC62" s="30" t="n">
        <x:v>8020.906259541984732824427481</x:v>
      </x:c>
      <x:c r="CD62" s="30" t="n">
        <x:v>-6327.6965</x:v>
      </x:c>
      <x:c r="CE62" s="30" t="str">
        <x:f>=CC62+CD62</x:f>
      </x:c>
      <x:c r="CF62" s="66" t="str">
        <x:f>=CE62/CC62</x:f>
      </x:c>
      <x:c r="CH62" s="66" t="str">
        <x:f>=CI62+CJ62</x:f>
      </x:c>
      <x:c r="CI62" s="66" t="str">
        <x:f>=BX62+(0*7)</x:f>
      </x:c>
      <x:c r="CJ62" s="66" t="str">
        <x:f>=(1-CI62)*0.5</x:f>
      </x:c>
      <x:c r="CK62" s="66" t="str">
        <x:f>=1-CH62</x:f>
      </x:c>
      <x:c r="CM62" s="66" t="str">
        <x:f>=CJ62/(1-CI62)</x:f>
      </x:c>
    </x:row>
    <x:row r="63">
      <x:c r="A63" s="31" t="s">
        <x:v>200</x:v>
      </x:c>
      <x:c r="B63" t="s"/>
      <x:c r="C63" t="s">
        <x:v>201</x:v>
      </x:c>
      <x:c r="D63" t="s">
        <x:v>118</x:v>
      </x:c>
      <x:c r="E63" s="69" t="s">
        <x:v>153</x:v>
      </x:c>
      <x:c r="F63" t="n">
        <x:v>3992</x:v>
      </x:c>
      <x:c r="G63" s="32" t="n">
        <x:v>0.0015030060120240480961923848</x:v>
      </x:c>
      <x:c r="H63" s="32" t="n">
        <x:v>0.0167835671342685370741482966</x:v>
      </x:c>
      <x:c r="I63" s="32" t="n">
        <x:v>0.0423346693386773547094188377</x:v>
      </x:c>
      <x:c r="J63" s="32" t="n">
        <x:v>0.0646292585170340681362725451</x:v>
      </x:c>
      <x:c r="K63" s="32" t="n">
        <x:v>0.0691382765531062124248496994</x:v>
      </x:c>
      <x:c r="L63" s="32" t="n">
        <x:v>0.0791583166332665330661322645</x:v>
      </x:c>
      <x:c r="M63" s="32" t="n">
        <x:v>0.0921843687374749498997995992</x:v>
      </x:c>
      <x:c r="N63" s="32" t="n">
        <x:v>0.1337675350701402805611222445</x:v>
      </x:c>
      <x:c r="O63" s="32" t="n">
        <x:v>0.189378757515030060120240481</x:v>
      </x:c>
      <x:c r="P63" s="32" t="n">
        <x:v>0.189378757515030060120240481</x:v>
      </x:c>
      <x:c r="Q63" s="32" t="n">
        <x:v>0.2585170340681362725450901804</x:v>
      </x:c>
      <x:c r="R63" s="32" t="n">
        <x:v>0.3389278557114228456913827655</x:v>
      </x:c>
      <x:c r="S63" s="32" t="n">
        <x:v>0.4240981963927855711422845691</x:v>
      </x:c>
      <x:c r="T63" s="32" t="n">
        <x:v>0.4501503006012024048096192385</x:v>
      </x:c>
      <x:c r="U63" s="32" t="n">
        <x:v>0.4554108216432865731462925852</x:v>
      </x:c>
      <x:c r="V63" s="32" t="n">
        <x:v>0.4634268537074148296593186373</x:v>
      </x:c>
      <x:c r="W63" s="32" t="n">
        <x:v>0.4664328657314629258517034068</x:v>
      </x:c>
      <x:c r="X63" s="32" t="n">
        <x:v>0.4696893787575150300601202405</x:v>
      </x:c>
      <x:c r="Y63" s="32" t="n">
        <x:v>0.4694388777555110220440881764</x:v>
      </x:c>
      <x:c r="Z63" s="32" t="n">
        <x:v>0.470691382765531062124248497</x:v>
      </x:c>
      <x:c r="AA63" s="32" t="n">
        <x:v>0.4714428857715430861723446894</x:v>
      </x:c>
      <x:c r="AB63" s="32" t="n">
        <x:v>0.4721943887775551102204408818</x:v>
      </x:c>
      <x:c r="AC63" s="32" t="n">
        <x:v>0.4734468937875751503006012024</x:v>
      </x:c>
      <x:c r="AD63" s="32" t="n">
        <x:v>0.4834669338677354709418837675</x:v>
      </x:c>
      <x:c r="AE63" s="32" t="n">
        <x:v>0.5746492985971943887775551102</x:v>
      </x:c>
      <x:c r="AF63" s="32" t="n">
        <x:v>0.6603206412825651302605210421</x:v>
      </x:c>
      <x:c r="AG63" s="23" t="n">
        <x:v>0.7384769539078156312625250501</x:v>
      </x:c>
      <x:c r="AH63" s="32" t="n">
        <x:v>0.7950901803607214428857715431</x:v>
      </x:c>
      <x:c r="AI63" s="32" t="n">
        <x:v>0.8361723446893787575150300601</x:v>
      </x:c>
      <x:c r="AJ63" s="32" t="n">
        <x:v>0.8607214428857715430861723447</x:v>
      </x:c>
      <x:c r="AK63" s="32" t="n">
        <x:v>0.8717434869739478957915831663</x:v>
      </x:c>
      <x:c r="BI63" s="33" t="s"/>
      <x:c r="BJ63" s="11" t="s">
        <x:v>202</x:v>
      </x:c>
      <x:c r="BK63" s="12" t="str">
        <x:f>=BX63</x:f>
      </x:c>
      <x:c r="BL63" s="12" t="n">
        <x:v>0.8900300601202404809619238477</x:v>
      </x:c>
      <x:c r="BM63" s="12" t="n">
        <x:v>0.0743987975951903807615230461</x:v>
      </x:c>
      <x:c r="BN63" s="12" t="n">
        <x:v>0.0355711422845691382765531062</x:v>
      </x:c>
      <x:c r="BO63" s="12" t="str">
        <x:f>=BW63</x:f>
      </x:c>
      <x:c r="BP63" s="12" t="str">
        <x:f>=CF63</x:f>
      </x:c>
      <x:c r="BQ63" s="12" t="str"/>
      <x:c r="BR63" s="12" t="str">
        <x:v>SS 2019 EOS</x:v>
      </x:c>
      <x:c r="BS63" s="13" t="str"/>
      <x:c r="BT63" s="30" t="n">
        <x:v>12145.32</x:v>
      </x:c>
      <x:c r="BU63" s="30" t="n">
        <x:v>-7280.6973</x:v>
      </x:c>
      <x:c r="BV63" s="30" t="str">
        <x:f>=BT63+BU63</x:f>
      </x:c>
      <x:c r="BW63" s="66" t="str">
        <x:f>=BV63/BT63</x:f>
      </x:c>
      <x:c r="BX63" s="66" t="n">
        <x:v>0.9644288577154308617234468938</x:v>
      </x:c>
      <x:c r="BY63" s="30" t="n">
        <x:v>6485.65</x:v>
      </x:c>
      <x:c r="BZ63" s="41" t="n">
        <x:v>142</x:v>
      </x:c>
      <x:c r="CA63" s="30" t="n">
        <x:v>230.70197895791583166332665330</x:v>
      </x:c>
      <x:c r="CC63" s="30" t="n">
        <x:v>12146.191743486973947895791583</x:v>
      </x:c>
      <x:c r="CD63" s="30" t="n">
        <x:v>-7280.6973</x:v>
      </x:c>
      <x:c r="CE63" s="30" t="str">
        <x:f>=CC63+CD63</x:f>
      </x:c>
      <x:c r="CF63" s="66" t="str">
        <x:f>=CE63/CC63</x:f>
      </x:c>
      <x:c r="CH63" s="66" t="str">
        <x:f>=CI63+CJ63</x:f>
      </x:c>
      <x:c r="CI63" s="66" t="str">
        <x:f>=BX63+(0*7)</x:f>
      </x:c>
      <x:c r="CJ63" s="66" t="str">
        <x:f>=(1-CI63)*0.5</x:f>
      </x:c>
      <x:c r="CK63" s="66" t="str">
        <x:f>=1-CH63</x:f>
      </x:c>
      <x:c r="CM63" s="66" t="str">
        <x:f>=CJ63/(1-CI63)</x:f>
      </x:c>
    </x:row>
    <x:row r="64">
      <x:c r="A64" s="31" t="s">
        <x:v>203</x:v>
      </x:c>
      <x:c r="B64" t="s"/>
      <x:c r="C64" t="s">
        <x:v>204</x:v>
      </x:c>
      <x:c r="D64" t="s">
        <x:v>118</x:v>
      </x:c>
      <x:c r="E64" s="69" t="s">
        <x:v>153</x:v>
      </x:c>
      <x:c r="F64" t="n">
        <x:v>1009</x:v>
      </x:c>
      <x:c r="G64" s="32" t="n">
        <x:v>0.0376610505450941526263627354</x:v>
      </x:c>
      <x:c r="H64" s="32" t="n">
        <x:v>0.1446977205153617443012884044</x:v>
      </x:c>
      <x:c r="I64" s="32" t="n">
        <x:v>0.1555996035678889990089197225</x:v>
      </x:c>
      <x:c r="J64" s="32" t="n">
        <x:v>0.1536174430128840436075322101</x:v>
      </x:c>
      <x:c r="K64" s="32" t="n">
        <x:v>0.1536174430128840436075322101</x:v>
      </x:c>
      <x:c r="L64" s="32" t="n">
        <x:v>0.1575817641228939544103072349</x:v>
      </x:c>
      <x:c r="M64" s="32" t="n">
        <x:v>0.1615460852329038652130822597</x:v>
      </x:c>
      <x:c r="N64" s="32" t="n">
        <x:v>0.1615460852329038652130822597</x:v>
      </x:c>
      <x:c r="O64" s="32" t="n">
        <x:v>0.1674925668979187314172447968</x:v>
      </x:c>
      <x:c r="P64" s="32" t="n">
        <x:v>0.178394449950445986124876115</x:v>
      </x:c>
      <x:c r="Q64" s="32" t="n">
        <x:v>0.1863230921704658077304261645</x:v>
      </x:c>
      <x:c r="R64" s="32" t="n">
        <x:v>0.1932606541129831516352824579</x:v>
      </x:c>
      <x:c r="S64" s="32" t="n">
        <x:v>0.2051536174430128840436075322</x:v>
      </x:c>
      <x:c r="T64" s="32" t="n">
        <x:v>0.2120911793855302279484638256</x:v>
      </x:c>
      <x:c r="U64" s="32" t="n">
        <x:v>0.2269573835480673934588701685</x:v>
      </x:c>
      <x:c r="V64" s="32" t="n">
        <x:v>0.2388503468780971258671952428</x:v>
      </x:c>
      <x:c r="W64" s="32" t="n">
        <x:v>0.2507433102081268582755203171</x:v>
      </x:c>
      <x:c r="X64" s="32" t="n">
        <x:v>0.2626362735381565906838453915</x:v>
      </x:c>
      <x:c r="Y64" s="32" t="n">
        <x:v>0.2775024777006937561942517344</x:v>
      </x:c>
      <x:c r="Z64" s="32" t="n">
        <x:v>0.2983151635282457879088206145</x:v>
      </x:c>
      <x:c r="AA64" s="32" t="n">
        <x:v>0.3082259663032705649157581764</x:v>
      </x:c>
      <x:c r="AB64" s="32" t="n">
        <x:v>0.3230921704658077304261645193</x:v>
      </x:c>
      <x:c r="AC64" s="32" t="n">
        <x:v>0.346878097125867195242814668</x:v>
      </x:c>
      <x:c r="AD64" s="32" t="n">
        <x:v>0.3706640237859266600594648167</x:v>
      </x:c>
      <x:c r="AE64" s="32" t="n">
        <x:v>0.3795837462834489593657086224</x:v>
      </x:c>
      <x:c r="AF64" s="32" t="n">
        <x:v>0.3924677898909811694747274529</x:v>
      </x:c>
      <x:c r="AG64" s="32" t="n">
        <x:v>0.4063429137760158572844400396</x:v>
      </x:c>
      <x:c r="AH64" s="32" t="n">
        <x:v>0.4073339940535183349851337958</x:v>
      </x:c>
      <x:c r="AI64" s="32" t="n">
        <x:v>0.4172447968285431119920713578</x:v>
      </x:c>
      <x:c r="BI64" s="33" t="s"/>
      <x:c r="BJ64" s="11" t="s">
        <x:v>205</x:v>
      </x:c>
      <x:c r="BK64" s="12" t="str">
        <x:f>=BX64</x:f>
      </x:c>
      <x:c r="BL64" s="12" t="n">
        <x:v>0.4261645193260654112983151635</x:v>
      </x:c>
      <x:c r="BM64" s="12" t="n">
        <x:v>0.5579781962338949454905847374</x:v>
      </x:c>
      <x:c r="BN64" s="12" t="n">
        <x:v>0.0158572844400396432111000991</x:v>
      </x:c>
      <x:c r="BO64" s="12" t="str">
        <x:f>=BW64</x:f>
      </x:c>
      <x:c r="BP64" s="12" t="str">
        <x:f>=CF64</x:f>
      </x:c>
      <x:c r="BQ64" s="12" t="str"/>
      <x:c r="BR64" s="12" t="str">
        <x:v>SS 2019 EOS</x:v>
      </x:c>
      <x:c r="BS64" s="13" t="str"/>
      <x:c r="BT64" s="30" t="n">
        <x:v>7399.25</x:v>
      </x:c>
      <x:c r="BU64" s="30" t="n">
        <x:v>-6091.9048</x:v>
      </x:c>
      <x:c r="BV64" s="30" t="str">
        <x:f>=BT64+BU64</x:f>
      </x:c>
      <x:c r="BW64" s="66" t="str">
        <x:f>=BV64/BT64</x:f>
      </x:c>
      <x:c r="BX64" s="66" t="n">
        <x:v>0.9841427155599603567888999009</x:v>
      </x:c>
      <x:c r="BY64" s="30" t="n">
        <x:v>5885.66</x:v>
      </x:c>
      <x:c r="BZ64" s="41" t="n">
        <x:v>16</x:v>
      </x:c>
      <x:c r="CA64" s="30" t="n">
        <x:v>93.33058473736372646184340932</x:v>
      </x:c>
      <x:c r="CC64" s="30" t="n">
        <x:v>7399.6672447968285431119920714</x:v>
      </x:c>
      <x:c r="CD64" s="30" t="n">
        <x:v>-6091.9048</x:v>
      </x:c>
      <x:c r="CE64" s="30" t="str">
        <x:f>=CC64+CD64</x:f>
      </x:c>
      <x:c r="CF64" s="66" t="str">
        <x:f>=CE64/CC64</x:f>
      </x:c>
      <x:c r="CH64" s="66" t="str">
        <x:f>=CI64+CJ64</x:f>
      </x:c>
      <x:c r="CI64" s="66" t="str">
        <x:f>=BX64+(0*7)</x:f>
      </x:c>
      <x:c r="CJ64" s="66" t="str">
        <x:f>=(1-CI64)*0.5</x:f>
      </x:c>
      <x:c r="CK64" s="66" t="str">
        <x:f>=1-CH64</x:f>
      </x:c>
      <x:c r="CM64" s="66" t="str">
        <x:f>=CJ64/(1-CI64)</x:f>
      </x:c>
    </x:row>
    <x:row r="65">
      <x:c r="A65" s="31" t="s">
        <x:v>206</x:v>
      </x:c>
      <x:c r="B65" t="s"/>
      <x:c r="C65" t="s">
        <x:v>207</x:v>
      </x:c>
      <x:c r="D65" t="s">
        <x:v>118</x:v>
      </x:c>
      <x:c r="E65" s="69" t="s">
        <x:v>153</x:v>
      </x:c>
      <x:c r="F65" t="n">
        <x:v>5241</x:v>
      </x:c>
      <x:c r="G65" s="32" t="n">
        <x:v>0.0364434268269414233924823507</x:v>
      </x:c>
      <x:c r="H65" s="32" t="n">
        <x:v>0.1156267887807670291929021179</x:v>
      </x:c>
      <x:c r="I65" s="32" t="n">
        <x:v>0.1156267887807670291929021179</x:v>
      </x:c>
      <x:c r="J65" s="32" t="n">
        <x:v>0.226483495516122877313489792</x:v>
      </x:c>
      <x:c r="K65" s="32" t="n">
        <x:v>0.3171150543789353176874642244</x:v>
      </x:c>
      <x:c r="L65" s="32" t="n">
        <x:v>0.3455447433695859568784583095</x:v>
      </x:c>
      <x:c r="M65" s="32" t="n">
        <x:v>0.3718755962602556763976340393</x:v>
      </x:c>
      <x:c r="N65" s="32" t="n">
        <x:v>0.3770272848692997519557336386</x:v>
      </x:c>
      <x:c r="O65" s="32" t="n">
        <x:v>0.3795077275329135661133371494</x:v>
      </x:c>
      <x:c r="P65" s="32" t="n">
        <x:v>0.3802709406601793550849074604</x:v>
      </x:c>
      <x:c r="Q65" s="32" t="n">
        <x:v>0.3829421866056096164854035489</x:v>
      </x:c>
      <x:c r="R65" s="32" t="n">
        <x:v>0.3850410227055905361572219042</x:v>
      </x:c>
      <x:c r="S65" s="32" t="n">
        <x:v>0.3892386949055523755008586148</x:v>
      </x:c>
      <x:c r="T65" s="32" t="n">
        <x:v>0.3911467277237168479297843923</x:v>
      </x:c>
      <x:c r="U65" s="32" t="n">
        <x:v>0.39133753100553329517267697</x:v>
      </x:c>
      <x:c r="V65" s="32" t="n">
        <x:v>0.3911467277237168479297843923</x:v>
      </x:c>
      <x:c r="W65" s="32" t="n">
        <x:v>0.4087006296508299942759015455</x:v>
      </x:c>
      <x:c r="X65" s="32" t="n">
        <x:v>0.4731921389047891623735928258</x:v>
      </x:c>
      <x:c r="Y65" s="32" t="n">
        <x:v>0.594733829421866056096164854</x:v>
      </x:c>
      <x:c r="Z65" s="23" t="n">
        <x:v>0.7324937988933409654646059912</x:v>
      </x:c>
      <x:c r="AA65" s="32" t="n">
        <x:v>0.8496470139286395726006487312</x:v>
      </x:c>
      <x:c r="AB65" s="32" t="n">
        <x:v>0.9002098836099980919671818355</x:v>
      </x:c>
      <x:c r="AC65" s="32" t="n">
        <x:v>0.9253959168097691280290020988</x:v>
      </x:c>
      <x:c r="AD65" s="32" t="n">
        <x:v>0.9400877695096355657317305858</x:v>
      </x:c>
      <x:c r="BI65" s="33" t="s"/>
      <x:c r="BJ65" s="11" t="s">
        <x:v>208</x:v>
      </x:c>
      <x:c r="BK65" s="12" t="str">
        <x:f>=BX65</x:f>
      </x:c>
      <x:c r="BL65" s="12" t="n">
        <x:v>0.9528715893913375310055332952</x:v>
      </x:c>
      <x:c r="BM65" s="12" t="n">
        <x:v>0.0194619347452776187750429307</x:v>
      </x:c>
      <x:c r="BN65" s="12" t="n">
        <x:v>0.0276664758633848502194237741</x:v>
      </x:c>
      <x:c r="BO65" s="12" t="str">
        <x:f>=BW65</x:f>
      </x:c>
      <x:c r="BP65" s="12" t="str">
        <x:f>=CF65</x:f>
      </x:c>
      <x:c r="BQ65" s="12" t="str"/>
      <x:c r="BR65" s="12" t="str">
        <x:v>SS 2019 EOS</x:v>
      </x:c>
      <x:c r="BS65" s="13" t="str"/>
      <x:c r="BT65" s="30" t="n">
        <x:v>20633.99</x:v>
      </x:c>
      <x:c r="BU65" s="30" t="n">
        <x:v>-11217.2391</x:v>
      </x:c>
      <x:c r="BV65" s="30" t="str">
        <x:f>=BT65+BU65</x:f>
      </x:c>
      <x:c r="BW65" s="66" t="str">
        <x:f>=BV65/BT65</x:f>
      </x:c>
      <x:c r="BX65" s="66" t="n">
        <x:v>0.9723335241366151497805762259</x:v>
      </x:c>
      <x:c r="BY65" s="30" t="n">
        <x:v>10299.30</x:v>
      </x:c>
      <x:c r="BZ65" s="41" t="n">
        <x:v>145</x:v>
      </x:c>
      <x:c r="CA65" s="30" t="n">
        <x:v>284.94533485975958786491127647</x:v>
      </x:c>
      <x:c r="CC65" s="30" t="n">
        <x:v>20761.763929543121541690517077</x:v>
      </x:c>
      <x:c r="CD65" s="30" t="n">
        <x:v>-11217.2391</x:v>
      </x:c>
      <x:c r="CE65" s="30" t="str">
        <x:f>=CC65+CD65</x:f>
      </x:c>
      <x:c r="CF65" s="66" t="str">
        <x:f>=CE65/CC65</x:f>
      </x:c>
      <x:c r="CH65" s="66" t="str">
        <x:f>=CI65+CJ65</x:f>
      </x:c>
      <x:c r="CI65" s="66" t="str">
        <x:f>=BX65+(0*7)</x:f>
      </x:c>
      <x:c r="CJ65" s="66" t="str">
        <x:f>=(1-CI65)*0.5</x:f>
      </x:c>
      <x:c r="CK65" s="66" t="str">
        <x:f>=1-CH65</x:f>
      </x:c>
      <x:c r="CM65" s="66" t="str">
        <x:f>=CJ65/(1-CI65)</x:f>
      </x:c>
    </x:row>
    <x:row r="66">
      <x:c r="A66" s="31" t="s">
        <x:v>209</x:v>
      </x:c>
      <x:c r="B66" t="s"/>
      <x:c r="C66" t="s">
        <x:v>210</x:v>
      </x:c>
      <x:c r="D66" t="s">
        <x:v>118</x:v>
      </x:c>
      <x:c r="E66" s="69" t="s">
        <x:v>153</x:v>
      </x:c>
      <x:c r="F66" t="n">
        <x:v>3059</x:v>
      </x:c>
      <x:c r="G66" s="32" t="n">
        <x:v>0.0042497548218372016999019287</x:v>
      </x:c>
      <x:c r="H66" s="32" t="n">
        <x:v>0.0042497548218372016999019287</x:v>
      </x:c>
      <x:c r="I66" s="32" t="n">
        <x:v>0.0297482837528604118993135011</x:v>
      </x:c>
      <x:c r="J66" s="32" t="n">
        <x:v>0.0611310885910428244524354364</x:v>
      </x:c>
      <x:c r="K66" s="32" t="n">
        <x:v>0.099378881987577639751552795</x:v>
      </x:c>
      <x:c r="L66" s="32" t="n">
        <x:v>0.1284733573063092513893429225</x:v>
      </x:c>
      <x:c r="M66" s="32" t="n">
        <x:v>0.1641059169663288656423667865</x:v>
      </x:c>
      <x:c r="N66" s="32" t="n">
        <x:v>0.2075841778358940830336711344</x:v>
      </x:c>
      <x:c r="O66" s="32" t="n">
        <x:v>0.3553448839490029421379535796</x:v>
      </x:c>
      <x:c r="P66" s="32" t="n">
        <x:v>0.3687479568486433474991827395</x:v>
      </x:c>
      <x:c r="Q66" s="32" t="n">
        <x:v>0.3886891140895717554756456358</x:v>
      </x:c>
      <x:c r="R66" s="32" t="n">
        <x:v>0.41091860084995096436744034</x:v>
      </x:c>
      <x:c r="S66" s="32" t="n">
        <x:v>0.4341288002615233736515201046</x:v>
      </x:c>
      <x:c r="T66" s="32" t="n">
        <x:v>0.4606080418437397842432167375</x:v>
      </x:c>
      <x:c r="U66" s="32" t="n">
        <x:v>0.4753187316116377901274926447</x:v>
      </x:c>
      <x:c r="V66" s="32" t="n">
        <x:v>0.4965675057208237986270022883</x:v>
      </x:c>
      <x:c r="W66" s="32" t="n">
        <x:v>0.5129127165740438051650866296</x:v>
      </x:c>
      <x:c r="X66" s="32" t="n">
        <x:v>0.5217391304347826086956521739</x:v>
      </x:c>
      <x:c r="Y66" s="32" t="n">
        <x:v>0.5351422033344230140568813338</x:v>
      </x:c>
      <x:c r="Z66" s="32" t="n">
        <x:v>0.54789146779993461915658712</x:v>
      </x:c>
      <x:c r="AA66" s="32" t="n">
        <x:v>0.5550833605753514220333442301</x:v>
      </x:c>
      <x:c r="AB66" s="32" t="n">
        <x:v>0.560967636482510624387054593</x:v>
      </x:c>
      <x:c r="AC66" s="32" t="n">
        <x:v>0.5675057208237986270022883295</x:v>
      </x:c>
      <x:c r="BI66" s="33" t="s"/>
      <x:c r="BJ66" s="11" t="s">
        <x:v>211</x:v>
      </x:c>
      <x:c r="BK66" s="12" t="str">
        <x:f>=BX66</x:f>
      </x:c>
      <x:c r="BL66" s="12" t="n">
        <x:v>0.5789473684210526315789473684</x:v>
      </x:c>
      <x:c r="BM66" s="12" t="n">
        <x:v>0.4079764628963713631905851585</x:v>
      </x:c>
      <x:c r="BN66" s="12" t="n">
        <x:v>0.013076168682576005230467473</x:v>
      </x:c>
      <x:c r="BO66" s="12" t="str">
        <x:f>=BW66</x:f>
      </x:c>
      <x:c r="BP66" s="12" t="str">
        <x:f>=CF66</x:f>
      </x:c>
      <x:c r="BQ66" s="12" t="str"/>
      <x:c r="BR66" s="12" t="str">
        <x:v>SS 2019 EOS</x:v>
      </x:c>
      <x:c r="BS66" s="13" t="str"/>
      <x:c r="BT66" s="30" t="n">
        <x:v>15539.36</x:v>
      </x:c>
      <x:c r="BU66" s="30" t="n">
        <x:v>-12292.9807</x:v>
      </x:c>
      <x:c r="BV66" s="30" t="str">
        <x:f>=BT66+BU66</x:f>
      </x:c>
      <x:c r="BW66" s="66" t="str">
        <x:f>=BV66/BT66</x:f>
      </x:c>
      <x:c r="BX66" s="66" t="n">
        <x:v>0.986923831317423994769532527</x:v>
      </x:c>
      <x:c r="BY66" s="30" t="n">
        <x:v>11885.72</x:v>
      </x:c>
      <x:c r="BZ66" s="41" t="n">
        <x:v>40</x:v>
      </x:c>
      <x:c r="CA66" s="30" t="n">
        <x:v>155.41967963386727688787185355</x:v>
      </x:c>
      <x:c r="CC66" s="30" t="n">
        <x:v>15539.927505720823798627002288</x:v>
      </x:c>
      <x:c r="CD66" s="30" t="n">
        <x:v>-12292.9807</x:v>
      </x:c>
      <x:c r="CE66" s="30" t="str">
        <x:f>=CC66+CD66</x:f>
      </x:c>
      <x:c r="CF66" s="66" t="str">
        <x:f>=CE66/CC66</x:f>
      </x:c>
      <x:c r="CH66" s="66" t="str">
        <x:f>=CI66+CJ66</x:f>
      </x:c>
      <x:c r="CI66" s="66" t="str">
        <x:f>=BX66+(0*7)</x:f>
      </x:c>
      <x:c r="CJ66" s="66" t="str">
        <x:f>=(1-CI66)*0.5</x:f>
      </x:c>
      <x:c r="CK66" s="66" t="str">
        <x:f>=1-CH66</x:f>
      </x:c>
      <x:c r="CM66" s="66" t="str">
        <x:f>=CJ66/(1-CI66)</x:f>
      </x:c>
    </x:row>
    <x:row r="67">
      <x:c r="A67" s="31" t="s">
        <x:v>212</x:v>
      </x:c>
      <x:c r="B67" t="s"/>
      <x:c r="C67" t="s">
        <x:v>213</x:v>
      </x:c>
      <x:c r="D67" t="s">
        <x:v>118</x:v>
      </x:c>
      <x:c r="E67" s="69" t="s">
        <x:v>153</x:v>
      </x:c>
      <x:c r="F67" t="n">
        <x:v>3115</x:v>
      </x:c>
      <x:c r="G67" s="32" t="n">
        <x:v>0.0035313001605136436597110754</x:v>
      </x:c>
      <x:c r="H67" s="32" t="n">
        <x:v>0.0035313001605136436597110754</x:v>
      </x:c>
      <x:c r="I67" s="32" t="n">
        <x:v>0.0645264847512038523274478331</x:v>
      </x:c>
      <x:c r="J67" s="32" t="n">
        <x:v>0.1434991974317817014446227929</x:v>
      </x:c>
      <x:c r="K67" s="32" t="n">
        <x:v>0.2513643659711075441412520064</x:v>
      </x:c>
      <x:c r="L67" s="32" t="n">
        <x:v>0.3547351524879614767255216693</x:v>
      </x:c>
      <x:c r="M67" s="32" t="n">
        <x:v>0.4439807383627608346709470305</x:v>
      </x:c>
      <x:c r="N67" s="32" t="n">
        <x:v>0.5213483146067415730337078652</x:v>
      </x:c>
      <x:c r="O67" s="32" t="n">
        <x:v>0.6093097913322632423756019262</x:v>
      </x:c>
      <x:c r="P67" s="32" t="n">
        <x:v>0.6568218298555377207062600321</x:v>
      </x:c>
      <x:c r="Q67" s="23" t="n">
        <x:v>0.7011235955056179775280898876</x:v>
      </x:c>
      <x:c r="R67" s="32" t="n">
        <x:v>0.7242375601926163723916532905</x:v>
      </x:c>
      <x:c r="S67" s="32" t="n">
        <x:v>0.743820224719101123595505618</x:v>
      </x:c>
      <x:c r="T67" s="32" t="n">
        <x:v>0.7550561797752808988764044944</x:v>
      </x:c>
      <x:c r="U67" s="32" t="n">
        <x:v>0.7595505617977528089887640449</x:v>
      </x:c>
      <x:c r="V67" s="32" t="n">
        <x:v>0.7662921348314606741573033708</x:v>
      </x:c>
      <x:c r="W67" s="32" t="n">
        <x:v>0.7714285714285714285714285714</x:v>
      </x:c>
      <x:c r="X67" s="32" t="n">
        <x:v>0.7804173354735152487961476726</x:v>
      </x:c>
      <x:c r="Y67" s="32" t="n">
        <x:v>0.7874799357945425361155698234</x:v>
      </x:c>
      <x:c r="Z67" s="32" t="n">
        <x:v>0.7926163723916532905296950241</x:v>
      </x:c>
      <x:c r="AA67" s="32" t="n">
        <x:v>0.7967897271268057784911717496</x:v>
      </x:c>
      <x:c r="AB67" s="32" t="n">
        <x:v>0.7987158908507223113964686998</x:v>
      </x:c>
      <x:c r="AC67" s="32" t="n">
        <x:v>0.8019261637239165329052969502</x:v>
      </x:c>
      <x:c r="BI67" s="33" t="s"/>
      <x:c r="BJ67" s="11" t="s">
        <x:v>211</x:v>
      </x:c>
      <x:c r="BK67" s="12" t="str">
        <x:f>=BX67</x:f>
      </x:c>
      <x:c r="BL67" s="12" t="n">
        <x:v>0.8073836276083467094703049759</x:v>
      </x:c>
      <x:c r="BM67" s="12" t="n">
        <x:v>0.1868378812199036918138041734</x:v>
      </x:c>
      <x:c r="BN67" s="12" t="n">
        <x:v>0.0057784911717495987158908507</x:v>
      </x:c>
      <x:c r="BO67" s="12" t="str">
        <x:f>=BW67</x:f>
      </x:c>
      <x:c r="BP67" s="12" t="str">
        <x:f>=CF67</x:f>
      </x:c>
      <x:c r="BQ67" s="12" t="str"/>
      <x:c r="BR67" s="12" t="str">
        <x:v>SS 2019 EOS</x:v>
      </x:c>
      <x:c r="BS67" s="13" t="str"/>
      <x:c r="BT67" s="30" t="n">
        <x:v>17368.71</x:v>
      </x:c>
      <x:c r="BU67" s="30" t="n">
        <x:v>-12539.2531</x:v>
      </x:c>
      <x:c r="BV67" s="30" t="str">
        <x:f>=BT67+BU67</x:f>
      </x:c>
      <x:c r="BW67" s="66" t="str">
        <x:f>=BV67/BT67</x:f>
      </x:c>
      <x:c r="BX67" s="66" t="n">
        <x:v>0.9942215088282504012841091493</x:v>
      </x:c>
      <x:c r="BY67" s="30" t="n">
        <x:v>12124.23</x:v>
      </x:c>
      <x:c r="BZ67" s="41" t="n">
        <x:v>18</x:v>
      </x:c>
      <x:c r="CA67" s="30" t="n">
        <x:v>70.059756019261637239165329053</x:v>
      </x:c>
      <x:c r="CC67" s="30" t="n">
        <x:v>17369.511926163723916532905297</x:v>
      </x:c>
      <x:c r="CD67" s="30" t="n">
        <x:v>-12539.2531</x:v>
      </x:c>
      <x:c r="CE67" s="30" t="str">
        <x:f>=CC67+CD67</x:f>
      </x:c>
      <x:c r="CF67" s="66" t="str">
        <x:f>=CE67/CC67</x:f>
      </x:c>
      <x:c r="CH67" s="66" t="str">
        <x:f>=CI67+CJ67</x:f>
      </x:c>
      <x:c r="CI67" s="66" t="str">
        <x:f>=BX67+(0*7)</x:f>
      </x:c>
      <x:c r="CJ67" s="66" t="str">
        <x:f>=(1-CI67)*0.5</x:f>
      </x:c>
      <x:c r="CK67" s="66" t="str">
        <x:f>=1-CH67</x:f>
      </x:c>
      <x:c r="CM67" s="66" t="str">
        <x:f>=CJ67/(1-CI67)</x:f>
      </x:c>
    </x:row>
    <x:row r="68">
      <x:c r="A68" s="31" t="s">
        <x:v>214</x:v>
      </x:c>
      <x:c r="B68" t="s"/>
      <x:c r="C68" t="s">
        <x:v>215</x:v>
      </x:c>
      <x:c r="D68" t="s">
        <x:v>118</x:v>
      </x:c>
      <x:c r="E68" s="69" t="s">
        <x:v>153</x:v>
      </x:c>
      <x:c r="F68" t="n">
        <x:v>2062</x:v>
      </x:c>
      <x:c r="G68" s="32" t="n">
        <x:v>0.0009699321047526673132880698</x:v>
      </x:c>
      <x:c r="H68" s="32" t="n">
        <x:v>0.0126091173617846750727449079</x:v>
      </x:c>
      <x:c r="I68" s="32" t="n">
        <x:v>0.0135790494665373423860329777</x:v>
      </x:c>
      <x:c r="J68" s="32" t="n">
        <x:v>0.0436469447138700290979631426</x:v>
      </x:c>
      <x:c r="K68" s="32" t="n">
        <x:v>0.1018428709990300678952473327</x:v>
      </x:c>
      <x:c r="L68" s="32" t="n">
        <x:v>0.1813773035887487875848690592</x:v>
      </x:c>
      <x:c r="M68" s="32" t="n">
        <x:v>0.270611057225994180407371484</x:v>
      </x:c>
      <x:c r="N68" s="32" t="n">
        <x:v>0.3952473326867119301648884578</x:v>
      </x:c>
      <x:c r="O68" s="32" t="n">
        <x:v>0.5130940834141610087293889428</x:v>
      </x:c>
      <x:c r="P68" s="32" t="n">
        <x:v>0.6959262851600387972841901067</x:v>
      </x:c>
      <x:c r="Q68" s="23" t="n">
        <x:v>0.8089233753637245392822502425</x:v>
      </x:c>
      <x:c r="R68" s="32" t="n">
        <x:v>0.8962172647914645974781765276</x:v>
      </x:c>
      <x:c r="S68" s="32" t="n">
        <x:v>0.9180407371483996120271580989</x:v>
      </x:c>
      <x:c r="T68" s="32" t="n">
        <x:v>0.9282250242483026188166828322</x:v>
      </x:c>
      <x:c r="U68" s="32" t="n">
        <x:v>0.9485935984481086323957322987</x:v>
      </x:c>
      <x:c r="V68" s="32" t="n">
        <x:v>0.9607177497575169738118331717</x:v>
      </x:c>
      <x:c r="W68" s="32" t="n">
        <x:v>0.9621726479146459747817652764</x:v>
      </x:c>
      <x:c r="X68" s="32" t="n">
        <x:v>0.9641125121241513094083414161</x:v>
      </x:c>
      <x:c r="Y68" s="32" t="n">
        <x:v>0.9655674102812803103782735209</x:v>
      </x:c>
      <x:c r="Z68" s="32" t="n">
        <x:v>0.97041707080504364694471387</x:v>
      </x:c>
      <x:c r="AA68" s="32" t="n">
        <x:v>0.9742967992240543161978661494</x:v>
      </x:c>
      <x:c r="BI68" s="33" t="s"/>
      <x:c r="BJ68" s="11" t="s">
        <x:v>216</x:v>
      </x:c>
      <x:c r="BK68" s="12" t="str">
        <x:f>=BX68</x:f>
      </x:c>
      <x:c r="BL68" s="12" t="n">
        <x:v>0.9786614936954413191076624636</x:v>
      </x:c>
      <x:c r="BM68" s="12" t="n">
        <x:v>0.0130940834141610087293889428</x:v>
      </x:c>
      <x:c r="BN68" s="12" t="n">
        <x:v>0.0082444228903976721629485936</x:v>
      </x:c>
      <x:c r="BO68" s="12" t="str">
        <x:f>=BW68</x:f>
      </x:c>
      <x:c r="BP68" s="12" t="str">
        <x:f>=CF68</x:f>
      </x:c>
      <x:c r="BQ68" s="12" t="str"/>
      <x:c r="BR68" s="12" t="str">
        <x:v>SS 2019 EOS</x:v>
      </x:c>
      <x:c r="BS68" s="13" t="str"/>
      <x:c r="BT68" s="30" t="n">
        <x:v>7793.99</x:v>
      </x:c>
      <x:c r="BU68" s="30" t="n">
        <x:v>-4183.0060</x:v>
      </x:c>
      <x:c r="BV68" s="30" t="str">
        <x:f>=BT68+BU68</x:f>
      </x:c>
      <x:c r="BW68" s="66" t="str">
        <x:f>=BV68/BT68</x:f>
      </x:c>
      <x:c r="BX68" s="66" t="n">
        <x:v>0.9917555771096023278370514064</x:v>
      </x:c>
      <x:c r="BY68" s="30" t="n">
        <x:v>4099.80</x:v>
      </x:c>
      <x:c r="BZ68" s="41" t="n">
        <x:v>17</x:v>
      </x:c>
      <x:c r="CA68" s="30" t="n">
        <x:v>33.800484966052376333656644035</x:v>
      </x:c>
      <x:c r="CC68" s="30" t="n">
        <x:v>7794.9642967992240543161978661</x:v>
      </x:c>
      <x:c r="CD68" s="30" t="n">
        <x:v>-4183.0060</x:v>
      </x:c>
      <x:c r="CE68" s="30" t="str">
        <x:f>=CC68+CD68</x:f>
      </x:c>
      <x:c r="CF68" s="66" t="str">
        <x:f>=CE68/CC68</x:f>
      </x:c>
      <x:c r="CH68" s="66" t="str">
        <x:f>=CI68+CJ68</x:f>
      </x:c>
      <x:c r="CI68" s="66" t="str">
        <x:f>=BX68+(0*7)</x:f>
      </x:c>
      <x:c r="CJ68" s="66" t="str">
        <x:f>=(1-CI68)*0.5</x:f>
      </x:c>
      <x:c r="CK68" s="66" t="str">
        <x:f>=1-CH68</x:f>
      </x:c>
      <x:c r="CM68" s="66" t="str">
        <x:f>=CJ68/(1-CI68)</x:f>
      </x:c>
    </x:row>
    <x:row r="69">
      <x:c r="A69" s="31" t="s">
        <x:v>217</x:v>
      </x:c>
      <x:c r="B69" t="s">
        <x:v>116</x:v>
      </x:c>
      <x:c r="C69" t="s">
        <x:v>218</x:v>
      </x:c>
      <x:c r="D69" t="s">
        <x:v>118</x:v>
      </x:c>
      <x:c r="E69" s="69" t="s">
        <x:v>153</x:v>
      </x:c>
      <x:c r="F69" t="n">
        <x:v>2938</x:v>
      </x:c>
      <x:c r="G69" s="32" t="n">
        <x:v>0.0350578624914908100748808713</x:v>
      </x:c>
      <x:c r="H69" s="32" t="n">
        <x:v>0.109938733832539142273655548</x:v>
      </x:c>
      <x:c r="I69" s="32" t="n">
        <x:v>0.2028590878148400272294077604</x:v>
      </x:c>
      <x:c r="J69" s="32" t="n">
        <x:v>0.27535738597685500340367597</x:v>
      </x:c>
      <x:c r="K69" s="32" t="n">
        <x:v>0.3352620830496936691626957114</x:v>
      </x:c>
      <x:c r="L69" s="32" t="n">
        <x:v>0.3832539142273655547991831178</x:v>
      </x:c>
      <x:c r="M69" s="32" t="n">
        <x:v>0.427842069434989788972089857</x:v>
      </x:c>
      <x:c r="N69" s="32" t="n">
        <x:v>0.4639210347174948944860449285</x:v>
      </x:c>
      <x:c r="O69" s="32" t="n">
        <x:v>0.5098706603131381892443839346</x:v>
      </x:c>
      <x:c r="P69" s="32" t="n">
        <x:v>0.5353982300884955752212389381</x:v>
      </x:c>
      <x:c r="Q69" s="32" t="n">
        <x:v>0.5568413886997957794417971409</x:v>
      </x:c>
      <x:c r="R69" s="32" t="n">
        <x:v>0.5619469026548672566371681416</x:v>
      </x:c>
      <x:c r="S69" s="32" t="n">
        <x:v>0.5704560925799863852961198094</x:v>
      </x:c>
      <x:c r="T69" s="32" t="n">
        <x:v>0.5854322668481960517358747447</x:v>
      </x:c>
      <x:c r="U69" s="32" t="n">
        <x:v>0.5915588835942818243703199455</x:v>
      </x:c>
      <x:c r="V69" s="32" t="n">
        <x:v>0.5976855003403675970047651464</x:v>
      </x:c>
      <x:c r="W69" s="32" t="n">
        <x:v>0.6068754254594962559564329476</x:v>
      </x:c>
      <x:c r="X69" s="32" t="n">
        <x:v>0.6126616746085772634445200817</x:v>
      </x:c>
      <x:c r="Y69" s="32" t="n">
        <x:v>0.6157249829816201497617426821</x:v>
      </x:c>
      <x:c r="Z69" s="32" t="n">
        <x:v>0.6242341729067392784206943499</x:v>
      </x:c>
      <x:c r="AA69" s="32" t="n">
        <x:v>0.6255956432947583390061266167</x:v>
      </x:c>
      <x:c r="BI69" s="33" t="s"/>
      <x:c r="BJ69" s="11" t="s">
        <x:v>216</x:v>
      </x:c>
      <x:c r="BK69" s="12" t="str">
        <x:f>=BX69</x:f>
      </x:c>
      <x:c r="BL69" s="12" t="n">
        <x:v>0.6303607896528250510551395507</x:v>
      </x:c>
      <x:c r="BM69" s="12" t="n">
        <x:v>0.3672566371681415929203539823</x:v>
      </x:c>
      <x:c r="BN69" s="12" t="n">
        <x:v>0.002382573179033356024506467</x:v>
      </x:c>
      <x:c r="BO69" s="12" t="str">
        <x:f>=BW69</x:f>
      </x:c>
      <x:c r="BP69" s="12" t="str">
        <x:f>=CF69</x:f>
      </x:c>
      <x:c r="BQ69" s="12" t="str"/>
      <x:c r="BR69" s="12" t="str">
        <x:v>SS 2019 EOS</x:v>
      </x:c>
      <x:c r="BS69" s="13" t="str"/>
      <x:c r="BT69" s="30" t="n">
        <x:v>19822.32</x:v>
      </x:c>
      <x:c r="BU69" s="30" t="n">
        <x:v>-16149.7940</x:v>
      </x:c>
      <x:c r="BV69" s="30" t="str">
        <x:f>=BT69+BU69</x:f>
      </x:c>
      <x:c r="BW69" s="66" t="str">
        <x:f>=BV69/BT69</x:f>
      </x:c>
      <x:c r="BX69" s="66" t="n">
        <x:v>0.997617426820966643975493533</x:v>
      </x:c>
      <x:c r="BY69" s="30" t="n">
        <x:v>13556.80</x:v>
      </x:c>
      <x:c r="BZ69" s="41" t="n">
        <x:v>7</x:v>
      </x:c>
      <x:c r="CA69" s="30" t="n">
        <x:v>32.300068073519400953029271613</x:v>
      </x:c>
      <x:c r="CC69" s="30" t="n">
        <x:v>19822.945595643294758339006127</x:v>
      </x:c>
      <x:c r="CD69" s="30" t="n">
        <x:v>-16149.7940</x:v>
      </x:c>
      <x:c r="CE69" s="30" t="str">
        <x:f>=CC69+CD69</x:f>
      </x:c>
      <x:c r="CF69" s="66" t="str">
        <x:f>=CE69/CC69</x:f>
      </x:c>
      <x:c r="CH69" s="66" t="str">
        <x:f>=CI69+CJ69</x:f>
      </x:c>
      <x:c r="CI69" s="66" t="str">
        <x:f>=BX69+(0*7)</x:f>
      </x:c>
      <x:c r="CJ69" s="66" t="str">
        <x:f>=(1-CI69)*0.5</x:f>
      </x:c>
      <x:c r="CK69" s="66" t="str">
        <x:f>=1-CH69</x:f>
      </x:c>
      <x:c r="CM69" s="66" t="str">
        <x:f>=CJ69/(1-CI69)</x:f>
      </x:c>
    </x:row>
    <x:row r="70">
      <x:c r="A70" s="31" t="s">
        <x:v>219</x:v>
      </x:c>
      <x:c r="B70" t="s"/>
      <x:c r="C70" t="s">
        <x:v>220</x:v>
      </x:c>
      <x:c r="D70" t="s">
        <x:v>147</x:v>
      </x:c>
      <x:c r="E70" s="69" t="s">
        <x:v>153</x:v>
      </x:c>
      <x:c r="F70" t="n">
        <x:v>1700</x:v>
      </x:c>
      <x:c r="G70" s="32" t="n">
        <x:v>0.0011764705882352941176470588</x:v>
      </x:c>
      <x:c r="H70" s="32" t="n">
        <x:v>0.0429411764705882352941176471</x:v>
      </x:c>
      <x:c r="I70" s="32" t="n">
        <x:v>0.1117647058823529411764705882</x:v>
      </x:c>
      <x:c r="J70" s="32" t="n">
        <x:v>0.1788235294117647058823529412</x:v>
      </x:c>
      <x:c r="K70" s="32" t="n">
        <x:v>0.2623529411764705882352941176</x:v>
      </x:c>
      <x:c r="L70" s="32" t="n">
        <x:v>0.3411764705882352941176470588</x:v>
      </x:c>
      <x:c r="M70" s="32" t="n">
        <x:v>0.3952941176470588235294117647</x:v>
      </x:c>
      <x:c r="N70" s="32" t="n">
        <x:v>0.46</x:v>
      </x:c>
      <x:c r="O70" s="32" t="n">
        <x:v>0.5117647058823529411764705882</x:v>
      </x:c>
      <x:c r="P70" s="32" t="n">
        <x:v>0.5594117647058823529411764706</x:v>
      </x:c>
      <x:c r="Q70" s="32" t="n">
        <x:v>0.5923529411764705882352941176</x:v>
      </x:c>
      <x:c r="R70" s="32" t="n">
        <x:v>0.6117647058823529411764705882</x:v>
      </x:c>
      <x:c r="S70" s="32" t="n">
        <x:v>0.6311764705882352941176470588</x:v>
      </x:c>
      <x:c r="T70" s="32" t="n">
        <x:v>0.6447058823529411764705882353</x:v>
      </x:c>
      <x:c r="U70" s="32" t="n">
        <x:v>0.6588235294117647058823529412</x:v>
      </x:c>
      <x:c r="V70" s="32" t="n">
        <x:v>0.6835294117647058823529411765</x:v>
      </x:c>
      <x:c r="W70" s="23" t="n">
        <x:v>0.7088235294117647058823529412</x:v>
      </x:c>
      <x:c r="X70" s="32" t="n">
        <x:v>0.72</x:v>
      </x:c>
      <x:c r="Y70" s="32" t="n">
        <x:v>0.7388235294117647058823529412</x:v>
      </x:c>
      <x:c r="Z70" s="32" t="n">
        <x:v>0.7617647058823529411764705882</x:v>
      </x:c>
      <x:c r="AA70" s="32" t="n">
        <x:v>0.7770588235294117647058823529</x:v>
      </x:c>
      <x:c r="BI70" s="33" t="s"/>
      <x:c r="BJ70" s="11" t="s">
        <x:v>216</x:v>
      </x:c>
      <x:c r="BK70" s="12" t="str">
        <x:f>=BX70</x:f>
      </x:c>
      <x:c r="BL70" s="12" t="n">
        <x:v>0.7852941176470588235294117647</x:v>
      </x:c>
      <x:c r="BM70" s="12" t="n">
        <x:v>0.1988235294117647058823529412</x:v>
      </x:c>
      <x:c r="BN70" s="12" t="n">
        <x:v>0.0158823529411764705882352941</x:v>
      </x:c>
      <x:c r="BO70" s="12" t="str">
        <x:f>=BW70</x:f>
      </x:c>
      <x:c r="BP70" s="12" t="str">
        <x:f>=CF70</x:f>
      </x:c>
      <x:c r="BQ70" s="12" t="str"/>
      <x:c r="BR70" s="12" t="str">
        <x:v>SS 2019 EOS</x:v>
      </x:c>
      <x:c r="BS70" s="13" t="str"/>
      <x:c r="BT70" s="30" t="n">
        <x:v>14678.97</x:v>
      </x:c>
      <x:c r="BU70" s="30" t="n">
        <x:v>-10767.4548</x:v>
      </x:c>
      <x:c r="BV70" s="30" t="str">
        <x:f>=BT70+BU70</x:f>
      </x:c>
      <x:c r="BW70" s="66" t="str">
        <x:f>=BV70/BT70</x:f>
      </x:c>
      <x:c r="BX70" s="66" t="n">
        <x:v>0.9841176470588235294117647059</x:v>
      </x:c>
      <x:c r="BY70" s="30" t="n">
        <x:v>10740.84</x:v>
      </x:c>
      <x:c r="BZ70" s="41" t="n">
        <x:v>27</x:v>
      </x:c>
      <x:c r="CA70" s="30" t="n">
        <x:v>170.58981176470588235294117647</x:v>
      </x:c>
      <x:c r="CC70" s="30" t="n">
        <x:v>14679.747058823529411764705882</x:v>
      </x:c>
      <x:c r="CD70" s="30" t="n">
        <x:v>-10767.4548</x:v>
      </x:c>
      <x:c r="CE70" s="30" t="str">
        <x:f>=CC70+CD70</x:f>
      </x:c>
      <x:c r="CF70" s="66" t="str">
        <x:f>=CE70/CC70</x:f>
      </x:c>
      <x:c r="CH70" s="66" t="str">
        <x:f>=CI70+CJ70</x:f>
      </x:c>
      <x:c r="CI70" s="66" t="str">
        <x:f>=BX70+(0*7)</x:f>
      </x:c>
      <x:c r="CJ70" s="66" t="str">
        <x:f>=(1-CI70)*0.5</x:f>
      </x:c>
      <x:c r="CK70" s="66" t="str">
        <x:f>=1-CH70</x:f>
      </x:c>
      <x:c r="CM70" s="66" t="str">
        <x:f>=CJ70/(1-CI70)</x:f>
      </x:c>
    </x:row>
    <x:row r="71">
      <x:c r="A71" s="31" t="s">
        <x:v>221</x:v>
      </x:c>
      <x:c r="B71" t="s"/>
      <x:c r="C71" t="s">
        <x:v>222</x:v>
      </x:c>
      <x:c r="D71" t="s">
        <x:v>147</x:v>
      </x:c>
      <x:c r="E71" s="69" t="s">
        <x:v>153</x:v>
      </x:c>
      <x:c r="F71" t="n">
        <x:v>1541</x:v>
      </x:c>
      <x:c r="G71" s="32" t="n">
        <x:v>0.0343932511356262167423750811</x:v>
      </x:c>
      <x:c r="H71" s="32" t="n">
        <x:v>0.0863075924724205061648280337</x:v>
      </x:c>
      <x:c r="I71" s="32" t="n">
        <x:v>0.1609344581440622972096041531</x:v>
      </x:c>
      <x:c r="J71" s="32" t="n">
        <x:v>0.2524334847501622323166774822</x:v>
      </x:c>
      <x:c r="K71" s="32" t="n">
        <x:v>0.3491239454899415963659961064</x:v>
      </x:c>
      <x:c r="L71" s="32" t="n">
        <x:v>0.4458144062297209604153147307</x:v>
      </x:c>
      <x:c r="M71" s="32" t="n">
        <x:v>0.528228423101881894873458793</x:v>
      </x:c>
      <x:c r="N71" s="32" t="n">
        <x:v>0.6086956521739130434782608696</x:v>
      </x:c>
      <x:c r="O71" s="32" t="n">
        <x:v>0.6852693056456846203763789747</x:v>
      </x:c>
      <x:c r="P71" s="23" t="n">
        <x:v>0.7229072031148604802076573653</x:v>
      </x:c>
      <x:c r="Q71" s="32" t="n">
        <x:v>0.7358857884490590525632706035</x:v>
      </x:c>
      <x:c r="R71" s="32" t="n">
        <x:v>0.7566515249837767683322517846</x:v>
      </x:c>
      <x:c r="S71" s="32" t="n">
        <x:v>0.774821544451654769630110318</x:v>
      </x:c>
      <x:c r="T71" s="32" t="n">
        <x:v>0.788449059052563270603504218</x:v>
      </x:c>
      <x:c r="U71" s="32" t="n">
        <x:v>0.7923426346528228423101881895</x:v>
      </x:c>
      <x:c r="V71" s="32" t="n">
        <x:v>0.8020765736534717715768981181</x:v>
      </x:c>
      <x:c r="W71" s="32" t="n">
        <x:v>0.8144062297209604153147306944</x:v>
      </x:c>
      <x:c r="X71" s="32" t="n">
        <x:v>0.8215444516547696301103179753</x:v>
      </x:c>
      <x:c r="Y71" s="32" t="n">
        <x:v>0.824140168721609344581440623</x:v>
      </x:c>
      <x:c r="Z71" s="32" t="n">
        <x:v>0.831278390655418559377027904</x:v>
      </x:c>
      <x:c r="BI71" s="33" t="s"/>
      <x:c r="BJ71" s="11" t="s">
        <x:v>132</x:v>
      </x:c>
      <x:c r="BK71" s="12" t="str">
        <x:f>=BX71</x:f>
      </x:c>
      <x:c r="BL71" s="12" t="n">
        <x:v>0.8345230369889682024659312135</x:v>
      </x:c>
      <x:c r="BM71" s="12" t="n">
        <x:v>0.0869565217391304347826086957</x:v>
      </x:c>
      <x:c r="BN71" s="12" t="n">
        <x:v>0.0785204412719013627514600909</x:v>
      </x:c>
      <x:c r="BO71" s="12" t="str">
        <x:f>=BW71</x:f>
      </x:c>
      <x:c r="BP71" s="12" t="str">
        <x:f>=CF71</x:f>
      </x:c>
      <x:c r="BQ71" s="12" t="str"/>
      <x:c r="BR71" s="12" t="str">
        <x:v>SS 2019 EOS</x:v>
      </x:c>
      <x:c r="BS71" s="13" t="str"/>
      <x:c r="BT71" s="30" t="n">
        <x:v>11651.11</x:v>
      </x:c>
      <x:c r="BU71" s="30" t="n">
        <x:v>-9392.1251</x:v>
      </x:c>
      <x:c r="BV71" s="30" t="str">
        <x:f>=BT71+BU71</x:f>
      </x:c>
      <x:c r="BW71" s="66" t="str">
        <x:f>=BV71/BT71</x:f>
      </x:c>
      <x:c r="BX71" s="66" t="n">
        <x:v>0.9214795587280986372485399091</x:v>
      </x:c>
      <x:c r="BY71" s="30" t="n">
        <x:v>9450.50</x:v>
      </x:c>
      <x:c r="BZ71" s="41" t="n">
        <x:v>121</x:v>
      </x:c>
      <x:c r="CA71" s="30" t="n">
        <x:v>742.05743024010382868267358858</x:v>
      </x:c>
      <x:c r="CC71" s="30" t="n">
        <x:v>11651.941278390655418559377028</x:v>
      </x:c>
      <x:c r="CD71" s="30" t="n">
        <x:v>-9392.1251</x:v>
      </x:c>
      <x:c r="CE71" s="30" t="str">
        <x:f>=CC71+CD71</x:f>
      </x:c>
      <x:c r="CF71" s="66" t="str">
        <x:f>=CE71/CC71</x:f>
      </x:c>
      <x:c r="CH71" s="66" t="str">
        <x:f>=CI71+CJ71</x:f>
      </x:c>
      <x:c r="CI71" s="66" t="str">
        <x:f>=BX71+(0*7)</x:f>
      </x:c>
      <x:c r="CJ71" s="66" t="str">
        <x:f>=(1-CI71)*0.5</x:f>
      </x:c>
      <x:c r="CK71" s="66" t="str">
        <x:f>=1-CH71</x:f>
      </x:c>
      <x:c r="CM71" s="66" t="str">
        <x:f>=CJ71/(1-CI71)</x:f>
      </x:c>
    </x:row>
    <x:row r="72">
      <x:c r="A72" s="31" t="s">
        <x:v>223</x:v>
      </x:c>
      <x:c r="B72" t="s"/>
      <x:c r="C72" t="s">
        <x:v>224</x:v>
      </x:c>
      <x:c r="D72" t="s">
        <x:v>147</x:v>
      </x:c>
      <x:c r="E72" s="69" t="s">
        <x:v>153</x:v>
      </x:c>
      <x:c r="F72" t="n">
        <x:v>1542</x:v>
      </x:c>
      <x:c r="G72" s="32" t="n">
        <x:v>0.0246433203631647211413748379</x:v>
      </x:c>
      <x:c r="H72" s="32" t="n">
        <x:v>0.0914396887159533073929961089</x:v>
      </x:c>
      <x:c r="I72" s="32" t="n">
        <x:v>0.1523994811932555123216601816</x:v>
      </x:c>
      <x:c r="J72" s="32" t="n">
        <x:v>0.2172503242542153047989623865</x:v>
      </x:c>
      <x:c r="K72" s="32" t="n">
        <x:v>0.2989623865110246433203631647</x:v>
      </x:c>
      <x:c r="L72" s="32" t="n">
        <x:v>0.3644617380025940337224383917</x:v>
      </x:c>
      <x:c r="M72" s="32" t="n">
        <x:v>0.4267185473411154345006485084</x:v>
      </x:c>
      <x:c r="N72" s="32" t="n">
        <x:v>0.4961089494163424124513618677</x:v>
      </x:c>
      <x:c r="O72" s="32" t="n">
        <x:v>0.5577172503242542153047989624</x:v>
      </x:c>
      <x:c r="P72" s="32" t="n">
        <x:v>0.6095979247730220492866407263</x:v>
      </x:c>
      <x:c r="Q72" s="32" t="n">
        <x:v>0.6400778210116731517509727626</x:v>
      </x:c>
      <x:c r="R72" s="32" t="n">
        <x:v>0.684176394293125810635538262</x:v>
      </x:c>
      <x:c r="S72" s="23" t="n">
        <x:v>0.723735408560311284046692607</x:v>
      </x:c>
      <x:c r="T72" s="32" t="n">
        <x:v>0.7594033722438391699092088197</x:v>
      </x:c>
      <x:c r="U72" s="32" t="n">
        <x:v>0.7801556420233463035019455253</x:v>
      </x:c>
      <x:c r="V72" s="32" t="n">
        <x:v>0.7937743190661478599221789883</x:v>
      </x:c>
      <x:c r="W72" s="32" t="n">
        <x:v>0.802853437094682230869001297</x:v>
      </x:c>
      <x:c r="X72" s="32" t="n">
        <x:v>0.8177691309987029831387808042</x:v>
      </x:c>
      <x:c r="Y72" s="32" t="n">
        <x:v>0.8268482490272373540856031128</x:v>
      </x:c>
      <x:c r="Z72" s="32" t="n">
        <x:v>0.8443579766536964980544747082</x:v>
      </x:c>
      <x:c r="BI72" s="33" t="s"/>
      <x:c r="BJ72" s="11" t="s">
        <x:v>132</x:v>
      </x:c>
      <x:c r="BK72" s="12" t="str">
        <x:f>=BX72</x:f>
      </x:c>
      <x:c r="BL72" s="12" t="n">
        <x:v>0.8476005188067444876783398184</x:v>
      </x:c>
      <x:c r="BM72" s="12" t="n">
        <x:v>0.0985732814526588845654993515</x:v>
      </x:c>
      <x:c r="BN72" s="12" t="n">
        <x:v>0.0538261997405966277561608301</x:v>
      </x:c>
      <x:c r="BO72" s="12" t="str">
        <x:f>=BW72</x:f>
      </x:c>
      <x:c r="BP72" s="12" t="str">
        <x:f>=CF72</x:f>
      </x:c>
      <x:c r="BQ72" s="12" t="str"/>
      <x:c r="BR72" s="12" t="str">
        <x:v>SS 2019 EOS</x:v>
      </x:c>
      <x:c r="BS72" s="13" t="str"/>
      <x:c r="BT72" s="30" t="n">
        <x:v>12426.56</x:v>
      </x:c>
      <x:c r="BU72" s="30" t="n">
        <x:v>-9390.4474</x:v>
      </x:c>
      <x:c r="BV72" s="30" t="str">
        <x:f>=BT72+BU72</x:f>
      </x:c>
      <x:c r="BW72" s="66" t="str">
        <x:f>=BV72/BT72</x:f>
      </x:c>
      <x:c r="BX72" s="66" t="n">
        <x:v>0.9461738002594033722438391699</x:v>
      </x:c>
      <x:c r="BY72" s="30" t="n">
        <x:v>9442.42</x:v>
      </x:c>
      <x:c r="BZ72" s="41" t="n">
        <x:v>83</x:v>
      </x:c>
      <x:c r="CA72" s="30" t="n">
        <x:v>508.24958495460440985732814526</x:v>
      </x:c>
      <x:c r="CC72" s="30" t="n">
        <x:v>12427.404357976653696498054475</x:v>
      </x:c>
      <x:c r="CD72" s="30" t="n">
        <x:v>-9390.4474</x:v>
      </x:c>
      <x:c r="CE72" s="30" t="str">
        <x:f>=CC72+CD72</x:f>
      </x:c>
      <x:c r="CF72" s="66" t="str">
        <x:f>=CE72/CC72</x:f>
      </x:c>
      <x:c r="CH72" s="66" t="str">
        <x:f>=CI72+CJ72</x:f>
      </x:c>
      <x:c r="CI72" s="66" t="str">
        <x:f>=BX72+(0*7)</x:f>
      </x:c>
      <x:c r="CJ72" s="66" t="str">
        <x:f>=(1-CI72)*0.5</x:f>
      </x:c>
      <x:c r="CK72" s="66" t="str">
        <x:f>=1-CH72</x:f>
      </x:c>
      <x:c r="CM72" s="66" t="str">
        <x:f>=CJ72/(1-CI72)</x:f>
      </x:c>
    </x:row>
    <x:row r="73">
      <x:c r="A73" s="31" t="s">
        <x:v>225</x:v>
      </x:c>
      <x:c r="B73" t="s"/>
      <x:c r="C73" t="s">
        <x:v>226</x:v>
      </x:c>
      <x:c r="D73" t="s">
        <x:v>147</x:v>
      </x:c>
      <x:c r="E73" s="69" t="s">
        <x:v>153</x:v>
      </x:c>
      <x:c r="F73" t="n">
        <x:v>1544</x:v>
      </x:c>
      <x:c r="G73" s="32" t="n">
        <x:v>0.0233160621761658031088082902</x:v>
      </x:c>
      <x:c r="H73" s="32" t="n">
        <x:v>0.0608808290155440414507772021</x:v>
      </x:c>
      <x:c r="I73" s="32" t="n">
        <x:v>0.098445595854922279792746114</x:v>
      </x:c>
      <x:c r="J73" s="32" t="n">
        <x:v>0.1612694300518134715025906736</x:v>
      </x:c>
      <x:c r="K73" s="32" t="n">
        <x:v>0.2143782383419689119170984456</x:v>
      </x:c>
      <x:c r="L73" s="32" t="n">
        <x:v>0.2746113989637305699481865285</x:v>
      </x:c>
      <x:c r="M73" s="32" t="n">
        <x:v>0.3290155440414507772020725389</x:v>
      </x:c>
      <x:c r="N73" s="32" t="n">
        <x:v>0.3801813471502590673575129534</x:v>
      </x:c>
      <x:c r="O73" s="32" t="n">
        <x:v>0.4255181347150259067357512953</x:v>
      </x:c>
      <x:c r="P73" s="32" t="n">
        <x:v>0.4676165803108808290155440415</x:v>
      </x:c>
      <x:c r="Q73" s="32" t="n">
        <x:v>0.4948186528497409326424870466</x:v>
      </x:c>
      <x:c r="R73" s="32" t="n">
        <x:v>0.5369170984455958549222797927</x:v>
      </x:c>
      <x:c r="S73" s="32" t="n">
        <x:v>0.5731865284974093264248704663</x:v>
      </x:c>
      <x:c r="T73" s="32" t="n">
        <x:v>0.6107512953367875647668393782</x:v>
      </x:c>
      <x:c r="U73" s="32" t="n">
        <x:v>0.6444300518134715025906735751</x:v>
      </x:c>
      <x:c r="V73" s="32" t="n">
        <x:v>0.6722797927461139896373056995</x:v>
      </x:c>
      <x:c r="W73" s="32" t="n">
        <x:v>0.6988341968911917098445595855</x:v>
      </x:c>
      <x:c r="X73" s="23" t="n">
        <x:v>0.7299222797927461139896373057</x:v>
      </x:c>
      <x:c r="Y73" s="32" t="n">
        <x:v>0.7629533678756476683937823834</x:v>
      </x:c>
      <x:c r="Z73" s="32" t="n">
        <x:v>0.7908031088082901554404145078</x:v>
      </x:c>
      <x:c r="BI73" s="33" t="s"/>
      <x:c r="BJ73" s="11" t="s">
        <x:v>132</x:v>
      </x:c>
      <x:c r="BK73" s="12" t="str">
        <x:f>=BX73</x:f>
      </x:c>
      <x:c r="BL73" s="12" t="n">
        <x:v>0.7972797927461139896373056995</x:v>
      </x:c>
      <x:c r="BM73" s="12" t="n">
        <x:v>0.1683937823834196891191709845</x:v>
      </x:c>
      <x:c r="BN73" s="12" t="n">
        <x:v>0.0343264248704663212435233161</x:v>
      </x:c>
      <x:c r="BO73" s="12" t="str">
        <x:f>=BW73</x:f>
      </x:c>
      <x:c r="BP73" s="12" t="str">
        <x:f>=CF73</x:f>
      </x:c>
      <x:c r="BQ73" s="12" t="str"/>
      <x:c r="BR73" s="12" t="str">
        <x:v>SS 2019 EOS</x:v>
      </x:c>
      <x:c r="BS73" s="13" t="str"/>
      <x:c r="BT73" s="30" t="n">
        <x:v>12484.51</x:v>
      </x:c>
      <x:c r="BU73" s="30" t="n">
        <x:v>-9473.5200</x:v>
      </x:c>
      <x:c r="BV73" s="30" t="str">
        <x:f>=BT73+BU73</x:f>
      </x:c>
      <x:c r="BW73" s="66" t="str">
        <x:f>=BV73/BT73</x:f>
      </x:c>
      <x:c r="BX73" s="66" t="n">
        <x:v>0.9656735751295336787564766839</x:v>
      </x:c>
      <x:c r="BY73" s="30" t="n">
        <x:v>9526.32</x:v>
      </x:c>
      <x:c r="BZ73" s="41" t="n">
        <x:v>53</x:v>
      </x:c>
      <x:c r="CA73" s="30" t="n">
        <x:v>327.00450777202072538860103627</x:v>
      </x:c>
      <x:c r="CC73" s="30" t="n">
        <x:v>12485.300803108808290155440415</x:v>
      </x:c>
      <x:c r="CD73" s="30" t="n">
        <x:v>-9473.5200</x:v>
      </x:c>
      <x:c r="CE73" s="30" t="str">
        <x:f>=CC73+CD73</x:f>
      </x:c>
      <x:c r="CF73" s="66" t="str">
        <x:f>=CE73/CC73</x:f>
      </x:c>
      <x:c r="CH73" s="66" t="str">
        <x:f>=CI73+CJ73</x:f>
      </x:c>
      <x:c r="CI73" s="66" t="str">
        <x:f>=BX73+(0*7)</x:f>
      </x:c>
      <x:c r="CJ73" s="66" t="str">
        <x:f>=(1-CI73)*0.5</x:f>
      </x:c>
      <x:c r="CK73" s="66" t="str">
        <x:f>=1-CH73</x:f>
      </x:c>
      <x:c r="CM73" s="66" t="str">
        <x:f>=CJ73/(1-CI73)</x:f>
      </x:c>
    </x:row>
    <x:row r="74">
      <x:c r="BI74" s="33" t="s"/>
      <x:c r="BJ74" s="11" t="s"/>
      <x:c r="BS74" s="13" t="s"/>
    </x:row>
    <x:row r="75">
      <x:c r="A75" s="35" t="s">
        <x:v>113</x:v>
      </x:c>
      <x:c r="BI75" s="33" t="s"/>
      <x:c r="BJ75" s="11" t="s"/>
      <x:c r="BS75" s="13" t="s"/>
    </x:row>
    <x:row r="76">
      <x:c r="A76" s="17" t="s">
        <x:v>127</x:v>
      </x:c>
      <x:c r="BI76" s="33" t="s"/>
      <x:c r="BJ76" s="11" t="s"/>
      <x:c r="BS76" s="13" t="s"/>
    </x:row>
    <x:row r="77">
      <x:c r="A77" s="31" t="s">
        <x:v>227</x:v>
      </x:c>
      <x:c r="B77" t="s"/>
      <x:c r="C77" t="s">
        <x:v>228</x:v>
      </x:c>
      <x:c r="D77" t="s">
        <x:v>130</x:v>
      </x:c>
      <x:c r="E77" s="68" t="s">
        <x:v>119</x:v>
      </x:c>
      <x:c r="F77" t="n">
        <x:v>316</x:v>
      </x:c>
      <x:c r="G77" s="32" t="n">
        <x:v>0.0094936708860759493670886076</x:v>
      </x:c>
      <x:c r="H77" s="32" t="n">
        <x:v>0.1835443037974683544303797468</x:v>
      </x:c>
      <x:c r="I77" s="23" t="n">
        <x:v>0.8322784810126582278481012658</x:v>
      </x:c>
      <x:c r="J77" s="32" t="n">
        <x:v>0.8354430379746835443037974684</x:v>
      </x:c>
      <x:c r="K77" s="32" t="n">
        <x:v>0.8069620253164556962025316456</x:v>
      </x:c>
      <x:c r="BI77" s="33" t="s"/>
      <x:c r="BJ77" s="11" t="s">
        <x:v>229</x:v>
      </x:c>
      <x:c r="BK77" s="12" t="str">
        <x:f>=BX77</x:f>
      </x:c>
      <x:c r="BL77" s="12" t="n">
        <x:v>0.7879746835443037974683544304</x:v>
      </x:c>
      <x:c r="BM77" s="12" t="n">
        <x:v>0.1835443037974683544303797468</x:v>
      </x:c>
      <x:c r="BN77" s="12" t="n">
        <x:v>0.0284810126582278481012658228</x:v>
      </x:c>
      <x:c r="BO77" s="12" t="str">
        <x:f>=BW77</x:f>
      </x:c>
      <x:c r="BP77" s="12" t="str">
        <x:f>=CF77</x:f>
      </x:c>
      <x:c r="BQ77" s="12" t="str"/>
      <x:c r="BR77" s="12" t="str">
        <x:v>SS 2019 EOS</x:v>
      </x:c>
      <x:c r="BS77" s="13" t="str"/>
      <x:c r="BT77" s="30" t="n">
        <x:v>2546.12</x:v>
      </x:c>
      <x:c r="BU77" s="30" t="n">
        <x:v>-1547.35081037730000000000</x:v>
      </x:c>
      <x:c r="BV77" s="30" t="str">
        <x:f>=BT77+BU77</x:f>
      </x:c>
      <x:c r="BW77" s="66" t="str">
        <x:f>=BV77/BT77</x:f>
      </x:c>
      <x:c r="BX77" s="66" t="n">
        <x:v>0.9715189873417721518987341772</x:v>
      </x:c>
      <x:c r="BY77" s="30" t="n">
        <x:v>1557.091557090000000000</x:v>
      </x:c>
      <x:c r="BZ77" s="41" t="n">
        <x:v>9</x:v>
      </x:c>
      <x:c r="CA77" s="30" t="n">
        <x:v>44.347544347500000000</x:v>
      </x:c>
      <x:c r="CC77" s="30" t="n">
        <x:v>2546.9269620253164556962025316</x:v>
      </x:c>
      <x:c r="CD77" s="30" t="n">
        <x:v>-1547.35081037730000000000</x:v>
      </x:c>
      <x:c r="CE77" s="30" t="str">
        <x:f>=CC77+CD77</x:f>
      </x:c>
      <x:c r="CF77" s="66" t="str">
        <x:f>=CE77/CC77</x:f>
      </x:c>
      <x:c r="CH77" s="66" t="str">
        <x:f>=CI77+CJ77</x:f>
      </x:c>
      <x:c r="CI77" s="66" t="str">
        <x:f>=BX77+(0*7)</x:f>
      </x:c>
      <x:c r="CJ77" s="66" t="str">
        <x:f>=(1-CI77)*0.5</x:f>
      </x:c>
      <x:c r="CK77" s="66" t="str">
        <x:f>=1-CH77</x:f>
      </x:c>
      <x:c r="CM77" s="66" t="str">
        <x:f>=CJ77/(1-CI77)</x:f>
      </x:c>
    </x:row>
    <x:row r="78">
      <x:c r="A78" s="31" t="s">
        <x:v>230</x:v>
      </x:c>
      <x:c r="B78" t="s"/>
      <x:c r="C78" t="s">
        <x:v>231</x:v>
      </x:c>
      <x:c r="D78" t="s">
        <x:v>130</x:v>
      </x:c>
      <x:c r="E78" s="68" t="s">
        <x:v>119</x:v>
      </x:c>
      <x:c r="F78" t="n">
        <x:v>323</x:v>
      </x:c>
      <x:c r="G78" s="32" t="n">
        <x:v>0.0092879256965944272445820433</x:v>
      </x:c>
      <x:c r="H78" s="32" t="n">
        <x:v>0.216718266253869969040247678</x:v>
      </x:c>
      <x:c r="I78" s="23" t="n">
        <x:v>0.8668730650154798761609907121</x:v>
      </x:c>
      <x:c r="J78" s="32" t="n">
        <x:v>0.8668730650154798761609907121</x:v>
      </x:c>
      <x:c r="K78" s="32" t="n">
        <x:v>0.8575851393188854489164086687</x:v>
      </x:c>
      <x:c r="BI78" s="33" t="s"/>
      <x:c r="BJ78" s="11" t="s">
        <x:v>229</x:v>
      </x:c>
      <x:c r="BK78" s="12" t="str">
        <x:f>=BX78</x:f>
      </x:c>
      <x:c r="BL78" s="12" t="n">
        <x:v>0.8513931888544891640866873065</x:v>
      </x:c>
      <x:c r="BM78" s="12" t="n">
        <x:v>0.1207430340557275541795665635</x:v>
      </x:c>
      <x:c r="BN78" s="12" t="n">
        <x:v>0.02786377708978328173374613</x:v>
      </x:c>
      <x:c r="BO78" s="12" t="str">
        <x:f>=BW78</x:f>
      </x:c>
      <x:c r="BP78" s="12" t="str">
        <x:f>=CF78</x:f>
      </x:c>
      <x:c r="BQ78" s="12" t="str"/>
      <x:c r="BR78" s="12" t="str">
        <x:v>SS 2019 EOS</x:v>
      </x:c>
      <x:c r="BS78" s="13" t="str"/>
      <x:c r="BT78" s="30" t="n">
        <x:v>2671.91</x:v>
      </x:c>
      <x:c r="BU78" s="30" t="n">
        <x:v>-1581.62756883502500000000</x:v>
      </x:c>
      <x:c r="BV78" s="30" t="str">
        <x:f>=BT78+BU78</x:f>
      </x:c>
      <x:c r="BW78" s="66" t="str">
        <x:f>=BV78/BT78</x:f>
      </x:c>
      <x:c r="BX78" s="66" t="n">
        <x:v>0.97213622291021671826625387</x:v>
      </x:c>
      <x:c r="BY78" s="30" t="n">
        <x:v>1591.584091582500000000</x:v>
      </x:c>
      <x:c r="BZ78" s="41" t="n">
        <x:v>9</x:v>
      </x:c>
      <x:c r="CA78" s="30" t="n">
        <x:v>44.347544347500000000</x:v>
      </x:c>
      <x:c r="CC78" s="30" t="n">
        <x:v>2672.7675851393188854489164087</x:v>
      </x:c>
      <x:c r="CD78" s="30" t="n">
        <x:v>-1581.62756883502500000000</x:v>
      </x:c>
      <x:c r="CE78" s="30" t="str">
        <x:f>=CC78+CD78</x:f>
      </x:c>
      <x:c r="CF78" s="66" t="str">
        <x:f>=CE78/CC78</x:f>
      </x:c>
      <x:c r="CH78" s="66" t="str">
        <x:f>=CI78+CJ78</x:f>
      </x:c>
      <x:c r="CI78" s="66" t="str">
        <x:f>=BX78+(0*7)</x:f>
      </x:c>
      <x:c r="CJ78" s="66" t="str">
        <x:f>=(1-CI78)*0.5</x:f>
      </x:c>
      <x:c r="CK78" s="66" t="str">
        <x:f>=1-CH78</x:f>
      </x:c>
      <x:c r="CM78" s="66" t="str">
        <x:f>=CJ78/(1-CI78)</x:f>
      </x:c>
    </x:row>
    <x:row r="79">
      <x:c r="A79" s="31" t="s">
        <x:v>232</x:v>
      </x:c>
      <x:c r="B79" t="s"/>
      <x:c r="C79" t="s">
        <x:v>233</x:v>
      </x:c>
      <x:c r="D79" t="s">
        <x:v>130</x:v>
      </x:c>
      <x:c r="E79" s="68" t="s">
        <x:v>119</x:v>
      </x:c>
      <x:c r="F79" t="n">
        <x:v>300</x:v>
      </x:c>
      <x:c r="G79" s="32" t="n">
        <x:v>0.01</x:v>
      </x:c>
      <x:c r="H79" s="32" t="n">
        <x:v>0.2633333333333333333333333333</x:v>
      </x:c>
      <x:c r="I79" s="23" t="n">
        <x:v>0.97</x:v>
      </x:c>
      <x:c r="J79" s="32" t="n">
        <x:v>0.9733333333333333333333333333</x:v>
      </x:c>
      <x:c r="K79" s="32" t="n">
        <x:v>0.97</x:v>
      </x:c>
      <x:c r="BI79" s="33" t="s"/>
      <x:c r="BJ79" s="11" t="s">
        <x:v>229</x:v>
      </x:c>
      <x:c r="BK79" s="12" t="str">
        <x:f>=BX79</x:f>
      </x:c>
      <x:c r="BL79" s="12" t="n">
        <x:v>0.9633333333333333333333333333</x:v>
      </x:c>
      <x:c r="BM79" s="12" t="n">
        <x:v>0.01</x:v>
      </x:c>
      <x:c r="BN79" s="12" t="n">
        <x:v>0.0266666666666666666666666667</x:v>
      </x:c>
      <x:c r="BO79" s="12" t="str">
        <x:f>=BW79</x:f>
      </x:c>
      <x:c r="BP79" s="12" t="str">
        <x:f>=CF79</x:f>
      </x:c>
      <x:c r="BQ79" s="12" t="str"/>
      <x:c r="BR79" s="12" t="str">
        <x:v>SS 2019 EOS</x:v>
      </x:c>
      <x:c r="BS79" s="13" t="str"/>
      <x:c r="BT79" s="30" t="n">
        <x:v>570.99</x:v>
      </x:c>
      <x:c r="BU79" s="30" t="n">
        <x:v>-322.05181035150000000000</x:v>
      </x:c>
      <x:c r="BV79" s="30" t="str">
        <x:f>=BT79+BU79</x:f>
      </x:c>
      <x:c r="BW79" s="66" t="str">
        <x:f>=BV79/BT79</x:f>
      </x:c>
      <x:c r="BX79" s="66" t="n">
        <x:v>0.9733333333333333333333333333</x:v>
      </x:c>
      <x:c r="BY79" s="30" t="n">
        <x:v>319.950319950000000000</x:v>
      </x:c>
      <x:c r="BZ79" s="41" t="n">
        <x:v>8</x:v>
      </x:c>
      <x:c r="CA79" s="30" t="n">
        <x:v>8.532008532000000000</x:v>
      </x:c>
      <x:c r="CC79" s="30" t="n">
        <x:v>573.666251706250000000000</x:v>
      </x:c>
      <x:c r="CD79" s="30" t="n">
        <x:v>-322.05181035150000000000</x:v>
      </x:c>
      <x:c r="CE79" s="30" t="str">
        <x:f>=CC79+CD79</x:f>
      </x:c>
      <x:c r="CF79" s="66" t="str">
        <x:f>=CE79/CC79</x:f>
      </x:c>
      <x:c r="CH79" s="66" t="str">
        <x:f>=CI79+CJ79</x:f>
      </x:c>
      <x:c r="CI79" s="66" t="str">
        <x:f>=BX79+(0*7)</x:f>
      </x:c>
      <x:c r="CJ79" s="66" t="str">
        <x:f>=(1-CI79)*0.5</x:f>
      </x:c>
      <x:c r="CK79" s="66" t="str">
        <x:f>=1-CH79</x:f>
      </x:c>
      <x:c r="CM79" s="66" t="str">
        <x:f>=CJ79/(1-CI79)</x:f>
      </x:c>
    </x:row>
    <x:row r="80">
      <x:c r="A80" s="31" t="s"/>
      <x:c r="BI80" s="33" t="s"/>
      <x:c r="BJ80" s="11" t="s"/>
      <x:c r="BS80" s="13" t="s"/>
    </x:row>
    <x:row r="81">
      <x:c r="A81" s="17" t="s">
        <x:v>114</x:v>
      </x:c>
      <x:c r="BI81" s="33" t="s"/>
      <x:c r="BJ81" s="11" t="s"/>
      <x:c r="BS81" s="13" t="s"/>
    </x:row>
    <x:row r="82">
      <x:c r="A82" s="31" t="s">
        <x:v>234</x:v>
      </x:c>
      <x:c r="B82" t="s">
        <x:v>116</x:v>
      </x:c>
      <x:c r="C82" t="s">
        <x:v>235</x:v>
      </x:c>
      <x:c r="D82" t="s">
        <x:v>118</x:v>
      </x:c>
      <x:c r="E82" s="68" t="s">
        <x:v>119</x:v>
      </x:c>
      <x:c r="F82" t="n">
        <x:v>589</x:v>
      </x:c>
      <x:c r="G82" s="32" t="n">
        <x:v>0.0016977928692699490662139219</x:v>
      </x:c>
      <x:c r="H82" s="32" t="n">
        <x:v>0.0016977928692699490662139219</x:v>
      </x:c>
      <x:c r="I82" s="32" t="n">
        <x:v>0.0084889643463497453310696095</x:v>
      </x:c>
      <x:c r="J82" s="32" t="n">
        <x:v>0.0186757215619694397283531409</x:v>
      </x:c>
      <x:c r="K82" s="32" t="n">
        <x:v>0.0254668930390492359932088285</x:v>
      </x:c>
      <x:c r="L82" s="32" t="n">
        <x:v>0.0220713073005093378607809847</x:v>
      </x:c>
      <x:c r="M82" s="32" t="n">
        <x:v>0.0220713073005093378607809847</x:v>
      </x:c>
      <x:c r="N82" s="32" t="n">
        <x:v>0.0220713073005093378607809847</x:v>
      </x:c>
      <x:c r="O82" s="32" t="n">
        <x:v>0.0186757215619694397283531409</x:v>
      </x:c>
      <x:c r="P82" s="32" t="n">
        <x:v>0.0203735144312393887945670628</x:v>
      </x:c>
      <x:c r="Q82" s="32" t="n">
        <x:v>0.0220713073005093378607809847</x:v>
      </x:c>
      <x:c r="R82" s="32" t="n">
        <x:v>0.0237691001697792869269949066</x:v>
      </x:c>
      <x:c r="S82" s="32" t="n">
        <x:v>0.0271646859083191850594227504</x:v>
      </x:c>
      <x:c r="T82" s="32" t="n">
        <x:v>0.0271646859083191850594227504</x:v>
      </x:c>
      <x:c r="U82" s="32" t="n">
        <x:v>0.0254668930390492359932088285</x:v>
      </x:c>
      <x:c r="V82" s="32" t="n">
        <x:v>0.0288624787775891341256366723</x:v>
      </x:c>
      <x:c r="W82" s="32" t="n">
        <x:v>0.0305602716468590831918505942</x:v>
      </x:c>
      <x:c r="X82" s="32" t="n">
        <x:v>0.033955857385398981324278438</x:v>
      </x:c>
      <x:c r="Y82" s="32" t="n">
        <x:v>0.0373514431239388794567062818</x:v>
      </x:c>
      <x:c r="Z82" s="32" t="n">
        <x:v>0.0373514431239388794567062818</x:v>
      </x:c>
      <x:c r="AA82" s="32" t="n">
        <x:v>0.0390492359932088285229202037</x:v>
      </x:c>
      <x:c r="AB82" s="32" t="n">
        <x:v>0.033955857385398981324278438</x:v>
      </x:c>
      <x:c r="AC82" s="32" t="n">
        <x:v>0.0356536502546689303904923599</x:v>
      </x:c>
      <x:c r="BI82" s="33" t="s"/>
      <x:c r="BJ82" s="11" t="s">
        <x:v>211</x:v>
      </x:c>
      <x:c r="BK82" s="12" t="str">
        <x:f>=BX82</x:f>
      </x:c>
      <x:c r="BL82" s="12" t="n">
        <x:v>0.0390492359932088285229202037</x:v>
      </x:c>
      <x:c r="BM82" s="12" t="n">
        <x:v>0.8998302207130730050933786078</x:v>
      </x:c>
      <x:c r="BN82" s="12" t="n">
        <x:v>0.0611205432937181663837011885</x:v>
      </x:c>
      <x:c r="BO82" s="12" t="str">
        <x:f>=BW82</x:f>
      </x:c>
      <x:c r="BP82" s="12" t="str">
        <x:f>=CF82</x:f>
      </x:c>
      <x:c r="BQ82" s="12" t="str"/>
      <x:c r="BR82" s="12" t="str">
        <x:v>SS 2019 EOS</x:v>
      </x:c>
      <x:c r="BS82" s="13" t="str"/>
      <x:c r="BT82" s="30" t="n">
        <x:v>5091.27</x:v>
      </x:c>
      <x:c r="BU82" s="30" t="n">
        <x:v>-8551.8088</x:v>
      </x:c>
      <x:c r="BV82" s="30" t="str">
        <x:f>=BT82+BU82</x:f>
      </x:c>
      <x:c r="BW82" s="66" t="str">
        <x:f>=BV82/BT82</x:f>
      </x:c>
      <x:c r="BX82" s="66" t="n">
        <x:v>0.9388794567062818336162988115</x:v>
      </x:c>
      <x:c r="BY82" s="30" t="n">
        <x:v>8098.75</x:v>
      </x:c>
      <x:c r="BZ82" s="41" t="n">
        <x:v>36</x:v>
      </x:c>
      <x:c r="CA82" s="30" t="n">
        <x:v>495.00</x:v>
      </x:c>
      <x:c r="CC82" s="30" t="n">
        <x:v>5091.3056536502546689303904924</x:v>
      </x:c>
      <x:c r="CD82" s="30" t="n">
        <x:v>-8551.8088</x:v>
      </x:c>
      <x:c r="CE82" s="30" t="str">
        <x:f>=CC82+CD82</x:f>
      </x:c>
      <x:c r="CF82" s="66" t="str">
        <x:f>=CE82/CC82</x:f>
      </x:c>
      <x:c r="CH82" s="66" t="str">
        <x:f>=CI82+CJ82</x:f>
      </x:c>
      <x:c r="CI82" s="66" t="str">
        <x:f>=BX82+(0*7)</x:f>
      </x:c>
      <x:c r="CJ82" s="66" t="str">
        <x:f>=(1-CI82)*0.5</x:f>
      </x:c>
      <x:c r="CK82" s="66" t="str">
        <x:f>=1-CH82</x:f>
      </x:c>
      <x:c r="CM82" s="66" t="str">
        <x:f>=CJ82/(1-CI82)</x:f>
      </x:c>
    </x:row>
    <x:row r="83">
      <x:c r="A83" s="31" t="s">
        <x:v>236</x:v>
      </x:c>
      <x:c r="B83" t="s">
        <x:v>116</x:v>
      </x:c>
      <x:c r="C83" t="s">
        <x:v>237</x:v>
      </x:c>
      <x:c r="D83" t="s">
        <x:v>118</x:v>
      </x:c>
      <x:c r="E83" s="68" t="s">
        <x:v>119</x:v>
      </x:c>
      <x:c r="F83" t="n">
        <x:v>914</x:v>
      </x:c>
      <x:c r="G83" s="32" t="n">
        <x:v>0.0032822757111597374179431072</x:v>
      </x:c>
      <x:c r="H83" s="32" t="n">
        <x:v>0.0098468271334792122538293217</x:v>
      </x:c>
      <x:c r="I83" s="32" t="n">
        <x:v>0.0109409190371991247264770241</x:v>
      </x:c>
      <x:c r="J83" s="32" t="n">
        <x:v>0.0109409190371991247264770241</x:v>
      </x:c>
      <x:c r="K83" s="32" t="n">
        <x:v>0.0109409190371991247264770241</x:v>
      </x:c>
      <x:c r="L83" s="32" t="n">
        <x:v>0.0131291028446389496717724289</x:v>
      </x:c>
      <x:c r="M83" s="32" t="n">
        <x:v>0.0185995623632385120350109409</x:v>
      </x:c>
      <x:c r="N83" s="32" t="n">
        <x:v>0.0218818380743982494529540481</x:v>
      </x:c>
      <x:c r="O83" s="32" t="n">
        <x:v>0.0273522975929978118161925602</x:v>
      </x:c>
      <x:c r="P83" s="32" t="n">
        <x:v>0.0273522975929978118161925602</x:v>
      </x:c>
      <x:c r="Q83" s="32" t="n">
        <x:v>0.029540481400437636761487965</x:v>
      </x:c>
      <x:c r="R83" s="32" t="n">
        <x:v>0.0284463894967177242888402626</x:v>
      </x:c>
      <x:c r="S83" s="32" t="n">
        <x:v>0.029540481400437636761487965</x:v>
      </x:c>
      <x:c r="T83" s="32" t="n">
        <x:v>0.0306345733041575492341356674</x:v>
      </x:c>
      <x:c r="U83" s="32" t="n">
        <x:v>0.0317286652078774617067833698</x:v>
      </x:c>
      <x:c r="V83" s="32" t="n">
        <x:v>0.0328227571115973741794310722</x:v>
      </x:c>
      <x:c r="W83" s="32" t="n">
        <x:v>0.0328227571115973741794310722</x:v>
      </x:c>
      <x:c r="X83" s="32" t="n">
        <x:v>0.0328227571115973741794310722</x:v>
      </x:c>
      <x:c r="Y83" s="32" t="n">
        <x:v>0.0317286652078774617067833698</x:v>
      </x:c>
      <x:c r="Z83" s="32" t="n">
        <x:v>0.0328227571115973741794310722</x:v>
      </x:c>
      <x:c r="BI83" s="33" t="s"/>
      <x:c r="BJ83" s="11" t="s">
        <x:v>132</x:v>
      </x:c>
      <x:c r="BK83" s="12" t="str">
        <x:f>=BX83</x:f>
      </x:c>
      <x:c r="BL83" s="12" t="n">
        <x:v>0.0306345733041575492341356674</x:v>
      </x:c>
      <x:c r="BM83" s="12" t="n">
        <x:v>0.4070021881838074398249452954</x:v>
      </x:c>
      <x:c r="BN83" s="12" t="n">
        <x:v>0.5623632385120350109409190372</x:v>
      </x:c>
      <x:c r="BO83" s="12" t="str">
        <x:f>=BW83</x:f>
      </x:c>
      <x:c r="BP83" s="12" t="str">
        <x:f>=CF83</x:f>
      </x:c>
      <x:c r="BQ83" s="12" t="str"/>
      <x:c r="BR83" s="12" t="str">
        <x:v>SS 2019 EOS</x:v>
      </x:c>
      <x:c r="BS83" s="13" t="str"/>
      <x:c r="BT83" s="30" t="n">
        <x:v>4088.59</x:v>
      </x:c>
      <x:c r="BU83" s="30" t="n">
        <x:v>-13047.4414</x:v>
      </x:c>
      <x:c r="BV83" s="30" t="str">
        <x:f>=BT83+BU83</x:f>
      </x:c>
      <x:c r="BW83" s="66" t="str">
        <x:f>=BV83/BT83</x:f>
      </x:c>
      <x:c r="BX83" s="66" t="n">
        <x:v>0.4376367614879649890590809628</x:v>
      </x:c>
      <x:c r="BY83" s="30" t="n">
        <x:v>12978.80</x:v>
      </x:c>
      <x:c r="BZ83" s="41" t="n">
        <x:v>514</x:v>
      </x:c>
      <x:c r="CA83" s="30" t="n">
        <x:v>7298.80</x:v>
      </x:c>
      <x:c r="CC83" s="30" t="n">
        <x:v>5112.3738465071115973741794313</x:v>
      </x:c>
      <x:c r="CD83" s="30" t="n">
        <x:v>-13047.4414</x:v>
      </x:c>
      <x:c r="CE83" s="30" t="str">
        <x:f>=CC83+CD83</x:f>
      </x:c>
      <x:c r="CF83" s="66" t="str">
        <x:f>=CE83/CC83</x:f>
      </x:c>
      <x:c r="CH83" s="66" t="str">
        <x:f>=CI83+CJ83</x:f>
      </x:c>
      <x:c r="CI83" s="66" t="str">
        <x:f>=BX83+(0*7)</x:f>
      </x:c>
      <x:c r="CJ83" s="66" t="str">
        <x:f>=(1-CI83)*0.5</x:f>
      </x:c>
      <x:c r="CK83" s="66" t="str">
        <x:f>=1-CH83</x:f>
      </x:c>
      <x:c r="CM83" s="66" t="str">
        <x:f>=CJ83/(1-CI83)</x:f>
      </x:c>
    </x:row>
    <x:row r="84">
      <x:c r="A84" s="31" t="s">
        <x:v>238</x:v>
      </x:c>
      <x:c r="B84" t="s">
        <x:v>116</x:v>
      </x:c>
      <x:c r="C84" t="s">
        <x:v>239</x:v>
      </x:c>
      <x:c r="D84" t="s">
        <x:v>118</x:v>
      </x:c>
      <x:c r="E84" s="68" t="s">
        <x:v>119</x:v>
      </x:c>
      <x:c r="F84" t="n">
        <x:v>999</x:v>
      </x:c>
      <x:c r="G84" s="32" t="n">
        <x:v>0.001001001001001001001001001</x:v>
      </x:c>
      <x:c r="H84" s="32" t="n">
        <x:v>0.001001001001001001001001001</x:v>
      </x:c>
      <x:c r="I84" s="32" t="n">
        <x:v>0.01001001001001001001001001</x:v>
      </x:c>
      <x:c r="J84" s="32" t="n">
        <x:v>0.019019019019019019019019019</x:v>
      </x:c>
      <x:c r="K84" s="32" t="n">
        <x:v>0.026026026026026026026026026</x:v>
      </x:c>
      <x:c r="L84" s="32" t="n">
        <x:v>0.025025025025025025025025025</x:v>
      </x:c>
      <x:c r="M84" s="32" t="n">
        <x:v>0.031031031031031031031031031</x:v>
      </x:c>
      <x:c r="N84" s="32" t="n">
        <x:v>0.036036036036036036036036036</x:v>
      </x:c>
      <x:c r="O84" s="32" t="n">
        <x:v>0.037037037037037037037037037</x:v>
      </x:c>
      <x:c r="P84" s="32" t="n">
        <x:v>0.039039039039039039039039039</x:v>
      </x:c>
      <x:c r="Q84" s="32" t="n">
        <x:v>0.041041041041041041041041041</x:v>
      </x:c>
      <x:c r="R84" s="32" t="n">
        <x:v>0.043043043043043043043043043</x:v>
      </x:c>
      <x:c r="S84" s="32" t="n">
        <x:v>0.045045045045045045045045045</x:v>
      </x:c>
      <x:c r="T84" s="32" t="n">
        <x:v>0.045045045045045045045045045</x:v>
      </x:c>
      <x:c r="U84" s="32" t="n">
        <x:v>0.045045045045045045045045045</x:v>
      </x:c>
      <x:c r="V84" s="32" t="n">
        <x:v>0.045045045045045045045045045</x:v>
      </x:c>
      <x:c r="W84" s="32" t="n">
        <x:v>0.046046046046046046046046046</x:v>
      </x:c>
      <x:c r="X84" s="32" t="n">
        <x:v>0.049049049049049049049049049</x:v>
      </x:c>
      <x:c r="Y84" s="32" t="n">
        <x:v>0.0510510510510510510510510511</x:v>
      </x:c>
      <x:c r="Z84" s="32" t="n">
        <x:v>0.0510510510510510510510510511</x:v>
      </x:c>
      <x:c r="AA84" s="22" t="n">
        <x:v>0.0960960960960960960960960961</x:v>
      </x:c>
      <x:c r="BI84" s="33" t="s"/>
      <x:c r="BJ84" s="11" t="s">
        <x:v>132</x:v>
      </x:c>
      <x:c r="BK84" s="12" t="str">
        <x:f>=BX84</x:f>
      </x:c>
      <x:c r="BL84" s="12" t="n">
        <x:v>0.0500500500500500500500500501</x:v>
      </x:c>
      <x:c r="BM84" s="12" t="n">
        <x:v>0.6586586586586586586586586587</x:v>
      </x:c>
      <x:c r="BN84" s="12" t="n">
        <x:v>0.2912912912912912912912912913</x:v>
      </x:c>
      <x:c r="BO84" s="12" t="str">
        <x:f>=BW84</x:f>
      </x:c>
      <x:c r="BP84" s="12" t="str">
        <x:f>=CF84</x:f>
      </x:c>
      <x:c r="BQ84" s="12" t="str"/>
      <x:c r="BR84" s="12" t="str">
        <x:v>SS 2019 EOS</x:v>
      </x:c>
      <x:c r="BS84" s="13" t="str"/>
      <x:c r="BT84" s="30" t="n">
        <x:v>7401.93</x:v>
      </x:c>
      <x:c r="BU84" s="30" t="n">
        <x:v>-13095.8910</x:v>
      </x:c>
      <x:c r="BV84" s="30" t="str">
        <x:f>=BT84+BU84</x:f>
      </x:c>
      <x:c r="BW84" s="66" t="str">
        <x:f>=BV84/BT84</x:f>
      </x:c>
      <x:c r="BX84" s="66" t="n">
        <x:v>0.7087087087087087087087087087</x:v>
      </x:c>
      <x:c r="BY84" s="30" t="n">
        <x:v>12987.00</x:v>
      </x:c>
      <x:c r="BZ84" s="41" t="n">
        <x:v>291</x:v>
      </x:c>
      <x:c r="CA84" s="30" t="n">
        <x:v>3783.00</x:v>
      </x:c>
      <x:c r="CC84" s="30" t="n">
        <x:v>7401.9820520520520520520520521</x:v>
      </x:c>
      <x:c r="CD84" s="30" t="n">
        <x:v>-13095.8910</x:v>
      </x:c>
      <x:c r="CE84" s="30" t="str">
        <x:f>=CC84+CD84</x:f>
      </x:c>
      <x:c r="CF84" s="66" t="str">
        <x:f>=CE84/CC84</x:f>
      </x:c>
      <x:c r="CH84" s="66" t="str">
        <x:f>=CI84+CJ84</x:f>
      </x:c>
      <x:c r="CI84" s="66" t="str">
        <x:f>=BX84+(0*7)</x:f>
      </x:c>
      <x:c r="CJ84" s="66" t="str">
        <x:f>=(1-CI84)*0.5</x:f>
      </x:c>
      <x:c r="CK84" s="66" t="str">
        <x:f>=1-CH84</x:f>
      </x:c>
      <x:c r="CM84" s="66" t="str">
        <x:f>=CJ84/(1-CI84)</x:f>
      </x:c>
    </x:row>
    <x:row r="85">
      <x:c r="BI85" s="33" t="s"/>
      <x:c r="BJ85" s="11" t="s"/>
      <x:c r="BS85" s="13" t="s"/>
      <x:c r="BT85" s="20" t="n">
        <x:v>190850.14</x:v>
      </x:c>
      <x:c r="BU85" s="20" t="n">
        <x:v>-158784.93668956382500000000</x:v>
      </x:c>
      <x:c r="BV85" s="20" t="str">
        <x:f>=BT85+BU85</x:f>
      </x:c>
      <x:c r="BW85" s="21" t="n">
        <x:v>0.1680124694193893439114060907</x:v>
      </x:c>
      <x:c r="BY85" s="20" t="n">
        <x:v>-151941.355968622500000000</x:v>
      </x:c>
      <x:c r="BZ85" s="20" t="n">
        <x:v>1602</x:v>
      </x:c>
      <x:c r="CA85" s="20" t="n">
        <x:v>7111.0152574272055214723926380</x:v>
      </x:c>
      <x:c r="CC85" s="20" t="n">
        <x:v>192014.81199872357341746480615</x:v>
      </x:c>
      <x:c r="CD85" s="20" t="n">
        <x:v>-158784.93668956382500000000</x:v>
      </x:c>
      <x:c r="CE85" s="20" t="str">
        <x:f>=CC85+CD85</x:f>
      </x:c>
      <x:c r="CF85" s="21" t="n">
        <x:v>0.173058916462031301099738495</x:v>
      </x:c>
    </x:row>
    <x:row r="86">
      <x:c r="A86" s="35" t="s">
        <x:v>126</x:v>
      </x:c>
      <x:c r="BI86" s="33" t="s"/>
      <x:c r="BJ86" s="11" t="s"/>
      <x:c r="BS86" s="13" t="s"/>
    </x:row>
    <x:row r="87">
      <x:c r="A87" s="17" t="s">
        <x:v>127</x:v>
      </x:c>
      <x:c r="BI87" s="33" t="s"/>
      <x:c r="BJ87" s="11" t="s"/>
      <x:c r="BS87" s="13" t="s"/>
    </x:row>
    <x:row r="88">
      <x:c r="A88" s="31" t="s">
        <x:v>240</x:v>
      </x:c>
      <x:c r="B88" t="s"/>
      <x:c r="C88" t="s">
        <x:v>241</x:v>
      </x:c>
      <x:c r="D88" t="s">
        <x:v>130</x:v>
      </x:c>
      <x:c r="E88" s="67" t="s">
        <x:v>131</x:v>
      </x:c>
      <x:c r="F88" t="n">
        <x:v>2021</x:v>
      </x:c>
      <x:c r="G88" s="32" t="n">
        <x:v>0.4082137555665512122711528946</x:v>
      </x:c>
      <x:c r="H88" s="32" t="n">
        <x:v>0.4082137555665512122711528946</x:v>
      </x:c>
      <x:c r="I88" s="32" t="n">
        <x:v>0.4082137555665512122711528946</x:v>
      </x:c>
      <x:c r="J88" s="32" t="n">
        <x:v>0.4082137555665512122711528946</x:v>
      </x:c>
      <x:c r="K88" s="32" t="n">
        <x:v>0.4082137555665512122711528946</x:v>
      </x:c>
      <x:c r="L88" s="32" t="n">
        <x:v>0.4082137555665512122711528946</x:v>
      </x:c>
      <x:c r="M88" s="32" t="n">
        <x:v>0.5037110341415141019297377536</x:v>
      </x:c>
      <x:c r="N88" s="32" t="n">
        <x:v>0.5037110341415141019297377536</x:v>
      </x:c>
      <x:c r="O88" s="32" t="n">
        <x:v>0.5037110341415141019297377536</x:v>
      </x:c>
      <x:c r="P88" s="32" t="n">
        <x:v>0.5512122711528946066303809995</x:v>
      </x:c>
      <x:c r="Q88" s="32" t="n">
        <x:v>0.5828797624938149430974764968</x:v>
      </x:c>
      <x:c r="R88" s="32" t="n">
        <x:v>0.5828797624938149430974764968</x:v>
      </x:c>
      <x:c r="S88" s="32" t="n">
        <x:v>0.6150420583869371598218703612</x:v>
      </x:c>
      <x:c r="T88" s="32" t="n">
        <x:v>0.6209797130133597229094507669</x:v>
      </x:c>
      <x:c r="U88" s="32" t="n">
        <x:v>0.6293913904007916872835230084</x:v>
      </x:c>
      <x:c r="V88" s="32" t="n">
        <x:v>0.6452251360712518555170707571</x:v>
      </x:c>
      <x:c r="W88" s="32" t="n">
        <x:v>0.6684809500247402276100940129</x:v>
      </x:c>
      <x:c r="X88" s="32" t="n">
        <x:v>0.6838198911429985155863433944</x:v>
      </x:c>
      <x:c r="Y88" s="32" t="n">
        <x:v>0.6838198911429985155863433944</x:v>
      </x:c>
      <x:c r="Z88" s="32" t="n">
        <x:v>0.696190004948045522018802573</x:v>
      </x:c>
      <x:c r="AA88" s="23" t="n">
        <x:v>0.7154873824839188520534388916</x:v>
      </x:c>
      <x:c r="AB88" s="32" t="n">
        <x:v>0.7135081642751113310242454231</x:v>
      </x:c>
      <x:c r="AC88" s="32" t="n">
        <x:v>0.7179614052449282533399307274</x:v>
      </x:c>
      <x:c r="AD88" s="32" t="n">
        <x:v>0.7229094507669470559129143988</x:v>
      </x:c>
      <x:c r="AE88" s="32" t="n">
        <x:v>0.7238990598713508164275111331</x:v>
      </x:c>
      <x:c r="AF88" s="32" t="n">
        <x:v>0.7273626917367639782285997031</x:v>
      </x:c>
      <x:c r="AG88" s="32" t="n">
        <x:v>0.7298367144977733795150915388</x:v>
      </x:c>
      <x:c r="AH88" s="32" t="n">
        <x:v>0.7352795645719940623453735774</x:v>
      </x:c>
      <x:c r="AI88" s="32" t="n">
        <x:v>0.7392380009896091044037605146</x:v>
      </x:c>
      <x:c r="AJ88" s="32" t="n">
        <x:v>0.7367639782285997031172686789</x:v>
      </x:c>
      <x:c r="AK88" s="32" t="n">
        <x:v>0.740722414646214745175655616</x:v>
      </x:c>
      <x:c r="AL88" s="32" t="n">
        <x:v>0.7387431964374072241464621475</x:v>
      </x:c>
      <x:c r="AM88" s="32" t="n">
        <x:v>0.7427016328550222662048490846</x:v>
      </x:c>
      <x:c r="AN88" s="32" t="n">
        <x:v>0.7436912419594260267194458189</x:v>
      </x:c>
      <x:c r="AO88" s="32" t="n">
        <x:v>0.744186046511627906976744186</x:v>
      </x:c>
      <x:c r="AP88" s="32" t="n">
        <x:v>0.7456704601682335477486392875</x:v>
      </x:c>
      <x:c r="AQ88" s="32" t="n">
        <x:v>0.744186046511627906976744186</x:v>
      </x:c>
      <x:c r="AR88" s="32" t="n">
        <x:v>0.744186046511627906976744186</x:v>
      </x:c>
      <x:c r="AS88" s="32" t="n">
        <x:v>0.7446808510638297872340425532</x:v>
      </x:c>
      <x:c r="AT88" s="32" t="n">
        <x:v>0.7461652647204354280059376546</x:v>
      </x:c>
      <x:c r="BI88" s="33" t="s"/>
      <x:c r="BJ88" s="11" t="s">
        <x:v>242</x:v>
      </x:c>
      <x:c r="BK88" s="12" t="str">
        <x:f>=BX88</x:f>
      </x:c>
      <x:c r="BL88" s="12" t="n">
        <x:v>0.7466600692726373082632360218</x:v>
      </x:c>
      <x:c r="BM88" s="12" t="n">
        <x:v>0.2360217714002968827313211282</x:v>
      </x:c>
      <x:c r="BN88" s="12" t="n">
        <x:v>0.0173181593270658090054428501</x:v>
      </x:c>
      <x:c r="BO88" s="12" t="str">
        <x:f>=BW88</x:f>
      </x:c>
      <x:c r="BP88" s="12" t="str">
        <x:f>=CF88</x:f>
      </x:c>
      <x:c r="BQ88" s="12" t="str"/>
      <x:c r="BR88" s="12" t="str">
        <x:v>SS 2019 EOS</x:v>
      </x:c>
      <x:c r="BS88" s="13" t="str"/>
      <x:c r="BT88" s="30" t="n">
        <x:v>26984.57</x:v>
      </x:c>
      <x:c r="BU88" s="30" t="n">
        <x:v>-17573.33425575252701405720</x:v>
      </x:c>
      <x:c r="BV88" s="30" t="str">
        <x:f>=BT88+BU88</x:f>
      </x:c>
      <x:c r="BW88" s="66" t="str">
        <x:f>=BV88/BT88</x:f>
      </x:c>
      <x:c r="BX88" s="66" t="n">
        <x:v>0.9826818406729341909945571499</x:v>
      </x:c>
      <x:c r="BY88" s="30" t="n">
        <x:v>17667.635727579924756760</x:v>
      </x:c>
      <x:c r="BZ88" s="41" t="n">
        <x:v>35</x:v>
      </x:c>
      <x:c r="CA88" s="30" t="n">
        <x:v>305.970930462789394600</x:v>
      </x:c>
      <x:c r="CC88" s="30" t="n">
        <x:v>26985.316165264720435428005938</x:v>
      </x:c>
      <x:c r="CD88" s="30" t="n">
        <x:v>-17573.33425575252701405720</x:v>
      </x:c>
      <x:c r="CE88" s="30" t="str">
        <x:f>=CC88+CD88</x:f>
      </x:c>
      <x:c r="CF88" s="66" t="str">
        <x:f>=CE88/CC88</x:f>
      </x:c>
      <x:c r="CH88" s="66" t="str">
        <x:f>=CI88+CJ88</x:f>
      </x:c>
      <x:c r="CI88" s="66" t="str">
        <x:f>=BX88+(0*7)</x:f>
      </x:c>
      <x:c r="CJ88" s="66" t="str">
        <x:f>=(1-CI88)*0.5</x:f>
      </x:c>
      <x:c r="CK88" s="66" t="str">
        <x:f>=1-CH88</x:f>
      </x:c>
      <x:c r="CM88" s="66" t="str">
        <x:f>=CJ88/(1-CI88)</x:f>
      </x:c>
    </x:row>
    <x:row r="89">
      <x:c r="A89" s="31" t="s">
        <x:v>243</x:v>
      </x:c>
      <x:c r="B89" t="s"/>
      <x:c r="C89" t="s">
        <x:v>244</x:v>
      </x:c>
      <x:c r="D89" t="s">
        <x:v>130</x:v>
      </x:c>
      <x:c r="E89" s="67" t="s">
        <x:v>131</x:v>
      </x:c>
      <x:c r="F89" t="n">
        <x:v>516</x:v>
      </x:c>
      <x:c r="G89" s="32" t="n">
        <x:v>0.0271317829457364341085271318</x:v>
      </x:c>
      <x:c r="H89" s="32" t="n">
        <x:v>0.1375968992248062015503875969</x:v>
      </x:c>
      <x:c r="I89" s="32" t="n">
        <x:v>0.1996124031007751937984496124</x:v>
      </x:c>
      <x:c r="J89" s="32" t="n">
        <x:v>0.1996124031007751937984496124</x:v>
      </x:c>
      <x:c r="K89" s="32" t="n">
        <x:v>0.2790697674418604651162790698</x:v>
      </x:c>
      <x:c r="L89" s="32" t="n">
        <x:v>0.3042635658914728682170542636</x:v>
      </x:c>
      <x:c r="M89" s="32" t="n">
        <x:v>0.3372093023255813953488372093</x:v>
      </x:c>
      <x:c r="N89" s="32" t="n">
        <x:v>0.3817829457364341085271317829</x:v>
      </x:c>
      <x:c r="O89" s="32" t="n">
        <x:v>0.4728682170542635658914728682</x:v>
      </x:c>
      <x:c r="P89" s="32" t="n">
        <x:v>0.496124031007751937984496124</x:v>
      </x:c>
      <x:c r="Q89" s="32" t="n">
        <x:v>0.5290697674418604651162790698</x:v>
      </x:c>
      <x:c r="R89" s="32" t="n">
        <x:v>0.5426356589147286821705426357</x:v>
      </x:c>
      <x:c r="S89" s="32" t="n">
        <x:v>0.5717054263565891472868217054</x:v>
      </x:c>
      <x:c r="T89" s="32" t="n">
        <x:v>0.5968992248062015503875968992</x:v>
      </x:c>
      <x:c r="U89" s="32" t="n">
        <x:v>0.6104651162790697674418604651</x:v>
      </x:c>
      <x:c r="V89" s="32" t="n">
        <x:v>0.6511627906976744186046511628</x:v>
      </x:c>
      <x:c r="W89" s="23" t="n">
        <x:v>0.7209302325581395348837209302</x:v>
      </x:c>
      <x:c r="X89" s="32" t="n">
        <x:v>0.7771317829457364341085271318</x:v>
      </x:c>
      <x:c r="Y89" s="32" t="n">
        <x:v>0.7635658914728682170542635659</x:v>
      </x:c>
      <x:c r="Z89" s="32" t="n">
        <x:v>0.8178294573643410852713178295</x:v>
      </x:c>
      <x:c r="AA89" s="32" t="n">
        <x:v>0.8468992248062015503875968992</x:v>
      </x:c>
      <x:c r="AB89" s="32" t="n">
        <x:v>0.8546511627906976744186046512</x:v>
      </x:c>
      <x:c r="AC89" s="32" t="n">
        <x:v>0.8662790697674418604651162791</x:v>
      </x:c>
      <x:c r="AD89" s="32" t="n">
        <x:v>0.8953488372093023255813953488</x:v>
      </x:c>
      <x:c r="AE89" s="32" t="n">
        <x:v>0.9050387596899224806201550388</x:v>
      </x:c>
      <x:c r="BI89" s="33" t="s"/>
      <x:c r="BJ89" s="11" t="s">
        <x:v>168</x:v>
      </x:c>
      <x:c r="BK89" s="12" t="str">
        <x:f>=BX89</x:f>
      </x:c>
      <x:c r="BL89" s="12" t="n">
        <x:v>0.8934108527131782945736434109</x:v>
      </x:c>
      <x:c r="BM89" s="12" t="n">
        <x:v>0.0833333333333333333333333333</x:v>
      </x:c>
      <x:c r="BN89" s="12" t="n">
        <x:v>0.0232558139534883720930232558</x:v>
      </x:c>
      <x:c r="BO89" s="12" t="str">
        <x:f>=BW89</x:f>
      </x:c>
      <x:c r="BP89" s="12" t="str">
        <x:f>=CF89</x:f>
      </x:c>
      <x:c r="BQ89" s="12" t="str"/>
      <x:c r="BR89" s="12" t="str">
        <x:v>SS 2019 EOS</x:v>
      </x:c>
      <x:c r="BS89" s="13" t="str"/>
      <x:c r="BT89" s="30" t="n">
        <x:v>7780.04</x:v>
      </x:c>
      <x:c r="BU89" s="30" t="n">
        <x:v>-5256.18074487674484289920</x:v>
      </x:c>
      <x:c r="BV89" s="30" t="str">
        <x:f>=BT89+BU89</x:f>
      </x:c>
      <x:c r="BW89" s="66" t="str">
        <x:f>=BV89/BT89</x:f>
      </x:c>
      <x:c r="BX89" s="66" t="n">
        <x:v>0.9767441860465116279069767442</x:v>
      </x:c>
      <x:c r="BY89" s="30" t="n">
        <x:v>5377.250252450252415360</x:v>
      </x:c>
      <x:c r="BZ89" s="41" t="n">
        <x:v>12</x:v>
      </x:c>
      <x:c r="CA89" s="30" t="n">
        <x:v>125.052331452331451520</x:v>
      </x:c>
      <x:c r="CC89" s="30" t="n">
        <x:v>7780.9450387596899224806201550</x:v>
      </x:c>
      <x:c r="CD89" s="30" t="n">
        <x:v>-5256.18074487674484289920</x:v>
      </x:c>
      <x:c r="CE89" s="30" t="str">
        <x:f>=CC89+CD89</x:f>
      </x:c>
      <x:c r="CF89" s="66" t="str">
        <x:f>=CE89/CC89</x:f>
      </x:c>
      <x:c r="CH89" s="66" t="str">
        <x:f>=CI89+CJ89</x:f>
      </x:c>
      <x:c r="CI89" s="66" t="str">
        <x:f>=BX89+(0*7)</x:f>
      </x:c>
      <x:c r="CJ89" s="66" t="str">
        <x:f>=(1-CI89)*0.5</x:f>
      </x:c>
      <x:c r="CK89" s="66" t="str">
        <x:f>=1-CH89</x:f>
      </x:c>
      <x:c r="CM89" s="66" t="str">
        <x:f>=CJ89/(1-CI89)</x:f>
      </x:c>
    </x:row>
    <x:row r="90">
      <x:c r="A90" s="31" t="s">
        <x:v>245</x:v>
      </x:c>
      <x:c r="B90" t="s"/>
      <x:c r="C90" t="s">
        <x:v>246</x:v>
      </x:c>
      <x:c r="D90" t="s">
        <x:v>130</x:v>
      </x:c>
      <x:c r="E90" s="67" t="s">
        <x:v>131</x:v>
      </x:c>
      <x:c r="F90" t="n">
        <x:v>609</x:v>
      </x:c>
      <x:c r="G90" s="32" t="n">
        <x:v>0.0098522167487684729064039409</x:v>
      </x:c>
      <x:c r="H90" s="32" t="n">
        <x:v>0.0837438423645320197044334975</x:v>
      </x:c>
      <x:c r="I90" s="32" t="n">
        <x:v>0.1247947454844006568144499179</x:v>
      </x:c>
      <x:c r="J90" s="32" t="n">
        <x:v>0.1247947454844006568144499179</x:v>
      </x:c>
      <x:c r="K90" s="32" t="n">
        <x:v>0.1576354679802955665024630542</x:v>
      </x:c>
      <x:c r="L90" s="32" t="n">
        <x:v>0.177339901477832512315270936</x:v>
      </x:c>
      <x:c r="M90" s="32" t="n">
        <x:v>0.2068965517241379310344827586</x:v>
      </x:c>
      <x:c r="N90" s="32" t="n">
        <x:v>0.229885057471264367816091954</x:v>
      </x:c>
      <x:c r="O90" s="32" t="n">
        <x:v>0.2775041050903119868637110016</x:v>
      </x:c>
      <x:c r="P90" s="32" t="n">
        <x:v>0.3481116584564860426929392447</x:v>
      </x:c>
      <x:c r="Q90" s="32" t="n">
        <x:v>0.3940886699507389162561576355</x:v>
      </x:c>
      <x:c r="R90" s="32" t="n">
        <x:v>0.4367816091954022988505747126</x:v>
      </x:c>
      <x:c r="S90" s="32" t="n">
        <x:v>0.4646962233169129720853858785</x:v>
      </x:c>
      <x:c r="T90" s="32" t="n">
        <x:v>0.5155993431855500821018062397</x:v>
      </x:c>
      <x:c r="U90" s="32" t="n">
        <x:v>0.5353037766830870279146141215</x:v>
      </x:c>
      <x:c r="V90" s="32" t="n">
        <x:v>0.5878489326765188834154351396</x:v>
      </x:c>
      <x:c r="W90" s="32" t="n">
        <x:v>0.6124794745484400656814449918</x:v>
      </x:c>
      <x:c r="X90" s="32" t="n">
        <x:v>0.6272577996715927750410509031</x:v>
      </x:c>
      <x:c r="Y90" s="32" t="n">
        <x:v>0.6486042692939244663382594417</x:v>
      </x:c>
      <x:c r="Z90" s="32" t="n">
        <x:v>0.663382594417077175697865353</x:v>
      </x:c>
      <x:c r="AA90" s="32" t="n">
        <x:v>0.6830870279146141215106732348</x:v>
      </x:c>
      <x:c r="AB90" s="23" t="n">
        <x:v>0.7027914614121510673234811166</x:v>
      </x:c>
      <x:c r="AC90" s="32" t="n">
        <x:v>0.7027914614121510673234811166</x:v>
      </x:c>
      <x:c r="AD90" s="32" t="n">
        <x:v>0.7241379310344827586206896552</x:v>
      </x:c>
      <x:c r="AE90" s="32" t="n">
        <x:v>0.7175697865353037766830870279</x:v>
      </x:c>
      <x:c r="BI90" s="33" t="s"/>
      <x:c r="BJ90" s="11" t="s">
        <x:v>168</x:v>
      </x:c>
      <x:c r="BK90" s="12" t="str">
        <x:f>=BX90</x:f>
      </x:c>
      <x:c r="BL90" s="12" t="n">
        <x:v>0.6945812807881773399014778325</x:v>
      </x:c>
      <x:c r="BM90" s="12" t="n">
        <x:v>0.229885057471264367816091954</x:v>
      </x:c>
      <x:c r="BN90" s="12" t="n">
        <x:v>0.0755336617405582922824302135</x:v>
      </x:c>
      <x:c r="BO90" s="12" t="str">
        <x:f>=BW90</x:f>
      </x:c>
      <x:c r="BP90" s="12" t="str">
        <x:f>=CF90</x:f>
      </x:c>
      <x:c r="BQ90" s="12" t="str"/>
      <x:c r="BR90" s="12" t="str">
        <x:v>SS 2019 EOS</x:v>
      </x:c>
      <x:c r="BS90" s="13" t="str"/>
      <x:c r="BT90" s="30" t="n">
        <x:v>8968.80</x:v>
      </x:c>
      <x:c r="BU90" s="30" t="n">
        <x:v>-7567.63230688905684025950</x:v>
      </x:c>
      <x:c r="BV90" s="30" t="str">
        <x:f>=BT90+BU90</x:f>
      </x:c>
      <x:c r="BW90" s="66" t="str">
        <x:f>=BV90/BT90</x:f>
      </x:c>
      <x:c r="BX90" s="66" t="n">
        <x:v>0.9244663382594417077175697865</x:v>
      </x:c>
      <x:c r="BY90" s="30" t="n">
        <x:v>7752.711656586656536350</x:v>
      </x:c>
      <x:c r="BZ90" s="41" t="n">
        <x:v>46</x:v>
      </x:c>
      <x:c r="CA90" s="30" t="n">
        <x:v>585.590699840699836900</x:v>
      </x:c>
      <x:c r="CC90" s="30" t="n">
        <x:v>8969.517569786535303776683087</x:v>
      </x:c>
      <x:c r="CD90" s="30" t="n">
        <x:v>-7567.63230688905684025950</x:v>
      </x:c>
      <x:c r="CE90" s="30" t="str">
        <x:f>=CC90+CD90</x:f>
      </x:c>
      <x:c r="CF90" s="66" t="str">
        <x:f>=CE90/CC90</x:f>
      </x:c>
      <x:c r="CH90" s="66" t="str">
        <x:f>=CI90+CJ90</x:f>
      </x:c>
      <x:c r="CI90" s="66" t="str">
        <x:f>=BX90+(0*7)</x:f>
      </x:c>
      <x:c r="CJ90" s="66" t="str">
        <x:f>=(1-CI90)*0.5</x:f>
      </x:c>
      <x:c r="CK90" s="66" t="str">
        <x:f>=1-CH90</x:f>
      </x:c>
      <x:c r="CM90" s="66" t="str">
        <x:f>=CJ90/(1-CI90)</x:f>
      </x:c>
    </x:row>
    <x:row r="91">
      <x:c r="A91" s="31" t="s">
        <x:v>247</x:v>
      </x:c>
      <x:c r="B91" t="s"/>
      <x:c r="C91" t="s">
        <x:v>248</x:v>
      </x:c>
      <x:c r="D91" t="s">
        <x:v>130</x:v>
      </x:c>
      <x:c r="E91" s="67" t="s">
        <x:v>131</x:v>
      </x:c>
      <x:c r="F91" t="n">
        <x:v>592</x:v>
      </x:c>
      <x:c r="G91" s="32" t="n">
        <x:v>0.0118243243243243243243243243</x:v>
      </x:c>
      <x:c r="H91" s="32" t="n">
        <x:v>0.1283783783783783783783783784</x:v>
      </x:c>
      <x:c r="I91" s="32" t="n">
        <x:v>0.2162162162162162162162162162</x:v>
      </x:c>
      <x:c r="J91" s="32" t="n">
        <x:v>0.2162162162162162162162162162</x:v>
      </x:c>
      <x:c r="K91" s="32" t="n">
        <x:v>0.2820945945945945945945945946</x:v>
      </x:c>
      <x:c r="L91" s="32" t="n">
        <x:v>0.3074324324324324324324324324</x:v>
      </x:c>
      <x:c r="M91" s="32" t="n">
        <x:v>0.3175675675675675675675675676</x:v>
      </x:c>
      <x:c r="N91" s="32" t="n">
        <x:v>0.3682432432432432432432432432</x:v>
      </x:c>
      <x:c r="O91" s="32" t="n">
        <x:v>0.4543918918918918918918918919</x:v>
      </x:c>
      <x:c r="P91" s="32" t="n">
        <x:v>0.4881756756756756756756756757</x:v>
      </x:c>
      <x:c r="Q91" s="32" t="n">
        <x:v>0.4628378378378378378378378378</x:v>
      </x:c>
      <x:c r="R91" s="32" t="n">
        <x:v>0.4932432432432432432432432432</x:v>
      </x:c>
      <x:c r="S91" s="32" t="n">
        <x:v>0.5202702702702702702702702703</x:v>
      </x:c>
      <x:c r="T91" s="32" t="n">
        <x:v>0.5439189189189189189189189189</x:v>
      </x:c>
      <x:c r="U91" s="32" t="n">
        <x:v>0.5422297297297297297297297297</x:v>
      </x:c>
      <x:c r="V91" s="32" t="n">
        <x:v>0.5591216216216216216216216216</x:v>
      </x:c>
      <x:c r="W91" s="32" t="n">
        <x:v>0.589527027027027027027027027</x:v>
      </x:c>
      <x:c r="X91" s="32" t="n">
        <x:v>0.6199324324324324324324324324</x:v>
      </x:c>
      <x:c r="Y91" s="32" t="n">
        <x:v>0.6233108108108108108108108108</x:v>
      </x:c>
      <x:c r="Z91" s="32" t="n">
        <x:v>0.6334459459459459459459459459</x:v>
      </x:c>
      <x:c r="AA91" s="32" t="n">
        <x:v>0.6351351351351351351351351351</x:v>
      </x:c>
      <x:c r="AB91" s="32" t="n">
        <x:v>0.6503378378378378378378378378</x:v>
      </x:c>
      <x:c r="AC91" s="32" t="n">
        <x:v>0.6689189189189189189189189189</x:v>
      </x:c>
      <x:c r="AD91" s="32" t="n">
        <x:v>0.6689189189189189189189189189</x:v>
      </x:c>
      <x:c r="AE91" s="23" t="n">
        <x:v>0.7195945945945945945945945946</x:v>
      </x:c>
      <x:c r="BI91" s="33" t="s"/>
      <x:c r="BJ91" s="11" t="s">
        <x:v>168</x:v>
      </x:c>
      <x:c r="BK91" s="12" t="str">
        <x:f>=BX91</x:f>
      </x:c>
      <x:c r="BL91" s="12" t="n">
        <x:v>0.7094594594594594594594594595</x:v>
      </x:c>
      <x:c r="BM91" s="12" t="n">
        <x:v>0.1469594594594594594594594595</x:v>
      </x:c>
      <x:c r="BN91" s="12" t="n">
        <x:v>0.1435810810810810810810810811</x:v>
      </x:c>
      <x:c r="BO91" s="12" t="str">
        <x:f>=BW91</x:f>
      </x:c>
      <x:c r="BP91" s="12" t="str">
        <x:f>=CF91</x:f>
      </x:c>
      <x:c r="BQ91" s="12" t="str"/>
      <x:c r="BR91" s="12" t="str">
        <x:v>SS 2019 EOS</x:v>
      </x:c>
      <x:c r="BS91" s="13" t="str"/>
      <x:c r="BT91" s="30" t="n">
        <x:v>9850.05</x:v>
      </x:c>
      <x:c r="BU91" s="30" t="n">
        <x:v>-8138.11110489510484259520</x:v>
      </x:c>
      <x:c r="BV91" s="30" t="str">
        <x:f>=BT91+BU91</x:f>
      </x:c>
      <x:c r="BW91" s="66" t="str">
        <x:f>=BV91/BT91</x:f>
      </x:c>
      <x:c r="BX91" s="66" t="n">
        <x:v>0.8564189189189189189189189189</x:v>
      </x:c>
      <x:c r="BY91" s="30" t="n">
        <x:v>8342.506293706293652160</x:v>
      </x:c>
      <x:c r="BZ91" s="41" t="n">
        <x:v>85</x:v>
      </x:c>
      <x:c r="CA91" s="30" t="n">
        <x:v>1197.826072576072568300</x:v>
      </x:c>
      <x:c r="CC91" s="30" t="n">
        <x:v>9850.769594594594594594594595</x:v>
      </x:c>
      <x:c r="CD91" s="30" t="n">
        <x:v>-8138.11110489510484259520</x:v>
      </x:c>
      <x:c r="CE91" s="30" t="str">
        <x:f>=CC91+CD91</x:f>
      </x:c>
      <x:c r="CF91" s="66" t="str">
        <x:f>=CE91/CC91</x:f>
      </x:c>
      <x:c r="CH91" s="66" t="str">
        <x:f>=CI91+CJ91</x:f>
      </x:c>
      <x:c r="CI91" s="66" t="str">
        <x:f>=BX91+(0*7)</x:f>
      </x:c>
      <x:c r="CJ91" s="66" t="str">
        <x:f>=(1-CI91)*0.5</x:f>
      </x:c>
      <x:c r="CK91" s="66" t="str">
        <x:f>=1-CH91</x:f>
      </x:c>
      <x:c r="CM91" s="66" t="str">
        <x:f>=CJ91/(1-CI91)</x:f>
      </x:c>
    </x:row>
    <x:row r="92">
      <x:c r="A92" s="31" t="s">
        <x:v>249</x:v>
      </x:c>
      <x:c r="B92" t="s"/>
      <x:c r="C92" t="s">
        <x:v>250</x:v>
      </x:c>
      <x:c r="D92" t="s">
        <x:v>118</x:v>
      </x:c>
      <x:c r="E92" s="67" t="s">
        <x:v>131</x:v>
      </x:c>
      <x:c r="F92" t="n">
        <x:v>702</x:v>
      </x:c>
      <x:c r="G92" s="32" t="n">
        <x:v>0.0014245014245014245014245014</x:v>
      </x:c>
      <x:c r="H92" s="32" t="n">
        <x:v>0.0014245014245014245014245014</x:v>
      </x:c>
      <x:c r="I92" s="32" t="n">
        <x:v>0.0028490028490028490028490028</x:v>
      </x:c>
      <x:c r="J92" s="32" t="n">
        <x:v>0.1794871794871794871794871795</x:v>
      </x:c>
      <x:c r="K92" s="32" t="n">
        <x:v>0.2378917378917378917378917379</x:v>
      </x:c>
      <x:c r="L92" s="32" t="n">
        <x:v>0.3219373219373219373219373219</x:v>
      </x:c>
      <x:c r="M92" s="32" t="n">
        <x:v>0.4145299145299145299145299145</x:v>
      </x:c>
      <x:c r="N92" s="32" t="n">
        <x:v>0.4643874643874643874643874644</x:v>
      </x:c>
      <x:c r="O92" s="32" t="n">
        <x:v>0.5413105413105413105413105413</x:v>
      </x:c>
      <x:c r="P92" s="32" t="n">
        <x:v>0.6282051282051282051282051282</x:v>
      </x:c>
      <x:c r="Q92" s="32" t="n">
        <x:v>0.6467236467236467236467236467</x:v>
      </x:c>
      <x:c r="R92" s="32" t="n">
        <x:v>0.6894586894586894586894586895</x:v>
      </x:c>
      <x:c r="S92" s="23" t="n">
        <x:v>0.7307692307692307692307692308</x:v>
      </x:c>
      <x:c r="T92" s="32" t="n">
        <x:v>0.7678062678062678062678062678</x:v>
      </x:c>
      <x:c r="U92" s="32" t="n">
        <x:v>0.8062678062678062678062678063</x:v>
      </x:c>
      <x:c r="V92" s="32" t="n">
        <x:v>0.839031339031339031339031339</x:v>
      </x:c>
      <x:c r="W92" s="32" t="n">
        <x:v>0.8561253561253561253561253561</x:v>
      </x:c>
      <x:c r="X92" s="32" t="n">
        <x:v>0.8746438746438746438746438746</x:v>
      </x:c>
      <x:c r="Y92" s="32" t="n">
        <x:v>0.9031339031339031339031339031</x:v>
      </x:c>
      <x:c r="BI92" s="33" t="s"/>
      <x:c r="BJ92" s="11" t="s">
        <x:v>137</x:v>
      </x:c>
      <x:c r="BK92" s="12" t="str">
        <x:f>=BX92</x:f>
      </x:c>
      <x:c r="BL92" s="12" t="n">
        <x:v>0.8974358974358974358974358974</x:v>
      </x:c>
      <x:c r="BM92" s="12" t="n">
        <x:v>0.0754985754985754985754985755</x:v>
      </x:c>
      <x:c r="BN92" s="12" t="n">
        <x:v>0.0270655270655270655270655271</x:v>
      </x:c>
      <x:c r="BO92" s="12" t="str">
        <x:f>=BW92</x:f>
      </x:c>
      <x:c r="BP92" s="12" t="str">
        <x:f>=CF92</x:f>
      </x:c>
      <x:c r="BQ92" s="12" t="str"/>
      <x:c r="BR92" s="12" t="str">
        <x:v>SS 2019 EOS</x:v>
      </x:c>
      <x:c r="BS92" s="13" t="str"/>
      <x:c r="BT92" s="30" t="n">
        <x:v>4936.56</x:v>
      </x:c>
      <x:c r="BU92" s="30" t="n">
        <x:v>-3338.1504</x:v>
      </x:c>
      <x:c r="BV92" s="30" t="str">
        <x:f>=BT92+BU92</x:f>
      </x:c>
      <x:c r="BW92" s="66" t="str">
        <x:f>=BV92/BT92</x:f>
      </x:c>
      <x:c r="BX92" s="66" t="n">
        <x:v>0.9729344729344729344729344729</x:v>
      </x:c>
      <x:c r="BY92" s="30" t="n">
        <x:v>3327.48</x:v>
      </x:c>
      <x:c r="BZ92" s="41" t="n">
        <x:v>19</x:v>
      </x:c>
      <x:c r="CA92" s="30" t="n">
        <x:v>90.06</x:v>
      </x:c>
      <x:c r="CC92" s="30" t="n">
        <x:v>4937.4631339031339031339031339</x:v>
      </x:c>
      <x:c r="CD92" s="30" t="n">
        <x:v>-3338.1504</x:v>
      </x:c>
      <x:c r="CE92" s="30" t="str">
        <x:f>=CC92+CD92</x:f>
      </x:c>
      <x:c r="CF92" s="66" t="str">
        <x:f>=CE92/CC92</x:f>
      </x:c>
      <x:c r="CH92" s="66" t="str">
        <x:f>=CI92+CJ92</x:f>
      </x:c>
      <x:c r="CI92" s="66" t="str">
        <x:f>=BX92+(0*7)</x:f>
      </x:c>
      <x:c r="CJ92" s="66" t="str">
        <x:f>=(1-CI92)*0.5</x:f>
      </x:c>
      <x:c r="CK92" s="66" t="str">
        <x:f>=1-CH92</x:f>
      </x:c>
      <x:c r="CM92" s="66" t="str">
        <x:f>=CJ92/(1-CI92)</x:f>
      </x:c>
    </x:row>
    <x:row r="93">
      <x:c r="A93" s="31" t="s">
        <x:v>251</x:v>
      </x:c>
      <x:c r="B93" t="s"/>
      <x:c r="C93" t="s">
        <x:v>252</x:v>
      </x:c>
      <x:c r="D93" t="s">
        <x:v>118</x:v>
      </x:c>
      <x:c r="E93" s="67" t="s">
        <x:v>131</x:v>
      </x:c>
      <x:c r="F93" t="n">
        <x:v>746</x:v>
      </x:c>
      <x:c r="G93" s="32" t="n">
        <x:v>0.002680965147453083109919571</x:v>
      </x:c>
      <x:c r="H93" s="32" t="n">
        <x:v>0.002680965147453083109919571</x:v>
      </x:c>
      <x:c r="I93" s="32" t="n">
        <x:v>0.0160857908847184986595174263</x:v>
      </x:c>
      <x:c r="J93" s="32" t="n">
        <x:v>0.2774798927613941018766756032</x:v>
      </x:c>
      <x:c r="K93" s="32" t="n">
        <x:v>0.2989276139410187667560321716</x:v>
      </x:c>
      <x:c r="L93" s="32" t="n">
        <x:v>0.4088471849865951742627345845</x:v>
      </x:c>
      <x:c r="M93" s="32" t="n">
        <x:v>0.4705093833780160857908847185</x:v>
      </x:c>
      <x:c r="N93" s="32" t="n">
        <x:v>0.5201072386058981233243967828</x:v>
      </x:c>
      <x:c r="O93" s="32" t="n">
        <x:v>0.5656836461126005361930294906</x:v>
      </x:c>
      <x:c r="P93" s="32" t="n">
        <x:v>0.6474530831099195710455764075</x:v>
      </x:c>
      <x:c r="Q93" s="32" t="n">
        <x:v>0.674262734584450402144772118</x:v>
      </x:c>
      <x:c r="R93" s="32" t="n">
        <x:v>0.6930294906166219839142091153</x:v>
      </x:c>
      <x:c r="S93" s="23" t="n">
        <x:v>0.7010723860589812332439678284</x:v>
      </x:c>
      <x:c r="T93" s="32" t="n">
        <x:v>0.7412868632707774798927613941</x:v>
      </x:c>
      <x:c r="U93" s="32" t="n">
        <x:v>0.7600536193029490616621983914</x:v>
      </x:c>
      <x:c r="V93" s="32" t="n">
        <x:v>0.7841823056300268096514745308</x:v>
      </x:c>
      <x:c r="W93" s="32" t="n">
        <x:v>0.8056300268096514745308310992</x:v>
      </x:c>
      <x:c r="X93" s="32" t="n">
        <x:v>0.8176943699731903485254691689</x:v>
      </x:c>
      <x:c r="Y93" s="32" t="n">
        <x:v>0.8310991957104557640750670241</x:v>
      </x:c>
      <x:c r="BI93" s="33" t="s"/>
      <x:c r="BJ93" s="11" t="s">
        <x:v>137</x:v>
      </x:c>
      <x:c r="BK93" s="12" t="str">
        <x:f>=BX93</x:f>
      </x:c>
      <x:c r="BL93" s="12" t="n">
        <x:v>0.8243967828418230563002680965</x:v>
      </x:c>
      <x:c r="BM93" s="12" t="n">
        <x:v>0.1568364611260053619302949062</x:v>
      </x:c>
      <x:c r="BN93" s="12" t="n">
        <x:v>0.0187667560321715817694369973</x:v>
      </x:c>
      <x:c r="BO93" s="12" t="str">
        <x:f>=BW93</x:f>
      </x:c>
      <x:c r="BP93" s="12" t="str">
        <x:f>=CF93</x:f>
      </x:c>
      <x:c r="BQ93" s="12" t="str"/>
      <x:c r="BR93" s="12" t="str">
        <x:v>SS 2019 EOS</x:v>
      </x:c>
      <x:c r="BS93" s="13" t="str"/>
      <x:c r="BT93" s="30" t="n">
        <x:v>6059.47</x:v>
      </x:c>
      <x:c r="BU93" s="30" t="n">
        <x:v>-4244.2178</x:v>
      </x:c>
      <x:c r="BV93" s="30" t="str">
        <x:f>=BT93+BU93</x:f>
      </x:c>
      <x:c r="BW93" s="66" t="str">
        <x:f>=BV93/BT93</x:f>
      </x:c>
      <x:c r="BX93" s="66" t="n">
        <x:v>0.9812332439678284182305630027</x:v>
      </x:c>
      <x:c r="BY93" s="30" t="n">
        <x:v>4244.74</x:v>
      </x:c>
      <x:c r="BZ93" s="41" t="n">
        <x:v>14</x:v>
      </x:c>
      <x:c r="CA93" s="30" t="n">
        <x:v>79.66</x:v>
      </x:c>
      <x:c r="CC93" s="30" t="n">
        <x:v>6060.3010991957104557640750670</x:v>
      </x:c>
      <x:c r="CD93" s="30" t="n">
        <x:v>-4244.2178</x:v>
      </x:c>
      <x:c r="CE93" s="30" t="str">
        <x:f>=CC93+CD93</x:f>
      </x:c>
      <x:c r="CF93" s="66" t="str">
        <x:f>=CE93/CC93</x:f>
      </x:c>
      <x:c r="CH93" s="66" t="str">
        <x:f>=CI93+CJ93</x:f>
      </x:c>
      <x:c r="CI93" s="66" t="str">
        <x:f>=BX93+(0*7)</x:f>
      </x:c>
      <x:c r="CJ93" s="66" t="str">
        <x:f>=(1-CI93)*0.5</x:f>
      </x:c>
      <x:c r="CK93" s="66" t="str">
        <x:f>=1-CH93</x:f>
      </x:c>
      <x:c r="CM93" s="66" t="str">
        <x:f>=CJ93/(1-CI93)</x:f>
      </x:c>
    </x:row>
    <x:row r="94">
      <x:c r="A94" s="31" t="s">
        <x:v>253</x:v>
      </x:c>
      <x:c r="B94" t="s"/>
      <x:c r="C94" t="s">
        <x:v>254</x:v>
      </x:c>
      <x:c r="D94" t="s">
        <x:v>118</x:v>
      </x:c>
      <x:c r="E94" s="67" t="s">
        <x:v>131</x:v>
      </x:c>
      <x:c r="F94" t="n">
        <x:v>562</x:v>
      </x:c>
      <x:c r="G94" s="32" t="n">
        <x:v>0.001779359430604982206405694</x:v>
      </x:c>
      <x:c r="H94" s="32" t="n">
        <x:v>0.0035587188612099644128113879</x:v>
      </x:c>
      <x:c r="I94" s="32" t="n">
        <x:v>0.0035587188612099644128113879</x:v>
      </x:c>
      <x:c r="J94" s="32" t="n">
        <x:v>0.0035587188612099644128113879</x:v>
      </x:c>
      <x:c r="K94" s="32" t="n">
        <x:v>0.2419928825622775800711743772</x:v>
      </x:c>
      <x:c r="L94" s="32" t="n">
        <x:v>0.3612099644128113879003558719</x:v>
      </x:c>
      <x:c r="M94" s="32" t="n">
        <x:v>0.4572953736654804270462633452</x:v>
      </x:c>
      <x:c r="N94" s="32" t="n">
        <x:v>0.501779359430604982206405694</x:v>
      </x:c>
      <x:c r="O94" s="32" t="n">
        <x:v>0.6014234875444839857651245552</x:v>
      </x:c>
      <x:c r="P94" s="23" t="n">
        <x:v>0.7829181494661921708185053381</x:v>
      </x:c>
      <x:c r="Q94" s="32" t="n">
        <x:v>0.7989323843416370106761565836</x:v>
      </x:c>
      <x:c r="R94" s="32" t="n">
        <x:v>0.8665480427046263345195729537</x:v>
      </x:c>
      <x:c r="S94" s="32" t="n">
        <x:v>0.9021352313167259786476868327</x:v>
      </x:c>
      <x:c r="T94" s="32" t="n">
        <x:v>0.9163701067615658362989323843</x:v>
      </x:c>
      <x:c r="U94" s="32" t="n">
        <x:v>0.9395017793594306049822064057</x:v>
      </x:c>
      <x:c r="V94" s="32" t="n">
        <x:v>0.9430604982206405693950177936</x:v>
      </x:c>
      <x:c r="W94" s="32" t="n">
        <x:v>0.9572953736654804270462633452</x:v>
      </x:c>
      <x:c r="X94" s="32" t="n">
        <x:v>0.962633451957295373665480427</x:v>
      </x:c>
      <x:c r="Y94" s="32" t="n">
        <x:v>0.9804270462633451957295373665</x:v>
      </x:c>
      <x:c r="BI94" s="33" t="s"/>
      <x:c r="BJ94" s="11" t="s">
        <x:v>137</x:v>
      </x:c>
      <x:c r="BK94" s="12" t="str">
        <x:f>=BX94</x:f>
      </x:c>
      <x:c r="BL94" s="12" t="n">
        <x:v>0.9715302491103202846975088968</x:v>
      </x:c>
      <x:c r="BM94" s="12" t="n">
        <x:v>0.0231316725978647686832740214</x:v>
      </x:c>
      <x:c r="BN94" s="12" t="n">
        <x:v>0.0053380782918149466192170819</x:v>
      </x:c>
      <x:c r="BO94" s="12" t="str">
        <x:f>=BW94</x:f>
      </x:c>
      <x:c r="BP94" s="12" t="str">
        <x:f>=CF94</x:f>
      </x:c>
      <x:c r="BQ94" s="12" t="str"/>
      <x:c r="BR94" s="12" t="str">
        <x:v>SS 2019 EOS</x:v>
      </x:c>
      <x:c r="BS94" s="13" t="str"/>
      <x:c r="BT94" s="30" t="n">
        <x:v>4177.59</x:v>
      </x:c>
      <x:c r="BU94" s="30" t="n">
        <x:v>-2677.9862</x:v>
      </x:c>
      <x:c r="BV94" s="30" t="str">
        <x:f>=BT94+BU94</x:f>
      </x:c>
      <x:c r="BW94" s="66" t="str">
        <x:f>=BV94/BT94</x:f>
      </x:c>
      <x:c r="BX94" s="66" t="n">
        <x:v>0.9946619217081850533807829181</x:v>
      </x:c>
      <x:c r="BY94" s="30" t="n">
        <x:v>2663.88</x:v>
      </x:c>
      <x:c r="BZ94" s="41" t="n">
        <x:v>3</x:v>
      </x:c>
      <x:c r="CA94" s="30" t="n">
        <x:v>14.22</x:v>
      </x:c>
      <x:c r="CC94" s="30" t="n">
        <x:v>4178.5704270462633451957295374</x:v>
      </x:c>
      <x:c r="CD94" s="30" t="n">
        <x:v>-2677.9862</x:v>
      </x:c>
      <x:c r="CE94" s="30" t="str">
        <x:f>=CC94+CD94</x:f>
      </x:c>
      <x:c r="CF94" s="66" t="str">
        <x:f>=CE94/CC94</x:f>
      </x:c>
      <x:c r="CH94" s="66" t="str">
        <x:f>=CI94+CJ94</x:f>
      </x:c>
      <x:c r="CI94" s="66" t="str">
        <x:f>=BX94+(0*7)</x:f>
      </x:c>
      <x:c r="CJ94" s="66" t="str">
        <x:f>=(1-CI94)*0.5</x:f>
      </x:c>
      <x:c r="CK94" s="66" t="str">
        <x:f>=1-CH94</x:f>
      </x:c>
      <x:c r="CM94" s="66" t="str">
        <x:f>=CJ94/(1-CI94)</x:f>
      </x:c>
    </x:row>
    <x:row r="95">
      <x:c r="A95" s="31" t="s"/>
      <x:c r="BI95" s="33" t="s"/>
      <x:c r="BJ95" s="11" t="s"/>
      <x:c r="BS95" s="13" t="s"/>
    </x:row>
    <x:row r="96">
      <x:c r="A96" s="17" t="s">
        <x:v>114</x:v>
      </x:c>
      <x:c r="BI96" s="33" t="s"/>
      <x:c r="BJ96" s="11" t="s"/>
      <x:c r="BS96" s="13" t="s"/>
    </x:row>
    <x:row r="97">
      <x:c r="A97" s="31" t="s">
        <x:v>255</x:v>
      </x:c>
      <x:c r="B97" t="s"/>
      <x:c r="C97" t="s">
        <x:v>256</x:v>
      </x:c>
      <x:c r="D97" t="s">
        <x:v>130</x:v>
      </x:c>
      <x:c r="E97" s="67" t="s">
        <x:v>131</x:v>
      </x:c>
      <x:c r="F97" t="n">
        <x:v>527</x:v>
      </x:c>
      <x:c r="G97" s="32" t="n">
        <x:v>0.0455407969639468690702087287</x:v>
      </x:c>
      <x:c r="H97" s="32" t="n">
        <x:v>0.0455407969639468690702087287</x:v>
      </x:c>
      <x:c r="I97" s="32" t="n">
        <x:v>0.0455407969639468690702087287</x:v>
      </x:c>
      <x:c r="J97" s="32" t="n">
        <x:v>0.0455407969639468690702087287</x:v>
      </x:c>
      <x:c r="K97" s="32" t="n">
        <x:v>0.0455407969639468690702087287</x:v>
      </x:c>
      <x:c r="L97" s="32" t="n">
        <x:v>0.0455407969639468690702087287</x:v>
      </x:c>
      <x:c r="M97" s="32" t="n">
        <x:v>0.0664136622390891840607210626</x:v>
      </x:c>
      <x:c r="N97" s="32" t="n">
        <x:v>0.0664136622390891840607210626</x:v>
      </x:c>
      <x:c r="O97" s="32" t="n">
        <x:v>0.0664136622390891840607210626</x:v>
      </x:c>
      <x:c r="P97" s="32" t="n">
        <x:v>0.0872865275142314990512333966</x:v>
      </x:c>
      <x:c r="Q97" s="32" t="n">
        <x:v>0.0815939278937381404174573055</x:v>
      </x:c>
      <x:c r="R97" s="32" t="n">
        <x:v>0.0815939278937381404174573055</x:v>
      </x:c>
      <x:c r="S97" s="32" t="n">
        <x:v>0.0777988614800759013282732448</x:v>
      </x:c>
      <x:c r="T97" s="32" t="n">
        <x:v>0.0815939278937381404174573055</x:v>
      </x:c>
      <x:c r="U97" s="32" t="n">
        <x:v>0.0872865275142314990512333966</x:v>
      </x:c>
      <x:c r="V97" s="32" t="n">
        <x:v>0.0967741935483870967741935484</x:v>
      </x:c>
      <x:c r="W97" s="32" t="n">
        <x:v>0.1043643263757115749525616698</x:v>
      </x:c>
      <x:c r="X97" s="32" t="n">
        <x:v>0.1005692599620493358633776091</x:v>
      </x:c>
      <x:c r="Y97" s="32" t="n">
        <x:v>0.1005692599620493358633776091</x:v>
      </x:c>
      <x:c r="Z97" s="32" t="n">
        <x:v>0.0967741935483870967741935484</x:v>
      </x:c>
      <x:c r="AA97" s="32" t="n">
        <x:v>0.1043643263757115749525616698</x:v>
      </x:c>
      <x:c r="AB97" s="32" t="n">
        <x:v>0.1081593927893738140417457306</x:v>
      </x:c>
      <x:c r="AC97" s="32" t="n">
        <x:v>0.1100569259962049335863377609</x:v>
      </x:c>
      <x:c r="AD97" s="32" t="n">
        <x:v>0.1081593927893738140417457306</x:v>
      </x:c>
      <x:c r="AE97" s="32" t="n">
        <x:v>0.1195445920303605313092979127</x:v>
      </x:c>
      <x:c r="AF97" s="32" t="n">
        <x:v>0.1252371916508538899430740038</x:v>
      </x:c>
      <x:c r="AG97" s="32" t="n">
        <x:v>0.1328273244781783681214421252</x:v>
      </x:c>
      <x:c r="AH97" s="32" t="n">
        <x:v>0.1385199240986717267552182163</x:v>
      </x:c>
      <x:c r="AI97" s="32" t="n">
        <x:v>0.1499051233396584440227703985</x:v>
      </x:c>
      <x:c r="AJ97" s="32" t="n">
        <x:v>0.1442125237191650853889943074</x:v>
      </x:c>
      <x:c r="AK97" s="32" t="n">
        <x:v>0.1574952561669829222011385199</x:v>
      </x:c>
      <x:c r="AL97" s="32" t="n">
        <x:v>0.1555977229601518026565464896</x:v>
      </x:c>
      <x:c r="AM97" s="32" t="n">
        <x:v>0.1574952561669829222011385199</x:v>
      </x:c>
      <x:c r="AN97" s="32" t="n">
        <x:v>0.163187855787476280834914611</x:v>
      </x:c>
      <x:c r="AO97" s="32" t="n">
        <x:v>0.1650853889943074003795066414</x:v>
      </x:c>
      <x:c r="AP97" s="32" t="n">
        <x:v>0.1688804554079696394686907021</x:v>
      </x:c>
      <x:c r="AQ97" s="32" t="n">
        <x:v>0.1783681214421252371916508539</x:v>
      </x:c>
      <x:c r="AR97" s="32" t="n">
        <x:v>0.1764705882352941176470588235</x:v>
      </x:c>
      <x:c r="AS97" s="32" t="n">
        <x:v>0.1745730550284629981024667932</x:v>
      </x:c>
      <x:c r="AT97" s="32" t="n">
        <x:v>0.1783681214421252371916508539</x:v>
      </x:c>
      <x:c r="BI97" s="33" t="s"/>
      <x:c r="BJ97" s="11" t="s">
        <x:v>242</x:v>
      </x:c>
      <x:c r="BK97" s="12" t="str">
        <x:f>=BX97</x:f>
      </x:c>
      <x:c r="BL97" s="12" t="n">
        <x:v>0.1783681214421252371916508539</x:v>
      </x:c>
      <x:c r="BM97" s="12" t="n">
        <x:v>0.7666034155597722960151802657</x:v>
      </x:c>
      <x:c r="BN97" s="12" t="n">
        <x:v>0.0550284629981024667931688805</x:v>
      </x:c>
      <x:c r="BO97" s="12" t="str">
        <x:f>=BW97</x:f>
      </x:c>
      <x:c r="BP97" s="12" t="str">
        <x:f>=CF97</x:f>
      </x:c>
      <x:c r="BQ97" s="12" t="str"/>
      <x:c r="BR97" s="12" t="str">
        <x:v>SS 2019 EOS</x:v>
      </x:c>
      <x:c r="BS97" s="13" t="str"/>
      <x:c r="BT97" s="30" t="n">
        <x:v>2768.64</x:v>
      </x:c>
      <x:c r="BU97" s="30" t="n">
        <x:v>-3055.30311784161782237020</x:v>
      </x:c>
      <x:c r="BV97" s="30" t="str">
        <x:f>=BT97+BU97</x:f>
      </x:c>
      <x:c r="BW97" s="66" t="str">
        <x:f>=BV97/BT97</x:f>
      </x:c>
      <x:c r="BX97" s="66" t="n">
        <x:v>0.9449715370018975332068311195</x:v>
      </x:c>
      <x:c r="BY97" s="30" t="n">
        <x:v>3057.979502929502909660</x:v>
      </x:c>
      <x:c r="BZ97" s="41" t="n">
        <x:v>29</x:v>
      </x:c>
      <x:c r="CA97" s="30" t="n">
        <x:v>168.275911925911924820</x:v>
      </x:c>
      <x:c r="CC97" s="30" t="n">
        <x:v>2768.8183681214421252371916509</x:v>
      </x:c>
      <x:c r="CD97" s="30" t="n">
        <x:v>-3055.30311784161782237020</x:v>
      </x:c>
      <x:c r="CE97" s="30" t="str">
        <x:f>=CC97+CD97</x:f>
      </x:c>
      <x:c r="CF97" s="66" t="str">
        <x:f>=CE97/CC97</x:f>
      </x:c>
      <x:c r="CH97" s="66" t="str">
        <x:f>=CI97+CJ97</x:f>
      </x:c>
      <x:c r="CI97" s="66" t="str">
        <x:f>=BX97+(0*7)</x:f>
      </x:c>
      <x:c r="CJ97" s="66" t="str">
        <x:f>=(1-CI97)*0.5</x:f>
      </x:c>
      <x:c r="CK97" s="66" t="str">
        <x:f>=1-CH97</x:f>
      </x:c>
      <x:c r="CM97" s="66" t="str">
        <x:f>=CJ97/(1-CI97)</x:f>
      </x:c>
    </x:row>
    <x:row r="98">
      <x:c r="A98" s="31" t="s">
        <x:v>257</x:v>
      </x:c>
      <x:c r="B98" t="s"/>
      <x:c r="C98" t="s">
        <x:v>258</x:v>
      </x:c>
      <x:c r="D98" t="s">
        <x:v>130</x:v>
      </x:c>
      <x:c r="E98" s="67" t="s">
        <x:v>131</x:v>
      </x:c>
      <x:c r="F98" t="n">
        <x:v>562</x:v>
      </x:c>
      <x:c r="G98" s="32" t="n">
        <x:v>0.0071174377224199288256227758</x:v>
      </x:c>
      <x:c r="H98" s="32" t="n">
        <x:v>0.0782918149466192170818505338</x:v>
      </x:c>
      <x:c r="I98" s="32" t="n">
        <x:v>0.1138790035587188612099644128</x:v>
      </x:c>
      <x:c r="J98" s="32" t="n">
        <x:v>0.1138790035587188612099644128</x:v>
      </x:c>
      <x:c r="K98" s="32" t="n">
        <x:v>0.1387900355871886120996441281</x:v>
      </x:c>
      <x:c r="L98" s="32" t="n">
        <x:v>0.14412811387900355871886121</x:v>
      </x:c>
      <x:c r="M98" s="32" t="n">
        <x:v>0.1583629893238434163701067616</x:v>
      </x:c>
      <x:c r="N98" s="32" t="n">
        <x:v>0.1637010676156583629893238434</x:v>
      </x:c>
      <x:c r="O98" s="32" t="n">
        <x:v>0.177935943060498220640569395</x:v>
      </x:c>
      <x:c r="P98" s="32" t="n">
        <x:v>0.1814946619217081850533807829</x:v>
      </x:c>
      <x:c r="Q98" s="32" t="n">
        <x:v>0.1832740213523131672597864769</x:v>
      </x:c>
      <x:c r="R98" s="32" t="n">
        <x:v>0.179715302491103202846975089</x:v>
      </x:c>
      <x:c r="S98" s="32" t="n">
        <x:v>0.177935943060498220640569395</x:v>
      </x:c>
      <x:c r="T98" s="32" t="n">
        <x:v>0.1832740213523131672597864769</x:v>
      </x:c>
      <x:c r="U98" s="32" t="n">
        <x:v>0.1868327402135231316725978648</x:v>
      </x:c>
      <x:c r="V98" s="32" t="n">
        <x:v>0.1903914590747330960854092527</x:v>
      </x:c>
      <x:c r="W98" s="32" t="n">
        <x:v>0.1975088967971530249110320285</x:v>
      </x:c>
      <x:c r="X98" s="32" t="n">
        <x:v>0.2064056939501779359430604982</x:v>
      </x:c>
      <x:c r="Y98" s="32" t="n">
        <x:v>0.2099644128113879003558718861</x:v>
      </x:c>
      <x:c r="Z98" s="32" t="n">
        <x:v>0.2277580071174377224199288256</x:v>
      </x:c>
      <x:c r="AA98" s="32" t="n">
        <x:v>0.2330960854092526690391459075</x:v>
      </x:c>
      <x:c r="AB98" s="32" t="n">
        <x:v>0.2313167259786476868327402135</x:v>
      </x:c>
      <x:c r="AC98" s="32" t="n">
        <x:v>0.2348754448398576512455516014</x:v>
      </x:c>
      <x:c r="AD98" s="32" t="n">
        <x:v>0.2402135231316725978647686833</x:v>
      </x:c>
      <x:c r="AE98" s="32" t="n">
        <x:v>0.250889679715302491103202847</x:v>
      </x:c>
      <x:c r="BI98" s="33" t="s"/>
      <x:c r="BJ98" s="11" t="s">
        <x:v>168</x:v>
      </x:c>
      <x:c r="BK98" s="12" t="str">
        <x:f>=BX98</x:f>
      </x:c>
      <x:c r="BL98" s="12" t="n">
        <x:v>0.2597864768683274021352313167</x:v>
      </x:c>
      <x:c r="BM98" s="12" t="n">
        <x:v>0.5943060498220640569395017794</x:v>
      </x:c>
      <x:c r="BN98" s="12" t="n">
        <x:v>0.1459074733096085409252669039</x:v>
      </x:c>
      <x:c r="BO98" s="12" t="str">
        <x:f>=BW98</x:f>
      </x:c>
      <x:c r="BP98" s="12" t="str">
        <x:f>=CF98</x:f>
      </x:c>
      <x:c r="BQ98" s="12" t="str"/>
      <x:c r="BR98" s="12" t="str">
        <x:v>SS 2019 EOS</x:v>
      </x:c>
      <x:c r="BS98" s="13" t="str"/>
      <x:c r="BT98" s="30" t="n">
        <x:v>5257.68</x:v>
      </x:c>
      <x:c r="BU98" s="30" t="n">
        <x:v>-5725.09219732699729013440</x:v>
      </x:c>
      <x:c r="BV98" s="30" t="str">
        <x:f>=BT98+BU98</x:f>
      </x:c>
      <x:c r="BW98" s="66" t="str">
        <x:f>=BV98/BT98</x:f>
      </x:c>
      <x:c r="BX98" s="66" t="n">
        <x:v>0.8540925266903914590747330961</x:v>
      </x:c>
      <x:c r="BY98" s="30" t="n">
        <x:v>5856.617523017522979520</x:v>
      </x:c>
      <x:c r="BZ98" s="41" t="n">
        <x:v>82</x:v>
      </x:c>
      <x:c r="CA98" s="30" t="n">
        <x:v>854.524264924264918720</x:v>
      </x:c>
      <x:c r="CC98" s="30" t="n">
        <x:v>5257.9308896797153024911032028</x:v>
      </x:c>
      <x:c r="CD98" s="30" t="n">
        <x:v>-5725.09219732699729013440</x:v>
      </x:c>
      <x:c r="CE98" s="30" t="str">
        <x:f>=CC98+CD98</x:f>
      </x:c>
      <x:c r="CF98" s="66" t="str">
        <x:f>=CE98/CC98</x:f>
      </x:c>
      <x:c r="CH98" s="66" t="str">
        <x:f>=CI98+CJ98</x:f>
      </x:c>
      <x:c r="CI98" s="66" t="str">
        <x:f>=BX98+(0*7)</x:f>
      </x:c>
      <x:c r="CJ98" s="66" t="str">
        <x:f>=(1-CI98)*0.5</x:f>
      </x:c>
      <x:c r="CK98" s="66" t="str">
        <x:f>=1-CH98</x:f>
      </x:c>
      <x:c r="CM98" s="66" t="str">
        <x:f>=CJ98/(1-CI98)</x:f>
      </x:c>
    </x:row>
    <x:row r="99">
      <x:c r="A99" s="34" t="s"/>
      <x:c r="B99" s="6" t="s"/>
      <x:c r="C99" s="6" t="s"/>
      <x:c r="D99" s="6" t="s"/>
      <x:c r="E99" s="6" t="s"/>
      <x:c r="F99" s="6" t="s"/>
      <x:c r="G99" s="6" t="s"/>
      <x:c r="H99" s="6" t="s"/>
      <x:c r="I99" s="6" t="s"/>
      <x:c r="J99" s="6" t="s"/>
      <x:c r="K99" s="6" t="s"/>
      <x:c r="L99" s="6" t="s"/>
      <x:c r="M99" s="6" t="s"/>
      <x:c r="N99" s="6" t="s"/>
      <x:c r="O99" s="6" t="s"/>
      <x:c r="P99" s="6" t="s"/>
      <x:c r="Q99" s="6" t="s"/>
      <x:c r="R99" s="6" t="s"/>
      <x:c r="S99" s="6" t="s"/>
      <x:c r="T99" s="6" t="s"/>
      <x:c r="U99" s="6" t="s"/>
      <x:c r="V99" s="6" t="s"/>
      <x:c r="W99" s="6" t="s"/>
      <x:c r="X99" s="6" t="s"/>
      <x:c r="Y99" s="6" t="s"/>
      <x:c r="Z99" s="6" t="s"/>
      <x:c r="AA99" s="6" t="s"/>
      <x:c r="AB99" s="6" t="s"/>
      <x:c r="AC99" s="6" t="s"/>
      <x:c r="AD99" s="6" t="s"/>
      <x:c r="AE99" s="6" t="s"/>
      <x:c r="AF99" s="6" t="s"/>
      <x:c r="AG99" s="6" t="s"/>
      <x:c r="AH99" s="6" t="s"/>
      <x:c r="AI99" s="6" t="s"/>
      <x:c r="AJ99" s="6" t="s"/>
      <x:c r="AK99" s="6" t="s"/>
      <x:c r="AL99" s="6" t="s"/>
      <x:c r="AM99" s="6" t="s"/>
      <x:c r="AN99" s="6" t="s"/>
      <x:c r="AO99" s="6" t="s"/>
      <x:c r="AP99" s="6" t="s"/>
      <x:c r="AQ99" s="6" t="s"/>
      <x:c r="AR99" s="6" t="s"/>
      <x:c r="AS99" s="6" t="s"/>
      <x:c r="AT99" s="6" t="s"/>
      <x:c r="AU99" s="6" t="s"/>
      <x:c r="AV99" s="6" t="s"/>
      <x:c r="AW99" s="6" t="s"/>
      <x:c r="AX99" s="6" t="s"/>
      <x:c r="AY99" s="6" t="s"/>
      <x:c r="AZ99" s="6" t="s"/>
      <x:c r="BA99" s="6" t="s"/>
      <x:c r="BB99" s="6" t="s"/>
      <x:c r="BC99" s="6" t="s"/>
      <x:c r="BD99" s="6" t="s"/>
      <x:c r="BE99" s="6" t="s"/>
      <x:c r="BF99" s="6" t="s"/>
      <x:c r="BG99" s="6" t="s"/>
      <x:c r="BH99" s="6" t="s"/>
      <x:c r="BI99" s="8" t="s"/>
      <x:c r="BJ99" s="14" t="s">
        <x:v>36</x:v>
      </x:c>
      <x:c r="BK99" s="15" t="s"/>
      <x:c r="BL99" s="15" t="s"/>
      <x:c r="BM99" s="15" t="s"/>
      <x:c r="BN99" s="15" t="s"/>
      <x:c r="BO99" s="37">
        <x:f>=BV100/BT100</x:f>
      </x:c>
      <x:c r="BP99" s="37">
        <x:f>=CF100</x:f>
      </x:c>
      <x:c r="BQ99" s="6" t="s"/>
      <x:c r="BR99" s="6" t="s"/>
      <x:c r="BS99" s="8" t="s"/>
      <x:c r="BT99" s="20" t="n">
        <x:v>76783.40</x:v>
      </x:c>
      <x:c r="BU99" s="20" t="n">
        <x:v>-57576.00812758204865231570</x:v>
      </x:c>
      <x:c r="BV99" s="20" t="str">
        <x:f>=BT99+BU99</x:f>
      </x:c>
      <x:c r="BW99" s="21" t="n">
        <x:v>0.2501503172875641264607232813</x:v>
      </x:c>
      <x:c r="BY99" s="20" t="n">
        <x:v>-58290.800956270153249810</x:v>
      </x:c>
      <x:c r="BZ99" s="20" t="n">
        <x:v>325</x:v>
      </x:c>
      <x:c r="CA99" s="20" t="n">
        <x:v>2770.8805486014040962685753986</x:v>
      </x:c>
      <x:c r="CC99" s="20" t="n">
        <x:v>76789.632286351805388101906367</x:v>
      </x:c>
      <x:c r="CD99" s="20" t="n">
        <x:v>-57576.00812758204865231570</x:v>
      </x:c>
      <x:c r="CE99" s="20" t="str">
        <x:f>=CC99+CD99</x:f>
      </x:c>
      <x:c r="CF99" s="21" t="n">
        <x:v>0.250211175476415031001002754</x:v>
      </x:c>
    </x:row>
    <x:row r="100">
      <x:c r="BT100" s="18" t="n">
        <x:v>267633.54</x:v>
      </x:c>
      <x:c r="BU100" s="18" t="n">
        <x:v>-216360.94481714587365231570</x:v>
      </x:c>
      <x:c r="BV100" s="18" t="str">
        <x:f>=BT100+BU100</x:f>
      </x:c>
      <x:c r="BW100" s="19" t="n">
        <x:v>0.1915776146100900744640761393</x:v>
      </x:c>
      <x:c r="BY100" s="18" t="n">
        <x:v>-210232.156924892653249810</x:v>
      </x:c>
      <x:c r="BZ100" s="18" t="n">
        <x:v>1927</x:v>
      </x:c>
      <x:c r="CA100" s="18" t="n">
        <x:v>59253.673598693599943306109404</x:v>
      </x:c>
      <x:c r="CC100" s="18" t="n">
        <x:v>268804.44428507537880556671252</x:v>
      </x:c>
      <x:c r="CD100" s="18" t="n">
        <x:v>-216360.94481714587365231570</x:v>
      </x:c>
      <x:c r="CE100" s="18" t="str">
        <x:f>=CC100+CD100</x:f>
      </x:c>
      <x:c r="CF100" s="19" t="n">
        <x:v>0.1950990788393050575775413833</x:v>
      </x:c>
    </x:row>
    <x:row r="101">
      <x:c r="A101" s="10" t="s">
        <x:v>259</x:v>
      </x:c>
      <x:c r="B101" s="5" t="s"/>
      <x:c r="C101" s="5" t="s"/>
      <x:c r="D101" s="5" t="s"/>
      <x:c r="E101" s="5" t="s"/>
      <x:c r="F101" s="5" t="s"/>
      <x:c r="G101" s="5" t="s"/>
      <x:c r="H101" s="5" t="s"/>
      <x:c r="I101" s="5" t="s"/>
      <x:c r="J101" s="5" t="s"/>
      <x:c r="K101" s="5" t="s"/>
      <x:c r="L101" s="5" t="s"/>
      <x:c r="M101" s="5" t="s"/>
      <x:c r="N101" s="5" t="s"/>
      <x:c r="O101" s="5" t="s"/>
      <x:c r="P101" s="5" t="s"/>
      <x:c r="Q101" s="5" t="s"/>
      <x:c r="R101" s="5" t="s"/>
      <x:c r="S101" s="5" t="s"/>
      <x:c r="T101" s="5" t="s"/>
      <x:c r="U101" s="5" t="s"/>
      <x:c r="V101" s="5" t="s"/>
      <x:c r="W101" s="5" t="s"/>
      <x:c r="X101" s="5" t="s"/>
      <x:c r="Y101" s="5" t="s"/>
      <x:c r="Z101" s="5" t="s"/>
      <x:c r="AA101" s="5" t="s"/>
      <x:c r="AB101" s="5" t="s"/>
      <x:c r="AC101" s="5" t="s"/>
      <x:c r="AD101" s="5" t="s"/>
      <x:c r="AE101" s="5" t="s"/>
      <x:c r="AF101" s="5" t="s"/>
      <x:c r="AG101" s="5" t="s"/>
      <x:c r="AH101" s="5" t="s"/>
      <x:c r="AI101" s="5" t="s"/>
      <x:c r="AJ101" s="5" t="s"/>
      <x:c r="AK101" s="5" t="s"/>
      <x:c r="AL101" s="5" t="s"/>
      <x:c r="AM101" s="5" t="s"/>
      <x:c r="AN101" s="5" t="s"/>
      <x:c r="AO101" s="5" t="s"/>
      <x:c r="AP101" s="5" t="s"/>
      <x:c r="AQ101" s="5" t="s"/>
      <x:c r="AR101" s="5" t="s"/>
      <x:c r="AS101" s="5" t="s"/>
      <x:c r="AT101" s="5" t="s"/>
      <x:c r="AU101" s="5" t="s"/>
      <x:c r="AV101" s="5" t="s"/>
      <x:c r="AW101" s="5" t="s"/>
      <x:c r="AX101" s="5" t="s"/>
      <x:c r="AY101" s="5" t="s"/>
      <x:c r="AZ101" s="5" t="s"/>
      <x:c r="BA101" s="5" t="s"/>
      <x:c r="BB101" s="5" t="s"/>
      <x:c r="BC101" s="5" t="s"/>
      <x:c r="BD101" s="5" t="s"/>
      <x:c r="BE101" s="5" t="s"/>
      <x:c r="BF101" s="5" t="s"/>
      <x:c r="BG101" s="5" t="s"/>
      <x:c r="BH101" s="5" t="s"/>
      <x:c r="BI101" s="7" t="s"/>
      <x:c r="BJ101" s="10" t="s"/>
      <x:c r="BK101" s="5" t="s"/>
      <x:c r="BL101" s="5" t="s"/>
      <x:c r="BM101" s="5" t="s"/>
      <x:c r="BN101" s="5" t="s"/>
      <x:c r="BO101" s="5" t="s"/>
      <x:c r="BP101" s="5" t="s"/>
      <x:c r="BQ101" s="5" t="s"/>
      <x:c r="BR101" s="5" t="s"/>
      <x:c r="BS101" s="7" t="s"/>
      <x:c r="BT101" s="47" t="s">
        <x:v>11</x:v>
      </x:c>
      <x:c r="BU101" s="48"/>
      <x:c r="BV101" s="49"/>
      <x:c r="BW101" s="50"/>
      <x:c r="BX101" s="50"/>
      <x:c r="BY101" s="51"/>
      <x:c r="BZ101" s="52"/>
      <x:c r="CA101" s="51"/>
      <x:c r="CC101" s="57" t="s">
        <x:v>26</x:v>
      </x:c>
      <x:c r="CD101" s="58"/>
      <x:c r="CE101" s="58"/>
      <x:c r="CF101" s="58"/>
      <x:c r="CG101" s="58"/>
      <x:c r="CH101" s="59"/>
      <x:c r="CI101" s="59"/>
      <x:c r="CJ101" s="59"/>
      <x:c r="CK101" s="59"/>
      <x:c r="CL101" s="58"/>
      <x:c r="CM101" s="60"/>
    </x:row>
    <x:row r="102" ht="45.75" customHeight="1">
      <x:c r="A102" s="40" t="s">
        <x:v>43</x:v>
      </x:c>
      <x:c r="B102" s="40" t="s">
        <x:v>44</x:v>
      </x:c>
      <x:c r="C102" s="40" t="s">
        <x:v>45</x:v>
      </x:c>
      <x:c r="D102" s="40" t="s">
        <x:v>46</x:v>
      </x:c>
      <x:c r="E102" s="40" t="s">
        <x:v>47</x:v>
      </x:c>
      <x:c r="F102" s="40" t="s">
        <x:v>102</x:v>
      </x:c>
      <x:c r="G102" s="40" t="s">
        <x:v>48</x:v>
      </x:c>
      <x:c r="H102" s="40" t="s">
        <x:v>49</x:v>
      </x:c>
      <x:c r="I102" s="40" t="s">
        <x:v>50</x:v>
      </x:c>
      <x:c r="J102" s="40" t="s">
        <x:v>51</x:v>
      </x:c>
      <x:c r="K102" s="40" t="s">
        <x:v>52</x:v>
      </x:c>
      <x:c r="L102" s="40" t="s">
        <x:v>53</x:v>
      </x:c>
      <x:c r="M102" s="40" t="s">
        <x:v>54</x:v>
      </x:c>
      <x:c r="N102" s="40" t="s">
        <x:v>55</x:v>
      </x:c>
      <x:c r="O102" s="40" t="s">
        <x:v>56</x:v>
      </x:c>
      <x:c r="P102" s="40" t="s">
        <x:v>57</x:v>
      </x:c>
      <x:c r="Q102" s="40" t="s">
        <x:v>58</x:v>
      </x:c>
      <x:c r="R102" s="40" t="s">
        <x:v>59</x:v>
      </x:c>
      <x:c r="S102" s="40" t="s">
        <x:v>60</x:v>
      </x:c>
      <x:c r="T102" s="40" t="s">
        <x:v>61</x:v>
      </x:c>
      <x:c r="U102" s="40" t="s">
        <x:v>62</x:v>
      </x:c>
      <x:c r="V102" s="40" t="s">
        <x:v>63</x:v>
      </x:c>
      <x:c r="W102" s="40" t="s">
        <x:v>64</x:v>
      </x:c>
      <x:c r="X102" s="40" t="s">
        <x:v>65</x:v>
      </x:c>
      <x:c r="Y102" s="40" t="s">
        <x:v>66</x:v>
      </x:c>
      <x:c r="Z102" s="40" t="s">
        <x:v>67</x:v>
      </x:c>
      <x:c r="AA102" s="40" t="s">
        <x:v>68</x:v>
      </x:c>
      <x:c r="AB102" s="40" t="s">
        <x:v>69</x:v>
      </x:c>
      <x:c r="AC102" s="40" t="s">
        <x:v>70</x:v>
      </x:c>
      <x:c r="AD102" s="40" t="s">
        <x:v>71</x:v>
      </x:c>
      <x:c r="AE102" s="40" t="s">
        <x:v>72</x:v>
      </x:c>
      <x:c r="AF102" s="40" t="s">
        <x:v>73</x:v>
      </x:c>
      <x:c r="AG102" s="40" t="s">
        <x:v>74</x:v>
      </x:c>
      <x:c r="AH102" s="40" t="s">
        <x:v>75</x:v>
      </x:c>
      <x:c r="AI102" s="40" t="s">
        <x:v>76</x:v>
      </x:c>
      <x:c r="AJ102" s="40" t="s">
        <x:v>77</x:v>
      </x:c>
      <x:c r="AK102" s="40" t="s">
        <x:v>78</x:v>
      </x:c>
      <x:c r="AL102" s="40" t="s">
        <x:v>79</x:v>
      </x:c>
      <x:c r="AM102" s="40" t="s">
        <x:v>80</x:v>
      </x:c>
      <x:c r="AN102" s="40" t="s">
        <x:v>81</x:v>
      </x:c>
      <x:c r="AO102" s="40" t="s">
        <x:v>82</x:v>
      </x:c>
      <x:c r="AP102" s="40" t="s">
        <x:v>83</x:v>
      </x:c>
      <x:c r="AQ102" s="40" t="s">
        <x:v>84</x:v>
      </x:c>
      <x:c r="AR102" s="40" t="s">
        <x:v>85</x:v>
      </x:c>
      <x:c r="AS102" s="40" t="s">
        <x:v>86</x:v>
      </x:c>
      <x:c r="AT102" s="40" t="s">
        <x:v>87</x:v>
      </x:c>
      <x:c r="AU102" s="40" t="s">
        <x:v>88</x:v>
      </x:c>
      <x:c r="AV102" s="40" t="s">
        <x:v>89</x:v>
      </x:c>
      <x:c r="AW102" s="40" t="s">
        <x:v>90</x:v>
      </x:c>
      <x:c r="AX102" s="40" t="s">
        <x:v>91</x:v>
      </x:c>
      <x:c r="AY102" s="40" t="s">
        <x:v>92</x:v>
      </x:c>
      <x:c r="AZ102" s="40" t="s">
        <x:v>93</x:v>
      </x:c>
      <x:c r="BA102" s="40" t="s">
        <x:v>94</x:v>
      </x:c>
      <x:c r="BB102" s="40" t="s">
        <x:v>95</x:v>
      </x:c>
      <x:c r="BC102" s="40" t="s">
        <x:v>96</x:v>
      </x:c>
      <x:c r="BD102" s="40" t="s">
        <x:v>97</x:v>
      </x:c>
      <x:c r="BE102" s="40" t="s">
        <x:v>98</x:v>
      </x:c>
      <x:c r="BF102" s="40" t="s">
        <x:v>99</x:v>
      </x:c>
      <x:c r="BG102" s="40" t="s">
        <x:v>100</x:v>
      </x:c>
      <x:c r="BH102" s="40" t="s">
        <x:v>101</x:v>
      </x:c>
      <x:c r="BJ102" s="31" t="s">
        <x:v>103</x:v>
      </x:c>
      <x:c r="BK102" s="32" t="s">
        <x:v>104</x:v>
      </x:c>
      <x:c r="BL102" s="32" t="s">
        <x:v>105</x:v>
      </x:c>
      <x:c r="BM102" s="32" t="s">
        <x:v>106</x:v>
      </x:c>
      <x:c r="BN102" s="32" t="s">
        <x:v>107</x:v>
      </x:c>
      <x:c r="BO102" s="32" t="s">
        <x:v>108</x:v>
      </x:c>
      <x:c r="BP102" s="32" t="s">
        <x:v>109</x:v>
      </x:c>
      <x:c r="BQ102" s="32" t="s">
        <x:v>110</x:v>
      </x:c>
      <x:c r="BR102" s="32" t="s">
        <x:v>111</x:v>
      </x:c>
      <x:c r="BS102" s="33" t="s">
        <x:v>112</x:v>
      </x:c>
      <x:c r="BT102" s="53" t="s">
        <x:v>12</x:v>
      </x:c>
      <x:c r="BU102" s="54" t="s">
        <x:v>13</x:v>
      </x:c>
      <x:c r="BV102" s="54" t="s">
        <x:v>14</x:v>
      </x:c>
      <x:c r="BW102" s="55" t="s">
        <x:v>15</x:v>
      </x:c>
      <x:c r="BX102" s="55" t="s">
        <x:v>27</x:v>
      </x:c>
      <x:c r="BY102" s="56" t="s">
        <x:v>16</x:v>
      </x:c>
      <x:c r="BZ102" s="53" t="s">
        <x:v>17</x:v>
      </x:c>
      <x:c r="CA102" s="56" t="s">
        <x:v>18</x:v>
      </x:c>
      <x:c r="CC102" s="61" t="s">
        <x:v>19</x:v>
      </x:c>
      <x:c r="CD102" s="62" t="s">
        <x:v>20</x:v>
      </x:c>
      <x:c r="CE102" s="62" t="s">
        <x:v>21</x:v>
      </x:c>
      <x:c r="CF102" s="62" t="s">
        <x:v>15</x:v>
      </x:c>
      <x:c r="CG102" s="62"/>
      <x:c r="CH102" s="63" t="s">
        <x:v>22</x:v>
      </x:c>
      <x:c r="CI102" s="63" t="s">
        <x:v>23</x:v>
      </x:c>
      <x:c r="CJ102" s="63" t="s">
        <x:v>25</x:v>
      </x:c>
      <x:c r="CK102" s="63" t="s">
        <x:v>24</x:v>
      </x:c>
      <x:c r="CL102" s="62"/>
      <x:c r="CM102" s="64" t="s">
        <x:v>28</x:v>
      </x:c>
    </x:row>
    <x:row r="103">
      <x:c r="BJ103" s="31" t="s"/>
      <x:c r="BS103" s="33" t="s"/>
    </x:row>
    <x:row r="104">
      <x:c r="A104" s="35" t="s">
        <x:v>150</x:v>
      </x:c>
      <x:c r="BI104" s="33" t="s"/>
      <x:c r="BJ104" s="11" t="s"/>
      <x:c r="BS104" s="13" t="s"/>
    </x:row>
    <x:row r="105">
      <x:c r="A105" s="17" t="s">
        <x:v>127</x:v>
      </x:c>
      <x:c r="BI105" s="33" t="s"/>
      <x:c r="BJ105" s="11" t="s"/>
      <x:c r="BS105" s="13" t="s"/>
    </x:row>
    <x:row r="106">
      <x:c r="A106" s="31" t="s">
        <x:v>260</x:v>
      </x:c>
      <x:c r="B106" t="s"/>
      <x:c r="C106" t="s">
        <x:v>261</x:v>
      </x:c>
      <x:c r="D106" t="s">
        <x:v>147</x:v>
      </x:c>
      <x:c r="E106" s="69" t="s">
        <x:v>153</x:v>
      </x:c>
      <x:c r="F106" t="n">
        <x:v>2442</x:v>
      </x:c>
      <x:c r="G106" s="32" t="n">
        <x:v>0.0225225225225225225225225225</x:v>
      </x:c>
      <x:c r="H106" s="32" t="n">
        <x:v>0.0343980343980343980343980344</x:v>
      </x:c>
      <x:c r="I106" s="32" t="n">
        <x:v>0.04995904995904995904995905</x:v>
      </x:c>
      <x:c r="J106" s="32" t="n">
        <x:v>0.0585585585585585585585585586</x:v>
      </x:c>
      <x:c r="K106" s="32" t="n">
        <x:v>0.0606060606060606060606060606</x:v>
      </x:c>
      <x:c r="L106" s="32" t="n">
        <x:v>0.0630630630630630630630630631</x:v>
      </x:c>
      <x:c r="M106" s="32" t="n">
        <x:v>0.0704340704340704340704340704</x:v>
      </x:c>
      <x:c r="N106" s="32" t="n">
        <x:v>0.0868140868140868140868140868</x:v>
      </x:c>
      <x:c r="O106" s="32" t="n">
        <x:v>0.1244881244881244881244881245</x:v>
      </x:c>
      <x:c r="P106" s="32" t="n">
        <x:v>0.1592956592956592956592956593</x:v>
      </x:c>
      <x:c r="Q106" s="32" t="n">
        <x:v>0.1592956592956592956592956593</x:v>
      </x:c>
      <x:c r="R106" s="32" t="n">
        <x:v>0.2055692055692055692055692056</x:v>
      </x:c>
      <x:c r="S106" s="32" t="n">
        <x:v>0.2461097461097461097461097461</x:v>
      </x:c>
      <x:c r="T106" s="32" t="n">
        <x:v>0.2891072891072891072891072891</x:v>
      </x:c>
      <x:c r="U106" s="32" t="n">
        <x:v>0.3300573300573300573300573301</x:v>
      </x:c>
      <x:c r="V106" s="32" t="n">
        <x:v>0.3546273546273546273546273546</x:v>
      </x:c>
      <x:c r="W106" s="32" t="n">
        <x:v>0.3587223587223587223587223587</x:v>
      </x:c>
      <x:c r="X106" s="32" t="n">
        <x:v>0.3632268632268632268632268632</x:v>
      </x:c>
      <x:c r="Y106" s="32" t="n">
        <x:v>0.3665028665028665028665028665</x:v>
      </x:c>
      <x:c r="Z106" s="32" t="n">
        <x:v>0.368959868959868959868959869</x:v>
      </x:c>
      <x:c r="AA106" s="32" t="n">
        <x:v>0.3693693693693693693693693694</x:v>
      </x:c>
      <x:c r="AB106" s="32" t="n">
        <x:v>0.371007371007371007371007371</x:v>
      </x:c>
      <x:c r="AC106" s="32" t="n">
        <x:v>0.3738738738738738738738738739</x:v>
      </x:c>
      <x:c r="AD106" s="32" t="n">
        <x:v>0.3738738738738738738738738739</x:v>
      </x:c>
      <x:c r="AE106" s="32" t="n">
        <x:v>0.3746928746928746928746928747</x:v>
      </x:c>
      <x:c r="AF106" s="32" t="n">
        <x:v>0.3759213759213759213759213759</x:v>
      </x:c>
      <x:c r="AG106" s="32" t="n">
        <x:v>0.3812448812448812448812448812</x:v>
      </x:c>
      <x:c r="AH106" s="32" t="n">
        <x:v>0.4148239148239148239148239148</x:v>
      </x:c>
      <x:c r="AI106" s="32" t="n">
        <x:v>0.4561834561834561834561834562</x:v>
      </x:c>
      <x:c r="AJ106" s="32" t="n">
        <x:v>0.5098280098280098280098280098</x:v>
      </x:c>
      <x:c r="AK106" s="32" t="n">
        <x:v>0.545045045045045045045045045</x:v>
      </x:c>
      <x:c r="AL106" s="32" t="n">
        <x:v>0.5765765765765765765765765766</x:v>
      </x:c>
      <x:c r="AM106" s="32" t="n">
        <x:v>0.6105651105651105651105651106</x:v>
      </x:c>
      <x:c r="AN106" s="32" t="n">
        <x:v>0.6322686322686322686322686323</x:v>
      </x:c>
      <x:c r="AO106" s="32" t="n">
        <x:v>0.6617526617526617526617526618</x:v>
      </x:c>
      <x:c r="AP106" s="32" t="n">
        <x:v>0.683046683046683046683046683</x:v>
      </x:c>
      <x:c r="AQ106" s="23" t="n">
        <x:v>0.7186732186732186732186732187</x:v>
      </x:c>
      <x:c r="AR106" s="32" t="n">
        <x:v>0.7485667485667485667485667486</x:v>
      </x:c>
      <x:c r="AS106" s="32" t="n">
        <x:v>0.7706797706797706797706797707</x:v>
      </x:c>
      <x:c r="AT106" s="32" t="n">
        <x:v>0.7858312858312858312858312858</x:v>
      </x:c>
      <x:c r="AU106" s="32" t="n">
        <x:v>0.7952497952497952497952497952</x:v>
      </x:c>
      <x:c r="AV106" s="32" t="n">
        <x:v>0.8108108108108108108108108108</x:v>
      </x:c>
      <x:c r="AW106" s="32" t="n">
        <x:v>0.8267813267813267813267813268</x:v>
      </x:c>
      <x:c r="BI106" s="33" t="s"/>
      <x:c r="BJ106" s="11" t="s">
        <x:v>262</x:v>
      </x:c>
      <x:c r="BK106" s="12" t="str">
        <x:f>=BX106</x:f>
      </x:c>
      <x:c r="BL106" s="12" t="n">
        <x:v>0.8382473382473382473382473382</x:v>
      </x:c>
      <x:c r="BM106" s="12" t="n">
        <x:v>0.1429156429156429156429156429</x:v>
      </x:c>
      <x:c r="BN106" s="12" t="n">
        <x:v>0.0188370188370188370188370188</x:v>
      </x:c>
      <x:c r="BO106" s="12" t="str">
        <x:f>=BW106</x:f>
      </x:c>
      <x:c r="BP106" s="12" t="str">
        <x:f>=CF106</x:f>
      </x:c>
      <x:c r="BQ106" s="12" t="str"/>
      <x:c r="BR106" s="12" t="str">
        <x:v>AW 2019 MSS</x:v>
      </x:c>
      <x:c r="BS106" s="13" t="str"/>
      <x:c r="BT106" s="30" t="n">
        <x:v>9396.83</x:v>
      </x:c>
      <x:c r="BU106" s="30" t="n">
        <x:v>-6050.6271</x:v>
      </x:c>
      <x:c r="BV106" s="30" t="str">
        <x:f>=BT106+BU106</x:f>
      </x:c>
      <x:c r="BW106" s="66" t="str">
        <x:f>=BV106/BT106</x:f>
      </x:c>
      <x:c r="BX106" s="66" t="n">
        <x:v>0.9811629811629811629811629812</x:v>
      </x:c>
      <x:c r="BY106" s="30" t="n">
        <x:v>5735.01</x:v>
      </x:c>
      <x:c r="BZ106" s="41" t="n">
        <x:v>46</x:v>
      </x:c>
      <x:c r="CA106" s="30" t="n">
        <x:v>108.03049140049140049140049140</x:v>
      </x:c>
      <x:c r="CC106" s="30" t="n">
        <x:v>9397.656781326781326781326781</x:v>
      </x:c>
      <x:c r="CD106" s="30" t="n">
        <x:v>-6050.6271</x:v>
      </x:c>
      <x:c r="CE106" s="30" t="str">
        <x:f>=CC106+CD106</x:f>
      </x:c>
      <x:c r="CF106" s="66" t="str">
        <x:f>=CE106/CC106</x:f>
      </x:c>
      <x:c r="CH106" s="66" t="str">
        <x:f>=CI106+CJ106</x:f>
      </x:c>
      <x:c r="CI106" s="66" t="str">
        <x:f>=BX106+(0*7)</x:f>
      </x:c>
      <x:c r="CJ106" s="66" t="str">
        <x:f>=(1-CI106)*0.5</x:f>
      </x:c>
      <x:c r="CK106" s="66" t="str">
        <x:f>=1-CH106</x:f>
      </x:c>
      <x:c r="CM106" s="66" t="str">
        <x:f>=CJ106/(1-CI106)</x:f>
      </x:c>
    </x:row>
    <x:row r="107">
      <x:c r="A107" s="31" t="s">
        <x:v>263</x:v>
      </x:c>
      <x:c r="B107" t="s"/>
      <x:c r="C107" t="s">
        <x:v>264</x:v>
      </x:c>
      <x:c r="D107" t="s">
        <x:v>118</x:v>
      </x:c>
      <x:c r="E107" s="69" t="s">
        <x:v>153</x:v>
      </x:c>
      <x:c r="F107" t="n">
        <x:v>2938</x:v>
      </x:c>
      <x:c r="G107" s="32" t="n">
        <x:v>0.0003403675970047651463580667</x:v>
      </x:c>
      <x:c r="H107" s="32" t="n">
        <x:v>0.0003403675970047651463580667</x:v>
      </x:c>
      <x:c r="I107" s="32" t="n">
        <x:v>0.007147719537100068073519401</x:v>
      </x:c>
      <x:c r="J107" s="32" t="n">
        <x:v>0.0313138189244383934649421375</x:v>
      </x:c>
      <x:c r="K107" s="32" t="n">
        <x:v>0.0833900612661674608577263445</x:v>
      </x:c>
      <x:c r="L107" s="32" t="n">
        <x:v>0.1449965963240299523485364193</x:v>
      </x:c>
      <x:c r="M107" s="32" t="n">
        <x:v>0.1977535738597685500340367597</x:v>
      </x:c>
      <x:c r="N107" s="32" t="n">
        <x:v>0.2229407760381211708645336964</x:v>
      </x:c>
      <x:c r="O107" s="32" t="n">
        <x:v>0.2467665078284547311095983662</x:v>
      </x:c>
      <x:c r="P107" s="32" t="n">
        <x:v>0.2903335602450646698434309054</x:v>
      </x:c>
      <x:c r="Q107" s="32" t="n">
        <x:v>0.32505105513955071477195371</x:v>
      </x:c>
      <x:c r="R107" s="32" t="n">
        <x:v>0.3519400953029271613342409803</x:v>
      </x:c>
      <x:c r="S107" s="32" t="n">
        <x:v>0.3808713410483321987746766508</x:v>
      </x:c>
      <x:c r="T107" s="32" t="n">
        <x:v>0.4040163376446562287270251872</x:v>
      </x:c>
      <x:c r="U107" s="32" t="n">
        <x:v>0.4261402314499659632402995235</x:v>
      </x:c>
      <x:c r="V107" s="32" t="n">
        <x:v>0.4353301565690946221919673247</x:v>
      </x:c>
      <x:c r="W107" s="32" t="n">
        <x:v>0.442137508509189925119128659</x:v>
      </x:c>
      <x:c r="X107" s="32" t="n">
        <x:v>0.452688904016337644656228727</x:v>
      </x:c>
      <x:c r="Y107" s="32" t="n">
        <x:v>0.4588155207624234172906739278</x:v>
      </x:c>
      <x:c r="Z107" s="32" t="n">
        <x:v>0.4724302246426140231449965963</x:v>
      </x:c>
      <x:c r="AA107" s="32" t="n">
        <x:v>0.4860449285228046289993192648</x:v>
      </x:c>
      <x:c r="AB107" s="32" t="n">
        <x:v>0.5054458815520762423417290674</x:v>
      </x:c>
      <x:c r="AC107" s="32" t="n">
        <x:v>0.5275697753573859768550034037</x:v>
      </x:c>
      <x:c r="AD107" s="32" t="n">
        <x:v>0.5616065350578624914908100749</x:v>
      </x:c>
      <x:c r="AE107" s="32" t="n">
        <x:v>0.5936010891763104152484683458</x:v>
      </x:c>
      <x:c r="AF107" s="32" t="n">
        <x:v>0.6164057181756296800544588155</x:v>
      </x:c>
      <x:c r="AG107" s="32" t="n">
        <x:v>0.6443158611300204220558202859</x:v>
      </x:c>
      <x:c r="AH107" s="32" t="n">
        <x:v>0.6790333560245064669843430905</x:v>
      </x:c>
      <x:c r="BI107" s="33" t="s"/>
      <x:c r="BJ107" s="11" t="s">
        <x:v>265</x:v>
      </x:c>
      <x:c r="BK107" s="12" t="str">
        <x:f>=BX107</x:f>
      </x:c>
      <x:c r="BL107" s="12" t="n">
        <x:v>0.6868618107556160653505786249</x:v>
      </x:c>
      <x:c r="BM107" s="12" t="n">
        <x:v>0.3076923076923076923076923077</x:v>
      </x:c>
      <x:c r="BN107" s="12" t="n">
        <x:v>0.0054458815520762423417290674</x:v>
      </x:c>
      <x:c r="BO107" s="12" t="str">
        <x:f>=BW107</x:f>
      </x:c>
      <x:c r="BP107" s="12" t="str">
        <x:f>=CF107</x:f>
      </x:c>
      <x:c r="BQ107" s="12" t="str"/>
      <x:c r="BR107" s="12" t="str">
        <x:v>AW 2019 MSS</x:v>
      </x:c>
      <x:c r="BS107" s="13" t="str"/>
      <x:c r="BT107" s="30" t="n">
        <x:v>19865.92</x:v>
      </x:c>
      <x:c r="BU107" s="30" t="n">
        <x:v>-16163.09177641000000000000</x:v>
      </x:c>
      <x:c r="BV107" s="30" t="str">
        <x:f>=BT107+BU107</x:f>
      </x:c>
      <x:c r="BW107" s="66" t="str">
        <x:f>=BV107/BT107</x:f>
      </x:c>
      <x:c r="BX107" s="66" t="n">
        <x:v>0.9945541184479237576582709326</x:v>
      </x:c>
      <x:c r="BY107" s="30" t="n">
        <x:v>13800.70</x:v>
      </x:c>
      <x:c r="BZ107" s="41" t="n">
        <x:v>16</x:v>
      </x:c>
      <x:c r="CA107" s="30" t="n">
        <x:v>75.156977535738597685500340368</x:v>
      </x:c>
      <x:c r="CC107" s="30" t="n">
        <x:v>19866.599033356024506466984343</x:v>
      </x:c>
      <x:c r="CD107" s="30" t="n">
        <x:v>-16163.09177641000000000000</x:v>
      </x:c>
      <x:c r="CE107" s="30" t="str">
        <x:f>=CC107+CD107</x:f>
      </x:c>
      <x:c r="CF107" s="66" t="str">
        <x:f>=CE107/CC107</x:f>
      </x:c>
      <x:c r="CH107" s="66" t="str">
        <x:f>=CI107+CJ107</x:f>
      </x:c>
      <x:c r="CI107" s="66" t="str">
        <x:f>=BX107+(0*7)</x:f>
      </x:c>
      <x:c r="CJ107" s="66" t="str">
        <x:f>=(1-CI107)*0.5</x:f>
      </x:c>
      <x:c r="CK107" s="66" t="str">
        <x:f>=1-CH107</x:f>
      </x:c>
      <x:c r="CM107" s="66" t="str">
        <x:f>=CJ107/(1-CI107)</x:f>
      </x:c>
    </x:row>
    <x:row r="108">
      <x:c r="A108" s="31" t="s">
        <x:v>266</x:v>
      </x:c>
      <x:c r="B108" t="s"/>
      <x:c r="C108" t="s">
        <x:v>267</x:v>
      </x:c>
      <x:c r="D108" t="s">
        <x:v>147</x:v>
      </x:c>
      <x:c r="E108" s="69" t="s">
        <x:v>153</x:v>
      </x:c>
      <x:c r="F108" t="n">
        <x:v>2002</x:v>
      </x:c>
      <x:c r="G108" s="32" t="n">
        <x:v>0.0364635364635364635364635365</x:v>
      </x:c>
      <x:c r="H108" s="32" t="n">
        <x:v>0.1098901098901098901098901099</x:v>
      </x:c>
      <x:c r="I108" s="32" t="n">
        <x:v>0.1728271728271728271728271728</x:v>
      </x:c>
      <x:c r="J108" s="32" t="n">
        <x:v>0.2357642357642357642357642358</x:v>
      </x:c>
      <x:c r="K108" s="32" t="n">
        <x:v>0.3011988011988011988011988012</x:v>
      </x:c>
      <x:c r="L108" s="32" t="n">
        <x:v>0.3636363636363636363636363636</x:v>
      </x:c>
      <x:c r="M108" s="32" t="n">
        <x:v>0.4545454545454545454545454545</x:v>
      </x:c>
      <x:c r="N108" s="32" t="n">
        <x:v>0.5</x:v>
      </x:c>
      <x:c r="O108" s="32" t="n">
        <x:v>0.540959040959040959040959041</x:v>
      </x:c>
      <x:c r="P108" s="32" t="n">
        <x:v>0.5924075924075924075924075924</x:v>
      </x:c>
      <x:c r="Q108" s="32" t="n">
        <x:v>0.6208791208791208791208791209</x:v>
      </x:c>
      <x:c r="R108" s="32" t="n">
        <x:v>0.6523476523476523476523476523</x:v>
      </x:c>
      <x:c r="S108" s="32" t="n">
        <x:v>0.6783216783216783216783216783</x:v>
      </x:c>
      <x:c r="T108" s="32" t="n">
        <x:v>0.6828171828171828171828171828</x:v>
      </x:c>
      <x:c r="U108" s="32" t="n">
        <x:v>0.6878121878121878121878121878</x:v>
      </x:c>
      <x:c r="V108" s="32" t="n">
        <x:v>0.6893106893106893106893106893</x:v>
      </x:c>
      <x:c r="W108" s="23" t="n">
        <x:v>0.7012987012987012987012987013</x:v>
      </x:c>
      <x:c r="BI108" s="33" t="s"/>
      <x:c r="BJ108" s="11" t="s">
        <x:v>154</x:v>
      </x:c>
      <x:c r="BK108" s="12" t="str">
        <x:f>=BX108</x:f>
      </x:c>
      <x:c r="BL108" s="12" t="n">
        <x:v>0.7047952047952047952047952048</x:v>
      </x:c>
      <x:c r="BM108" s="12" t="n">
        <x:v>0.2892107892107892107892107892</x:v>
      </x:c>
      <x:c r="BN108" s="12" t="n">
        <x:v>0.005994005994005994005994006</x:v>
      </x:c>
      <x:c r="BO108" s="12" t="str">
        <x:f>=BW108</x:f>
      </x:c>
      <x:c r="BP108" s="12" t="str">
        <x:f>=CF108</x:f>
      </x:c>
      <x:c r="BQ108" s="12" t="str"/>
      <x:c r="BR108" s="12" t="str">
        <x:v>AW 2019 MSS</x:v>
      </x:c>
      <x:c r="BS108" s="13" t="str"/>
      <x:c r="BT108" s="30" t="n">
        <x:v>26288.47</x:v>
      </x:c>
      <x:c r="BU108" s="30" t="n">
        <x:v>-19082.6598</x:v>
      </x:c>
      <x:c r="BV108" s="30" t="str">
        <x:f>=BT108+BU108</x:f>
      </x:c>
      <x:c r="BW108" s="66" t="str">
        <x:f>=BV108/BT108</x:f>
      </x:c>
      <x:c r="BX108" s="66" t="n">
        <x:v>0.994005994005994005994005994</x:v>
      </x:c>
      <x:c r="BY108" s="30" t="n">
        <x:v>19341.38</x:v>
      </x:c>
      <x:c r="BZ108" s="41" t="n">
        <x:v>12</x:v>
      </x:c>
      <x:c r="CA108" s="30" t="n">
        <x:v>115.93234765234765234765234765</x:v>
      </x:c>
      <x:c r="CC108" s="30" t="n">
        <x:v>26289.171298701298701298701299</x:v>
      </x:c>
      <x:c r="CD108" s="30" t="n">
        <x:v>-19082.6598</x:v>
      </x:c>
      <x:c r="CE108" s="30" t="str">
        <x:f>=CC108+CD108</x:f>
      </x:c>
      <x:c r="CF108" s="66" t="str">
        <x:f>=CE108/CC108</x:f>
      </x:c>
      <x:c r="CH108" s="66" t="str">
        <x:f>=CI108+CJ108</x:f>
      </x:c>
      <x:c r="CI108" s="66" t="str">
        <x:f>=BX108+(0*7)</x:f>
      </x:c>
      <x:c r="CJ108" s="66" t="str">
        <x:f>=(1-CI108)*0.5</x:f>
      </x:c>
      <x:c r="CK108" s="66" t="str">
        <x:f>=1-CH108</x:f>
      </x:c>
      <x:c r="CM108" s="66" t="str">
        <x:f>=CJ108/(1-CI108)</x:f>
      </x:c>
    </x:row>
    <x:row r="109">
      <x:c r="A109" s="31" t="s">
        <x:v>268</x:v>
      </x:c>
      <x:c r="B109" t="s"/>
      <x:c r="C109" t="s">
        <x:v>269</x:v>
      </x:c>
      <x:c r="D109" t="s">
        <x:v>147</x:v>
      </x:c>
      <x:c r="E109" s="69" t="s">
        <x:v>153</x:v>
      </x:c>
      <x:c r="F109" t="n">
        <x:v>1920</x:v>
      </x:c>
      <x:c r="G109" s="32" t="n">
        <x:v>0.0015625</x:v>
      </x:c>
      <x:c r="H109" s="32" t="n">
        <x:v>0.025</x:v>
      </x:c>
      <x:c r="I109" s="32" t="n">
        <x:v>0.0552083333333333333333333333</x:v>
      </x:c>
      <x:c r="J109" s="32" t="n">
        <x:v>0.0885416666666666666666666667</x:v>
      </x:c>
      <x:c r="K109" s="32" t="n">
        <x:v>0.1104166666666666666666666667</x:v>
      </x:c>
      <x:c r="L109" s="32" t="n">
        <x:v>0.1401041666666666666666666667</x:v>
      </x:c>
      <x:c r="M109" s="32" t="n">
        <x:v>0.1729166666666666666666666667</x:v>
      </x:c>
      <x:c r="N109" s="32" t="n">
        <x:v>0.2005208333333333333333333333</x:v>
      </x:c>
      <x:c r="O109" s="32" t="n">
        <x:v>0.2177083333333333333333333333</x:v>
      </x:c>
      <x:c r="P109" s="32" t="n">
        <x:v>0.2552083333333333333333333333</x:v>
      </x:c>
      <x:c r="Q109" s="32" t="n">
        <x:v>0.2796875</x:v>
      </x:c>
      <x:c r="R109" s="32" t="n">
        <x:v>0.3020833333333333333333333333</x:v>
      </x:c>
      <x:c r="S109" s="32" t="n">
        <x:v>0.3270833333333333333333333333</x:v>
      </x:c>
      <x:c r="T109" s="32" t="n">
        <x:v>0.3338541666666666666666666667</x:v>
      </x:c>
      <x:c r="U109" s="32" t="n">
        <x:v>0.346875</x:v>
      </x:c>
      <x:c r="V109" s="32" t="n">
        <x:v>0.3510416666666666666666666667</x:v>
      </x:c>
      <x:c r="W109" s="32" t="n">
        <x:v>0.359375</x:v>
      </x:c>
      <x:c r="BI109" s="33" t="s"/>
      <x:c r="BJ109" s="11" t="s">
        <x:v>154</x:v>
      </x:c>
      <x:c r="BK109" s="12" t="str">
        <x:f>=BX109</x:f>
      </x:c>
      <x:c r="BL109" s="12" t="n">
        <x:v>0.3645833333333333333333333333</x:v>
      </x:c>
      <x:c r="BM109" s="12" t="n">
        <x:v>0.628125</x:v>
      </x:c>
      <x:c r="BN109" s="12" t="n">
        <x:v>0.0072916666666666666666666667</x:v>
      </x:c>
      <x:c r="BO109" s="12" t="str">
        <x:f>=BW109</x:f>
      </x:c>
      <x:c r="BP109" s="12" t="str">
        <x:f>=CF109</x:f>
      </x:c>
      <x:c r="BQ109" s="12" t="str"/>
      <x:c r="BR109" s="12" t="str">
        <x:v>AW 2019 MSS</x:v>
      </x:c>
      <x:c r="BS109" s="13" t="str"/>
      <x:c r="BT109" s="30" t="n">
        <x:v>13748.67</x:v>
      </x:c>
      <x:c r="BU109" s="30" t="n">
        <x:v>-12835.6304</x:v>
      </x:c>
      <x:c r="BV109" s="30" t="str">
        <x:f>=BT109+BU109</x:f>
      </x:c>
      <x:c r="BW109" s="66" t="str">
        <x:f>=BV109/BT109</x:f>
      </x:c>
      <x:c r="BX109" s="66" t="n">
        <x:v>0.9927083333333333333333333333</x:v>
      </x:c>
      <x:c r="BY109" s="30" t="n">
        <x:v>12876.32</x:v>
      </x:c>
      <x:c r="BZ109" s="41" t="n">
        <x:v>14</x:v>
      </x:c>
      <x:c r="CA109" s="30" t="n">
        <x:v>93.88983333333333333333333333</x:v>
      </x:c>
      <x:c r="CC109" s="30" t="n">
        <x:v>13749.029375</x:v>
      </x:c>
      <x:c r="CD109" s="30" t="n">
        <x:v>-12835.6304</x:v>
      </x:c>
      <x:c r="CE109" s="30" t="str">
        <x:f>=CC109+CD109</x:f>
      </x:c>
      <x:c r="CF109" s="66" t="str">
        <x:f>=CE109/CC109</x:f>
      </x:c>
      <x:c r="CH109" s="66" t="str">
        <x:f>=CI109+CJ109</x:f>
      </x:c>
      <x:c r="CI109" s="66" t="str">
        <x:f>=BX109+(0*7)</x:f>
      </x:c>
      <x:c r="CJ109" s="66" t="str">
        <x:f>=(1-CI109)*0.5</x:f>
      </x:c>
      <x:c r="CK109" s="66" t="str">
        <x:f>=1-CH109</x:f>
      </x:c>
      <x:c r="CM109" s="66" t="str">
        <x:f>=CJ109/(1-CI109)</x:f>
      </x:c>
    </x:row>
    <x:row r="110">
      <x:c r="A110" s="31" t="s">
        <x:v>270</x:v>
      </x:c>
      <x:c r="B110" t="s"/>
      <x:c r="C110" t="s">
        <x:v>271</x:v>
      </x:c>
      <x:c r="D110" t="s">
        <x:v>147</x:v>
      </x:c>
      <x:c r="E110" s="69" t="s">
        <x:v>153</x:v>
      </x:c>
      <x:c r="F110" t="n">
        <x:v>1755</x:v>
      </x:c>
      <x:c r="G110" s="32" t="n">
        <x:v>0.0233618233618233618233618234</x:v>
      </x:c>
      <x:c r="H110" s="32" t="n">
        <x:v>0.0501424501424501424501424501</x:v>
      </x:c>
      <x:c r="I110" s="32" t="n">
        <x:v>0.0877492877492877492877492877</x:v>
      </x:c>
      <x:c r="J110" s="32" t="n">
        <x:v>0.113960113960113960113960114</x:v>
      </x:c>
      <x:c r="K110" s="32" t="n">
        <x:v>0.1333333333333333333333333333</x:v>
      </x:c>
      <x:c r="L110" s="32" t="n">
        <x:v>0.162962962962962962962962963</x:v>
      </x:c>
      <x:c r="M110" s="32" t="n">
        <x:v>0.2045584045584045584045584046</x:v>
      </x:c>
      <x:c r="N110" s="32" t="n">
        <x:v>0.2444444444444444444444444444</x:v>
      </x:c>
      <x:c r="O110" s="32" t="n">
        <x:v>0.2769230769230769230769230769</x:v>
      </x:c>
      <x:c r="P110" s="32" t="n">
        <x:v>0.305982905982905982905982906</x:v>
      </x:c>
      <x:c r="Q110" s="32" t="n">
        <x:v>0.3327635327635327635327635328</x:v>
      </x:c>
      <x:c r="R110" s="32" t="n">
        <x:v>0.3458689458689458689458689459</x:v>
      </x:c>
      <x:c r="S110" s="32" t="n">
        <x:v>0.3572649572649572649572649573</x:v>
      </x:c>
      <x:c r="T110" s="32" t="n">
        <x:v>0.3618233618233618233618233618</x:v>
      </x:c>
      <x:c r="U110" s="32" t="n">
        <x:v>0.3709401709401709401709401709</x:v>
      </x:c>
      <x:c r="V110" s="32" t="n">
        <x:v>0.3766381766381766381766381766</x:v>
      </x:c>
      <x:c r="W110" s="32" t="n">
        <x:v>0.3800569800569800569800569801</x:v>
      </x:c>
      <x:c r="BI110" s="33" t="s"/>
      <x:c r="BJ110" s="11" t="s">
        <x:v>154</x:v>
      </x:c>
      <x:c r="BK110" s="12" t="str">
        <x:f>=BX110</x:f>
      </x:c>
      <x:c r="BL110" s="12" t="n">
        <x:v>0.3857549857549857549857549858</x:v>
      </x:c>
      <x:c r="BM110" s="12" t="n">
        <x:v>0.5897435897435897435897435897</x:v>
      </x:c>
      <x:c r="BN110" s="12" t="n">
        <x:v>0.0245014245014245014245014245</x:v>
      </x:c>
      <x:c r="BO110" s="12" t="str">
        <x:f>=BW110</x:f>
      </x:c>
      <x:c r="BP110" s="12" t="str">
        <x:f>=CF110</x:f>
      </x:c>
      <x:c r="BQ110" s="12" t="str"/>
      <x:c r="BR110" s="12" t="str">
        <x:v>AW 2019 MSS</x:v>
      </x:c>
      <x:c r="BS110" s="13" t="str"/>
      <x:c r="BT110" s="30" t="n">
        <x:v>13444.40</x:v>
      </x:c>
      <x:c r="BU110" s="30" t="n">
        <x:v>-12119.0425</x:v>
      </x:c>
      <x:c r="BV110" s="30" t="str">
        <x:f>=BT110+BU110</x:f>
      </x:c>
      <x:c r="BW110" s="66" t="str">
        <x:f>=BV110/BT110</x:f>
      </x:c>
      <x:c r="BX110" s="66" t="n">
        <x:v>0.9754985754985754985754985755</x:v>
      </x:c>
      <x:c r="BY110" s="30" t="n">
        <x:v>12168.55</x:v>
      </x:c>
      <x:c r="BZ110" s="41" t="n">
        <x:v>43</x:v>
      </x:c>
      <x:c r="CA110" s="30" t="n">
        <x:v>298.14680911680911680911680911</x:v>
      </x:c>
      <x:c r="CC110" s="30" t="n">
        <x:v>13444.780056980056980056980057</x:v>
      </x:c>
      <x:c r="CD110" s="30" t="n">
        <x:v>-12119.0425</x:v>
      </x:c>
      <x:c r="CE110" s="30" t="str">
        <x:f>=CC110+CD110</x:f>
      </x:c>
      <x:c r="CF110" s="66" t="str">
        <x:f>=CE110/CC110</x:f>
      </x:c>
      <x:c r="CH110" s="66" t="str">
        <x:f>=CI110+CJ110</x:f>
      </x:c>
      <x:c r="CI110" s="66" t="str">
        <x:f>=BX110+(0*7)</x:f>
      </x:c>
      <x:c r="CJ110" s="66" t="str">
        <x:f>=(1-CI110)*0.5</x:f>
      </x:c>
      <x:c r="CK110" s="66" t="str">
        <x:f>=1-CH110</x:f>
      </x:c>
      <x:c r="CM110" s="66" t="str">
        <x:f>=CJ110/(1-CI110)</x:f>
      </x:c>
    </x:row>
    <x:row r="111">
      <x:c r="A111" s="31" t="s">
        <x:v>272</x:v>
      </x:c>
      <x:c r="B111" t="s"/>
      <x:c r="C111" t="s">
        <x:v>273</x:v>
      </x:c>
      <x:c r="D111" t="s">
        <x:v>274</x:v>
      </x:c>
      <x:c r="E111" s="69" t="s">
        <x:v>153</x:v>
      </x:c>
      <x:c r="F111" t="n">
        <x:v>1995</x:v>
      </x:c>
      <x:c r="G111" s="32" t="n">
        <x:v>0.0330827067669172932330827068</x:v>
      </x:c>
      <x:c r="H111" s="32" t="n">
        <x:v>0.0736842105263157894736842105</x:v>
      </x:c>
      <x:c r="I111" s="32" t="n">
        <x:v>0.1127819548872180451127819549</x:v>
      </x:c>
      <x:c r="J111" s="32" t="n">
        <x:v>0.1578947368421052631578947368</x:v>
      </x:c>
      <x:c r="K111" s="32" t="n">
        <x:v>0.2010025062656641604010025063</x:v>
      </x:c>
      <x:c r="L111" s="32" t="n">
        <x:v>0.2486215538847117794486215539</x:v>
      </x:c>
      <x:c r="M111" s="32" t="n">
        <x:v>0.3022556390977443609022556391</x:v>
      </x:c>
      <x:c r="N111" s="32" t="n">
        <x:v>0.3829573934837092731829573935</x:v>
      </x:c>
      <x:c r="O111" s="32" t="n">
        <x:v>0.430075187969924812030075188</x:v>
      </x:c>
      <x:c r="P111" s="32" t="n">
        <x:v>0.4912280701754385964912280702</x:v>
      </x:c>
      <x:c r="Q111" s="32" t="n">
        <x:v>0.5248120300751879699248120301</x:v>
      </x:c>
      <x:c r="R111" s="32" t="n">
        <x:v>0.5598997493734335839598997494</x:v>
      </x:c>
      <x:c r="S111" s="32" t="n">
        <x:v>0.5563909774436090225563909774</x:v>
      </x:c>
      <x:c r="T111" s="32" t="n">
        <x:v>0.5528822055137844611528822055</x:v>
      </x:c>
      <x:c r="U111" s="32" t="n">
        <x:v>0.5684210526315789473684210526</x:v>
      </x:c>
      <x:c r="V111" s="32" t="n">
        <x:v>0.5749373433583959899749373434</x:v>
      </x:c>
      <x:c r="W111" s="32" t="n">
        <x:v>0.5839598997493734335839598997</x:v>
      </x:c>
      <x:c r="BI111" s="33" t="s"/>
      <x:c r="BJ111" s="11" t="s">
        <x:v>154</x:v>
      </x:c>
      <x:c r="BK111" s="12" t="str">
        <x:f>=BX111</x:f>
      </x:c>
      <x:c r="BL111" s="12" t="n">
        <x:v>0.5834586466165413533834586466</x:v>
      </x:c>
      <x:c r="BM111" s="12" t="n">
        <x:v>0.3954887218045112781954887218</x:v>
      </x:c>
      <x:c r="BN111" s="12" t="n">
        <x:v>0.0210526315789473684210526316</x:v>
      </x:c>
      <x:c r="BO111" s="12" t="str">
        <x:f>=BW111</x:f>
      </x:c>
      <x:c r="BP111" s="12" t="str">
        <x:f>=CF111</x:f>
      </x:c>
      <x:c r="BQ111" s="12" t="str"/>
      <x:c r="BR111" s="12" t="str">
        <x:v>AW 2019 MSS</x:v>
      </x:c>
      <x:c r="BS111" s="13" t="str"/>
      <x:c r="BT111" s="30" t="n">
        <x:v>28847.49</x:v>
      </x:c>
      <x:c r="BU111" s="30" t="n">
        <x:v>-22708.84250</x:v>
      </x:c>
      <x:c r="BV111" s="30" t="str">
        <x:f>=BT111+BU111</x:f>
      </x:c>
      <x:c r="BW111" s="66" t="str">
        <x:f>=BV111/BT111</x:f>
      </x:c>
      <x:c r="BX111" s="66" t="n">
        <x:v>0.9789473684210526315789473684</x:v>
      </x:c>
      <x:c r="BY111" s="30" t="n">
        <x:v>21059.00</x:v>
      </x:c>
      <x:c r="BZ111" s="41" t="n">
        <x:v>42</x:v>
      </x:c>
      <x:c r="CA111" s="30" t="n">
        <x:v>443.34736842105263157894736841</x:v>
      </x:c>
      <x:c r="CC111" s="30" t="n">
        <x:v>28848.073959899749373433583960</x:v>
      </x:c>
      <x:c r="CD111" s="30" t="n">
        <x:v>-22708.84250</x:v>
      </x:c>
      <x:c r="CE111" s="30" t="str">
        <x:f>=CC111+CD111</x:f>
      </x:c>
      <x:c r="CF111" s="66" t="str">
        <x:f>=CE111/CC111</x:f>
      </x:c>
      <x:c r="CH111" s="66" t="str">
        <x:f>=CI111+CJ111</x:f>
      </x:c>
      <x:c r="CI111" s="66" t="str">
        <x:f>=BX111+(0*7)</x:f>
      </x:c>
      <x:c r="CJ111" s="66" t="str">
        <x:f>=(1-CI111)*0.5</x:f>
      </x:c>
      <x:c r="CK111" s="66" t="str">
        <x:f>=1-CH111</x:f>
      </x:c>
      <x:c r="CM111" s="66" t="str">
        <x:f>=CJ111/(1-CI111)</x:f>
      </x:c>
    </x:row>
    <x:row r="112">
      <x:c r="A112" s="31" t="s">
        <x:v>275</x:v>
      </x:c>
      <x:c r="B112" t="s"/>
      <x:c r="C112" t="s">
        <x:v>276</x:v>
      </x:c>
      <x:c r="D112" t="s">
        <x:v>147</x:v>
      </x:c>
      <x:c r="E112" s="69" t="s">
        <x:v>153</x:v>
      </x:c>
      <x:c r="F112" t="n">
        <x:v>1994</x:v>
      </x:c>
      <x:c r="G112" s="32" t="n">
        <x:v>0.252758274824473420260782347</x:v>
      </x:c>
      <x:c r="H112" s="32" t="n">
        <x:v>0.4317953861584754262788365095</x:v>
      </x:c>
      <x:c r="I112" s="32" t="n">
        <x:v>0.6083249749247743229689067202</x:v>
      </x:c>
      <x:c r="J112" s="32" t="n">
        <x:v>0.6860581745235707121364092277</x:v>
      </x:c>
      <x:c r="K112" s="23" t="n">
        <x:v>0.7362086258776328986960882648</x:v>
      </x:c>
      <x:c r="L112" s="32" t="n">
        <x:v>0.7673019057171514543630892678</x:v>
      </x:c>
      <x:c r="M112" s="32" t="n">
        <x:v>0.7683049147442326980942828485</x:v>
      </x:c>
      <x:c r="N112" s="32" t="n">
        <x:v>0.7713139418254764292878635908</x:v>
      </x:c>
      <x:c r="O112" s="32" t="n">
        <x:v>0.7758274824473420260782347041</x:v>
      </x:c>
      <x:c r="P112" s="32" t="n">
        <x:v>0.7813440320962888665997993982</x:v>
      </x:c>
      <x:c r="Q112" s="32" t="n">
        <x:v>0.7873620862587763289869608826</x:v>
      </x:c>
      <x:c r="R112" s="32" t="n">
        <x:v>0.8009027081243731193580742227</x:v>
      </x:c>
      <x:c r="S112" s="32" t="n">
        <x:v>0.8019057171514543630892678034</x:v>
      </x:c>
      <x:c r="T112" s="32" t="n">
        <x:v>0.8119358074222668004012036108</x:v>
      </x:c>
      <x:c r="U112" s="32" t="n">
        <x:v>0.818956870611835506519558676</x:v>
      </x:c>
      <x:c r="V112" s="32" t="n">
        <x:v>0.8274824473420260782347041123</x:v>
      </x:c>
      <x:c r="BI112" s="33" t="s"/>
      <x:c r="BJ112" s="11" t="s">
        <x:v>120</x:v>
      </x:c>
      <x:c r="BK112" s="12" t="str">
        <x:f>=BX112</x:f>
      </x:c>
      <x:c r="BL112" s="12" t="n">
        <x:v>0.8284854563691073219658976931</x:v>
      </x:c>
      <x:c r="BM112" s="12" t="n">
        <x:v>0.021564694082246740220661986</x:v>
      </x:c>
      <x:c r="BN112" s="12" t="n">
        <x:v>0.149949849548645937813440321</x:v>
      </x:c>
      <x:c r="BO112" s="12" t="str">
        <x:f>=BW112</x:f>
      </x:c>
      <x:c r="BP112" s="12" t="str">
        <x:f>=CF112</x:f>
      </x:c>
      <x:c r="BQ112" s="12" t="str"/>
      <x:c r="BR112" s="12" t="str">
        <x:v>AW 2019 MSS</x:v>
      </x:c>
      <x:c r="BS112" s="13" t="str"/>
      <x:c r="BT112" s="30" t="n">
        <x:v>14130.77</x:v>
      </x:c>
      <x:c r="BU112" s="30" t="n">
        <x:v>-11174.0966</x:v>
      </x:c>
      <x:c r="BV112" s="30" t="str">
        <x:f>=BT112+BU112</x:f>
      </x:c>
      <x:c r="BW112" s="66" t="str">
        <x:f>=BV112/BT112</x:f>
      </x:c>
      <x:c r="BX112" s="66" t="n">
        <x:v>0.850050150451354062186559679</x:v>
      </x:c>
      <x:c r="BY112" s="30" t="n">
        <x:v>11190.78</x:v>
      </x:c>
      <x:c r="BZ112" s="41" t="n">
        <x:v>299</x:v>
      </x:c>
      <x:c r="CA112" s="30" t="n">
        <x:v>1678.0557773319959879638916750</x:v>
      </x:c>
      <x:c r="CC112" s="30" t="n">
        <x:v>14787.873670317657973921765295</x:v>
      </x:c>
      <x:c r="CD112" s="30" t="n">
        <x:v>-11174.0966</x:v>
      </x:c>
      <x:c r="CE112" s="30" t="str">
        <x:f>=CC112+CD112</x:f>
      </x:c>
      <x:c r="CF112" s="66" t="str">
        <x:f>=CE112/CC112</x:f>
      </x:c>
      <x:c r="CH112" s="66" t="str">
        <x:f>=CI112+CJ112</x:f>
      </x:c>
      <x:c r="CI112" s="66" t="str">
        <x:f>=BX112+(0*7)</x:f>
      </x:c>
      <x:c r="CJ112" s="66" t="str">
        <x:f>=(1-CI112)*0.5</x:f>
      </x:c>
      <x:c r="CK112" s="66" t="str">
        <x:f>=1-CH112</x:f>
      </x:c>
      <x:c r="CM112" s="66" t="str">
        <x:f>=CJ112/(1-CI112)</x:f>
      </x:c>
    </x:row>
    <x:row r="113">
      <x:c r="A113" s="31" t="s">
        <x:v>277</x:v>
      </x:c>
      <x:c r="B113" t="s"/>
      <x:c r="C113" t="s">
        <x:v>278</x:v>
      </x:c>
      <x:c r="D113" t="s">
        <x:v>274</x:v>
      </x:c>
      <x:c r="E113" s="69" t="s">
        <x:v>153</x:v>
      </x:c>
      <x:c r="F113" t="n">
        <x:v>1932</x:v>
      </x:c>
      <x:c r="G113" s="32" t="n">
        <x:v>0.0134575569358178053830227743</x:v>
      </x:c>
      <x:c r="H113" s="32" t="n">
        <x:v>0.0729813664596273291925465839</x:v>
      </x:c>
      <x:c r="I113" s="32" t="n">
        <x:v>0.1278467908902691511387163561</x:v>
      </x:c>
      <x:c r="J113" s="32" t="n">
        <x:v>0.1821946169772256728778467909</x:v>
      </x:c>
      <x:c r="K113" s="32" t="n">
        <x:v>0.2329192546583850931677018634</x:v>
      </x:c>
      <x:c r="L113" s="32" t="n">
        <x:v>0.2851966873706004140786749482</x:v>
      </x:c>
      <x:c r="M113" s="32" t="n">
        <x:v>0.3483436853002070393374741201</x:v>
      </x:c>
      <x:c r="N113" s="32" t="n">
        <x:v>0.39958592132505175983436853</x:v>
      </x:c>
      <x:c r="O113" s="32" t="n">
        <x:v>0.4503105590062111801242236025</x:v>
      </x:c>
      <x:c r="P113" s="32" t="n">
        <x:v>0.4958592132505175983436853002</x:v>
      </x:c>
      <x:c r="Q113" s="32" t="n">
        <x:v>0.5388198757763975155279503106</x:v>
      </x:c>
      <x:c r="R113" s="32" t="n">
        <x:v>0.5626293995859213250517598344</x:v>
      </x:c>
      <x:c r="S113" s="32" t="n">
        <x:v>0.5885093167701863354037267081</x:v>
      </x:c>
      <x:c r="T113" s="32" t="n">
        <x:v>0.6050724637681159420289855072</x:v>
      </x:c>
      <x:c r="U113" s="32" t="n">
        <x:v>0.6268115942028985507246376812</x:v>
      </x:c>
      <x:c r="V113" s="32" t="n">
        <x:v>0.6413043478260869565217391304</x:v>
      </x:c>
      <x:c r="BI113" s="33" t="s"/>
      <x:c r="BJ113" s="11" t="s">
        <x:v>120</x:v>
      </x:c>
      <x:c r="BK113" s="12" t="str">
        <x:f>=BX113</x:f>
      </x:c>
      <x:c r="BL113" s="12" t="n">
        <x:v>0.6350931677018633540372670807</x:v>
      </x:c>
      <x:c r="BM113" s="12" t="n">
        <x:v>0.3711180124223602484472049689</x:v>
      </x:c>
      <x:c r="BN113" s="12" t="n">
        <x:v>-0.0062111801242236024844720497</x:v>
      </x:c>
      <x:c r="BO113" s="12" t="str">
        <x:f>=BW113</x:f>
      </x:c>
      <x:c r="BP113" s="12" t="str">
        <x:f>=CF113</x:f>
      </x:c>
      <x:c r="BQ113" s="12" t="str"/>
      <x:c r="BR113" s="12" t="str">
        <x:v>AW 2019 MSS</x:v>
      </x:c>
      <x:c r="BS113" s="13" t="str"/>
      <x:c r="BT113" s="30" t="n">
        <x:v>17273.42</x:v>
      </x:c>
      <x:c r="BU113" s="30" t="n">
        <x:v>-13197.24360</x:v>
      </x:c>
      <x:c r="BV113" s="30" t="str">
        <x:f>=BT113+BU113</x:f>
      </x:c>
      <x:c r="BW113" s="66" t="str">
        <x:f>=BV113/BT113</x:f>
      </x:c>
      <x:c r="BX113" s="66" t="n">
        <x:v>1.0062111801242236024844720497</x:v>
      </x:c>
      <x:c r="BY113" s="30" t="n">
        <x:v>12144.00</x:v>
      </x:c>
      <x:c r="BZ113" s="41" t="n">
        <x:v>-12</x:v>
      </x:c>
      <x:c r="CA113" s="30" t="n">
        <x:v>-75.428571428571428571428571428</x:v>
      </x:c>
      <x:c r="CC113" s="30" t="n">
        <x:v>17274.061304347826086956521739</x:v>
      </x:c>
      <x:c r="CD113" s="30" t="n">
        <x:v>-13197.24360</x:v>
      </x:c>
      <x:c r="CE113" s="30" t="str">
        <x:f>=CC113+CD113</x:f>
      </x:c>
      <x:c r="CF113" s="66" t="str">
        <x:f>=CE113/CC113</x:f>
      </x:c>
      <x:c r="CH113" s="66" t="str">
        <x:f>=CI113+CJ113</x:f>
      </x:c>
      <x:c r="CI113" s="66" t="str">
        <x:f>=BX113+(0*7)</x:f>
      </x:c>
      <x:c r="CJ113" s="66" t="str">
        <x:f>=(1-CI113)*0.5</x:f>
      </x:c>
      <x:c r="CK113" s="66" t="str">
        <x:f>=1-CH113</x:f>
      </x:c>
      <x:c r="CM113" s="66" t="str">
        <x:f>=CJ113/(1-CI113)</x:f>
      </x:c>
    </x:row>
    <x:row r="114">
      <x:c r="A114" s="31" t="s">
        <x:v>279</x:v>
      </x:c>
      <x:c r="B114" t="s"/>
      <x:c r="C114" t="s">
        <x:v>280</x:v>
      </x:c>
      <x:c r="D114" t="s">
        <x:v>274</x:v>
      </x:c>
      <x:c r="E114" s="69" t="s">
        <x:v>153</x:v>
      </x:c>
      <x:c r="F114" t="n">
        <x:v>1017</x:v>
      </x:c>
      <x:c r="G114" s="32" t="n">
        <x:v>0.0344149459193706981317600787</x:v>
      </x:c>
      <x:c r="H114" s="32" t="n">
        <x:v>0.1297935103244837758112094395</x:v>
      </x:c>
      <x:c r="I114" s="32" t="n">
        <x:v>0.2173058013765978367748279253</x:v>
      </x:c>
      <x:c r="J114" s="32" t="n">
        <x:v>0.3038348082595870206489675516</x:v>
      </x:c>
      <x:c r="K114" s="32" t="n">
        <x:v>0.3893805309734513274336283186</x:v>
      </x:c>
      <x:c r="L114" s="32" t="n">
        <x:v>0.470993117010816125860373648</x:v>
      </x:c>
      <x:c r="M114" s="32" t="n">
        <x:v>0.5624385447394296951819075713</x:v>
      </x:c>
      <x:c r="N114" s="32" t="n">
        <x:v>0.6489675516224188790560471976</x:v>
      </x:c>
      <x:c r="O114" s="23" t="n">
        <x:v>0.7148475909537856440511307768</x:v>
      </x:c>
      <x:c r="P114" s="32" t="n">
        <x:v>0.7836774827925270403146509341</x:v>
      </x:c>
      <x:c r="Q114" s="32" t="n">
        <x:v>0.8397246804326450344149459194</x:v>
      </x:c>
      <x:c r="R114" s="32" t="n">
        <x:v>0.8682399213372664700098328417</x:v>
      </x:c>
      <x:c r="S114" s="32" t="n">
        <x:v>0.8997050147492625368731563422</x:v>
      </x:c>
      <x:c r="T114" s="32" t="n">
        <x:v>0.9223205506391347099311701082</x:v>
      </x:c>
      <x:c r="U114" s="32" t="n">
        <x:v>0.9537856440511307767944936087</x:v>
      </x:c>
      <x:c r="V114" s="32" t="n">
        <x:v>0.9606686332350049164208456244</x:v>
      </x:c>
      <x:c r="BI114" s="33" t="s"/>
      <x:c r="BJ114" s="11" t="s">
        <x:v>120</x:v>
      </x:c>
      <x:c r="BK114" s="12" t="str">
        <x:f>=BX114</x:f>
      </x:c>
      <x:c r="BL114" s="12" t="n">
        <x:v>0.9508357915437561455260570305</x:v>
      </x:c>
      <x:c r="BM114" s="12" t="n">
        <x:v>0.0786627335299901671583087512</x:v>
      </x:c>
      <x:c r="BN114" s="12" t="n">
        <x:v>-0.0294985250737463126843657817</x:v>
      </x:c>
      <x:c r="BO114" s="12" t="str">
        <x:f>=BW114</x:f>
      </x:c>
      <x:c r="BP114" s="12" t="str">
        <x:f>=CF114</x:f>
      </x:c>
      <x:c r="BQ114" s="12" t="str"/>
      <x:c r="BR114" s="12" t="str">
        <x:v>AW 2019 MSS</x:v>
      </x:c>
      <x:c r="BS114" s="13" t="str"/>
      <x:c r="BT114" s="30" t="n">
        <x:v>11994.35</x:v>
      </x:c>
      <x:c r="BU114" s="30" t="n">
        <x:v>-7763.91648</x:v>
      </x:c>
      <x:c r="BV114" s="30" t="str">
        <x:f>=BT114+BU114</x:f>
      </x:c>
      <x:c r="BW114" s="66" t="str">
        <x:f>=BV114/BT114</x:f>
      </x:c>
      <x:c r="BX114" s="66" t="n">
        <x:v>1.0294985250737463126843657817</x:v>
      </x:c>
      <x:c r="BY114" s="30" t="n">
        <x:v>7178.28</x:v>
      </x:c>
      <x:c r="BZ114" s="41" t="n">
        <x:v>-30</x:v>
      </x:c>
      <x:c r="CA114" s="30" t="n">
        <x:v>-211.74867256637168141592920354</x:v>
      </x:c>
      <x:c r="CC114" s="30" t="n">
        <x:v>11995.310668633235004916420846</x:v>
      </x:c>
      <x:c r="CD114" s="30" t="n">
        <x:v>-7763.91648</x:v>
      </x:c>
      <x:c r="CE114" s="30" t="str">
        <x:f>=CC114+CD114</x:f>
      </x:c>
      <x:c r="CF114" s="66" t="str">
        <x:f>=CE114/CC114</x:f>
      </x:c>
      <x:c r="CH114" s="66" t="str">
        <x:f>=CI114+CJ114</x:f>
      </x:c>
      <x:c r="CI114" s="66" t="str">
        <x:f>=BX114+(0*7)</x:f>
      </x:c>
      <x:c r="CJ114" s="66" t="str">
        <x:f>=(1-CI114)*0.5</x:f>
      </x:c>
      <x:c r="CK114" s="66" t="str">
        <x:f>=1-CH114</x:f>
      </x:c>
      <x:c r="CM114" s="66" t="str">
        <x:f>=CJ114/(1-CI114)</x:f>
      </x:c>
    </x:row>
    <x:row r="115">
      <x:c r="A115" s="31" t="s">
        <x:v>281</x:v>
      </x:c>
      <x:c r="B115" t="s"/>
      <x:c r="C115" t="s">
        <x:v>282</x:v>
      </x:c>
      <x:c r="D115" t="s">
        <x:v>274</x:v>
      </x:c>
      <x:c r="E115" s="69" t="s">
        <x:v>153</x:v>
      </x:c>
      <x:c r="F115" t="n">
        <x:v>993</x:v>
      </x:c>
      <x:c r="G115" s="32" t="n">
        <x:v>0.0251762336354481369587109768</x:v>
      </x:c>
      <x:c r="H115" s="32" t="n">
        <x:v>0.0866062437059415911379657603</x:v>
      </x:c>
      <x:c r="I115" s="32" t="n">
        <x:v>0.1430010070493454179254783484</x:v>
      </x:c>
      <x:c r="J115" s="32" t="n">
        <x:v>0.1963746223564954682779456193</x:v>
      </x:c>
      <x:c r="K115" s="32" t="n">
        <x:v>0.2437059415911379657603222558</x:v>
      </x:c>
      <x:c r="L115" s="32" t="n">
        <x:v>0.3192346424974823766364551863</x:v>
      </x:c>
      <x:c r="M115" s="32" t="n">
        <x:v>0.356495468277945619335347432</x:v>
      </x:c>
      <x:c r="N115" s="32" t="n">
        <x:v>0.4028197381671701913393756294</x:v>
      </x:c>
      <x:c r="O115" s="32" t="n">
        <x:v>0.4360523665659617321248741188</x:v>
      </x:c>
      <x:c r="P115" s="32" t="n">
        <x:v>0.466263846928499496475327291</x:v>
      </x:c>
      <x:c r="Q115" s="32" t="n">
        <x:v>0.4974823766364551863041289023</x:v>
      </x:c>
      <x:c r="R115" s="32" t="n">
        <x:v>0.5297079556898288016112789527</x:v>
      </x:c>
      <x:c r="S115" s="32" t="n">
        <x:v>0.5589123867069486404833836858</x:v>
      </x:c>
      <x:c r="T115" s="32" t="n">
        <x:v>0.5941591137965760322255790534</x:v>
      </x:c>
      <x:c r="U115" s="32" t="n">
        <x:v>0.6344410876132930513595166163</x:v>
      </x:c>
      <x:c r="BI115" s="33" t="s"/>
      <x:c r="BJ115" s="11" t="s">
        <x:v>283</x:v>
      </x:c>
      <x:c r="BK115" s="12" t="str">
        <x:f>=BX115</x:f>
      </x:c>
      <x:c r="BL115" s="12" t="n">
        <x:v>0.6263846928499496475327291037</x:v>
      </x:c>
      <x:c r="BM115" s="12" t="n">
        <x:v>0.3645518630412890231621349446</x:v>
      </x:c>
      <x:c r="BN115" s="12" t="n">
        <x:v>0.0090634441087613293051359517</x:v>
      </x:c>
      <x:c r="BO115" s="12" t="str">
        <x:f>=BW115</x:f>
      </x:c>
      <x:c r="BP115" s="12" t="str">
        <x:f>=CF115</x:f>
      </x:c>
      <x:c r="BQ115" s="12" t="str"/>
      <x:c r="BR115" s="12" t="str">
        <x:v>AW 2019 MSS</x:v>
      </x:c>
      <x:c r="BS115" s="13" t="str"/>
      <x:c r="BT115" s="30" t="n">
        <x:v>9277.09</x:v>
      </x:c>
      <x:c r="BU115" s="30" t="n">
        <x:v>-7259.54520</x:v>
      </x:c>
      <x:c r="BV115" s="30" t="str">
        <x:f>=BT115+BU115</x:f>
      </x:c>
      <x:c r="BW115" s="66" t="str">
        <x:f>=BV115/BT115</x:f>
      </x:c>
      <x:c r="BX115" s="66" t="n">
        <x:v>0.9909365558912386706948640483</x:v>
      </x:c>
      <x:c r="BY115" s="30" t="n">
        <x:v>6577.20</x:v>
      </x:c>
      <x:c r="BZ115" s="41" t="n">
        <x:v>9</x:v>
      </x:c>
      <x:c r="CA115" s="30" t="n">
        <x:v>59.612084592145015105740181269</x:v>
      </x:c>
      <x:c r="CC115" s="30" t="n">
        <x:v>9277.724441087613293051359517</x:v>
      </x:c>
      <x:c r="CD115" s="30" t="n">
        <x:v>-7259.54520</x:v>
      </x:c>
      <x:c r="CE115" s="30" t="str">
        <x:f>=CC115+CD115</x:f>
      </x:c>
      <x:c r="CF115" s="66" t="str">
        <x:f>=CE115/CC115</x:f>
      </x:c>
      <x:c r="CH115" s="66" t="str">
        <x:f>=CI115+CJ115</x:f>
      </x:c>
      <x:c r="CI115" s="66" t="str">
        <x:f>=BX115+(0*7)</x:f>
      </x:c>
      <x:c r="CJ115" s="66" t="str">
        <x:f>=(1-CI115)*0.5</x:f>
      </x:c>
      <x:c r="CK115" s="66" t="str">
        <x:f>=1-CH115</x:f>
      </x:c>
      <x:c r="CM115" s="66" t="str">
        <x:f>=CJ115/(1-CI115)</x:f>
      </x:c>
    </x:row>
    <x:row r="116">
      <x:c r="A116" s="31" t="s">
        <x:v>284</x:v>
      </x:c>
      <x:c r="B116" t="s"/>
      <x:c r="C116" t="s">
        <x:v>285</x:v>
      </x:c>
      <x:c r="D116" t="s">
        <x:v>274</x:v>
      </x:c>
      <x:c r="E116" s="69" t="s">
        <x:v>153</x:v>
      </x:c>
      <x:c r="F116" t="n">
        <x:v>5214</x:v>
      </x:c>
      <x:c r="G116" s="32" t="n">
        <x:v>0.000575373993095512082853855</x:v>
      </x:c>
      <x:c r="H116" s="32" t="n">
        <x:v>0.0126582278481012658227848101</x:v>
      </x:c>
      <x:c r="I116" s="32" t="n">
        <x:v>0.0258918296892980437284234753</x:v>
      </x:c>
      <x:c r="J116" s="32" t="n">
        <x:v>0.0535097813578826237054085155</x:v>
      </x:c>
      <x:c r="K116" s="32" t="n">
        <x:v>0.0780590717299578059071729958</x:v>
      </x:c>
      <x:c r="L116" s="32" t="n">
        <x:v>0.1300345224395857307249712313</x:v>
      </x:c>
      <x:c r="M116" s="32" t="n">
        <x:v>0.1858457997698504027617951669</x:v>
      </x:c>
      <x:c r="N116" s="32" t="n">
        <x:v>0.2502876869965477560414269275</x:v>
      </x:c>
      <x:c r="O116" s="32" t="n">
        <x:v>0.3057153816647487533563482931</x:v>
      </x:c>
      <x:c r="P116" s="32" t="n">
        <x:v>0.3588415803605677023398542386</x:v>
      </x:c>
      <x:c r="Q116" s="32" t="n">
        <x:v>0.3843498273878020713463751438</x:v>
      </x:c>
      <x:c r="R116" s="32" t="n">
        <x:v>0.401611047180667433831990794</x:v>
      </x:c>
      <x:c r="S116" s="32" t="n">
        <x:v>0.4150364403528960490985807442</x:v>
      </x:c>
      <x:c r="T116" s="32" t="n">
        <x:v>0.4236670502493287303413885692</x:v>
      </x:c>
      <x:c r="U116" s="32" t="n">
        <x:v>0.4334484081319524357499041043</x:v>
      </x:c>
      <x:c r="BI116" s="33" t="s"/>
      <x:c r="BJ116" s="11" t="s">
        <x:v>283</x:v>
      </x:c>
      <x:c r="BK116" s="12" t="str">
        <x:f>=BX116</x:f>
      </x:c>
      <x:c r="BL116" s="12" t="n">
        <x:v>0.4537782892213271960107403145</x:v>
      </x:c>
      <x:c r="BM116" s="12" t="n">
        <x:v>0.5425776754890678941311852704</x:v>
      </x:c>
      <x:c r="BN116" s="12" t="n">
        <x:v>0.003644035289604909858074415</x:v>
      </x:c>
      <x:c r="BO116" s="12" t="str">
        <x:f>=BW116</x:f>
      </x:c>
      <x:c r="BP116" s="12" t="str">
        <x:f>=CF116</x:f>
      </x:c>
      <x:c r="BQ116" s="12" t="str"/>
      <x:c r="BR116" s="12" t="str">
        <x:v>AW 2019 MSS</x:v>
      </x:c>
      <x:c r="BS116" s="13" t="str"/>
      <x:c r="BT116" s="30" t="n">
        <x:v>31910.17</x:v>
      </x:c>
      <x:c r="BU116" s="30" t="n">
        <x:v>-30257.69988</x:v>
      </x:c>
      <x:c r="BV116" s="30" t="str">
        <x:f>=BT116+BU116</x:f>
      </x:c>
      <x:c r="BW116" s="66" t="str">
        <x:f>=BV116/BT116</x:f>
      </x:c>
      <x:c r="BX116" s="66" t="n">
        <x:v>0.996355964710395090141925585</x:v>
      </x:c>
      <x:c r="BY116" s="30" t="n">
        <x:v>27321.48</x:v>
      </x:c>
      <x:c r="BZ116" s="41" t="n">
        <x:v>19</x:v>
      </x:c>
      <x:c r="CA116" s="30" t="n">
        <x:v>99.56043728423475258918296893</x:v>
      </x:c>
      <x:c r="CC116" s="30" t="n">
        <x:v>31910.603448408131952435749904</x:v>
      </x:c>
      <x:c r="CD116" s="30" t="n">
        <x:v>-30257.69988</x:v>
      </x:c>
      <x:c r="CE116" s="30" t="str">
        <x:f>=CC116+CD116</x:f>
      </x:c>
      <x:c r="CF116" s="66" t="str">
        <x:f>=CE116/CC116</x:f>
      </x:c>
      <x:c r="CH116" s="66" t="str">
        <x:f>=CI116+CJ116</x:f>
      </x:c>
      <x:c r="CI116" s="66" t="str">
        <x:f>=BX116+(0*7)</x:f>
      </x:c>
      <x:c r="CJ116" s="66" t="str">
        <x:f>=(1-CI116)*0.5</x:f>
      </x:c>
      <x:c r="CK116" s="66" t="str">
        <x:f>=1-CH116</x:f>
      </x:c>
      <x:c r="CM116" s="66" t="str">
        <x:f>=CJ116/(1-CI116)</x:f>
      </x:c>
    </x:row>
    <x:row r="117">
      <x:c r="A117" s="31" t="s">
        <x:v>286</x:v>
      </x:c>
      <x:c r="B117" t="s"/>
      <x:c r="C117" t="s">
        <x:v>287</x:v>
      </x:c>
      <x:c r="D117" t="s">
        <x:v>147</x:v>
      </x:c>
      <x:c r="E117" s="69" t="s">
        <x:v>153</x:v>
      </x:c>
      <x:c r="F117" t="n">
        <x:v>1068</x:v>
      </x:c>
      <x:c r="G117" s="32" t="n">
        <x:v>0.0486891385767790262172284644</x:v>
      </x:c>
      <x:c r="H117" s="32" t="n">
        <x:v>0.1423220973782771535580524345</x:v>
      </x:c>
      <x:c r="I117" s="32" t="n">
        <x:v>0.2425093632958801498127340824</x:v>
      </x:c>
      <x:c r="J117" s="32" t="n">
        <x:v>0.3380149812734082397003745318</x:v>
      </x:c>
      <x:c r="K117" s="32" t="n">
        <x:v>0.4073033707865168539325842697</x:v>
      </x:c>
      <x:c r="L117" s="32" t="n">
        <x:v>0.4765917602996254681647940075</x:v>
      </x:c>
      <x:c r="M117" s="32" t="n">
        <x:v>0.5271535580524344569288389513</x:v>
      </x:c>
      <x:c r="N117" s="32" t="n">
        <x:v>0.5917602996254681647940074906</x:v>
      </x:c>
      <x:c r="O117" s="32" t="n">
        <x:v>0.6310861423220973782771535581</x:v>
      </x:c>
      <x:c r="P117" s="32" t="n">
        <x:v>0.6732209737827715355805243446</x:v>
      </x:c>
      <x:c r="Q117" s="32" t="n">
        <x:v>0.6975655430711610486891385768</x:v>
      </x:c>
      <x:c r="R117" s="23" t="n">
        <x:v>0.7237827715355805243445692884</x:v>
      </x:c>
      <x:c r="S117" s="32" t="n">
        <x:v>0.7443820224719101123595505618</x:v>
      </x:c>
      <x:c r="T117" s="32" t="n">
        <x:v>0.7640449438202247191011235955</x:v>
      </x:c>
      <x:c r="BI117" s="33" t="s"/>
      <x:c r="BJ117" s="11" t="s">
        <x:v>123</x:v>
      </x:c>
      <x:c r="BK117" s="12" t="str">
        <x:f>=BX117</x:f>
      </x:c>
      <x:c r="BL117" s="12" t="n">
        <x:v>0.768726591760299625468164794</x:v>
      </x:c>
      <x:c r="BM117" s="12" t="n">
        <x:v>0.2078651685393258426966292135</x:v>
      </x:c>
      <x:c r="BN117" s="12" t="n">
        <x:v>0.0234082397003745318352059925</x:v>
      </x:c>
      <x:c r="BO117" s="12" t="str">
        <x:f>=BW117</x:f>
      </x:c>
      <x:c r="BP117" s="12" t="str">
        <x:f>=CF117</x:f>
      </x:c>
      <x:c r="BQ117" s="12" t="str"/>
      <x:c r="BR117" s="12" t="str">
        <x:v>AW 2019 MSS</x:v>
      </x:c>
      <x:c r="BS117" s="13" t="str"/>
      <x:c r="BT117" s="30" t="n">
        <x:v>4308.16</x:v>
      </x:c>
      <x:c r="BU117" s="30" t="n">
        <x:v>-3270.0564</x:v>
      </x:c>
      <x:c r="BV117" s="30" t="str">
        <x:f>=BT117+BU117</x:f>
      </x:c>
      <x:c r="BW117" s="66" t="str">
        <x:f>=BV117/BT117</x:f>
      </x:c>
      <x:c r="BX117" s="66" t="n">
        <x:v>0.9765917602996254681647940075</x:v>
      </x:c>
      <x:c r="BY117" s="30" t="n">
        <x:v>3294.12</x:v>
      </x:c>
      <x:c r="BZ117" s="41" t="n">
        <x:v>25</x:v>
      </x:c>
      <x:c r="CA117" s="30" t="n">
        <x:v>77.109550561797752808988764045</x:v>
      </x:c>
      <x:c r="CC117" s="30" t="n">
        <x:v>4308.9240449438202247191011236</x:v>
      </x:c>
      <x:c r="CD117" s="30" t="n">
        <x:v>-3270.0564</x:v>
      </x:c>
      <x:c r="CE117" s="30" t="str">
        <x:f>=CC117+CD117</x:f>
      </x:c>
      <x:c r="CF117" s="66" t="str">
        <x:f>=CE117/CC117</x:f>
      </x:c>
      <x:c r="CH117" s="66" t="str">
        <x:f>=CI117+CJ117</x:f>
      </x:c>
      <x:c r="CI117" s="66" t="str">
        <x:f>=BX117+(0*7)</x:f>
      </x:c>
      <x:c r="CJ117" s="66" t="str">
        <x:f>=(1-CI117)*0.5</x:f>
      </x:c>
      <x:c r="CK117" s="66" t="str">
        <x:f>=1-CH117</x:f>
      </x:c>
      <x:c r="CM117" s="66" t="str">
        <x:f>=CJ117/(1-CI117)</x:f>
      </x:c>
    </x:row>
    <x:row r="118">
      <x:c r="A118" s="31" t="s">
        <x:v>288</x:v>
      </x:c>
      <x:c r="B118" t="s"/>
      <x:c r="C118" t="s">
        <x:v>289</x:v>
      </x:c>
      <x:c r="D118" t="s">
        <x:v>118</x:v>
      </x:c>
      <x:c r="E118" s="69" t="s">
        <x:v>153</x:v>
      </x:c>
      <x:c r="F118" t="n">
        <x:v>2080</x:v>
      </x:c>
      <x:c r="G118" s="32" t="n">
        <x:v>0.1076923076923076923076923077</x:v>
      </x:c>
      <x:c r="H118" s="32" t="n">
        <x:v>0.2370192307692307692307692308</x:v>
      </x:c>
      <x:c r="I118" s="32" t="n">
        <x:v>0.3682692307692307692307692308</x:v>
      </x:c>
      <x:c r="J118" s="32" t="n">
        <x:v>0.4788461538461538461538461538</x:v>
      </x:c>
      <x:c r="K118" s="32" t="n">
        <x:v>0.5841346153846153846153846154</x:v>
      </x:c>
      <x:c r="L118" s="32" t="n">
        <x:v>0.6663461538461538461538461538</x:v>
      </x:c>
      <x:c r="M118" s="23" t="n">
        <x:v>0.75</x:v>
      </x:c>
      <x:c r="N118" s="32" t="n">
        <x:v>0.8081730769230769230769230769</x:v>
      </x:c>
      <x:c r="O118" s="32" t="n">
        <x:v>0.8649038461538461538461538462</x:v>
      </x:c>
      <x:c r="P118" s="32" t="n">
        <x:v>0.9048076923076923076923076923</x:v>
      </x:c>
      <x:c r="Q118" s="32" t="n">
        <x:v>0.9370192307692307692307692308</x:v>
      </x:c>
      <x:c r="R118" s="32" t="n">
        <x:v>0.9548076923076923076923076923</x:v>
      </x:c>
      <x:c r="S118" s="32" t="n">
        <x:v>0.9615384615384615384615384615</x:v>
      </x:c>
      <x:c r="BI118" s="33" t="s"/>
      <x:c r="BJ118" s="11" t="s">
        <x:v>140</x:v>
      </x:c>
      <x:c r="BK118" s="12" t="str">
        <x:f>=BX118</x:f>
      </x:c>
      <x:c r="BL118" s="12" t="n">
        <x:v>0.9639423076923076923076923077</x:v>
      </x:c>
      <x:c r="BM118" s="12" t="n">
        <x:v>0.0269230769230769230769230769</x:v>
      </x:c>
      <x:c r="BN118" s="12" t="n">
        <x:v>0.0091346153846153846153846154</x:v>
      </x:c>
      <x:c r="BO118" s="12" t="str">
        <x:f>=BW118</x:f>
      </x:c>
      <x:c r="BP118" s="12" t="str">
        <x:f>=CF118</x:f>
      </x:c>
      <x:c r="BQ118" s="12" t="str"/>
      <x:c r="BR118" s="12" t="str">
        <x:v>AW 2019 MSS</x:v>
      </x:c>
      <x:c r="BS118" s="13" t="str"/>
      <x:c r="BT118" s="30" t="n">
        <x:v>9482.26</x:v>
      </x:c>
      <x:c r="BU118" s="30" t="n">
        <x:v>-4924.0720</x:v>
      </x:c>
      <x:c r="BV118" s="30" t="str">
        <x:f>=BT118+BU118</x:f>
      </x:c>
      <x:c r="BW118" s="66" t="str">
        <x:f>=BV118/BT118</x:f>
      </x:c>
      <x:c r="BX118" s="66" t="n">
        <x:v>0.9908653846153846153846153846</x:v>
      </x:c>
      <x:c r="BY118" s="30" t="n">
        <x:v>4797.60</x:v>
      </x:c>
      <x:c r="BZ118" s="41" t="n">
        <x:v>19</x:v>
      </x:c>
      <x:c r="CA118" s="30" t="n">
        <x:v>43.824230769230769230769230768</x:v>
      </x:c>
      <x:c r="CC118" s="30" t="n">
        <x:v>9483.221538461538461538461538</x:v>
      </x:c>
      <x:c r="CD118" s="30" t="n">
        <x:v>-4924.0720</x:v>
      </x:c>
      <x:c r="CE118" s="30" t="str">
        <x:f>=CC118+CD118</x:f>
      </x:c>
      <x:c r="CF118" s="66" t="str">
        <x:f>=CE118/CC118</x:f>
      </x:c>
      <x:c r="CH118" s="66" t="str">
        <x:f>=CI118+CJ118</x:f>
      </x:c>
      <x:c r="CI118" s="66" t="str">
        <x:f>=BX118+(0*7)</x:f>
      </x:c>
      <x:c r="CJ118" s="66" t="str">
        <x:f>=(1-CI118)*0.5</x:f>
      </x:c>
      <x:c r="CK118" s="66" t="str">
        <x:f>=1-CH118</x:f>
      </x:c>
      <x:c r="CM118" s="66" t="str">
        <x:f>=CJ118/(1-CI118)</x:f>
      </x:c>
    </x:row>
    <x:row r="119">
      <x:c r="A119" s="31" t="s">
        <x:v>290</x:v>
      </x:c>
      <x:c r="B119" t="s"/>
      <x:c r="C119" t="s">
        <x:v>291</x:v>
      </x:c>
      <x:c r="D119" t="s">
        <x:v>274</x:v>
      </x:c>
      <x:c r="E119" s="69" t="s">
        <x:v>153</x:v>
      </x:c>
      <x:c r="F119" t="n">
        <x:v>972</x:v>
      </x:c>
      <x:c r="G119" s="32" t="n">
        <x:v>0.0195473251028806584362139918</x:v>
      </x:c>
      <x:c r="H119" s="32" t="n">
        <x:v>0.0843621399176954732510288066</x:v>
      </x:c>
      <x:c r="I119" s="32" t="n">
        <x:v>0.1615226337448559670781893004</x:v>
      </x:c>
      <x:c r="J119" s="32" t="n">
        <x:v>0.2613168724279835390946502058</x:v>
      </x:c>
      <x:c r="K119" s="32" t="n">
        <x:v>0.3240740740740740740740740741</x:v>
      </x:c>
      <x:c r="L119" s="32" t="n">
        <x:v>0.3930041152263374485596707819</x:v>
      </x:c>
      <x:c r="M119" s="32" t="n">
        <x:v>0.4516460905349794238683127572</x:v>
      </x:c>
      <x:c r="N119" s="32" t="n">
        <x:v>0.5226337448559670781893004115</x:v>
      </x:c>
      <x:c r="O119" s="32" t="n">
        <x:v>0.5874485596707818930041152263</x:v>
      </x:c>
      <x:c r="P119" s="32" t="n">
        <x:v>0.6440329218106995884773662551</x:v>
      </x:c>
      <x:c r="Q119" s="23" t="n">
        <x:v>0.7098765432098765432098765432</x:v>
      </x:c>
      <x:c r="R119" s="32" t="n">
        <x:v>0.7818930041152263374485596708</x:v>
      </x:c>
      <x:c r="S119" s="32" t="n">
        <x:v>0.8549382716049382716049382716</x:v>
      </x:c>
      <x:c r="BI119" s="33" t="s"/>
      <x:c r="BJ119" s="11" t="s">
        <x:v>140</x:v>
      </x:c>
      <x:c r="BK119" s="12" t="str">
        <x:f>=BX119</x:f>
      </x:c>
      <x:c r="BL119" s="12" t="n">
        <x:v>0.8425925925925925925925925926</x:v>
      </x:c>
      <x:c r="BM119" s="12" t="n">
        <x:v>0.1697530864197530864197530864</x:v>
      </x:c>
      <x:c r="BN119" s="12" t="n">
        <x:v>-0.012345679012345679012345679</x:v>
      </x:c>
      <x:c r="BO119" s="12" t="str">
        <x:f>=BW119</x:f>
      </x:c>
      <x:c r="BP119" s="12" t="str">
        <x:f>=CF119</x:f>
      </x:c>
      <x:c r="BQ119" s="12" t="str"/>
      <x:c r="BR119" s="12" t="str">
        <x:v>AW 2019 MSS</x:v>
      </x:c>
      <x:c r="BS119" s="13" t="str"/>
      <x:c r="BT119" s="30" t="n">
        <x:v>10188.23</x:v>
      </x:c>
      <x:c r="BU119" s="30" t="n">
        <x:v>-7107.85800</x:v>
      </x:c>
      <x:c r="BV119" s="30" t="str">
        <x:f>=BT119+BU119</x:f>
      </x:c>
      <x:c r="BW119" s="66" t="str">
        <x:f>=BV119/BT119</x:f>
      </x:c>
      <x:c r="BX119" s="66" t="n">
        <x:v>1.012345679012345679012345679</x:v>
      </x:c>
      <x:c r="BY119" s="30" t="n">
        <x:v>6442.20</x:v>
      </x:c>
      <x:c r="BZ119" s="41" t="n">
        <x:v>-12</x:v>
      </x:c>
      <x:c r="CA119" s="30" t="n">
        <x:v>-79.53333333333333333333333333</x:v>
      </x:c>
      <x:c r="CC119" s="30" t="n">
        <x:v>10189.084938271604938271604938</x:v>
      </x:c>
      <x:c r="CD119" s="30" t="n">
        <x:v>-7107.85800</x:v>
      </x:c>
      <x:c r="CE119" s="30" t="str">
        <x:f>=CC119+CD119</x:f>
      </x:c>
      <x:c r="CF119" s="66" t="str">
        <x:f>=CE119/CC119</x:f>
      </x:c>
      <x:c r="CH119" s="66" t="str">
        <x:f>=CI119+CJ119</x:f>
      </x:c>
      <x:c r="CI119" s="66" t="str">
        <x:f>=BX119+(0*7)</x:f>
      </x:c>
      <x:c r="CJ119" s="66" t="str">
        <x:f>=(1-CI119)*0.5</x:f>
      </x:c>
      <x:c r="CK119" s="66" t="str">
        <x:f>=1-CH119</x:f>
      </x:c>
      <x:c r="CM119" s="66" t="str">
        <x:f>=CJ119/(1-CI119)</x:f>
      </x:c>
    </x:row>
    <x:row r="120">
      <x:c r="A120" s="31" t="s">
        <x:v>292</x:v>
      </x:c>
      <x:c r="B120" t="s"/>
      <x:c r="C120" t="s">
        <x:v>293</x:v>
      </x:c>
      <x:c r="D120" t="s">
        <x:v>147</x:v>
      </x:c>
      <x:c r="E120" s="69" t="s">
        <x:v>153</x:v>
      </x:c>
      <x:c r="F120" t="n">
        <x:v>4012</x:v>
      </x:c>
      <x:c r="G120" s="32" t="n">
        <x:v>0.0102193419740777666999002991</x:v>
      </x:c>
      <x:c r="H120" s="32" t="n">
        <x:v>0.0560817547357926221335992024</x:v>
      </x:c>
      <x:c r="I120" s="32" t="n">
        <x:v>0.1258723828514456630109670987</x:v>
      </x:c>
      <x:c r="J120" s="32" t="n">
        <x:v>0.196410767696909272183449651</x:v>
      </x:c>
      <x:c r="K120" s="32" t="n">
        <x:v>0.2881355932203389830508474576</x:v>
      </x:c>
      <x:c r="L120" s="32" t="n">
        <x:v>0.3895812562313060817547357926</x:v>
      </x:c>
      <x:c r="M120" s="32" t="n">
        <x:v>0.4935194416749750747756729811</x:v>
      </x:c>
      <x:c r="N120" s="32" t="n">
        <x:v>0.5573280159521435692921236291</x:v>
      </x:c>
      <x:c r="O120" s="32" t="n">
        <x:v>0.5982053838484546360917248255</x:v>
      </x:c>
      <x:c r="P120" s="32" t="n">
        <x:v>0.6303589232303090727816550349</x:v>
      </x:c>
      <x:c r="Q120" s="32" t="n">
        <x:v>0.6605184446660019940179461615</x:v>
      </x:c>
      <x:c r="BI120" s="33" t="s"/>
      <x:c r="BJ120" s="11" t="s">
        <x:v>294</x:v>
      </x:c>
      <x:c r="BK120" s="12" t="str">
        <x:f>=BX120</x:f>
      </x:c>
      <x:c r="BL120" s="12" t="n">
        <x:v>0.6784646061814556331006979063</x:v>
      </x:c>
      <x:c r="BM120" s="12" t="n">
        <x:v>0.3138085742771684945164506481</x:v>
      </x:c>
      <x:c r="BN120" s="12" t="n">
        <x:v>0.0077268195413758723828514457</x:v>
      </x:c>
      <x:c r="BO120" s="12" t="str">
        <x:f>=BW120</x:f>
      </x:c>
      <x:c r="BP120" s="12" t="str">
        <x:f>=CF120</x:f>
      </x:c>
      <x:c r="BQ120" s="12" t="str"/>
      <x:c r="BR120" s="12" t="str">
        <x:v>AW 2019 MSS</x:v>
      </x:c>
      <x:c r="BS120" s="13" t="str"/>
      <x:c r="BT120" s="30" t="n">
        <x:v>22407.68</x:v>
      </x:c>
      <x:c r="BU120" s="30" t="n">
        <x:v>-15430.4782</x:v>
      </x:c>
      <x:c r="BV120" s="30" t="str">
        <x:f>=BT120+BU120</x:f>
      </x:c>
      <x:c r="BW120" s="66" t="str">
        <x:f>=BV120/BT120</x:f>
      </x:c>
      <x:c r="BX120" s="66" t="n">
        <x:v>0.9922731804586241276171485543</x:v>
      </x:c>
      <x:c r="BY120" s="30" t="n">
        <x:v>14549.42</x:v>
      </x:c>
      <x:c r="BZ120" s="41" t="n">
        <x:v>31</x:v>
      </x:c>
      <x:c r="CA120" s="30" t="n">
        <x:v>112.42074277168494516450648056</x:v>
      </x:c>
      <x:c r="CC120" s="30" t="n">
        <x:v>22408.340269192422731804586241</x:v>
      </x:c>
      <x:c r="CD120" s="30" t="n">
        <x:v>-15430.4782</x:v>
      </x:c>
      <x:c r="CE120" s="30" t="str">
        <x:f>=CC120+CD120</x:f>
      </x:c>
      <x:c r="CF120" s="66" t="str">
        <x:f>=CE120/CC120</x:f>
      </x:c>
      <x:c r="CH120" s="66" t="str">
        <x:f>=CI120+CJ120</x:f>
      </x:c>
      <x:c r="CI120" s="66" t="str">
        <x:f>=BX120+(0*7)</x:f>
      </x:c>
      <x:c r="CJ120" s="66" t="str">
        <x:f>=(1-CI120)*0.5</x:f>
      </x:c>
      <x:c r="CK120" s="66" t="str">
        <x:f>=1-CH120</x:f>
      </x:c>
      <x:c r="CM120" s="66" t="str">
        <x:f>=CJ120/(1-CI120)</x:f>
      </x:c>
    </x:row>
    <x:row r="121">
      <x:c r="A121" s="31" t="s">
        <x:v>295</x:v>
      </x:c>
      <x:c r="B121" t="s"/>
      <x:c r="C121" t="s">
        <x:v>296</x:v>
      </x:c>
      <x:c r="D121" t="s">
        <x:v>147</x:v>
      </x:c>
      <x:c r="E121" s="69" t="s">
        <x:v>153</x:v>
      </x:c>
      <x:c r="F121" t="n">
        <x:v>4165</x:v>
      </x:c>
      <x:c r="G121" s="32" t="n">
        <x:v>0.0043217286914765906362545018</x:v>
      </x:c>
      <x:c r="H121" s="32" t="n">
        <x:v>0.0189675870348139255702280912</x:v>
      </x:c>
      <x:c r="I121" s="32" t="n">
        <x:v>0.0744297719087635054021608643</x:v>
      </x:c>
      <x:c r="J121" s="32" t="n">
        <x:v>0.1762304921968787515006002401</x:v>
      </x:c>
      <x:c r="K121" s="32" t="n">
        <x:v>0.3066026410564225690276110444</x:v>
      </x:c>
      <x:c r="L121" s="32" t="n">
        <x:v>0.4184873949579831932773109244</x:v>
      </x:c>
      <x:c r="M121" s="32" t="n">
        <x:v>0.4960384153661464585834333733</x:v>
      </x:c>
      <x:c r="N121" s="32" t="n">
        <x:v>0.542376950780312124849939976</x:v>
      </x:c>
      <x:c r="O121" s="32" t="n">
        <x:v>0.5699879951980792316926770708</x:v>
      </x:c>
      <x:c r="P121" s="32" t="n">
        <x:v>0.5903961584633853541416566627</x:v>
      </x:c>
      <x:c r="Q121" s="32" t="n">
        <x:v>0.6187274909963985594237695078</x:v>
      </x:c>
      <x:c r="BI121" s="33" t="s"/>
      <x:c r="BJ121" s="11" t="s">
        <x:v>294</x:v>
      </x:c>
      <x:c r="BK121" s="12" t="str">
        <x:f>=BX121</x:f>
      </x:c>
      <x:c r="BL121" s="12" t="n">
        <x:v>0.6321728691476590636254501801</x:v>
      </x:c>
      <x:c r="BM121" s="12" t="n">
        <x:v>0.3594237695078031212484993998</x:v>
      </x:c>
      <x:c r="BN121" s="12" t="n">
        <x:v>0.0084033613445378151260504202</x:v>
      </x:c>
      <x:c r="BO121" s="12" t="str">
        <x:f>=BW121</x:f>
      </x:c>
      <x:c r="BP121" s="12" t="str">
        <x:f>=CF121</x:f>
      </x:c>
      <x:c r="BQ121" s="12" t="str"/>
      <x:c r="BR121" s="12" t="str">
        <x:v>AW 2019 MSS</x:v>
      </x:c>
      <x:c r="BS121" s="13" t="str"/>
      <x:c r="BT121" s="30" t="n">
        <x:v>22440.14</x:v>
      </x:c>
      <x:c r="BU121" s="30" t="n">
        <x:v>-15859.2817</x:v>
      </x:c>
      <x:c r="BV121" s="30" t="str">
        <x:f>=BT121+BU121</x:f>
      </x:c>
      <x:c r="BW121" s="66" t="str">
        <x:f>=BV121/BT121</x:f>
      </x:c>
      <x:c r="BX121" s="66" t="n">
        <x:v>0.9915966386554621848739495798</x:v>
      </x:c>
      <x:c r="BY121" s="30" t="n">
        <x:v>14895.46</x:v>
      </x:c>
      <x:c r="BZ121" s="41" t="n">
        <x:v>35</x:v>
      </x:c>
      <x:c r="CA121" s="30" t="n">
        <x:v>125.17193277310924369747899160</x:v>
      </x:c>
      <x:c r="CC121" s="30" t="n">
        <x:v>22440.757046818727490996398559</x:v>
      </x:c>
      <x:c r="CD121" s="30" t="n">
        <x:v>-15859.2817</x:v>
      </x:c>
      <x:c r="CE121" s="30" t="str">
        <x:f>=CC121+CD121</x:f>
      </x:c>
      <x:c r="CF121" s="66" t="str">
        <x:f>=CE121/CC121</x:f>
      </x:c>
      <x:c r="CH121" s="66" t="str">
        <x:f>=CI121+CJ121</x:f>
      </x:c>
      <x:c r="CI121" s="66" t="str">
        <x:f>=BX121+(0*7)</x:f>
      </x:c>
      <x:c r="CJ121" s="66" t="str">
        <x:f>=(1-CI121)*0.5</x:f>
      </x:c>
      <x:c r="CK121" s="66" t="str">
        <x:f>=1-CH121</x:f>
      </x:c>
      <x:c r="CM121" s="66" t="str">
        <x:f>=CJ121/(1-CI121)</x:f>
      </x:c>
    </x:row>
    <x:row r="122">
      <x:c r="A122" s="31" t="s">
        <x:v>297</x:v>
      </x:c>
      <x:c r="B122" t="s">
        <x:v>116</x:v>
      </x:c>
      <x:c r="C122" t="s">
        <x:v>298</x:v>
      </x:c>
      <x:c r="D122" t="s">
        <x:v>274</x:v>
      </x:c>
      <x:c r="E122" s="69" t="s">
        <x:v>153</x:v>
      </x:c>
      <x:c r="F122" t="n">
        <x:v>1830</x:v>
      </x:c>
      <x:c r="G122" s="32" t="n">
        <x:v>0.0180327868852459016393442623</x:v>
      </x:c>
      <x:c r="H122" s="32" t="n">
        <x:v>0.093442622950819672131147541</x:v>
      </x:c>
      <x:c r="I122" s="32" t="n">
        <x:v>0.1628415300546448087431693989</x:v>
      </x:c>
      <x:c r="J122" s="32" t="n">
        <x:v>0.2437158469945355191256830601</x:v>
      </x:c>
      <x:c r="K122" s="32" t="n">
        <x:v>0.2857923497267759562841530055</x:v>
      </x:c>
      <x:c r="L122" s="32" t="n">
        <x:v>0.3071038251366120218579234973</x:v>
      </x:c>
      <x:c r="M122" s="32" t="n">
        <x:v>0.3284153005464480874316939891</x:v>
      </x:c>
      <x:c r="N122" s="32" t="n">
        <x:v>0.3409836065573770491803278689</x:v>
      </x:c>
      <x:c r="O122" s="32" t="n">
        <x:v>0.3459016393442622950819672131</x:v>
      </x:c>
      <x:c r="BI122" s="33" t="s"/>
      <x:c r="BJ122" s="11" t="s">
        <x:v>161</x:v>
      </x:c>
      <x:c r="BK122" s="12" t="str">
        <x:f>=BX122</x:f>
      </x:c>
      <x:c r="BL122" s="12" t="n">
        <x:v>0.3639344262295081967213114754</x:v>
      </x:c>
      <x:c r="BM122" s="12" t="n">
        <x:v>0.6240437158469945355191256831</x:v>
      </x:c>
      <x:c r="BN122" s="12" t="n">
        <x:v>0.0120218579234972677595628415</x:v>
      </x:c>
      <x:c r="BO122" s="12" t="str">
        <x:f>=BW122</x:f>
      </x:c>
      <x:c r="BP122" s="12" t="str">
        <x:f>=CF122</x:f>
      </x:c>
      <x:c r="BQ122" s="12" t="str"/>
      <x:c r="BR122" s="12" t="str">
        <x:v>AW 2019 MSS</x:v>
      </x:c>
      <x:c r="BS122" s="13" t="str"/>
      <x:c r="BT122" s="30" t="n">
        <x:v>11718.12</x:v>
      </x:c>
      <x:c r="BU122" s="30" t="n">
        <x:v>-9103.05420</x:v>
      </x:c>
      <x:c r="BV122" s="30" t="str">
        <x:f>=BT122+BU122</x:f>
      </x:c>
      <x:c r="BW122" s="66" t="str">
        <x:f>=BV122/BT122</x:f>
      </x:c>
      <x:c r="BX122" s="66" t="n">
        <x:v>0.9879781420765027322404371585</x:v>
      </x:c>
      <x:c r="BY122" s="30" t="n">
        <x:v>8056.20</x:v>
      </x:c>
      <x:c r="BZ122" s="41" t="n">
        <x:v>22</x:v>
      </x:c>
      <x:c r="CA122" s="30" t="n">
        <x:v>96.85049180327868852459016394</x:v>
      </x:c>
      <x:c r="CC122" s="30" t="n">
        <x:v>11718.465901639344262295081967</x:v>
      </x:c>
      <x:c r="CD122" s="30" t="n">
        <x:v>-9103.05420</x:v>
      </x:c>
      <x:c r="CE122" s="30" t="str">
        <x:f>=CC122+CD122</x:f>
      </x:c>
      <x:c r="CF122" s="66" t="str">
        <x:f>=CE122/CC122</x:f>
      </x:c>
      <x:c r="CH122" s="66" t="str">
        <x:f>=CI122+CJ122</x:f>
      </x:c>
      <x:c r="CI122" s="66" t="str">
        <x:f>=BX122+(0*7)</x:f>
      </x:c>
      <x:c r="CJ122" s="66" t="str">
        <x:f>=(1-CI122)*0.5</x:f>
      </x:c>
      <x:c r="CK122" s="66" t="str">
        <x:f>=1-CH122</x:f>
      </x:c>
      <x:c r="CM122" s="66" t="str">
        <x:f>=CJ122/(1-CI122)</x:f>
      </x:c>
    </x:row>
    <x:row r="123">
      <x:c r="BI123" s="33" t="s"/>
      <x:c r="BJ123" s="11" t="s"/>
      <x:c r="BS123" s="13" t="s"/>
    </x:row>
    <x:row r="124">
      <x:c r="A124" s="35" t="s">
        <x:v>126</x:v>
      </x:c>
      <x:c r="BI124" s="33" t="s"/>
      <x:c r="BJ124" s="11" t="s"/>
      <x:c r="BS124" s="13" t="s"/>
    </x:row>
    <x:row r="125">
      <x:c r="A125" s="17" t="s">
        <x:v>127</x:v>
      </x:c>
      <x:c r="BI125" s="33" t="s"/>
      <x:c r="BJ125" s="11" t="s"/>
      <x:c r="BS125" s="13" t="s"/>
    </x:row>
    <x:row r="126">
      <x:c r="A126" s="31" t="s">
        <x:v>299</x:v>
      </x:c>
      <x:c r="B126" t="s"/>
      <x:c r="C126" t="s">
        <x:v>300</x:v>
      </x:c>
      <x:c r="D126" t="s">
        <x:v>118</x:v>
      </x:c>
      <x:c r="E126" s="67" t="s">
        <x:v>131</x:v>
      </x:c>
      <x:c r="F126" t="n">
        <x:v>774</x:v>
      </x:c>
      <x:c r="G126" s="32" t="n">
        <x:v>0.005167958656330749354005168</x:v>
      </x:c>
      <x:c r="H126" s="32" t="n">
        <x:v>0.0607235142118863049095607235</x:v>
      </x:c>
      <x:c r="I126" s="32" t="n">
        <x:v>0.124031007751937984496124031</x:v>
      </x:c>
      <x:c r="J126" s="32" t="n">
        <x:v>0.1886304909560723514211886305</x:v>
      </x:c>
      <x:c r="K126" s="32" t="n">
        <x:v>0.2260981912144702842377260982</x:v>
      </x:c>
      <x:c r="L126" s="32" t="n">
        <x:v>0.2855297157622739018087855297</x:v>
      </x:c>
      <x:c r="M126" s="32" t="n">
        <x:v>0.3514211886304909560723514212</x:v>
      </x:c>
      <x:c r="N126" s="32" t="n">
        <x:v>0.3875968992248062015503875969</x:v>
      </x:c>
      <x:c r="O126" s="32" t="n">
        <x:v>0.4095607235142118863049095607</x:v>
      </x:c>
      <x:c r="P126" s="32" t="n">
        <x:v>0.4457364341085271317829457364</x:v>
      </x:c>
      <x:c r="Q126" s="32" t="n">
        <x:v>0.496124031007751937984496124</x:v>
      </x:c>
      <x:c r="R126" s="32" t="n">
        <x:v>0.505167958656330749354005168</x:v>
      </x:c>
      <x:c r="S126" s="32" t="n">
        <x:v>0.5258397932816537467700258398</x:v>
      </x:c>
      <x:c r="T126" s="32" t="n">
        <x:v>0.5465116279069767441860465116</x:v>
      </x:c>
      <x:c r="U126" s="32" t="n">
        <x:v>0.5736434108527131782945736434</x:v>
      </x:c>
      <x:c r="V126" s="32" t="n">
        <x:v>0.6007751937984496124031007752</x:v>
      </x:c>
      <x:c r="W126" s="32" t="n">
        <x:v>0.620155038759689922480620155</x:v>
      </x:c>
      <x:c r="X126" s="32" t="n">
        <x:v>0.6459948320413436692506459948</x:v>
      </x:c>
      <x:c r="Y126" s="32" t="n">
        <x:v>0.6524547803617571059431524548</x:v>
      </x:c>
      <x:c r="Z126" s="32" t="n">
        <x:v>0.6757105943152454780361757106</x:v>
      </x:c>
      <x:c r="AA126" s="32" t="n">
        <x:v>0.6782945736434108527131782946</x:v>
      </x:c>
      <x:c r="AB126" s="32" t="n">
        <x:v>0.6834625322997416020671834625</x:v>
      </x:c>
      <x:c r="AC126" s="32" t="n">
        <x:v>0.6912144702842377260981912145</x:v>
      </x:c>
      <x:c r="AD126" s="23" t="n">
        <x:v>0.7002583979328165374677002584</x:v>
      </x:c>
      <x:c r="AE126" s="32" t="n">
        <x:v>0.7002583979328165374677002584</x:v>
      </x:c>
      <x:c r="AF126" s="32" t="n">
        <x:v>0.7028423772609819121447028424</x:v>
      </x:c>
      <x:c r="AG126" s="32" t="n">
        <x:v>0.7093023255813953488372093023</x:v>
      </x:c>
      <x:c r="BI126" s="33" t="s"/>
      <x:c r="BJ126" s="11" t="s">
        <x:v>301</x:v>
      </x:c>
      <x:c r="BK126" s="12" t="str">
        <x:f>=BX126</x:f>
      </x:c>
      <x:c r="BL126" s="12" t="n">
        <x:v>0.7093023255813953488372093023</x:v>
      </x:c>
      <x:c r="BM126" s="12" t="n">
        <x:v>0.2997416020671834625322997416</x:v>
      </x:c>
      <x:c r="BN126" s="12" t="n">
        <x:v>-0.0090439276485788113695090439</x:v>
      </x:c>
      <x:c r="BO126" s="12" t="str">
        <x:f>=BW126</x:f>
      </x:c>
      <x:c r="BP126" s="12" t="str">
        <x:f>=CF126</x:f>
      </x:c>
      <x:c r="BQ126" s="12" t="str"/>
      <x:c r="BR126" s="12" t="str">
        <x:v>AW 2019 MSS</x:v>
      </x:c>
      <x:c r="BS126" s="13" t="str"/>
      <x:c r="BT126" s="30" t="n">
        <x:v>5593.63</x:v>
      </x:c>
      <x:c r="BU126" s="30" t="n">
        <x:v>-4328.4402</x:v>
      </x:c>
      <x:c r="BV126" s="30" t="str">
        <x:f>=BT126+BU126</x:f>
      </x:c>
      <x:c r="BW126" s="66" t="str">
        <x:f>=BV126/BT126</x:f>
      </x:c>
      <x:c r="BX126" s="66" t="n">
        <x:v>1.0090439276485788113695090439</x:v>
      </x:c>
      <x:c r="BY126" s="30" t="n">
        <x:v>4326.66</x:v>
      </x:c>
      <x:c r="BZ126" s="41" t="n">
        <x:v>-7</x:v>
      </x:c>
      <x:c r="CA126" s="30" t="n">
        <x:v>-39.13</x:v>
      </x:c>
      <x:c r="CC126" s="30" t="n">
        <x:v>5594.3393023255813953488372093</x:v>
      </x:c>
      <x:c r="CD126" s="30" t="n">
        <x:v>-4328.4402</x:v>
      </x:c>
      <x:c r="CE126" s="30" t="str">
        <x:f>=CC126+CD126</x:f>
      </x:c>
      <x:c r="CF126" s="66" t="str">
        <x:f>=CE126/CC126</x:f>
      </x:c>
      <x:c r="CH126" s="66" t="str">
        <x:f>=CI126+CJ126</x:f>
      </x:c>
      <x:c r="CI126" s="66" t="str">
        <x:f>=BX126+(0*7)</x:f>
      </x:c>
      <x:c r="CJ126" s="66" t="str">
        <x:f>=(1-CI126)*0.5</x:f>
      </x:c>
      <x:c r="CK126" s="66" t="str">
        <x:f>=1-CH126</x:f>
      </x:c>
      <x:c r="CM126" s="66" t="str">
        <x:f>=CJ126/(1-CI126)</x:f>
      </x:c>
    </x:row>
    <x:row r="127">
      <x:c r="A127" s="31" t="s">
        <x:v>302</x:v>
      </x:c>
      <x:c r="B127" t="s"/>
      <x:c r="C127" t="s">
        <x:v>303</x:v>
      </x:c>
      <x:c r="D127" t="s">
        <x:v>274</x:v>
      </x:c>
      <x:c r="E127" s="67" t="s">
        <x:v>131</x:v>
      </x:c>
      <x:c r="F127" t="n">
        <x:v>669</x:v>
      </x:c>
      <x:c r="G127" s="32" t="n">
        <x:v>0</x:v>
      </x:c>
      <x:c r="H127" s="32" t="n">
        <x:v>0</x:v>
      </x:c>
      <x:c r="I127" s="32" t="n">
        <x:v>0.0433482810164424514200298954</x:v>
      </x:c>
      <x:c r="J127" s="32" t="n">
        <x:v>0.0582959641255605381165919283</x:v>
      </x:c>
      <x:c r="K127" s="32" t="n">
        <x:v>0.0717488789237668161434977578</x:v>
      </x:c>
      <x:c r="L127" s="32" t="n">
        <x:v>0.1165919282511210762331838565</x:v>
      </x:c>
      <x:c r="M127" s="32" t="n">
        <x:v>0.1494768310911808669656203288</x:v>
      </x:c>
      <x:c r="N127" s="32" t="n">
        <x:v>0.1973094170403587443946188341</x:v>
      </x:c>
      <x:c r="O127" s="32" t="n">
        <x:v>0.2032884902840059790732436472</x:v>
      </x:c>
      <x:c r="P127" s="32" t="n">
        <x:v>0.2272047832585949177877428999</x:v>
      </x:c>
      <x:c r="Q127" s="32" t="n">
        <x:v>0.33183856502242152466367713</x:v>
      </x:c>
      <x:c r="R127" s="32" t="n">
        <x:v>0.3707025411061285500747384155</x:v>
      </x:c>
      <x:c r="S127" s="32" t="n">
        <x:v>0.4215246636771300448430493274</x:v>
      </x:c>
      <x:c r="T127" s="32" t="n">
        <x:v>0.5082212257100149476831091181</x:v>
      </x:c>
      <x:c r="U127" s="32" t="n">
        <x:v>0.5455904334828101644245142003</x:v>
      </x:c>
      <x:c r="V127" s="32" t="n">
        <x:v>0.565022421524663677130044843</x:v>
      </x:c>
      <x:c r="W127" s="32" t="n">
        <x:v>0.5964125560538116591928251121</x:v>
      </x:c>
      <x:c r="X127" s="32" t="n">
        <x:v>0.6846038863976083707025411061</x:v>
      </x:c>
      <x:c r="Y127" s="32" t="n">
        <x:v>0.6950672645739910313901345291</x:v>
      </x:c>
      <x:c r="Z127" s="32" t="n">
        <x:v>0.6980568011958146487294469357</x:v>
      </x:c>
      <x:c r="AA127" s="23" t="n">
        <x:v>0.7414050822122571001494768311</x:v>
      </x:c>
      <x:c r="AB127" s="32" t="n">
        <x:v>0.7683109118086696562032884903</x:v>
      </x:c>
      <x:c r="AC127" s="32" t="n">
        <x:v>0.7802690582959641255605381166</x:v>
      </x:c>
      <x:c r="BI127" s="33" t="s"/>
      <x:c r="BJ127" s="11" t="s">
        <x:v>211</x:v>
      </x:c>
      <x:c r="BK127" s="12" t="str">
        <x:f>=BX127</x:f>
      </x:c>
      <x:c r="BL127" s="12" t="n">
        <x:v>0.7623318385650224215246636771</x:v>
      </x:c>
      <x:c r="BM127" s="12" t="n">
        <x:v>0.1778774289985052316890881913</x:v>
      </x:c>
      <x:c r="BN127" s="12" t="n">
        <x:v>0.0597907324364723467862481315</x:v>
      </x:c>
      <x:c r="BO127" s="12" t="str">
        <x:f>=BW127</x:f>
      </x:c>
      <x:c r="BP127" s="12" t="str">
        <x:f>=CF127</x:f>
      </x:c>
      <x:c r="BQ127" s="12" t="str"/>
      <x:c r="BR127" s="12" t="str">
        <x:v>AW 2019 MSS</x:v>
      </x:c>
      <x:c r="BS127" s="13" t="str"/>
      <x:c r="BT127" s="30" t="n">
        <x:v>8211.27</x:v>
      </x:c>
      <x:c r="BU127" s="30" t="n">
        <x:v>-5426.92800</x:v>
      </x:c>
      <x:c r="BV127" s="30" t="str">
        <x:f>=BT127+BU127</x:f>
      </x:c>
      <x:c r="BW127" s="66" t="str">
        <x:f>=BV127/BT127</x:f>
      </x:c>
      <x:c r="BX127" s="66" t="n">
        <x:v>0.9402092675635276532137518685</x:v>
      </x:c>
      <x:c r="BY127" s="30" t="n">
        <x:v>4984.05</x:v>
      </x:c>
      <x:c r="BZ127" s="41" t="n">
        <x:v>40</x:v>
      </x:c>
      <x:c r="CA127" s="30" t="n">
        <x:v>298.00</x:v>
      </x:c>
      <x:c r="CC127" s="30" t="n">
        <x:v>8212.050269058295964125560538</x:v>
      </x:c>
      <x:c r="CD127" s="30" t="n">
        <x:v>-5426.92800</x:v>
      </x:c>
      <x:c r="CE127" s="30" t="str">
        <x:f>=CC127+CD127</x:f>
      </x:c>
      <x:c r="CF127" s="66" t="str">
        <x:f>=CE127/CC127</x:f>
      </x:c>
      <x:c r="CH127" s="66" t="str">
        <x:f>=CI127+CJ127</x:f>
      </x:c>
      <x:c r="CI127" s="66" t="str">
        <x:f>=BX127+(0*7)</x:f>
      </x:c>
      <x:c r="CJ127" s="66" t="str">
        <x:f>=(1-CI127)*0.5</x:f>
      </x:c>
      <x:c r="CK127" s="66" t="str">
        <x:f>=1-CH127</x:f>
      </x:c>
      <x:c r="CM127" s="66" t="str">
        <x:f>=CJ127/(1-CI127)</x:f>
      </x:c>
    </x:row>
    <x:row r="128">
      <x:c r="A128" s="31" t="s">
        <x:v>304</x:v>
      </x:c>
      <x:c r="B128" t="s"/>
      <x:c r="C128" t="s">
        <x:v>305</x:v>
      </x:c>
      <x:c r="D128" t="s">
        <x:v>274</x:v>
      </x:c>
      <x:c r="E128" s="67" t="s">
        <x:v>131</x:v>
      </x:c>
      <x:c r="F128" t="n">
        <x:v>1538</x:v>
      </x:c>
      <x:c r="G128" s="32" t="n">
        <x:v>0.0396618985695708712613784135</x:v>
      </x:c>
      <x:c r="H128" s="32" t="n">
        <x:v>0.0617685305591677503250975293</x:v>
      </x:c>
      <x:c r="I128" s="32" t="n">
        <x:v>0.0676202860858257477243172952</x:v>
      </x:c>
      <x:c r="J128" s="32" t="n">
        <x:v>0.0890767230169050715214564369</x:v>
      </x:c>
      <x:c r="K128" s="32" t="n">
        <x:v>0.1014304291287386215864759428</x:v>
      </x:c>
      <x:c r="L128" s="32" t="n">
        <x:v>0.1287386215864759427828348505</x:v>
      </x:c>
      <x:c r="M128" s="32" t="n">
        <x:v>0.1501950585175552665799739922</x:v>
      </x:c>
      <x:c r="N128" s="32" t="n">
        <x:v>0.1892067620286085825747724317</x:v>
      </x:c>
      <x:c r="O128" s="32" t="n">
        <x:v>0.2035110533159947984395318596</x:v>
      </x:c>
      <x:c r="P128" s="32" t="n">
        <x:v>0.2282184655396618985695708713</x:v>
      </x:c>
      <x:c r="Q128" s="32" t="n">
        <x:v>0.2860858257477243172951885566</x:v>
      </x:c>
      <x:c r="R128" s="32" t="n">
        <x:v>0.2932379713914174252275682705</x:v>
      </x:c>
      <x:c r="S128" s="32" t="n">
        <x:v>0.3107932379713914174252275683</x:v>
      </x:c>
      <x:c r="T128" s="32" t="n">
        <x:v>0.3901170351105331599479843953</x:v>
      </x:c>
      <x:c r="U128" s="32" t="n">
        <x:v>0.4817945383615084525357607282</x:v>
      </x:c>
      <x:c r="V128" s="32" t="n">
        <x:v>0.50325097529258777633289987</x:v>
      </x:c>
      <x:c r="W128" s="32" t="n">
        <x:v>0.5630689206762028608582574772</x:v>
      </x:c>
      <x:c r="X128" s="32" t="n">
        <x:v>0.6267880364109232769830949285</x:v>
      </x:c>
      <x:c r="Y128" s="32" t="n">
        <x:v>0.6814044213263979193758127438</x:v>
      </x:c>
      <x:c r="Z128" s="23" t="n">
        <x:v>0.7223667100130039011703511053</x:v>
      </x:c>
      <x:c r="AA128" s="32" t="n">
        <x:v>0.7373211963589076723016905072</x:v>
      </x:c>
      <x:c r="AB128" s="32" t="n">
        <x:v>0.7652795838751625487646293888</x:v>
      </x:c>
      <x:c r="AC128" s="32" t="n">
        <x:v>0.7977893368010403120936280884</x:v>
      </x:c>
      <x:c r="BI128" s="33" t="s"/>
      <x:c r="BJ128" s="11" t="s">
        <x:v>211</x:v>
      </x:c>
      <x:c r="BK128" s="12" t="str">
        <x:f>=BX128</x:f>
      </x:c>
      <x:c r="BL128" s="12" t="n">
        <x:v>0.7997399219765929778933680104</x:v>
      </x:c>
      <x:c r="BM128" s="12" t="n">
        <x:v>0.1775032509752925877763328999</x:v>
      </x:c>
      <x:c r="BN128" s="12" t="n">
        <x:v>0.0227568270481144343302990897</x:v>
      </x:c>
      <x:c r="BO128" s="12" t="str">
        <x:f>=BW128</x:f>
      </x:c>
      <x:c r="BP128" s="12" t="str">
        <x:f>=CF128</x:f>
      </x:c>
      <x:c r="BQ128" s="12" t="str"/>
      <x:c r="BR128" s="12" t="str">
        <x:v>AW 2019 MSS</x:v>
      </x:c>
      <x:c r="BS128" s="13" t="str"/>
      <x:c r="BT128" s="30" t="n">
        <x:v>18525.04</x:v>
      </x:c>
      <x:c r="BU128" s="30" t="n">
        <x:v>-12476.25600</x:v>
      </x:c>
      <x:c r="BV128" s="30" t="str">
        <x:f>=BT128+BU128</x:f>
      </x:c>
      <x:c r="BW128" s="66" t="str">
        <x:f>=BV128/BT128</x:f>
      </x:c>
      <x:c r="BX128" s="66" t="n">
        <x:v>0.9772431729518855656697009103</x:v>
      </x:c>
      <x:c r="BY128" s="30" t="n">
        <x:v>11458.10</x:v>
      </x:c>
      <x:c r="BZ128" s="41" t="n">
        <x:v>35</x:v>
      </x:c>
      <x:c r="CA128" s="30" t="n">
        <x:v>260.75</x:v>
      </x:c>
      <x:c r="CC128" s="30" t="n">
        <x:v>18525.837789336801040312093628</x:v>
      </x:c>
      <x:c r="CD128" s="30" t="n">
        <x:v>-12476.25600</x:v>
      </x:c>
      <x:c r="CE128" s="30" t="str">
        <x:f>=CC128+CD128</x:f>
      </x:c>
      <x:c r="CF128" s="66" t="str">
        <x:f>=CE128/CC128</x:f>
      </x:c>
      <x:c r="CH128" s="66" t="str">
        <x:f>=CI128+CJ128</x:f>
      </x:c>
      <x:c r="CI128" s="66" t="str">
        <x:f>=BX128+(0*7)</x:f>
      </x:c>
      <x:c r="CJ128" s="66" t="str">
        <x:f>=(1-CI128)*0.5</x:f>
      </x:c>
      <x:c r="CK128" s="66" t="str">
        <x:f>=1-CH128</x:f>
      </x:c>
      <x:c r="CM128" s="66" t="str">
        <x:f>=CJ128/(1-CI128)</x:f>
      </x:c>
    </x:row>
    <x:row r="129">
      <x:c r="A129" s="31" t="s">
        <x:v>306</x:v>
      </x:c>
      <x:c r="B129" t="s"/>
      <x:c r="C129" t="s">
        <x:v>307</x:v>
      </x:c>
      <x:c r="D129" t="s">
        <x:v>274</x:v>
      </x:c>
      <x:c r="E129" s="67" t="s">
        <x:v>131</x:v>
      </x:c>
      <x:c r="F129" t="n">
        <x:v>726</x:v>
      </x:c>
      <x:c r="G129" s="32" t="n">
        <x:v>0.0785123966942148760330578512</x:v>
      </x:c>
      <x:c r="H129" s="32" t="n">
        <x:v>0.117079889807162534435261708</x:v>
      </x:c>
      <x:c r="I129" s="32" t="n">
        <x:v>0.2162534435261707988980716253</x:v>
      </x:c>
      <x:c r="J129" s="32" t="n">
        <x:v>0.3044077134986225895316804408</x:v>
      </x:c>
      <x:c r="K129" s="32" t="n">
        <x:v>0.3415977961432506887052341598</x:v>
      </x:c>
      <x:c r="L129" s="32" t="n">
        <x:v>0.3719008264462809917355371901</x:v>
      </x:c>
      <x:c r="M129" s="32" t="n">
        <x:v>0.3608815426997245179063360882</x:v>
      </x:c>
      <x:c r="N129" s="32" t="n">
        <x:v>0.3636363636363636363636363636</x:v>
      </x:c>
      <x:c r="O129" s="32" t="n">
        <x:v>0.3787878787878787878787878788</x:v>
      </x:c>
      <x:c r="P129" s="32" t="n">
        <x:v>0.4159779614325068870523415978</x:v>
      </x:c>
      <x:c r="Q129" s="32" t="n">
        <x:v>0.5041322314049586776859504132</x:v>
      </x:c>
      <x:c r="R129" s="32" t="n">
        <x:v>0.5289256198347107438016528926</x:v>
      </x:c>
      <x:c r="S129" s="32" t="n">
        <x:v>0.5454545454545454545454545455</x:v>
      </x:c>
      <x:c r="T129" s="32" t="n">
        <x:v>0.6363636363636363636363636364</x:v>
      </x:c>
      <x:c r="U129" s="32" t="n">
        <x:v>0.6942148760330578512396694215</x:v>
      </x:c>
      <x:c r="V129" s="23" t="n">
        <x:v>0.7176308539944903581267217631</x:v>
      </x:c>
      <x:c r="W129" s="32" t="n">
        <x:v>0.7754820936639118457300275482</x:v>
      </x:c>
      <x:c r="X129" s="32" t="n">
        <x:v>0.8292011019283746556473829201</x:v>
      </x:c>
      <x:c r="Y129" s="32" t="n">
        <x:v>0.8567493112947658402203856749</x:v>
      </x:c>
      <x:c r="Z129" s="32" t="n">
        <x:v>0.851239669421487603305785124</x:v>
      </x:c>
      <x:c r="AA129" s="32" t="n">
        <x:v>0.8636363636363636363636363636</x:v>
      </x:c>
      <x:c r="AB129" s="32" t="n">
        <x:v>0.8925619834710743801652892562</x:v>
      </x:c>
      <x:c r="AC129" s="32" t="n">
        <x:v>0.8911845730027548209366391185</x:v>
      </x:c>
      <x:c r="BI129" s="33" t="s"/>
      <x:c r="BJ129" s="11" t="s">
        <x:v>211</x:v>
      </x:c>
      <x:c r="BK129" s="12" t="str">
        <x:f>=BX129</x:f>
      </x:c>
      <x:c r="BL129" s="12" t="n">
        <x:v>0.877410468319559228650137741</x:v>
      </x:c>
      <x:c r="BM129" s="12" t="n">
        <x:v>0.0853994490358126721763085399</x:v>
      </x:c>
      <x:c r="BN129" s="12" t="n">
        <x:v>0.037190082644628099173553719</x:v>
      </x:c>
      <x:c r="BO129" s="12" t="str">
        <x:f>=BW129</x:f>
      </x:c>
      <x:c r="BP129" s="12" t="str">
        <x:f>=CF129</x:f>
      </x:c>
      <x:c r="BQ129" s="12" t="str"/>
      <x:c r="BR129" s="12" t="str">
        <x:v>AW 2019 MSS</x:v>
      </x:c>
      <x:c r="BS129" s="13" t="str"/>
      <x:c r="BT129" s="30" t="n">
        <x:v>9673.78</x:v>
      </x:c>
      <x:c r="BU129" s="30" t="n">
        <x:v>-5889.09420</x:v>
      </x:c>
      <x:c r="BV129" s="30" t="str">
        <x:f>=BT129+BU129</x:f>
      </x:c>
      <x:c r="BW129" s="66" t="str">
        <x:f>=BV129/BT129</x:f>
      </x:c>
      <x:c r="BX129" s="66" t="n">
        <x:v>0.962809917355371900826446281</x:v>
      </x:c>
      <x:c r="BY129" s="30" t="n">
        <x:v>5408.70</x:v>
      </x:c>
      <x:c r="BZ129" s="41" t="n">
        <x:v>27</x:v>
      </x:c>
      <x:c r="CA129" s="30" t="n">
        <x:v>201.15</x:v>
      </x:c>
      <x:c r="CC129" s="30" t="n">
        <x:v>9674.671184573002754820936639</x:v>
      </x:c>
      <x:c r="CD129" s="30" t="n">
        <x:v>-5889.09420</x:v>
      </x:c>
      <x:c r="CE129" s="30" t="str">
        <x:f>=CC129+CD129</x:f>
      </x:c>
      <x:c r="CF129" s="66" t="str">
        <x:f>=CE129/CC129</x:f>
      </x:c>
      <x:c r="CH129" s="66" t="str">
        <x:f>=CI129+CJ129</x:f>
      </x:c>
      <x:c r="CI129" s="66" t="str">
        <x:f>=BX129+(0*7)</x:f>
      </x:c>
      <x:c r="CJ129" s="66" t="str">
        <x:f>=(1-CI129)*0.5</x:f>
      </x:c>
      <x:c r="CK129" s="66" t="str">
        <x:f>=1-CH129</x:f>
      </x:c>
      <x:c r="CM129" s="66" t="str">
        <x:f>=CJ129/(1-CI129)</x:f>
      </x:c>
    </x:row>
    <x:row r="130">
      <x:c r="A130" s="31" t="s">
        <x:v>308</x:v>
      </x:c>
      <x:c r="B130" t="s"/>
      <x:c r="C130" t="s">
        <x:v>309</x:v>
      </x:c>
      <x:c r="D130" t="s">
        <x:v>274</x:v>
      </x:c>
      <x:c r="E130" s="67" t="s">
        <x:v>131</x:v>
      </x:c>
      <x:c r="F130" t="n">
        <x:v>1158</x:v>
      </x:c>
      <x:c r="G130" s="32" t="n">
        <x:v>0</x:v>
      </x:c>
      <x:c r="H130" s="32" t="n">
        <x:v>0</x:v>
      </x:c>
      <x:c r="I130" s="32" t="n">
        <x:v>0</x:v>
      </x:c>
      <x:c r="J130" s="32" t="n">
        <x:v>0</x:v>
      </x:c>
      <x:c r="K130" s="32" t="n">
        <x:v>0.0189982728842832469775474957</x:v>
      </x:c>
      <x:c r="L130" s="32" t="n">
        <x:v>0.1174438687392055267702936097</x:v>
      </x:c>
      <x:c r="M130" s="32" t="n">
        <x:v>0.1873920552677029360967184801</x:v>
      </x:c>
      <x:c r="N130" s="32" t="n">
        <x:v>0.2081174438687392055267702936</x:v>
      </x:c>
      <x:c r="O130" s="32" t="n">
        <x:v>0.2098445595854922279792746114</x:v>
      </x:c>
      <x:c r="P130" s="32" t="n">
        <x:v>0.2089810017271157167530224525</x:v>
      </x:c>
      <x:c r="Q130" s="32" t="n">
        <x:v>0.2227979274611398963730569948</x:v>
      </x:c>
      <x:c r="R130" s="32" t="n">
        <x:v>0.2668393782383419689119170984</x:v>
      </x:c>
      <x:c r="S130" s="32" t="n">
        <x:v>0.3074265975820379965457685665</x:v>
      </x:c>
      <x:c r="T130" s="32" t="n">
        <x:v>0.344559585492227979274611399</x:v>
      </x:c>
      <x:c r="U130" s="32" t="n">
        <x:v>0.3981001727115716753022452504</x:v>
      </x:c>
      <x:c r="V130" s="32" t="n">
        <x:v>0.4499136442141623488773747841</x:v>
      </x:c>
      <x:c r="W130" s="32" t="n">
        <x:v>0.4818652849740932642487046632</x:v>
      </x:c>
      <x:c r="X130" s="32" t="n">
        <x:v>0.5146804835924006908462867012</x:v>
      </x:c>
      <x:c r="Y130" s="32" t="n">
        <x:v>0.532815198618307426597582038</x:v>
      </x:c>
      <x:c r="BI130" s="33" t="s"/>
      <x:c r="BJ130" s="11" t="s">
        <x:v>137</x:v>
      </x:c>
      <x:c r="BK130" s="12" t="str">
        <x:f>=BX130</x:f>
      </x:c>
      <x:c r="BL130" s="12" t="n">
        <x:v>0.5500863557858376511226252159</x:v>
      </x:c>
      <x:c r="BM130" s="12" t="n">
        <x:v>0.3506044905008635578583765112</x:v>
      </x:c>
      <x:c r="BN130" s="12" t="n">
        <x:v>0.0993091537132987910189982729</x:v>
      </x:c>
      <x:c r="BO130" s="12" t="str">
        <x:f>=BW130</x:f>
      </x:c>
      <x:c r="BP130" s="12" t="str">
        <x:f>=CF130</x:f>
      </x:c>
      <x:c r="BQ130" s="12" t="str"/>
      <x:c r="BR130" s="12" t="str">
        <x:v>AW 2019 MSS</x:v>
      </x:c>
      <x:c r="BS130" s="13" t="str"/>
      <x:c r="BT130" s="30" t="n">
        <x:v>11405.50</x:v>
      </x:c>
      <x:c r="BU130" s="30" t="n">
        <x:v>-10380.89100</x:v>
      </x:c>
      <x:c r="BV130" s="30" t="str">
        <x:f>=BT130+BU130</x:f>
      </x:c>
      <x:c r="BW130" s="66" t="str">
        <x:f>=BV130/BT130</x:f>
      </x:c>
      <x:c r="BX130" s="66" t="n">
        <x:v>0.9006908462867012089810017271</x:v>
      </x:c>
      <x:c r="BY130" s="30" t="n">
        <x:v>9553.50</x:v>
      </x:c>
      <x:c r="BZ130" s="41" t="n">
        <x:v>115</x:v>
      </x:c>
      <x:c r="CA130" s="30" t="n">
        <x:v>948.75</x:v>
      </x:c>
      <x:c r="CC130" s="30" t="n">
        <x:v>11406.032815198618307426597582</x:v>
      </x:c>
      <x:c r="CD130" s="30" t="n">
        <x:v>-10380.89100</x:v>
      </x:c>
      <x:c r="CE130" s="30" t="str">
        <x:f>=CC130+CD130</x:f>
      </x:c>
      <x:c r="CF130" s="66" t="str">
        <x:f>=CE130/CC130</x:f>
      </x:c>
      <x:c r="CH130" s="66" t="str">
        <x:f>=CI130+CJ130</x:f>
      </x:c>
      <x:c r="CI130" s="66" t="str">
        <x:f>=BX130+(0*7)</x:f>
      </x:c>
      <x:c r="CJ130" s="66" t="str">
        <x:f>=(1-CI130)*0.5</x:f>
      </x:c>
      <x:c r="CK130" s="66" t="str">
        <x:f>=1-CH130</x:f>
      </x:c>
      <x:c r="CM130" s="66" t="str">
        <x:f>=CJ130/(1-CI130)</x:f>
      </x:c>
    </x:row>
    <x:row r="131">
      <x:c r="A131" s="31" t="s">
        <x:v>310</x:v>
      </x:c>
      <x:c r="B131" t="s"/>
      <x:c r="C131" t="s">
        <x:v>311</x:v>
      </x:c>
      <x:c r="D131" t="s">
        <x:v>147</x:v>
      </x:c>
      <x:c r="E131" s="67" t="s">
        <x:v>131</x:v>
      </x:c>
      <x:c r="F131" t="n">
        <x:v>1034</x:v>
      </x:c>
      <x:c r="G131" s="32" t="n">
        <x:v>0.0009671179883945841392649903</x:v>
      </x:c>
      <x:c r="H131" s="32" t="n">
        <x:v>0.1015473887814313346228239845</x:v>
      </x:c>
      <x:c r="I131" s="32" t="n">
        <x:v>0.29400386847195357833655706</x:v>
      </x:c>
      <x:c r="J131" s="32" t="n">
        <x:v>0.4796905222437137330754352031</x:v>
      </x:c>
      <x:c r="K131" s="32" t="n">
        <x:v>0.4748549323017408123791102515</x:v>
      </x:c>
      <x:c r="L131" s="32" t="n">
        <x:v>0.5164410058027079303675048356</x:v>
      </x:c>
      <x:c r="M131" s="32" t="n">
        <x:v>0.5754352030947775628626692456</x:v>
      </x:c>
      <x:c r="N131" s="32" t="n">
        <x:v>0.5870406189555125725338491296</x:v>
      </x:c>
      <x:c r="O131" s="32" t="n">
        <x:v>0.5996131528046421663442940039</x:v>
      </x:c>
      <x:c r="P131" s="32" t="n">
        <x:v>0.6102514506769825918762088975</x:v>
      </x:c>
      <x:c r="Q131" s="32" t="n">
        <x:v>0.6160541586073500967117988395</x:v>
      </x:c>
      <x:c r="R131" s="32" t="n">
        <x:v>0.6295938104448742746615087041</x:v>
      </x:c>
      <x:c r="S131" s="32" t="n">
        <x:v>0.6286266924564796905222437137</x:v>
      </x:c>
      <x:c r="T131" s="32" t="n">
        <x:v>0.6208897485493230174081237911</x:v>
      </x:c>
      <x:c r="BI131" s="33" t="s"/>
      <x:c r="BJ131" s="11" t="s">
        <x:v>123</x:v>
      </x:c>
      <x:c r="BK131" s="12" t="str">
        <x:f>=BX131</x:f>
      </x:c>
      <x:c r="BL131" s="12" t="n">
        <x:v>0.6170212765957446808510638298</x:v>
      </x:c>
      <x:c r="BM131" s="12" t="n">
        <x:v>0.3375241779497098646034816248</x:v>
      </x:c>
      <x:c r="BN131" s="12" t="n">
        <x:v>0.0454545454545454545454545455</x:v>
      </x:c>
      <x:c r="BO131" s="12" t="str">
        <x:f>=BW131</x:f>
      </x:c>
      <x:c r="BP131" s="12" t="str">
        <x:f>=CF131</x:f>
      </x:c>
      <x:c r="BQ131" s="12" t="str"/>
      <x:c r="BR131" s="12" t="str">
        <x:v>AW 2019 MSS</x:v>
      </x:c>
      <x:c r="BS131" s="13" t="str"/>
      <x:c r="BT131" s="30" t="n">
        <x:v>11111.73</x:v>
      </x:c>
      <x:c r="BU131" s="30" t="n">
        <x:v>-8441.5760</x:v>
      </x:c>
      <x:c r="BV131" s="30" t="str">
        <x:f>=BT131+BU131</x:f>
      </x:c>
      <x:c r="BW131" s="66" t="str">
        <x:f>=BV131/BT131</x:f>
      </x:c>
      <x:c r="BX131" s="66" t="n">
        <x:v>0.9545454545454545454545454545</x:v>
      </x:c>
      <x:c r="BY131" s="30" t="n">
        <x:v>8478.80</x:v>
      </x:c>
      <x:c r="BZ131" s="41" t="n">
        <x:v>47</x:v>
      </x:c>
      <x:c r="CA131" s="30" t="n">
        <x:v>385.40</x:v>
      </x:c>
      <x:c r="CC131" s="30" t="n">
        <x:v>11112.350889748549323017408124</x:v>
      </x:c>
      <x:c r="CD131" s="30" t="n">
        <x:v>-8441.5760</x:v>
      </x:c>
      <x:c r="CE131" s="30" t="str">
        <x:f>=CC131+CD131</x:f>
      </x:c>
      <x:c r="CF131" s="66" t="str">
        <x:f>=CE131/CC131</x:f>
      </x:c>
      <x:c r="CH131" s="66" t="str">
        <x:f>=CI131+CJ131</x:f>
      </x:c>
      <x:c r="CI131" s="66" t="str">
        <x:f>=BX131+(0*7)</x:f>
      </x:c>
      <x:c r="CJ131" s="66" t="str">
        <x:f>=(1-CI131)*0.5</x:f>
      </x:c>
      <x:c r="CK131" s="66" t="str">
        <x:f>=1-CH131</x:f>
      </x:c>
      <x:c r="CM131" s="66" t="str">
        <x:f>=CJ131/(1-CI131)</x:f>
      </x:c>
    </x:row>
    <x:row r="132">
      <x:c r="A132" s="31" t="s">
        <x:v>312</x:v>
      </x:c>
      <x:c r="B132" t="s"/>
      <x:c r="C132" t="s">
        <x:v>313</x:v>
      </x:c>
      <x:c r="D132" t="s">
        <x:v>147</x:v>
      </x:c>
      <x:c r="E132" s="67" t="s">
        <x:v>131</x:v>
      </x:c>
      <x:c r="F132" t="n">
        <x:v>893</x:v>
      </x:c>
      <x:c r="G132" s="32" t="n">
        <x:v>0.1466965285554311310190369541</x:v>
      </x:c>
      <x:c r="H132" s="32" t="n">
        <x:v>0.5442329227323628219484882419</x:v>
      </x:c>
      <x:c r="I132" s="32" t="n">
        <x:v>0.6797312430011198208286674132</x:v>
      </x:c>
      <x:c r="J132" s="23" t="n">
        <x:v>0.7267637178051511758118701008</x:v>
      </x:c>
      <x:c r="K132" s="32" t="n">
        <x:v>0.7838745800671892497200447928</x:v>
      </x:c>
      <x:c r="L132" s="32" t="n">
        <x:v>0.7894736842105263157894736842</x:v>
      </x:c>
      <x:c r="M132" s="32" t="n">
        <x:v>0.8297872340425531914893617021</x:v>
      </x:c>
      <x:c r="N132" s="32" t="n">
        <x:v>0.8365061590145576707726763718</x:v>
      </x:c>
      <x:c r="O132" s="32" t="n">
        <x:v>0.8611422172452407614781634938</x:v>
      </x:c>
      <x:c r="P132" s="32" t="n">
        <x:v>0.8723404255319148936170212766</x:v>
      </x:c>
      <x:c r="Q132" s="32" t="n">
        <x:v>0.8801791713325867861142217245</x:v>
      </x:c>
      <x:c r="R132" s="32" t="n">
        <x:v>0.8913773796192609182530795073</x:v>
      </x:c>
      <x:c r="BI132" s="33" t="s"/>
      <x:c r="BJ132" s="11" t="s">
        <x:v>314</x:v>
      </x:c>
      <x:c r="BK132" s="12" t="str">
        <x:f>=BX132</x:f>
      </x:c>
      <x:c r="BL132" s="12" t="n">
        <x:v>0.8835386338185890257558790594</x:v>
      </x:c>
      <x:c r="BM132" s="12" t="n">
        <x:v>0.0884658454647256438969764838</x:v>
      </x:c>
      <x:c r="BN132" s="12" t="n">
        <x:v>0.0279955207166853303471444569</x:v>
      </x:c>
      <x:c r="BO132" s="12" t="str">
        <x:f>=BW132</x:f>
      </x:c>
      <x:c r="BP132" s="12" t="str">
        <x:f>=CF132</x:f>
      </x:c>
      <x:c r="BQ132" s="12" t="str"/>
      <x:c r="BR132" s="12" t="str">
        <x:v>AW 2019 MSS</x:v>
      </x:c>
      <x:c r="BS132" s="13" t="str"/>
      <x:c r="BT132" s="30" t="n">
        <x:v>12918.54</x:v>
      </x:c>
      <x:c r="BU132" s="30" t="n">
        <x:v>-8845.8794</x:v>
      </x:c>
      <x:c r="BV132" s="30" t="str">
        <x:f>=BT132+BU132</x:f>
      </x:c>
      <x:c r="BW132" s="66" t="str">
        <x:f>=BV132/BT132</x:f>
      </x:c>
      <x:c r="BX132" s="66" t="n">
        <x:v>0.9720044792833146696528555431</x:v>
      </x:c>
      <x:c r="BY132" s="30" t="n">
        <x:v>8903.21</x:v>
      </x:c>
      <x:c r="BZ132" s="41" t="n">
        <x:v>25</x:v>
      </x:c>
      <x:c r="CA132" s="30" t="n">
        <x:v>249.25</x:v>
      </x:c>
      <x:c r="CC132" s="30" t="n">
        <x:v>12919.431377379619260918253080</x:v>
      </x:c>
      <x:c r="CD132" s="30" t="n">
        <x:v>-8845.8794</x:v>
      </x:c>
      <x:c r="CE132" s="30" t="str">
        <x:f>=CC132+CD132</x:f>
      </x:c>
      <x:c r="CF132" s="66" t="str">
        <x:f>=CE132/CC132</x:f>
      </x:c>
      <x:c r="CH132" s="66" t="str">
        <x:f>=CI132+CJ132</x:f>
      </x:c>
      <x:c r="CI132" s="66" t="str">
        <x:f>=BX132+(0*7)</x:f>
      </x:c>
      <x:c r="CJ132" s="66" t="str">
        <x:f>=(1-CI132)*0.5</x:f>
      </x:c>
      <x:c r="CK132" s="66" t="str">
        <x:f>=1-CH132</x:f>
      </x:c>
      <x:c r="CM132" s="66" t="str">
        <x:f>=CJ132/(1-CI132)</x:f>
      </x:c>
    </x:row>
    <x:row r="133">
      <x:c r="A133" s="34" t="s"/>
      <x:c r="B133" s="6" t="s"/>
      <x:c r="C133" s="6" t="s"/>
      <x:c r="D133" s="6" t="s"/>
      <x:c r="E133" s="6" t="s"/>
      <x:c r="F133" s="6" t="s"/>
      <x:c r="G133" s="6" t="s"/>
      <x:c r="H133" s="6" t="s"/>
      <x:c r="I133" s="6" t="s"/>
      <x:c r="J133" s="6" t="s"/>
      <x:c r="K133" s="6" t="s"/>
      <x:c r="L133" s="6" t="s"/>
      <x:c r="M133" s="6" t="s"/>
      <x:c r="N133" s="6" t="s"/>
      <x:c r="O133" s="6" t="s"/>
      <x:c r="P133" s="6" t="s"/>
      <x:c r="Q133" s="6" t="s"/>
      <x:c r="R133" s="6" t="s"/>
      <x:c r="S133" s="6" t="s"/>
      <x:c r="T133" s="6" t="s"/>
      <x:c r="U133" s="6" t="s"/>
      <x:c r="V133" s="6" t="s"/>
      <x:c r="W133" s="6" t="s"/>
      <x:c r="X133" s="6" t="s"/>
      <x:c r="Y133" s="6" t="s"/>
      <x:c r="Z133" s="6" t="s"/>
      <x:c r="AA133" s="6" t="s"/>
      <x:c r="AB133" s="6" t="s"/>
      <x:c r="AC133" s="6" t="s"/>
      <x:c r="AD133" s="6" t="s"/>
      <x:c r="AE133" s="6" t="s"/>
      <x:c r="AF133" s="6" t="s"/>
      <x:c r="AG133" s="6" t="s"/>
      <x:c r="AH133" s="6" t="s"/>
      <x:c r="AI133" s="6" t="s"/>
      <x:c r="AJ133" s="6" t="s"/>
      <x:c r="AK133" s="6" t="s"/>
      <x:c r="AL133" s="6" t="s"/>
      <x:c r="AM133" s="6" t="s"/>
      <x:c r="AN133" s="6" t="s"/>
      <x:c r="AO133" s="6" t="s"/>
      <x:c r="AP133" s="6" t="s"/>
      <x:c r="AQ133" s="6" t="s"/>
      <x:c r="AR133" s="6" t="s"/>
      <x:c r="AS133" s="6" t="s"/>
      <x:c r="AT133" s="6" t="s"/>
      <x:c r="AU133" s="6" t="s"/>
      <x:c r="AV133" s="6" t="s"/>
      <x:c r="AW133" s="6" t="s"/>
      <x:c r="AX133" s="6" t="s"/>
      <x:c r="AY133" s="6" t="s"/>
      <x:c r="AZ133" s="6" t="s"/>
      <x:c r="BA133" s="6" t="s"/>
      <x:c r="BB133" s="6" t="s"/>
      <x:c r="BC133" s="6" t="s"/>
      <x:c r="BD133" s="6" t="s"/>
      <x:c r="BE133" s="6" t="s"/>
      <x:c r="BF133" s="6" t="s"/>
      <x:c r="BG133" s="6" t="s"/>
      <x:c r="BH133" s="6" t="s"/>
      <x:c r="BI133" s="8" t="s"/>
      <x:c r="BJ133" s="14" t="s">
        <x:v>36</x:v>
      </x:c>
      <x:c r="BK133" s="15" t="s"/>
      <x:c r="BL133" s="15" t="s"/>
      <x:c r="BM133" s="15" t="s"/>
      <x:c r="BN133" s="15" t="s"/>
      <x:c r="BO133" s="37">
        <x:f>=BV134/BT134</x:f>
      </x:c>
      <x:c r="BP133" s="37">
        <x:f>=CF134</x:f>
      </x:c>
      <x:c r="BQ133" s="6" t="s"/>
      <x:c r="BR133" s="6" t="s"/>
      <x:c r="BS133" s="8" t="s"/>
      <x:c r="BT133" s="20" t="n">
        <x:v>354161.66</x:v>
      </x:c>
      <x:c r="BU133" s="20" t="n">
        <x:v>-270096.26113641000000000000</x:v>
      </x:c>
      <x:c r="BV133" s="20" t="str">
        <x:f>=BT133+BU133</x:f>
      </x:c>
      <x:c r="BW133" s="21" t="n">
        <x:v>0.2373644816990918779858892688</x:v>
      </x:c>
      <x:c r="BY133" s="20" t="n">
        <x:v>-254540.72</x:v>
      </x:c>
      <x:c r="BZ133" s="20" t="n">
        <x:v>860</x:v>
      </x:c>
      <x:c r="CA133" s="20" t="n">
        <x:v>4851.5108087143458699940160901</x:v>
      </x:c>
      <x:c r="CC133" s="20" t="n">
        <x:v>354834.39140500630135491431492</x:v>
      </x:c>
      <x:c r="CD133" s="20" t="n">
        <x:v>-270096.26113641000000000000</x:v>
      </x:c>
      <x:c r="CE133" s="20" t="str">
        <x:f>=CC133+CD133</x:f>
      </x:c>
      <x:c r="CF133" s="21" t="n">
        <x:v>0.2388103642746302992790417895</x:v>
      </x:c>
    </x:row>
    <x:row r="134">
      <x:c r="BT134" s="18" t="n">
        <x:v>354161.66</x:v>
      </x:c>
      <x:c r="BU134" s="18" t="n">
        <x:v>-270096.26113641000000000000</x:v>
      </x:c>
      <x:c r="BV134" s="18" t="str">
        <x:f>=BT134+BU134</x:f>
      </x:c>
      <x:c r="BW134" s="19" t="n">
        <x:v>0.2373644816990918779858892688</x:v>
      </x:c>
      <x:c r="BY134" s="18" t="n">
        <x:v>-254540.72</x:v>
      </x:c>
      <x:c r="BZ134" s="18" t="n">
        <x:v>860</x:v>
      </x:c>
      <x:c r="CA134" s="18" t="n">
        <x:v>4851.5108087143458699940160901</x:v>
      </x:c>
      <x:c r="CC134" s="18" t="n">
        <x:v>354834.39140500630135491431492</x:v>
      </x:c>
      <x:c r="CD134" s="18" t="n">
        <x:v>-270096.26113641000000000000</x:v>
      </x:c>
      <x:c r="CE134" s="18" t="str">
        <x:f>=CC134+CD134</x:f>
      </x:c>
      <x:c r="CF134" s="19" t="n">
        <x:v>0.2388103642746302992790417895</x:v>
      </x:c>
    </x:row>
    <x:row r="135">
      <x:c r="A135" s="10" t="s">
        <x:v>315</x:v>
      </x:c>
      <x:c r="B135" s="5" t="s"/>
      <x:c r="C135" s="5" t="s"/>
      <x:c r="D135" s="5" t="s"/>
      <x:c r="E135" s="5" t="s"/>
      <x:c r="F135" s="5" t="s"/>
      <x:c r="G135" s="5" t="s"/>
      <x:c r="H135" s="5" t="s"/>
      <x:c r="I135" s="5" t="s"/>
      <x:c r="J135" s="5" t="s"/>
      <x:c r="K135" s="5" t="s"/>
      <x:c r="L135" s="5" t="s"/>
      <x:c r="M135" s="5" t="s"/>
      <x:c r="N135" s="5" t="s"/>
      <x:c r="O135" s="5" t="s"/>
      <x:c r="P135" s="5" t="s"/>
      <x:c r="Q135" s="5" t="s"/>
      <x:c r="R135" s="5" t="s"/>
      <x:c r="S135" s="5" t="s"/>
      <x:c r="T135" s="5" t="s"/>
      <x:c r="U135" s="5" t="s"/>
      <x:c r="V135" s="5" t="s"/>
      <x:c r="W135" s="5" t="s"/>
      <x:c r="X135" s="5" t="s"/>
      <x:c r="Y135" s="5" t="s"/>
      <x:c r="Z135" s="5" t="s"/>
      <x:c r="AA135" s="5" t="s"/>
      <x:c r="AB135" s="5" t="s"/>
      <x:c r="AC135" s="5" t="s"/>
      <x:c r="AD135" s="5" t="s"/>
      <x:c r="AE135" s="5" t="s"/>
      <x:c r="AF135" s="5" t="s"/>
      <x:c r="AG135" s="5" t="s"/>
      <x:c r="AH135" s="5" t="s"/>
      <x:c r="AI135" s="5" t="s"/>
      <x:c r="AJ135" s="5" t="s"/>
      <x:c r="AK135" s="5" t="s"/>
      <x:c r="AL135" s="5" t="s"/>
      <x:c r="AM135" s="5" t="s"/>
      <x:c r="AN135" s="5" t="s"/>
      <x:c r="AO135" s="5" t="s"/>
      <x:c r="AP135" s="5" t="s"/>
      <x:c r="AQ135" s="5" t="s"/>
      <x:c r="AR135" s="5" t="s"/>
      <x:c r="AS135" s="5" t="s"/>
      <x:c r="AT135" s="5" t="s"/>
      <x:c r="AU135" s="5" t="s"/>
      <x:c r="AV135" s="5" t="s"/>
      <x:c r="AW135" s="5" t="s"/>
      <x:c r="AX135" s="5" t="s"/>
      <x:c r="AY135" s="5" t="s"/>
      <x:c r="AZ135" s="5" t="s"/>
      <x:c r="BA135" s="5" t="s"/>
      <x:c r="BB135" s="5" t="s"/>
      <x:c r="BC135" s="5" t="s"/>
      <x:c r="BD135" s="5" t="s"/>
      <x:c r="BE135" s="5" t="s"/>
      <x:c r="BF135" s="5" t="s"/>
      <x:c r="BG135" s="5" t="s"/>
      <x:c r="BH135" s="5" t="s"/>
      <x:c r="BI135" s="7" t="s"/>
      <x:c r="BJ135" s="10" t="s"/>
      <x:c r="BK135" s="5" t="s"/>
      <x:c r="BL135" s="5" t="s"/>
      <x:c r="BM135" s="5" t="s"/>
      <x:c r="BN135" s="5" t="s"/>
      <x:c r="BO135" s="5" t="s"/>
      <x:c r="BP135" s="5" t="s"/>
      <x:c r="BQ135" s="5" t="s"/>
      <x:c r="BR135" s="5" t="s"/>
      <x:c r="BS135" s="7" t="s"/>
      <x:c r="BT135" s="47" t="s">
        <x:v>11</x:v>
      </x:c>
      <x:c r="BU135" s="48"/>
      <x:c r="BV135" s="49"/>
      <x:c r="BW135" s="50"/>
      <x:c r="BX135" s="50"/>
      <x:c r="BY135" s="51"/>
      <x:c r="BZ135" s="52"/>
      <x:c r="CA135" s="51"/>
      <x:c r="CC135" s="57" t="s">
        <x:v>26</x:v>
      </x:c>
      <x:c r="CD135" s="58"/>
      <x:c r="CE135" s="58"/>
      <x:c r="CF135" s="58"/>
      <x:c r="CG135" s="58"/>
      <x:c r="CH135" s="59"/>
      <x:c r="CI135" s="59"/>
      <x:c r="CJ135" s="59"/>
      <x:c r="CK135" s="59"/>
      <x:c r="CL135" s="58"/>
      <x:c r="CM135" s="60"/>
    </x:row>
    <x:row r="136" ht="45.75" customHeight="1">
      <x:c r="A136" s="40" t="s">
        <x:v>43</x:v>
      </x:c>
      <x:c r="B136" s="40" t="s">
        <x:v>44</x:v>
      </x:c>
      <x:c r="C136" s="40" t="s">
        <x:v>45</x:v>
      </x:c>
      <x:c r="D136" s="40" t="s">
        <x:v>46</x:v>
      </x:c>
      <x:c r="E136" s="40" t="s">
        <x:v>47</x:v>
      </x:c>
      <x:c r="F136" s="40" t="s">
        <x:v>102</x:v>
      </x:c>
      <x:c r="G136" s="40" t="s">
        <x:v>48</x:v>
      </x:c>
      <x:c r="H136" s="40" t="s">
        <x:v>49</x:v>
      </x:c>
      <x:c r="I136" s="40" t="s">
        <x:v>50</x:v>
      </x:c>
      <x:c r="J136" s="40" t="s">
        <x:v>51</x:v>
      </x:c>
      <x:c r="K136" s="40" t="s">
        <x:v>52</x:v>
      </x:c>
      <x:c r="L136" s="40" t="s">
        <x:v>53</x:v>
      </x:c>
      <x:c r="M136" s="40" t="s">
        <x:v>54</x:v>
      </x:c>
      <x:c r="N136" s="40" t="s">
        <x:v>55</x:v>
      </x:c>
      <x:c r="O136" s="40" t="s">
        <x:v>56</x:v>
      </x:c>
      <x:c r="P136" s="40" t="s">
        <x:v>57</x:v>
      </x:c>
      <x:c r="Q136" s="40" t="s">
        <x:v>58</x:v>
      </x:c>
      <x:c r="R136" s="40" t="s">
        <x:v>59</x:v>
      </x:c>
      <x:c r="S136" s="40" t="s">
        <x:v>60</x:v>
      </x:c>
      <x:c r="T136" s="40" t="s">
        <x:v>61</x:v>
      </x:c>
      <x:c r="U136" s="40" t="s">
        <x:v>62</x:v>
      </x:c>
      <x:c r="V136" s="40" t="s">
        <x:v>63</x:v>
      </x:c>
      <x:c r="W136" s="40" t="s">
        <x:v>64</x:v>
      </x:c>
      <x:c r="X136" s="40" t="s">
        <x:v>65</x:v>
      </x:c>
      <x:c r="Y136" s="40" t="s">
        <x:v>66</x:v>
      </x:c>
      <x:c r="Z136" s="40" t="s">
        <x:v>67</x:v>
      </x:c>
      <x:c r="AA136" s="40" t="s">
        <x:v>68</x:v>
      </x:c>
      <x:c r="AB136" s="40" t="s">
        <x:v>69</x:v>
      </x:c>
      <x:c r="AC136" s="40" t="s">
        <x:v>70</x:v>
      </x:c>
      <x:c r="AD136" s="40" t="s">
        <x:v>71</x:v>
      </x:c>
      <x:c r="AE136" s="40" t="s">
        <x:v>72</x:v>
      </x:c>
      <x:c r="AF136" s="40" t="s">
        <x:v>73</x:v>
      </x:c>
      <x:c r="AG136" s="40" t="s">
        <x:v>74</x:v>
      </x:c>
      <x:c r="AH136" s="40" t="s">
        <x:v>75</x:v>
      </x:c>
      <x:c r="AI136" s="40" t="s">
        <x:v>76</x:v>
      </x:c>
      <x:c r="AJ136" s="40" t="s">
        <x:v>77</x:v>
      </x:c>
      <x:c r="AK136" s="40" t="s">
        <x:v>78</x:v>
      </x:c>
      <x:c r="AL136" s="40" t="s">
        <x:v>79</x:v>
      </x:c>
      <x:c r="AM136" s="40" t="s">
        <x:v>80</x:v>
      </x:c>
      <x:c r="AN136" s="40" t="s">
        <x:v>81</x:v>
      </x:c>
      <x:c r="AO136" s="40" t="s">
        <x:v>82</x:v>
      </x:c>
      <x:c r="AP136" s="40" t="s">
        <x:v>83</x:v>
      </x:c>
      <x:c r="AQ136" s="40" t="s">
        <x:v>84</x:v>
      </x:c>
      <x:c r="AR136" s="40" t="s">
        <x:v>85</x:v>
      </x:c>
      <x:c r="AS136" s="40" t="s">
        <x:v>86</x:v>
      </x:c>
      <x:c r="AT136" s="40" t="s">
        <x:v>87</x:v>
      </x:c>
      <x:c r="AU136" s="40" t="s">
        <x:v>88</x:v>
      </x:c>
      <x:c r="AV136" s="40" t="s">
        <x:v>89</x:v>
      </x:c>
      <x:c r="AW136" s="40" t="s">
        <x:v>90</x:v>
      </x:c>
      <x:c r="AX136" s="40" t="s">
        <x:v>91</x:v>
      </x:c>
      <x:c r="AY136" s="40" t="s">
        <x:v>92</x:v>
      </x:c>
      <x:c r="AZ136" s="40" t="s">
        <x:v>93</x:v>
      </x:c>
      <x:c r="BA136" s="40" t="s">
        <x:v>94</x:v>
      </x:c>
      <x:c r="BB136" s="40" t="s">
        <x:v>95</x:v>
      </x:c>
      <x:c r="BC136" s="40" t="s">
        <x:v>96</x:v>
      </x:c>
      <x:c r="BD136" s="40" t="s">
        <x:v>97</x:v>
      </x:c>
      <x:c r="BE136" s="40" t="s">
        <x:v>98</x:v>
      </x:c>
      <x:c r="BF136" s="40" t="s">
        <x:v>99</x:v>
      </x:c>
      <x:c r="BG136" s="40" t="s">
        <x:v>100</x:v>
      </x:c>
      <x:c r="BH136" s="40" t="s">
        <x:v>101</x:v>
      </x:c>
      <x:c r="BJ136" s="31" t="s">
        <x:v>103</x:v>
      </x:c>
      <x:c r="BK136" s="32" t="s">
        <x:v>104</x:v>
      </x:c>
      <x:c r="BL136" s="32" t="s">
        <x:v>105</x:v>
      </x:c>
      <x:c r="BM136" s="32" t="s">
        <x:v>106</x:v>
      </x:c>
      <x:c r="BN136" s="32" t="s">
        <x:v>107</x:v>
      </x:c>
      <x:c r="BO136" s="32" t="s">
        <x:v>108</x:v>
      </x:c>
      <x:c r="BP136" s="32" t="s">
        <x:v>109</x:v>
      </x:c>
      <x:c r="BQ136" s="32" t="s">
        <x:v>110</x:v>
      </x:c>
      <x:c r="BR136" s="32" t="s">
        <x:v>111</x:v>
      </x:c>
      <x:c r="BS136" s="33" t="s">
        <x:v>112</x:v>
      </x:c>
      <x:c r="BT136" s="53" t="s">
        <x:v>12</x:v>
      </x:c>
      <x:c r="BU136" s="54" t="s">
        <x:v>13</x:v>
      </x:c>
      <x:c r="BV136" s="54" t="s">
        <x:v>14</x:v>
      </x:c>
      <x:c r="BW136" s="55" t="s">
        <x:v>15</x:v>
      </x:c>
      <x:c r="BX136" s="55" t="s">
        <x:v>27</x:v>
      </x:c>
      <x:c r="BY136" s="56" t="s">
        <x:v>16</x:v>
      </x:c>
      <x:c r="BZ136" s="53" t="s">
        <x:v>17</x:v>
      </x:c>
      <x:c r="CA136" s="56" t="s">
        <x:v>18</x:v>
      </x:c>
      <x:c r="CC136" s="61" t="s">
        <x:v>19</x:v>
      </x:c>
      <x:c r="CD136" s="62" t="s">
        <x:v>20</x:v>
      </x:c>
      <x:c r="CE136" s="62" t="s">
        <x:v>21</x:v>
      </x:c>
      <x:c r="CF136" s="62" t="s">
        <x:v>15</x:v>
      </x:c>
      <x:c r="CG136" s="62"/>
      <x:c r="CH136" s="63" t="s">
        <x:v>22</x:v>
      </x:c>
      <x:c r="CI136" s="63" t="s">
        <x:v>23</x:v>
      </x:c>
      <x:c r="CJ136" s="63" t="s">
        <x:v>25</x:v>
      </x:c>
      <x:c r="CK136" s="63" t="s">
        <x:v>24</x:v>
      </x:c>
      <x:c r="CL136" s="62"/>
      <x:c r="CM136" s="64" t="s">
        <x:v>28</x:v>
      </x:c>
    </x:row>
    <x:row r="137">
      <x:c r="BJ137" s="31" t="s"/>
      <x:c r="BS137" s="33" t="s"/>
    </x:row>
    <x:row r="138">
      <x:c r="A138" s="35" t="s">
        <x:v>150</x:v>
      </x:c>
      <x:c r="BI138" s="33" t="s"/>
      <x:c r="BJ138" s="11" t="s"/>
      <x:c r="BS138" s="13" t="s"/>
    </x:row>
    <x:row r="139">
      <x:c r="A139" s="17" t="s">
        <x:v>127</x:v>
      </x:c>
      <x:c r="BI139" s="33" t="s"/>
      <x:c r="BJ139" s="11" t="s"/>
      <x:c r="BS139" s="13" t="s"/>
    </x:row>
    <x:row r="140">
      <x:c r="A140" s="31" t="s">
        <x:v>316</x:v>
      </x:c>
      <x:c r="B140" t="s">
        <x:v>116</x:v>
      </x:c>
      <x:c r="C140" t="s">
        <x:v>317</x:v>
      </x:c>
      <x:c r="D140" t="s">
        <x:v>118</x:v>
      </x:c>
      <x:c r="E140" s="69" t="s">
        <x:v>153</x:v>
      </x:c>
      <x:c r="F140" t="n">
        <x:v>5247</x:v>
      </x:c>
      <x:c r="G140" s="32" t="n">
        <x:v>0.0421193062702496664760815704</x:v>
      </x:c>
      <x:c r="H140" s="32" t="n">
        <x:v>0.1435105774728416237850200114</x:v>
      </x:c>
      <x:c r="I140" s="32" t="n">
        <x:v>0.2643415284924718886983037926</x:v>
      </x:c>
      <x:c r="J140" s="32" t="n">
        <x:v>0.3401943967981703830760434534</x:v>
      </x:c>
      <x:c r="K140" s="32" t="n">
        <x:v>0.4057556699066133028397179341</x:v>
      </x:c>
      <x:c r="L140" s="32" t="n">
        <x:v>0.4678864112826376977320373547</x:v>
      </x:c>
      <x:c r="M140" s="32" t="n">
        <x:v>0.5189632170764246235944349152</x:v>
      </x:c>
      <x:c r="N140" s="32" t="n">
        <x:v>0.5669906613302839717934057557</x:v>
      </x:c>
      <x:c r="O140" s="32" t="n">
        <x:v>0.6264532113588717362302267963</x:v>
      </x:c>
      <x:c r="P140" s="32" t="n">
        <x:v>0.6582809224318658280922431866</x:v>
      </x:c>
      <x:c r="Q140" s="32" t="n">
        <x:v>0.6784829426338860301124452068</x:v>
      </x:c>
      <x:c r="R140" s="32" t="n">
        <x:v>0.6845816657137411854392986468</x:v>
      </x:c>
      <x:c r="S140" s="32" t="n">
        <x:v>0.6922050695635601295978654469</x:v>
      </x:c>
      <x:c r="T140" s="23" t="n">
        <x:v>0.703640175338288545835715647</x:v>
      </x:c>
      <x:c r="U140" s="32" t="n">
        <x:v>0.7101200686106346483704974271</x:v>
      </x:c>
      <x:c r="V140" s="32" t="n">
        <x:v>0.7165999618829807509052792072</x:v>
      </x:c>
      <x:c r="W140" s="32" t="n">
        <x:v>0.7249857061177815894797026872</x:v>
      </x:c>
      <x:c r="X140" s="32" t="n">
        <x:v>0.7307032590051457975986277873</x:v>
      </x:c>
      <x:c r="Y140" s="32" t="n">
        <x:v>0.7385172479512102153611587574</x:v>
      </x:c>
      <x:c r="Z140" s="32" t="n">
        <x:v>0.7448065561273108442919763674</x:v>
      </x:c>
      <x:c r="AA140" s="32" t="n">
        <x:v>0.7478559176672384219554030875</x:v>
      </x:c>
      <x:c r="AB140" s="32" t="n">
        <x:v>0.7505241090146750524109014675</x:v>
      </x:c>
      <x:c r="AC140" s="32" t="n">
        <x:v>0.7562416619020392605298265676</x:v>
      </x:c>
      <x:c r="AD140" s="32" t="n">
        <x:v>0.7611968744044215742328949876</x:v>
      </x:c>
      <x:c r="AE140" s="32" t="n">
        <x:v>0.7709167143129407280350676577</x:v>
      </x:c>
      <x:c r="AF140" s="32" t="n">
        <x:v>0.7711072994091862016390318277</x:v>
      </x:c>
      <x:c r="AG140" s="32" t="n">
        <x:v>0.7775871926815323041738136078</x:v>
      </x:c>
      <x:c r="AH140" s="32" t="n">
        <x:v>0.7922622450924337716790546979</x:v>
      </x:c>
      <x:c r="AI140" s="32" t="n">
        <x:v>0.8082713931770535544120449781</x:v>
      </x:c>
      <x:c r="AJ140" s="32" t="n">
        <x:v>0.8195159138555364970459310082</x:v>
      </x:c>
      <x:c r="AK140" s="32" t="n">
        <x:v>0.8385744234800838574423480084</x:v>
      </x:c>
      <x:c r="AL140" s="32" t="n">
        <x:v>0.8549647417571945873832666285</x:v>
      </x:c>
      <x:c r="AM140" s="32" t="n">
        <x:v>0.8679245283018867924528301887</x:v>
      </x:c>
      <x:c r="AN140" s="32" t="n">
        <x:v>0.8907947398513436249285305889</x:v>
      </x:c>
      <x:c r="AO140" s="32" t="n">
        <x:v>0.9165237278444825614636935392</x:v>
      </x:c>
      <x:c r="AP140" s="32" t="n">
        <x:v>0.9331046312178387650085763293</x:v>
      </x:c>
      <x:c r="AQ140" s="32" t="n">
        <x:v>0.9456832475700400228702115495</x:v>
      </x:c>
      <x:c r="AR140" s="32" t="n">
        <x:v>0.9514008004574042309891366495</x:v>
      </x:c>
      <x:c r="AS140" s="32" t="n">
        <x:v>0.9561654278635410710882408996</x:v>
      </x:c>
      <x:c r="AT140" s="32" t="n">
        <x:v>0.9586430341147322279397751096</x:v>
      </x:c>
      <x:c r="AU140" s="32" t="n">
        <x:v>0.9611206403659233847913093196</x:v>
      </x:c>
      <x:c r="AV140" s="32" t="n">
        <x:v>0.9630264913283781208309510196</x:v>
      </x:c>
      <x:c r="AW140" s="32" t="n">
        <x:v>0.9664570230607966457023060797</x:v>
      </x:c>
      <x:c r="AX140" s="32" t="n">
        <x:v>0.9693157995044787497617686297</x:v>
      </x:c>
      <x:c r="AY140" s="32" t="n">
        <x:v>0.9695063846007242233657327997</x:v>
      </x:c>
      <x:c r="AZ140" s="32" t="n">
        <x:v>0.9725557461406518010291595197</x:v>
      </x:c>
      <x:c r="BI140" s="33" t="s"/>
      <x:c r="BJ140" s="11" t="s">
        <x:v>318</x:v>
      </x:c>
      <x:c r="BK140" s="12" t="str">
        <x:f>=BX140</x:f>
      </x:c>
      <x:c r="BL140" s="12" t="n">
        <x:v>0.9731275014293882218410520297</x:v>
      </x:c>
      <x:c r="BM140" s="12" t="n">
        <x:v>0.0215361158757385172479512102</x:v>
      </x:c>
      <x:c r="BN140" s="12" t="n">
        <x:v>0.0053363826948732609109967601</x:v>
      </x:c>
      <x:c r="BO140" s="12" t="str">
        <x:f>=BW140</x:f>
      </x:c>
      <x:c r="BP140" s="12" t="str">
        <x:f>=CF140</x:f>
      </x:c>
      <x:c r="BQ140" s="12" t="str"/>
      <x:c r="BR140" s="12" t="str">
        <x:v>AW 2019 EOS</x:v>
      </x:c>
      <x:c r="BS140" s="13" t="str"/>
      <x:c r="BT140" s="30" t="n">
        <x:v>41333.61</x:v>
      </x:c>
      <x:c r="BU140" s="30" t="n">
        <x:v>-28683.1736</x:v>
      </x:c>
      <x:c r="BV140" s="30" t="str">
        <x:f>=BT140+BU140</x:f>
      </x:c>
      <x:c r="BW140" s="66" t="str">
        <x:f>=BV140/BT140</x:f>
      </x:c>
      <x:c r="BX140" s="66" t="n">
        <x:v>0.9946636173051267390890032399</x:v>
      </x:c>
      <x:c r="BY140" s="30" t="n">
        <x:v>24053.90</x:v>
      </x:c>
      <x:c r="BZ140" s="41" t="n">
        <x:v>28</x:v>
      </x:c>
      <x:c r="CA140" s="30" t="n">
        <x:v>128.36081570421193062702496665</x:v>
      </x:c>
      <x:c r="CC140" s="30" t="n">
        <x:v>41334.582555746140651801029160</x:v>
      </x:c>
      <x:c r="CD140" s="30" t="n">
        <x:v>-28683.1736</x:v>
      </x:c>
      <x:c r="CE140" s="30" t="str">
        <x:f>=CC140+CD140</x:f>
      </x:c>
      <x:c r="CF140" s="66" t="str">
        <x:f>=CE140/CC140</x:f>
      </x:c>
      <x:c r="CH140" s="66" t="str">
        <x:f>=CI140+CJ140</x:f>
      </x:c>
      <x:c r="CI140" s="66" t="str">
        <x:f>=BX140+(0*7)</x:f>
      </x:c>
      <x:c r="CJ140" s="66" t="str">
        <x:f>=(1-CI140)*0.5</x:f>
      </x:c>
      <x:c r="CK140" s="66" t="str">
        <x:f>=1-CH140</x:f>
      </x:c>
      <x:c r="CM140" s="66" t="str">
        <x:f>=CJ140/(1-CI140)</x:f>
      </x:c>
    </x:row>
    <x:row r="141">
      <x:c r="A141" s="31" t="s">
        <x:v>319</x:v>
      </x:c>
      <x:c r="B141" t="s"/>
      <x:c r="C141" t="s">
        <x:v>320</x:v>
      </x:c>
      <x:c r="D141" t="s">
        <x:v>118</x:v>
      </x:c>
      <x:c r="E141" s="69" t="s">
        <x:v>153</x:v>
      </x:c>
      <x:c r="F141" t="n">
        <x:v>3190</x:v>
      </x:c>
      <x:c r="G141" s="32" t="n">
        <x:v>0.011912225705329153605015674</x:v>
      </x:c>
      <x:c r="H141" s="32" t="n">
        <x:v>0.0304075235109717868338557994</x:v>
      </x:c>
      <x:c r="I141" s="32" t="n">
        <x:v>0.0457680250783699059561128527</x:v>
      </x:c>
      <x:c r="J141" s="32" t="n">
        <x:v>0.0623824451410658307210031348</x:v>
      </x:c>
      <x:c r="K141" s="32" t="n">
        <x:v>0.0771159874608150470219435737</x:v>
      </x:c>
      <x:c r="L141" s="32" t="n">
        <x:v>0.0915360501567398119122257053</x:v>
      </x:c>
      <x:c r="M141" s="32" t="n">
        <x:v>0.1131661442006269592476489028</x:v>
      </x:c>
      <x:c r="N141" s="32" t="n">
        <x:v>0.1463949843260188087774294671</x:v>
      </x:c>
      <x:c r="O141" s="32" t="n">
        <x:v>0.1896551724137931034482758621</x:v>
      </x:c>
      <x:c r="P141" s="32" t="n">
        <x:v>0.2282131661442006269592476489</x:v>
      </x:c>
      <x:c r="Q141" s="32" t="n">
        <x:v>0.2721003134796238244514106583</x:v>
      </x:c>
      <x:c r="R141" s="32" t="n">
        <x:v>0.2946708463949843260188087774</x:v>
      </x:c>
      <x:c r="S141" s="32" t="n">
        <x:v>0.3241379310344827586206896552</x:v>
      </x:c>
      <x:c r="T141" s="32" t="n">
        <x:v>0.3394984326018808777429467085</x:v>
      </x:c>
      <x:c r="U141" s="32" t="n">
        <x:v>0.349216300940438871473354232</x:v>
      </x:c>
      <x:c r="V141" s="32" t="n">
        <x:v>0.3564263322884012539184952978</x:v>
      </x:c>
      <x:c r="W141" s="32" t="n">
        <x:v>0.3642633228840125391849529781</x:v>
      </x:c>
      <x:c r="X141" s="32" t="n">
        <x:v>0.3733542319749216300940438871</x:v>
      </x:c>
      <x:c r="Y141" s="32" t="n">
        <x:v>0.3824451410658307210031347962</x:v>
      </x:c>
      <x:c r="Z141" s="32" t="n">
        <x:v>0.3918495297805642633228840125</x:v>
      </x:c>
      <x:c r="AA141" s="32" t="n">
        <x:v>0.4018808777429467084639498433</x:v>
      </x:c>
      <x:c r="AB141" s="32" t="n">
        <x:v>0.4100313479623824451410658307</x:v>
      </x:c>
      <x:c r="AC141" s="32" t="n">
        <x:v>0.4197492163009404388714733542</x:v>
      </x:c>
      <x:c r="AD141" s="32" t="n">
        <x:v>0.4241379310344827586206896552</x:v>
      </x:c>
      <x:c r="AE141" s="32" t="n">
        <x:v>0.429780564263322884012539185</x:v>
      </x:c>
      <x:c r="AF141" s="32" t="n">
        <x:v>0.4326018808777429467084639498</x:v>
      </x:c>
      <x:c r="AG141" s="32" t="n">
        <x:v>0.4366771159874608150470219436</x:v>
      </x:c>
      <x:c r="AH141" s="32" t="n">
        <x:v>0.4394984326018808777429467085</x:v>
      </x:c>
      <x:c r="AI141" s="32" t="n">
        <x:v>0.4445141065830721003134796238</x:v>
      </x:c>
      <x:c r="AJ141" s="32" t="n">
        <x:v>0.4576802507836990595611285266</x:v>
      </x:c>
      <x:c r="AK141" s="32" t="n">
        <x:v>0.4598746081504702194357366771</x:v>
      </x:c>
      <x:c r="BI141" s="33" t="s"/>
      <x:c r="BJ141" s="11" t="s">
        <x:v>202</x:v>
      </x:c>
      <x:c r="BK141" s="12" t="str">
        <x:f>=BX141</x:f>
      </x:c>
      <x:c r="BL141" s="12" t="n">
        <x:v>0.4645768025078369905956112853</x:v>
      </x:c>
      <x:c r="BM141" s="12" t="n">
        <x:v>0.2912225705329153605015673981</x:v>
      </x:c>
      <x:c r="BN141" s="12" t="n">
        <x:v>0.2442006269592476489028213166</x:v>
      </x:c>
      <x:c r="BO141" s="12" t="str">
        <x:f>=BW141</x:f>
      </x:c>
      <x:c r="BP141" s="12" t="str">
        <x:f>=CF141</x:f>
      </x:c>
      <x:c r="BQ141" s="12" t="str"/>
      <x:c r="BR141" s="12" t="str">
        <x:v>AW 2019 EOS</x:v>
      </x:c>
      <x:c r="BS141" s="13" t="str"/>
      <x:c r="BT141" s="30" t="n">
        <x:v>15239.32</x:v>
      </x:c>
      <x:c r="BU141" s="30" t="n">
        <x:v>-15100.7184</x:v>
      </x:c>
      <x:c r="BV141" s="30" t="str">
        <x:f>=BT141+BU141</x:f>
      </x:c>
      <x:c r="BW141" s="66" t="str">
        <x:f>=BV141/BT141</x:f>
      </x:c>
      <x:c r="BX141" s="66" t="n">
        <x:v>0.7557993730407523510971786834</x:v>
      </x:c>
      <x:c r="BY141" s="30" t="n">
        <x:v>14448.62</x:v>
      </x:c>
      <x:c r="BZ141" s="41" t="n">
        <x:v>779</x:v>
      </x:c>
      <x:c r="CA141" s="30" t="n">
        <x:v>3528.3620626959247648902821317</x:v>
      </x:c>
      <x:c r="CC141" s="30" t="n">
        <x:v>15239.779247648902821316614420</x:v>
      </x:c>
      <x:c r="CD141" s="30" t="n">
        <x:v>-15100.7184</x:v>
      </x:c>
      <x:c r="CE141" s="30" t="str">
        <x:f>=CC141+CD141</x:f>
      </x:c>
      <x:c r="CF141" s="66" t="str">
        <x:f>=CE141/CC141</x:f>
      </x:c>
      <x:c r="CH141" s="66" t="str">
        <x:f>=CI141+CJ141</x:f>
      </x:c>
      <x:c r="CI141" s="66" t="str">
        <x:f>=BX141+(0*7)</x:f>
      </x:c>
      <x:c r="CJ141" s="66" t="str">
        <x:f>=(1-CI141)*0.5</x:f>
      </x:c>
      <x:c r="CK141" s="66" t="str">
        <x:f>=1-CH141</x:f>
      </x:c>
      <x:c r="CM141" s="66" t="str">
        <x:f>=CJ141/(1-CI141)</x:f>
      </x:c>
    </x:row>
    <x:row r="142">
      <x:c r="A142" s="31" t="s">
        <x:v>321</x:v>
      </x:c>
      <x:c r="B142" t="s"/>
      <x:c r="C142" t="s">
        <x:v>322</x:v>
      </x:c>
      <x:c r="D142" t="s">
        <x:v>274</x:v>
      </x:c>
      <x:c r="E142" s="69" t="s">
        <x:v>153</x:v>
      </x:c>
      <x:c r="F142" t="n">
        <x:v>1033</x:v>
      </x:c>
      <x:c r="G142" s="32" t="n">
        <x:v>0.0154888673765730880929332043</x:v>
      </x:c>
      <x:c r="H142" s="32" t="n">
        <x:v>0.0784123910939012584704743466</x:v>
      </x:c>
      <x:c r="I142" s="32" t="n">
        <x:v>0.1026137463697967086156824782</x:v>
      </x:c>
      <x:c r="J142" s="32" t="n">
        <x:v>0.1452081316553727008712487899</x:v>
      </x:c>
      <x:c r="K142" s="32" t="n">
        <x:v>0.1597289448209099709583736689</x:v>
      </x:c>
      <x:c r="L142" s="32" t="n">
        <x:v>0.1858664085188770571151984511</x:v>
      </x:c>
      <x:c r="M142" s="32" t="n">
        <x:v>0.2032913843175217812197483059</x:v>
      </x:c>
      <x:c r="N142" s="32" t="n">
        <x:v>0.2410454985479186834462729913</x:v>
      </x:c>
      <x:c r="O142" s="32" t="n">
        <x:v>0.2681510164569215876089060987</x:v>
      </x:c>
      <x:c r="P142" s="32" t="n">
        <x:v>0.3059051306873184898354307841</x:v>
      </x:c>
      <x:c r="Q142" s="32" t="n">
        <x:v>0.3426911907066795740561471442</x:v>
      </x:c>
      <x:c r="R142" s="32" t="n">
        <x:v>0.3901258470474346563407550823</x:v>
      </x:c>
      <x:c r="S142" s="32" t="n">
        <x:v>0.4298160696999031945788964182</x:v>
      </x:c>
      <x:c r="T142" s="32" t="n">
        <x:v>0.4685382381413359148112294288</x:v>
      </x:c>
      <x:c r="U142" s="32" t="n">
        <x:v>0.4937076476282671829622458858</x:v>
      </x:c>
      <x:c r="V142" s="32" t="n">
        <x:v>0.5411423039690222652468538238</x:v>
      </x:c>
      <x:c r="W142" s="32" t="n">
        <x:v>0.5914811229428848015488867377</x:v>
      </x:c>
      <x:c r="X142" s="32" t="n">
        <x:v>0.625363020329138431752178122</x:v>
      </x:c>
      <x:c r="Y142" s="32" t="n">
        <x:v>0.65440464666021297192642788</x:v>
      </x:c>
      <x:c r="Z142" s="32" t="n">
        <x:v>0.6747337850919651500484027106</x:v>
      </x:c>
      <x:c r="AA142" s="32" t="n">
        <x:v>0.6834462729912875121006776379</x:v>
      </x:c>
      <x:c r="AB142" s="32" t="n">
        <x:v>0.6989351403678606001936108422</x:v>
      </x:c>
      <x:c r="AC142" s="23" t="n">
        <x:v>0.7037754114230396902226524685</x:v>
      </x:c>
      <x:c r="AD142" s="32" t="n">
        <x:v>0.7105517909002904162633107454</x:v>
      </x:c>
      <x:c r="AE142" s="32" t="n">
        <x:v>0.7337850919651500484027105518</x:v>
      </x:c>
      <x:c r="AF142" s="32" t="n">
        <x:v>0.7463697967086156824782187803</x:v>
      </x:c>
      <x:c r="AG142" s="32" t="n">
        <x:v>0.7618586640851887705711519845</x:v>
      </x:c>
      <x:c r="AH142" s="32" t="n">
        <x:v>0.788964181994191674733785092</x:v>
      </x:c>
      <x:c r="AI142" s="32" t="n">
        <x:v>0.8083252662149080348499515973</x:v>
      </x:c>
      <x:c r="AJ142" s="32" t="n">
        <x:v>0.8412391093901258470474346563</x:v>
      </x:c>
      <x:c r="AK142" s="32" t="n">
        <x:v>0.8499515972894482090997095837</x:v>
      </x:c>
      <x:c r="BI142" s="33" t="s"/>
      <x:c r="BJ142" s="11" t="s">
        <x:v>202</x:v>
      </x:c>
      <x:c r="BK142" s="12" t="str">
        <x:f>=BX142</x:f>
      </x:c>
      <x:c r="BL142" s="12" t="n">
        <x:v>0.8441432720232333010648596321</x:v>
      </x:c>
      <x:c r="BM142" s="12" t="n">
        <x:v>0.1703775411423039690222652469</x:v>
      </x:c>
      <x:c r="BN142" s="12" t="n">
        <x:v>-0.014520813165537270087124879</x:v>
      </x:c>
      <x:c r="BO142" s="12" t="str">
        <x:f>=BW142</x:f>
      </x:c>
      <x:c r="BP142" s="12" t="str">
        <x:f>=CF142</x:f>
      </x:c>
      <x:c r="BQ142" s="12" t="str"/>
      <x:c r="BR142" s="12" t="str">
        <x:v>AW 2019 EOS</x:v>
      </x:c>
      <x:c r="BS142" s="13" t="str"/>
      <x:c r="BT142" s="30" t="n">
        <x:v>11222.58</x:v>
      </x:c>
      <x:c r="BU142" s="30" t="n">
        <x:v>-7300.18550</x:v>
      </x:c>
      <x:c r="BV142" s="30" t="str">
        <x:f>=BT142+BU142</x:f>
      </x:c>
      <x:c r="BW142" s="66" t="str">
        <x:f>=BV142/BT142</x:f>
      </x:c>
      <x:c r="BX142" s="66" t="n">
        <x:v>1.014520813165537270087124879</x:v>
      </x:c>
      <x:c r="BY142" s="30" t="n">
        <x:v>6741.90</x:v>
      </x:c>
      <x:c r="BZ142" s="41" t="n">
        <x:v>-15</x:v>
      </x:c>
      <x:c r="CA142" s="30" t="n">
        <x:v>-97.89787028073572120038722168</x:v>
      </x:c>
      <x:c r="CC142" s="30" t="n">
        <x:v>11223.427047434656340755082285</x:v>
      </x:c>
      <x:c r="CD142" s="30" t="n">
        <x:v>-7300.18550</x:v>
      </x:c>
      <x:c r="CE142" s="30" t="str">
        <x:f>=CC142+CD142</x:f>
      </x:c>
      <x:c r="CF142" s="66" t="str">
        <x:f>=CE142/CC142</x:f>
      </x:c>
      <x:c r="CH142" s="66" t="str">
        <x:f>=CI142+CJ142</x:f>
      </x:c>
      <x:c r="CI142" s="66" t="str">
        <x:f>=BX142+(0*7)</x:f>
      </x:c>
      <x:c r="CJ142" s="66" t="str">
        <x:f>=(1-CI142)*0.5</x:f>
      </x:c>
      <x:c r="CK142" s="66" t="str">
        <x:f>=1-CH142</x:f>
      </x:c>
      <x:c r="CM142" s="66" t="str">
        <x:f>=CJ142/(1-CI142)</x:f>
      </x:c>
    </x:row>
    <x:row r="143">
      <x:c r="A143" s="31" t="s">
        <x:v>323</x:v>
      </x:c>
      <x:c r="B143" t="s"/>
      <x:c r="C143" t="s">
        <x:v>324</x:v>
      </x:c>
      <x:c r="D143" t="s">
        <x:v>274</x:v>
      </x:c>
      <x:c r="E143" s="69" t="s">
        <x:v>153</x:v>
      </x:c>
      <x:c r="F143" t="n">
        <x:v>1917</x:v>
      </x:c>
      <x:c r="G143" s="32" t="n">
        <x:v>0.067292644757433489827856025</x:v>
      </x:c>
      <x:c r="H143" s="32" t="n">
        <x:v>0.1147626499739175795513823683</x:v>
      </x:c>
      <x:c r="I143" s="32" t="n">
        <x:v>0.1476264997391757955138236828</x:v>
      </x:c>
      <x:c r="J143" s="32" t="n">
        <x:v>0.1867501304121022430881585811</x:v>
      </x:c>
      <x:c r="K143" s="32" t="n">
        <x:v>0.2378716744913928012519561815</x:v>
      </x:c>
      <x:c r="L143" s="32" t="n">
        <x:v>0.2983828899321857068335941575</x:v>
      </x:c>
      <x:c r="M143" s="32" t="n">
        <x:v>0.3552425665101721439749608764</x:v>
      </x:c>
      <x:c r="N143" s="32" t="n">
        <x:v>0.4058424621804903495044340115</x:v>
      </x:c>
      <x:c r="O143" s="32" t="n">
        <x:v>0.447052686489306207616066771</x:v>
      </x:c>
      <x:c r="P143" s="32" t="n">
        <x:v>0.5002608242044861763171622327</x:v>
      </x:c>
      <x:c r="Q143" s="32" t="n">
        <x:v>0.5258215962441314553990610329</x:v>
      </x:c>
      <x:c r="R143" s="32" t="n">
        <x:v>0.5482524778299426186750130412</x:v>
      </x:c>
      <x:c r="S143" s="32" t="n">
        <x:v>0.5696400625978090766823161189</x:v>
      </x:c>
      <x:c r="T143" s="32" t="n">
        <x:v>0.5894627021387584767866458007</x:v>
      </x:c>
      <x:c r="U143" s="32" t="n">
        <x:v>0.6082420448617631716223265519</x:v>
      </x:c>
      <x:c r="V143" s="32" t="n">
        <x:v>0.6191966614501825769431403234</x:v>
      </x:c>
      <x:c r="W143" s="32" t="n">
        <x:v>0.6301512780386019822639540949</x:v>
      </x:c>
      <x:c r="X143" s="32" t="n">
        <x:v>0.6452790818988002086593635889</x:v>
      </x:c>
      <x:c r="Y143" s="32" t="n">
        <x:v>0.6531038080333854981742305686</x:v>
      </x:c>
      <x:c r="Z143" s="32" t="n">
        <x:v>0.6614501825769431403234220136</x:v>
      </x:c>
      <x:c r="AA143" s="32" t="n">
        <x:v>0.6682316118935837245696400626</x:v>
      </x:c>
      <x:c r="AB143" s="32" t="n">
        <x:v>0.6755346896191966614501825769</x:v>
      </x:c>
      <x:c r="AC143" s="32" t="n">
        <x:v>0.6828377673448095983307250913</x:v>
      </x:c>
      <x:c r="AD143" s="32" t="n">
        <x:v>0.689097548252477829942618675</x:v>
      </x:c>
      <x:c r="AE143" s="32" t="n">
        <x:v>0.6964006259780907668231611894</x:v>
      </x:c>
      <x:c r="AF143" s="32" t="n">
        <x:v>0.6979655712050078247261345853</x:v>
      </x:c>
      <x:c r="AG143" s="23" t="n">
        <x:v>0.7052686489306207616066770996</x:v>
      </x:c>
      <x:c r="AH143" s="32" t="n">
        <x:v>0.7089201877934272300469483568</x:v>
      </x:c>
      <x:c r="AI143" s="32" t="n">
        <x:v>0.7136150234741784037558685446</x:v>
      </x:c>
      <x:c r="AJ143" s="32" t="n">
        <x:v>0.7167449139280125195618153365</x:v>
      </x:c>
      <x:c r="BI143" s="33" t="s"/>
      <x:c r="BJ143" s="11" t="s">
        <x:v>325</x:v>
      </x:c>
      <x:c r="BK143" s="12" t="str">
        <x:f>=BX143</x:f>
      </x:c>
      <x:c r="BL143" s="12" t="n">
        <x:v>0.7240479916536254564423578508</x:v>
      </x:c>
      <x:c r="BM143" s="12" t="n">
        <x:v>0.0558163797600417318727177882</x:v>
      </x:c>
      <x:c r="BN143" s="12" t="n">
        <x:v>0.220135628586332811684924361</x:v>
      </x:c>
      <x:c r="BO143" s="12" t="str">
        <x:f>=BW143</x:f>
      </x:c>
      <x:c r="BP143" s="12" t="str">
        <x:f>=CF143</x:f>
      </x:c>
      <x:c r="BQ143" s="12" t="str"/>
      <x:c r="BR143" s="12" t="str">
        <x:v>AW 2019 EOS</x:v>
      </x:c>
      <x:c r="BS143" s="13" t="str"/>
      <x:c r="BT143" s="30" t="n">
        <x:v>12891.77</x:v>
      </x:c>
      <x:c r="BU143" s="30" t="n">
        <x:v>-11343.67980</x:v>
      </x:c>
      <x:c r="BV143" s="30" t="str">
        <x:f>=BT143+BU143</x:f>
      </x:c>
      <x:c r="BW143" s="66" t="str">
        <x:f>=BV143/BT143</x:f>
      </x:c>
      <x:c r="BX143" s="66" t="n">
        <x:v>0.779864371413667188315075639</x:v>
      </x:c>
      <x:c r="BY143" s="30" t="n">
        <x:v>10407.75</x:v>
      </x:c>
      <x:c r="BZ143" s="41" t="n">
        <x:v>422</x:v>
      </x:c>
      <x:c r="CA143" s="30" t="n">
        <x:v>2291.1165884194053208137715180</x:v>
      </x:c>
      <x:c r="CC143" s="30" t="n">
        <x:v>13794.037748185469483568075118</x:v>
      </x:c>
      <x:c r="CD143" s="30" t="n">
        <x:v>-11343.67980</x:v>
      </x:c>
      <x:c r="CE143" s="30" t="str">
        <x:f>=CC143+CD143</x:f>
      </x:c>
      <x:c r="CF143" s="66" t="str">
        <x:f>=CE143/CC143</x:f>
      </x:c>
      <x:c r="CH143" s="66" t="str">
        <x:f>=CI143+CJ143</x:f>
      </x:c>
      <x:c r="CI143" s="66" t="str">
        <x:f>=BX143+(0*7)</x:f>
      </x:c>
      <x:c r="CJ143" s="66" t="str">
        <x:f>=(1-CI143)*0.5</x:f>
      </x:c>
      <x:c r="CK143" s="66" t="str">
        <x:f>=1-CH143</x:f>
      </x:c>
      <x:c r="CM143" s="66" t="str">
        <x:f>=CJ143/(1-CI143)</x:f>
      </x:c>
    </x:row>
    <x:row r="144">
      <x:c r="A144" s="31" t="s">
        <x:v>326</x:v>
      </x:c>
      <x:c r="B144" t="s"/>
      <x:c r="C144" t="s">
        <x:v>327</x:v>
      </x:c>
      <x:c r="D144" t="s">
        <x:v>118</x:v>
      </x:c>
      <x:c r="E144" s="69" t="s">
        <x:v>153</x:v>
      </x:c>
      <x:c r="F144" t="n">
        <x:v>4972</x:v>
      </x:c>
      <x:c r="G144" s="32" t="n">
        <x:v>0.0090506838294448913917940467</x:v>
      </x:c>
      <x:c r="H144" s="32" t="n">
        <x:v>0.0633547868061142397425583266</x:v>
      </x:c>
      <x:c r="I144" s="32" t="n">
        <x:v>0.1411906677393403057119871279</x:v>
      </x:c>
      <x:c r="J144" s="32" t="n">
        <x:v>0.210579243765084473049074819</x:v>
      </x:c>
      <x:c r="K144" s="32" t="n">
        <x:v>0.2658889782783588093322606597</x:v>
      </x:c>
      <x:c r="L144" s="32" t="n">
        <x:v>0.3113435237329042638777152051</x:v>
      </x:c>
      <x:c r="M144" s="32" t="n">
        <x:v>0.366854384553499597747385358</x:v>
      </x:c>
      <x:c r="N144" s="32" t="n">
        <x:v>0.4183427192276749798873692679</x:v>
      </x:c>
      <x:c r="O144" s="32" t="n">
        <x:v>0.4601769911504424778761061947</x:v>
      </x:c>
      <x:c r="P144" s="32" t="n">
        <x:v>0.4979887369267900241351568785</x:v>
      </x:c>
      <x:c r="Q144" s="32" t="n">
        <x:v>0.5390185036202735317779565567</x:v>
      </x:c>
      <x:c r="R144" s="32" t="n">
        <x:v>0.589702333065164923572003218</x:v>
      </x:c>
      <x:c r="S144" s="32" t="n">
        <x:v>0.6323411102172164119066773934</x:v>
      </x:c>
      <x:c r="T144" s="32" t="n">
        <x:v>0.6695494770716009654062751408</x:v>
      </x:c>
      <x:c r="U144" s="23" t="n">
        <x:v>0.7047465808527755430410297667</x:v>
      </x:c>
      <x:c r="V144" s="32" t="n">
        <x:v>0.7379324215607401448109412711</x:v>
      </x:c>
      <x:c r="W144" s="32" t="n">
        <x:v>0.7670957361222847948511665326</x:v>
      </x:c>
      <x:c r="X144" s="32" t="n">
        <x:v>0.7958567980691874497184231698</x:v>
      </x:c>
      <x:c r="Y144" s="32" t="n">
        <x:v>0.8119469026548672566371681416</x:v>
      </x:c>
      <x:c r="Z144" s="32" t="n">
        <x:v>0.8264279967819790828640386163</x:v>
      </x:c>
      <x:c r="AA144" s="32" t="n">
        <x:v>0.8509654062751407884151246983</x:v>
      </x:c>
      <x:c r="AB144" s="32" t="n">
        <x:v>0.8712791633145615446500402253</x:v>
      </x:c>
      <x:c r="AC144" s="32" t="n">
        <x:v>0.8911906677393403057119871279</x:v>
      </x:c>
      <x:c r="BI144" s="33" t="s"/>
      <x:c r="BJ144" s="11" t="s">
        <x:v>211</x:v>
      </x:c>
      <x:c r="BK144" s="12" t="str">
        <x:f>=BX144</x:f>
      </x:c>
      <x:c r="BL144" s="12" t="n">
        <x:v>0.892598551890587288817377313</x:v>
      </x:c>
      <x:c r="BM144" s="12" t="n">
        <x:v>0.1057924376508447304907481899</x:v>
      </x:c>
      <x:c r="BN144" s="12" t="n">
        <x:v>0.0016090104585679806918744972</x:v>
      </x:c>
      <x:c r="BO144" s="12" t="str">
        <x:f>=BW144</x:f>
      </x:c>
      <x:c r="BP144" s="12" t="str">
        <x:f>=CF144</x:f>
      </x:c>
      <x:c r="BQ144" s="12" t="str"/>
      <x:c r="BR144" s="12" t="str">
        <x:v>AW 2019 EOS</x:v>
      </x:c>
      <x:c r="BS144" s="13" t="str"/>
      <x:c r="BT144" s="30" t="n">
        <x:v>17732.66</x:v>
      </x:c>
      <x:c r="BU144" s="30" t="n">
        <x:v>-9225.2436</x:v>
      </x:c>
      <x:c r="BV144" s="30" t="str">
        <x:f>=BT144+BU144</x:f>
      </x:c>
      <x:c r="BW144" s="66" t="str">
        <x:f>=BV144/BT144</x:f>
      </x:c>
      <x:c r="BX144" s="66" t="n">
        <x:v>0.9983909895414320193081255028</x:v>
      </x:c>
      <x:c r="BY144" s="30" t="n">
        <x:v>9275.80</x:v>
      </x:c>
      <x:c r="BZ144" s="41" t="n">
        <x:v>8</x:v>
      </x:c>
      <x:c r="CA144" s="30" t="n">
        <x:v>14.924859211584875301689460982</x:v>
      </x:c>
      <x:c r="CC144" s="30" t="n">
        <x:v>17733.546967015285599356395817</x:v>
      </x:c>
      <x:c r="CD144" s="30" t="n">
        <x:v>-9225.2436</x:v>
      </x:c>
      <x:c r="CE144" s="30" t="str">
        <x:f>=CC144+CD144</x:f>
      </x:c>
      <x:c r="CF144" s="66" t="str">
        <x:f>=CE144/CC144</x:f>
      </x:c>
      <x:c r="CH144" s="66" t="str">
        <x:f>=CI144+CJ144</x:f>
      </x:c>
      <x:c r="CI144" s="66" t="str">
        <x:f>=BX144+(0*7)</x:f>
      </x:c>
      <x:c r="CJ144" s="66" t="str">
        <x:f>=(1-CI144)*0.5</x:f>
      </x:c>
      <x:c r="CK144" s="66" t="str">
        <x:f>=1-CH144</x:f>
      </x:c>
      <x:c r="CM144" s="66" t="str">
        <x:f>=CJ144/(1-CI144)</x:f>
      </x:c>
    </x:row>
    <x:row r="145">
      <x:c r="A145" s="31" t="s">
        <x:v>328</x:v>
      </x:c>
      <x:c r="B145" t="s"/>
      <x:c r="C145" t="s">
        <x:v>329</x:v>
      </x:c>
      <x:c r="D145" t="s">
        <x:v>118</x:v>
      </x:c>
      <x:c r="E145" s="69" t="s">
        <x:v>153</x:v>
      </x:c>
      <x:c r="F145" t="n">
        <x:v>2970</x:v>
      </x:c>
      <x:c r="G145" s="32" t="n">
        <x:v>0.004040404040404040404040404</x:v>
      </x:c>
      <x:c r="H145" s="32" t="n">
        <x:v>0.0734006734006734006734006734</x:v>
      </x:c>
      <x:c r="I145" s="32" t="n">
        <x:v>0.138047138047138047138047138</x:v>
      </x:c>
      <x:c r="J145" s="32" t="n">
        <x:v>0.1942760942760942760942760943</x:v>
      </x:c>
      <x:c r="K145" s="32" t="n">
        <x:v>0.2417508417508417508417508418</x:v>
      </x:c>
      <x:c r="L145" s="32" t="n">
        <x:v>0.2895622895622895622895622896</x:v>
      </x:c>
      <x:c r="M145" s="32" t="n">
        <x:v>0.3410774410774410774410774411</x:v>
      </x:c>
      <x:c r="N145" s="32" t="n">
        <x:v>0.3764309764309764309764309764</x:v>
      </x:c>
      <x:c r="O145" s="32" t="n">
        <x:v>0.4107744107744107744107744108</x:v>
      </x:c>
      <x:c r="P145" s="32" t="n">
        <x:v>0.4427609427609427609427609428</x:v>
      </x:c>
      <x:c r="Q145" s="32" t="n">
        <x:v>0.4757575757575757575757575758</x:v>
      </x:c>
      <x:c r="R145" s="32" t="n">
        <x:v>0.4983164983164983164983164983</x:v>
      </x:c>
      <x:c r="S145" s="32" t="n">
        <x:v>0.5205387205387205387205387205</x:v>
      </x:c>
      <x:c r="T145" s="32" t="n">
        <x:v>0.5441077441077441077441077441</x:v>
      </x:c>
      <x:c r="U145" s="32" t="n">
        <x:v>0.5626262626262626262626262626</x:v>
      </x:c>
      <x:c r="V145" s="32" t="n">
        <x:v>0.5814814814814814814814814815</x:v>
      </x:c>
      <x:c r="W145" s="32" t="n">
        <x:v>0.6033670033670033670033670034</x:v>
      </x:c>
      <x:c r="X145" s="32" t="n">
        <x:v>0.6252525252525252525252525253</x:v>
      </x:c>
      <x:c r="Y145" s="32" t="n">
        <x:v>0.6420875420875420875420875421</x:v>
      </x:c>
      <x:c r="Z145" s="32" t="n">
        <x:v>0.6643097643097643097643097643</x:v>
      </x:c>
      <x:c r="AA145" s="32" t="n">
        <x:v>0.6855218855218855218855218855</x:v>
      </x:c>
      <x:c r="AB145" s="23" t="n">
        <x:v>0.7043771043771043771043771044</x:v>
      </x:c>
      <x:c r="BI145" s="33" t="s"/>
      <x:c r="BJ145" s="11" t="s">
        <x:v>330</x:v>
      </x:c>
      <x:c r="BK145" s="12" t="str">
        <x:f>=BX145</x:f>
      </x:c>
      <x:c r="BL145" s="12" t="n">
        <x:v>0.7212121212121212121212121212</x:v>
      </x:c>
      <x:c r="BM145" s="12" t="n">
        <x:v>0.2373737373737373737373737374</x:v>
      </x:c>
      <x:c r="BN145" s="12" t="n">
        <x:v>0.0414141414141414141414141414</x:v>
      </x:c>
      <x:c r="BO145" s="12" t="str">
        <x:f>=BW145</x:f>
      </x:c>
      <x:c r="BP145" s="12" t="str">
        <x:f>=CF145</x:f>
      </x:c>
      <x:c r="BQ145" s="12" t="str"/>
      <x:c r="BR145" s="12" t="str">
        <x:v>AW 2019 EOS</x:v>
      </x:c>
      <x:c r="BS145" s="13" t="str"/>
      <x:c r="BT145" s="30" t="n">
        <x:v>9606.78</x:v>
      </x:c>
      <x:c r="BU145" s="30" t="n">
        <x:v>-5985.8425</x:v>
      </x:c>
      <x:c r="BV145" s="30" t="str">
        <x:f>=BT145+BU145</x:f>
      </x:c>
      <x:c r="BW145" s="66" t="str">
        <x:f>=BV145/BT145</x:f>
      </x:c>
      <x:c r="BX145" s="66" t="n">
        <x:v>0.9585858585858585858585858586</x:v>
      </x:c>
      <x:c r="BY145" s="30" t="n">
        <x:v>5739.25</x:v>
      </x:c>
      <x:c r="BZ145" s="41" t="n">
        <x:v>123</x:v>
      </x:c>
      <x:c r="CA145" s="30" t="n">
        <x:v>237.68611111111111111111111111</x:v>
      </x:c>
      <x:c r="CC145" s="30" t="n">
        <x:v>9607.48</x:v>
      </x:c>
      <x:c r="CD145" s="30" t="n">
        <x:v>-5985.8425</x:v>
      </x:c>
      <x:c r="CE145" s="30" t="str">
        <x:f>=CC145+CD145</x:f>
      </x:c>
      <x:c r="CF145" s="66" t="str">
        <x:f>=CE145/CC145</x:f>
      </x:c>
      <x:c r="CH145" s="66" t="str">
        <x:f>=CI145+CJ145</x:f>
      </x:c>
      <x:c r="CI145" s="66" t="str">
        <x:f>=BX145+(0*7)</x:f>
      </x:c>
      <x:c r="CJ145" s="66" t="str">
        <x:f>=(1-CI145)*0.5</x:f>
      </x:c>
      <x:c r="CK145" s="66" t="str">
        <x:f>=1-CH145</x:f>
      </x:c>
      <x:c r="CM145" s="66" t="str">
        <x:f>=CJ145/(1-CI145)</x:f>
      </x:c>
    </x:row>
    <x:row r="146">
      <x:c r="A146" s="31" t="s">
        <x:v>331</x:v>
      </x:c>
      <x:c r="B146" t="s"/>
      <x:c r="C146" t="s">
        <x:v>332</x:v>
      </x:c>
      <x:c r="D146" t="s">
        <x:v>118</x:v>
      </x:c>
      <x:c r="E146" s="69" t="s">
        <x:v>153</x:v>
      </x:c>
      <x:c r="F146" t="n">
        <x:v>2005</x:v>
      </x:c>
      <x:c r="G146" s="32" t="n">
        <x:v>0.1012468827930174563591022444</x:v>
      </x:c>
      <x:c r="H146" s="32" t="n">
        <x:v>0.2458852867830423940149625935</x:v>
      </x:c>
      <x:c r="I146" s="32" t="n">
        <x:v>0.4199501246882793017456359102</x:v>
      </x:c>
      <x:c r="J146" s="32" t="n">
        <x:v>0.6558603491271820448877805486</x:v>
      </x:c>
      <x:c r="K146" s="23" t="n">
        <x:v>0.8164588528678304239401496259</x:v>
      </x:c>
      <x:c r="L146" s="32" t="n">
        <x:v>0.885785536159600997506234414</x:v>
      </x:c>
      <x:c r="M146" s="32" t="n">
        <x:v>0.9097256857855361596009975062</x:v>
      </x:c>
      <x:c r="N146" s="32" t="n">
        <x:v>0.9246882793017456359102244389</x:v>
      </x:c>
      <x:c r="O146" s="32" t="n">
        <x:v>0.9351620947630922693266832918</x:v>
      </x:c>
      <x:c r="P146" s="32" t="n">
        <x:v>0.9476309226932668329177057357</x:v>
      </x:c>
      <x:c r="Q146" s="32" t="n">
        <x:v>0.9481296758104738154613466334</x:v>
      </x:c>
      <x:c r="R146" s="32" t="n">
        <x:v>0.9521197007481296758104738155</x:v>
      </x:c>
      <x:c r="S146" s="32" t="n">
        <x:v>0.9546134663341645885286783042</x:v>
      </x:c>
      <x:c r="T146" s="32" t="n">
        <x:v>0.9576059850374064837905236908</x:v>
      </x:c>
      <x:c r="U146" s="32" t="n">
        <x:v>0.9600997506234413965087281796</x:v>
      </x:c>
      <x:c r="V146" s="32" t="n">
        <x:v>0.9635910224438902743142144638</x:v>
      </x:c>
      <x:c r="W146" s="32" t="n">
        <x:v>0.9660847880299251870324189526</x:v>
      </x:c>
      <x:c r="X146" s="32" t="n">
        <x:v>0.9700748129675810473815461347</x:v>
      </x:c>
      <x:c r="Y146" s="32" t="n">
        <x:v>0.977556109725685785536159601</x:v>
      </x:c>
      <x:c r="BI146" s="33" t="s"/>
      <x:c r="BJ146" s="11" t="s">
        <x:v>137</x:v>
      </x:c>
      <x:c r="BK146" s="12" t="str">
        <x:f>=BX146</x:f>
      </x:c>
      <x:c r="BL146" s="12" t="n">
        <x:v>0.9745635910224438902743142145</x:v>
      </x:c>
      <x:c r="BM146" s="12" t="n">
        <x:v>0.0124688279301745635910224439</x:v>
      </x:c>
      <x:c r="BN146" s="12" t="n">
        <x:v>0.0129675810473815461346633416</x:v>
      </x:c>
      <x:c r="BO146" s="12" t="str">
        <x:f>=BW146</x:f>
      </x:c>
      <x:c r="BP146" s="12" t="str">
        <x:f>=CF146</x:f>
      </x:c>
      <x:c r="BQ146" s="12" t="str"/>
      <x:c r="BR146" s="12" t="str">
        <x:v>AW 2019 EOS</x:v>
      </x:c>
      <x:c r="BS146" s="13" t="str"/>
      <x:c r="BT146" s="30" t="n">
        <x:v>8941.67</x:v>
      </x:c>
      <x:c r="BU146" s="30" t="n">
        <x:v>-4775.9515</x:v>
      </x:c>
      <x:c r="BV146" s="30" t="str">
        <x:f>=BT146+BU146</x:f>
      </x:c>
      <x:c r="BW146" s="66" t="str">
        <x:f>=BV146/BT146</x:f>
      </x:c>
      <x:c r="BX146" s="66" t="n">
        <x:v>0.9870324189526184538653366584</x:v>
      </x:c>
      <x:c r="BY146" s="30" t="n">
        <x:v>4695.05</x:v>
      </x:c>
      <x:c r="BZ146" s="41" t="n">
        <x:v>26</x:v>
      </x:c>
      <x:c r="CA146" s="30" t="n">
        <x:v>60.883441396508728179551122195</x:v>
      </x:c>
      <x:c r="CC146" s="30" t="n">
        <x:v>8944.007911587785536159600998</x:v>
      </x:c>
      <x:c r="CD146" s="30" t="n">
        <x:v>-4775.9515</x:v>
      </x:c>
      <x:c r="CE146" s="30" t="str">
        <x:f>=CC146+CD146</x:f>
      </x:c>
      <x:c r="CF146" s="66" t="str">
        <x:f>=CE146/CC146</x:f>
      </x:c>
      <x:c r="CH146" s="66" t="str">
        <x:f>=CI146+CJ146</x:f>
      </x:c>
      <x:c r="CI146" s="66" t="str">
        <x:f>=BX146+(0*7)</x:f>
      </x:c>
      <x:c r="CJ146" s="66" t="str">
        <x:f>=(1-CI146)*0.5</x:f>
      </x:c>
      <x:c r="CK146" s="66" t="str">
        <x:f>=1-CH146</x:f>
      </x:c>
      <x:c r="CM146" s="66" t="str">
        <x:f>=CJ146/(1-CI146)</x:f>
      </x:c>
    </x:row>
    <x:row r="147">
      <x:c r="A147" s="31" t="s">
        <x:v>333</x:v>
      </x:c>
      <x:c r="B147" t="s"/>
      <x:c r="C147" t="s">
        <x:v>334</x:v>
      </x:c>
      <x:c r="D147" t="s">
        <x:v>274</x:v>
      </x:c>
      <x:c r="E147" s="69" t="s">
        <x:v>153</x:v>
      </x:c>
      <x:c r="F147" t="n">
        <x:v>2055</x:v>
      </x:c>
      <x:c r="G147" s="32" t="n">
        <x:v>0.0004866180048661800486618005</x:v>
      </x:c>
      <x:c r="H147" s="32" t="n">
        <x:v>0.0209245742092457420924574209</x:v>
      </x:c>
      <x:c r="I147" s="32" t="n">
        <x:v>0.0690997566909975669099756691</x:v>
      </x:c>
      <x:c r="J147" s="32" t="n">
        <x:v>0.1236009732360097323600973236</x:v>
      </x:c>
      <x:c r="K147" s="32" t="n">
        <x:v>0.1527980535279805352798053528</x:v>
      </x:c>
      <x:c r="L147" s="32" t="n">
        <x:v>0.1927007299270072992700729927</x:v>
      </x:c>
      <x:c r="M147" s="32" t="n">
        <x:v>0.2399026763990267639902676399</x:v>
      </x:c>
      <x:c r="N147" s="32" t="n">
        <x:v>0.2987834549878345498783454988</x:v>
      </x:c>
      <x:c r="O147" s="32" t="n">
        <x:v>0.3503649635036496350364963504</x:v>
      </x:c>
      <x:c r="P147" s="32" t="n">
        <x:v>0.4043795620437956204379562044</x:v>
      </x:c>
      <x:c r="Q147" s="32" t="n">
        <x:v>0.4545012165450121654501216545</x:v>
      </x:c>
      <x:c r="R147" s="32" t="n">
        <x:v>0.5143552311435523114355231144</x:v>
      </x:c>
      <x:c r="S147" s="32" t="n">
        <x:v>0.5381995133819951338199513382</x:v>
      </x:c>
      <x:c r="BI147" s="33" t="s"/>
      <x:c r="BJ147" s="11" t="s">
        <x:v>140</x:v>
      </x:c>
      <x:c r="BK147" s="12" t="str">
        <x:f>=BX147</x:f>
      </x:c>
      <x:c r="BL147" s="12" t="n">
        <x:v>0.4953771289537712895377128954</x:v>
      </x:c>
      <x:c r="BM147" s="12" t="n">
        <x:v>0.4827250608272506082725060827</x:v>
      </x:c>
      <x:c r="BN147" s="12" t="n">
        <x:v>0.0218978102189781021897810219</x:v>
      </x:c>
      <x:c r="BO147" s="12" t="str">
        <x:f>=BW147</x:f>
      </x:c>
      <x:c r="BP147" s="12" t="str">
        <x:f>=CF147</x:f>
      </x:c>
      <x:c r="BQ147" s="12" t="str"/>
      <x:c r="BR147" s="12" t="str">
        <x:v>AW 2019 EOS</x:v>
      </x:c>
      <x:c r="BS147" s="13" t="str"/>
      <x:c r="BT147" s="30" t="n">
        <x:v>24965.88</x:v>
      </x:c>
      <x:c r="BU147" s="30" t="n">
        <x:v>-19599.53910</x:v>
      </x:c>
      <x:c r="BV147" s="30" t="str">
        <x:f>=BT147+BU147</x:f>
      </x:c>
      <x:c r="BW147" s="66" t="str">
        <x:f>=BV147/BT147</x:f>
      </x:c>
      <x:c r="BX147" s="66" t="n">
        <x:v>0.9781021897810218978102189781</x:v>
      </x:c>
      <x:c r="BY147" s="30" t="n">
        <x:v>18031.35</x:v>
      </x:c>
      <x:c r="BZ147" s="41" t="n">
        <x:v>45</x:v>
      </x:c>
      <x:c r="CA147" s="30" t="n">
        <x:v>394.84708029197080291970802918</x:v>
      </x:c>
      <x:c r="CC147" s="30" t="n">
        <x:v>24966.417712895377128953771290</x:v>
      </x:c>
      <x:c r="CD147" s="30" t="n">
        <x:v>-19599.53910</x:v>
      </x:c>
      <x:c r="CE147" s="30" t="str">
        <x:f>=CC147+CD147</x:f>
      </x:c>
      <x:c r="CF147" s="66" t="str">
        <x:f>=CE147/CC147</x:f>
      </x:c>
      <x:c r="CH147" s="66" t="str">
        <x:f>=CI147+CJ147</x:f>
      </x:c>
      <x:c r="CI147" s="66" t="str">
        <x:f>=BX147+(0*7)</x:f>
      </x:c>
      <x:c r="CJ147" s="66" t="str">
        <x:f>=(1-CI147)*0.5</x:f>
      </x:c>
      <x:c r="CK147" s="66" t="str">
        <x:f>=1-CH147</x:f>
      </x:c>
      <x:c r="CM147" s="66" t="str">
        <x:f>=CJ147/(1-CI147)</x:f>
      </x:c>
    </x:row>
    <x:row r="148">
      <x:c r="A148" s="31" t="s">
        <x:v>335</x:v>
      </x:c>
      <x:c r="B148" t="s"/>
      <x:c r="C148" t="s">
        <x:v>336</x:v>
      </x:c>
      <x:c r="D148" t="s">
        <x:v>274</x:v>
      </x:c>
      <x:c r="E148" s="69" t="s">
        <x:v>153</x:v>
      </x:c>
      <x:c r="F148" t="n">
        <x:v>2031</x:v>
      </x:c>
      <x:c r="G148" s="32" t="n">
        <x:v>0.0334810438207779419005416051</x:v>
      </x:c>
      <x:c r="H148" s="32" t="n">
        <x:v>0.1093057607090103397341211226</x:v>
      </x:c>
      <x:c r="I148" s="32" t="n">
        <x:v>0.1915312653865091088133924175</x:v>
      </x:c>
      <x:c r="J148" s="32" t="n">
        <x:v>0.2968980797636632200886262925</x:v>
      </x:c>
      <x:c r="K148" s="32" t="n">
        <x:v>0.3855243722304283604135893648</x:v>
      </x:c>
      <x:c r="L148" s="32" t="n">
        <x:v>0.4687346134908911866075824717</x:v>
      </x:c>
      <x:c r="M148" s="32" t="n">
        <x:v>0.5440669620876415558838010832</x:v>
      </x:c>
      <x:c r="N148" s="32" t="n">
        <x:v>0.6115214180206794682422451994</x:v>
      </x:c>
      <x:c r="O148" s="32" t="n">
        <x:v>0.6701132447070408665681930084</x:v>
      </x:c>
      <x:c r="P148" s="23" t="n">
        <x:v>0.7242737567700640078778926637</x:v>
      </x:c>
      <x:c r="Q148" s="32" t="n">
        <x:v>0.7764647956671590349581486952</x:v>
      </x:c>
      <x:c r="R148" s="32" t="n">
        <x:v>0.8119153126538650910881339242</x:v>
      </x:c>
      <x:c r="S148" s="32" t="n">
        <x:v>0.8498276710979812900049236829</x:v>
      </x:c>
      <x:c r="BI148" s="33" t="s"/>
      <x:c r="BJ148" s="11" t="s">
        <x:v>140</x:v>
      </x:c>
      <x:c r="BK148" s="12" t="str">
        <x:f>=BX148</x:f>
      </x:c>
      <x:c r="BL148" s="12" t="n">
        <x:v>0.8537666174298375184638109306</x:v>
      </x:c>
      <x:c r="BM148" s="12" t="n">
        <x:v>0.1245691777449532250123092073</x:v>
      </x:c>
      <x:c r="BN148" s="12" t="n">
        <x:v>0.0216642048252092565238798621</x:v>
      </x:c>
      <x:c r="BO148" s="12" t="str">
        <x:f>=BW148</x:f>
      </x:c>
      <x:c r="BP148" s="12" t="str">
        <x:f>=CF148</x:f>
      </x:c>
      <x:c r="BQ148" s="12" t="str"/>
      <x:c r="BR148" s="12" t="str">
        <x:v>AW 2019 EOS</x:v>
      </x:c>
      <x:c r="BS148" s="13" t="str"/>
      <x:c r="BT148" s="30" t="n">
        <x:v>9450.26</x:v>
      </x:c>
      <x:c r="BU148" s="30" t="n">
        <x:v>-6839.26050</x:v>
      </x:c>
      <x:c r="BV148" s="30" t="str">
        <x:f>=BT148+BU148</x:f>
      </x:c>
      <x:c r="BW148" s="66" t="str">
        <x:f>=BV148/BT148</x:f>
      </x:c>
      <x:c r="BX148" s="66" t="n">
        <x:v>0.9783357951747907434761201379</x:v>
      </x:c>
      <x:c r="BY148" s="30" t="n">
        <x:v>6065.25</x:v>
      </x:c>
      <x:c r="BZ148" s="41" t="n">
        <x:v>44</x:v>
      </x:c>
      <x:c r="CA148" s="30" t="n">
        <x:v>131.39881831610044313146233383</x:v>
      </x:c>
      <x:c r="CC148" s="30" t="n">
        <x:v>9451.106873461349089118660758</x:v>
      </x:c>
      <x:c r="CD148" s="30" t="n">
        <x:v>-6839.26050</x:v>
      </x:c>
      <x:c r="CE148" s="30" t="str">
        <x:f>=CC148+CD148</x:f>
      </x:c>
      <x:c r="CF148" s="66" t="str">
        <x:f>=CE148/CC148</x:f>
      </x:c>
      <x:c r="CH148" s="66" t="str">
        <x:f>=CI148+CJ148</x:f>
      </x:c>
      <x:c r="CI148" s="66" t="str">
        <x:f>=BX148+(0*7)</x:f>
      </x:c>
      <x:c r="CJ148" s="66" t="str">
        <x:f>=(1-CI148)*0.5</x:f>
      </x:c>
      <x:c r="CK148" s="66" t="str">
        <x:f>=1-CH148</x:f>
      </x:c>
      <x:c r="CM148" s="66" t="str">
        <x:f>=CJ148/(1-CI148)</x:f>
      </x:c>
    </x:row>
    <x:row r="149">
      <x:c r="A149" s="31" t="s">
        <x:v>337</x:v>
      </x:c>
      <x:c r="B149" t="s"/>
      <x:c r="C149" t="s">
        <x:v>338</x:v>
      </x:c>
      <x:c r="D149" t="s">
        <x:v>274</x:v>
      </x:c>
      <x:c r="E149" s="69" t="s">
        <x:v>153</x:v>
      </x:c>
      <x:c r="F149" t="n">
        <x:v>3020</x:v>
      </x:c>
      <x:c r="G149" s="32" t="n">
        <x:v>0.0029801324503311258278145695</x:v>
      </x:c>
      <x:c r="H149" s="32" t="n">
        <x:v>0.022185430463576158940397351</x:v>
      </x:c>
      <x:c r="I149" s="32" t="n">
        <x:v>0.0529801324503311258278145695</x:v>
      </x:c>
      <x:c r="J149" s="32" t="n">
        <x:v>0.1009933774834437086092715232</x:v>
      </x:c>
      <x:c r="K149" s="32" t="n">
        <x:v>0.1380794701986754966887417219</x:v>
      </x:c>
      <x:c r="L149" s="32" t="n">
        <x:v>0.1758278145695364238410596026</x:v>
      </x:c>
      <x:c r="M149" s="32" t="n">
        <x:v>0.2301324503311258278145695364</x:v>
      </x:c>
      <x:c r="N149" s="32" t="n">
        <x:v>0.2824503311258278145695364238</x:v>
      </x:c>
      <x:c r="O149" s="32" t="n">
        <x:v>0.3344370860927152317880794702</x:v>
      </x:c>
      <x:c r="P149" s="32" t="n">
        <x:v>0.4115894039735099337748344371</x:v>
      </x:c>
      <x:c r="Q149" s="32" t="n">
        <x:v>0.5013245033112582781456953642</x:v>
      </x:c>
      <x:c r="R149" s="32" t="n">
        <x:v>0.6129139072847682119205298013</x:v>
      </x:c>
      <x:c r="S149" s="32" t="n">
        <x:v>0.6523178807947019867549668874</x:v>
      </x:c>
      <x:c r="BI149" s="33" t="s"/>
      <x:c r="BJ149" s="11" t="s">
        <x:v>140</x:v>
      </x:c>
      <x:c r="BK149" s="12" t="str">
        <x:f>=BX149</x:f>
      </x:c>
      <x:c r="BL149" s="12" t="n">
        <x:v>0.6400662251655629139072847682</x:v>
      </x:c>
      <x:c r="BM149" s="12" t="n">
        <x:v>0.3576158940397350993377483444</x:v>
      </x:c>
      <x:c r="BN149" s="12" t="n">
        <x:v>0.0023178807947019867549668874</x:v>
      </x:c>
      <x:c r="BO149" s="12" t="str">
        <x:f>=BW149</x:f>
      </x:c>
      <x:c r="BP149" s="12" t="str">
        <x:f>=CF149</x:f>
      </x:c>
      <x:c r="BQ149" s="12" t="str"/>
      <x:c r="BR149" s="12" t="str">
        <x:v>AW 2019 EOS</x:v>
      </x:c>
      <x:c r="BS149" s="13" t="str"/>
      <x:c r="BT149" s="30" t="n">
        <x:v>39582.06</x:v>
      </x:c>
      <x:c r="BU149" s="30" t="n">
        <x:v>-28794.44640</x:v>
      </x:c>
      <x:c r="BV149" s="30" t="str">
        <x:f>=BT149+BU149</x:f>
      </x:c>
      <x:c r="BW149" s="66" t="str">
        <x:f>=BV149/BT149</x:f>
      </x:c>
      <x:c r="BX149" s="66" t="n">
        <x:v>0.9976821192052980132450331126</x:v>
      </x:c>
      <x:c r="BY149" s="30" t="n">
        <x:v>26490.40</x:v>
      </x:c>
      <x:c r="BZ149" s="41" t="n">
        <x:v>7</x:v>
      </x:c>
      <x:c r="CA149" s="30" t="n">
        <x:v>61.401589403973509933774834435</x:v>
      </x:c>
      <x:c r="CC149" s="30" t="n">
        <x:v>39582.712980132450331125827815</x:v>
      </x:c>
      <x:c r="CD149" s="30" t="n">
        <x:v>-28794.44640</x:v>
      </x:c>
      <x:c r="CE149" s="30" t="str">
        <x:f>=CC149+CD149</x:f>
      </x:c>
      <x:c r="CF149" s="66" t="str">
        <x:f>=CE149/CC149</x:f>
      </x:c>
      <x:c r="CH149" s="66" t="str">
        <x:f>=CI149+CJ149</x:f>
      </x:c>
      <x:c r="CI149" s="66" t="str">
        <x:f>=BX149+(0*7)</x:f>
      </x:c>
      <x:c r="CJ149" s="66" t="str">
        <x:f>=(1-CI149)*0.5</x:f>
      </x:c>
      <x:c r="CK149" s="66" t="str">
        <x:f>=1-CH149</x:f>
      </x:c>
      <x:c r="CM149" s="66" t="str">
        <x:f>=CJ149/(1-CI149)</x:f>
      </x:c>
    </x:row>
    <x:row r="150">
      <x:c r="A150" s="31" t="s">
        <x:v>339</x:v>
      </x:c>
      <x:c r="B150" t="s"/>
      <x:c r="C150" t="s">
        <x:v>340</x:v>
      </x:c>
      <x:c r="D150" t="s">
        <x:v>147</x:v>
      </x:c>
      <x:c r="E150" s="69" t="s">
        <x:v>153</x:v>
      </x:c>
      <x:c r="F150" t="n">
        <x:v>2046</x:v>
      </x:c>
      <x:c r="G150" s="32" t="n">
        <x:v>0.0215053763440860215053763441</x:v>
      </x:c>
      <x:c r="H150" s="32" t="n">
        <x:v>0.0654936461388074291300097752</x:v>
      </x:c>
      <x:c r="I150" s="32" t="n">
        <x:v>0.1182795698924731182795698925</x:v>
      </x:c>
      <x:c r="J150" s="32" t="n">
        <x:v>0.162756598240469208211143695</x:v>
      </x:c>
      <x:c r="K150" s="32" t="n">
        <x:v>0.2179863147605083088954056696</x:v>
      </x:c>
      <x:c r="L150" s="32" t="n">
        <x:v>0.292277614858260019550342131</x:v>
      </x:c>
      <x:c r="M150" s="32" t="n">
        <x:v>0.382209188660801564027370479</x:v>
      </x:c>
      <x:c r="N150" s="32" t="n">
        <x:v>0.4750733137829912023460410557</x:v>
      </x:c>
      <x:c r="O150" s="32" t="n">
        <x:v>0.5713587487781036168132942326</x:v>
      </x:c>
      <x:c r="P150" s="32" t="n">
        <x:v>0.6671554252199413489736070381</x:v>
      </x:c>
      <x:c r="Q150" s="23" t="n">
        <x:v>0.7277614858260019550342130987</x:v>
      </x:c>
      <x:c r="R150" s="32" t="n">
        <x:v>0.7619745845552297165200391007</x:v>
      </x:c>
      <x:c r="BI150" s="33" t="s"/>
      <x:c r="BJ150" s="11" t="s">
        <x:v>314</x:v>
      </x:c>
      <x:c r="BK150" s="12" t="str">
        <x:f>=BX150</x:f>
      </x:c>
      <x:c r="BL150" s="12" t="n">
        <x:v>0.7443792766373411534701857283</x:v>
      </x:c>
      <x:c r="BM150" s="12" t="n">
        <x:v>0.2346041055718475073313782991</x:v>
      </x:c>
      <x:c r="BN150" s="12" t="n">
        <x:v>0.0210166177908113391984359726</x:v>
      </x:c>
      <x:c r="BO150" s="12" t="str">
        <x:f>=BW150</x:f>
      </x:c>
      <x:c r="BP150" s="12" t="str">
        <x:f>=CF150</x:f>
      </x:c>
      <x:c r="BQ150" s="12" t="str"/>
      <x:c r="BR150" s="12" t="str">
        <x:v>AW 2019 EOS</x:v>
      </x:c>
      <x:c r="BS150" s="13" t="str"/>
      <x:c r="BT150" s="30" t="n">
        <x:v>9204.55</x:v>
      </x:c>
      <x:c r="BU150" s="30" t="n">
        <x:v>-6158.4414</x:v>
      </x:c>
      <x:c r="BV150" s="30" t="str">
        <x:f>=BT150+BU150</x:f>
      </x:c>
      <x:c r="BW150" s="66" t="str">
        <x:f>=BV150/BT150</x:f>
      </x:c>
      <x:c r="BX150" s="66" t="n">
        <x:v>0.9789833822091886608015640274</x:v>
      </x:c>
      <x:c r="BY150" s="30" t="n">
        <x:v>5924.10</x:v>
      </x:c>
      <x:c r="BZ150" s="41" t="n">
        <x:v>43</x:v>
      </x:c>
      <x:c r="CA150" s="30" t="n">
        <x:v>124.50454545454545454545454546</x:v>
      </x:c>
      <x:c r="CC150" s="30" t="n">
        <x:v>9205.311485826001955034213099</x:v>
      </x:c>
      <x:c r="CD150" s="30" t="n">
        <x:v>-6158.4414</x:v>
      </x:c>
      <x:c r="CE150" s="30" t="str">
        <x:f>=CC150+CD150</x:f>
      </x:c>
      <x:c r="CF150" s="66" t="str">
        <x:f>=CE150/CC150</x:f>
      </x:c>
      <x:c r="CH150" s="66" t="str">
        <x:f>=CI150+CJ150</x:f>
      </x:c>
      <x:c r="CI150" s="66" t="str">
        <x:f>=BX150+(0*7)</x:f>
      </x:c>
      <x:c r="CJ150" s="66" t="str">
        <x:f>=(1-CI150)*0.5</x:f>
      </x:c>
      <x:c r="CK150" s="66" t="str">
        <x:f>=1-CH150</x:f>
      </x:c>
      <x:c r="CM150" s="66" t="str">
        <x:f>=CJ150/(1-CI150)</x:f>
      </x:c>
    </x:row>
    <x:row r="151">
      <x:c r="A151" s="31" t="s">
        <x:v>341</x:v>
      </x:c>
      <x:c r="B151" t="s"/>
      <x:c r="C151" t="s">
        <x:v>342</x:v>
      </x:c>
      <x:c r="D151" t="s">
        <x:v>147</x:v>
      </x:c>
      <x:c r="E151" s="69" t="s">
        <x:v>153</x:v>
      </x:c>
      <x:c r="F151" t="n">
        <x:v>2101</x:v>
      </x:c>
      <x:c r="G151" s="32" t="n">
        <x:v>0.033793431699190861494526416</x:v>
      </x:c>
      <x:c r="H151" s="32" t="n">
        <x:v>0.0970966206568300809138505474</x:v>
      </x:c>
      <x:c r="I151" s="32" t="n">
        <x:v>0.1627796287482151356496906235</x:v>
      </x:c>
      <x:c r="J151" s="32" t="n">
        <x:v>0.2175154688243693479295573536</x:v>
      </x:c>
      <x:c r="K151" s="32" t="n">
        <x:v>0.2855782960495002379819133746</x:v>
      </x:c>
      <x:c r="L151" s="32" t="n">
        <x:v>0.3741075678248453117563065207</x:v>
      </x:c>
      <x:c r="M151" s="32" t="n">
        <x:v>0.4807234650166587339362208472</x:v>
      </x:c>
      <x:c r="N151" s="32" t="n">
        <x:v>0.5778200856734888148500713946</x:v>
      </x:c>
      <x:c r="O151" s="32" t="n">
        <x:v>0.6996668253212755830556877677</x:v>
      </x:c>
      <x:c r="P151" s="23" t="n">
        <x:v>0.8019990480723465016658733936</x:v>
      </x:c>
      <x:c r="Q151" s="32" t="n">
        <x:v>0.8595906711089957163255592575</x:v>
      </x:c>
      <x:c r="R151" s="32" t="n">
        <x:v>0.8843407900999524036173250833</x:v>
      </x:c>
      <x:c r="BI151" s="33" t="s"/>
      <x:c r="BJ151" s="11" t="s">
        <x:v>314</x:v>
      </x:c>
      <x:c r="BK151" s="12" t="str">
        <x:f>=BX151</x:f>
      </x:c>
      <x:c r="BL151" s="12" t="n">
        <x:v>0.8638743455497382198952879581</x:v>
      </x:c>
      <x:c r="BM151" s="12" t="n">
        <x:v>0.1475487862922417896239885769</x:v>
      </x:c>
      <x:c r="BN151" s="12" t="n">
        <x:v>-0.011423131841980009519276535</x:v>
      </x:c>
      <x:c r="BO151" s="12" t="str">
        <x:f>=BW151</x:f>
      </x:c>
      <x:c r="BP151" s="12" t="str">
        <x:f>=CF151</x:f>
      </x:c>
      <x:c r="BQ151" s="12" t="str"/>
      <x:c r="BR151" s="12" t="str">
        <x:v>AW 2019 EOS</x:v>
      </x:c>
      <x:c r="BS151" s="13" t="str"/>
      <x:c r="BT151" s="30" t="n">
        <x:v>14617.98</x:v>
      </x:c>
      <x:c r="BU151" s="30" t="n">
        <x:v>-9546.9808</x:v>
      </x:c>
      <x:c r="BV151" s="30" t="str">
        <x:f>=BT151+BU151</x:f>
      </x:c>
      <x:c r="BW151" s="66" t="str">
        <x:f>=BV151/BT151</x:f>
      </x:c>
      <x:c r="BX151" s="66" t="n">
        <x:v>1.011423131841980009519276535</x:v>
      </x:c>
      <x:c r="BY151" s="30" t="n">
        <x:v>9406.02</x:v>
      </x:c>
      <x:c r="BZ151" s="41" t="n">
        <x:v>-24</x:v>
      </x:c>
      <x:c r="CA151" s="30" t="n">
        <x:v>-107.44620656830080913850547358</x:v>
      </x:c>
      <x:c r="CC151" s="30" t="n">
        <x:v>14618.864340790099952403617325</x:v>
      </x:c>
      <x:c r="CD151" s="30" t="n">
        <x:v>-9546.9808</x:v>
      </x:c>
      <x:c r="CE151" s="30" t="str">
        <x:f>=CC151+CD151</x:f>
      </x:c>
      <x:c r="CF151" s="66" t="str">
        <x:f>=CE151/CC151</x:f>
      </x:c>
      <x:c r="CH151" s="66" t="str">
        <x:f>=CI151+CJ151</x:f>
      </x:c>
      <x:c r="CI151" s="66" t="str">
        <x:f>=BX151+(0*7)</x:f>
      </x:c>
      <x:c r="CJ151" s="66" t="str">
        <x:f>=(1-CI151)*0.5</x:f>
      </x:c>
      <x:c r="CK151" s="66" t="str">
        <x:f>=1-CH151</x:f>
      </x:c>
      <x:c r="CM151" s="66" t="str">
        <x:f>=CJ151/(1-CI151)</x:f>
      </x:c>
    </x:row>
    <x:row r="152">
      <x:c r="A152" s="31" t="s">
        <x:v>343</x:v>
      </x:c>
      <x:c r="B152" t="s"/>
      <x:c r="C152" t="s">
        <x:v>344</x:v>
      </x:c>
      <x:c r="D152" t="s">
        <x:v>147</x:v>
      </x:c>
      <x:c r="E152" s="69" t="s">
        <x:v>153</x:v>
      </x:c>
      <x:c r="F152" t="n">
        <x:v>3989</x:v>
      </x:c>
      <x:c r="G152" s="32" t="n">
        <x:v>0</x:v>
      </x:c>
      <x:c r="H152" s="32" t="n">
        <x:v>0.0002506893958385560290799699</x:v>
      </x:c>
      <x:c r="I152" s="32" t="n">
        <x:v>0.0268237653547254951115567811</x:v>
      </x:c>
      <x:c r="J152" s="32" t="n">
        <x:v>0.1095512659814489847079468538</x:v>
      </x:c>
      <x:c r="K152" s="32" t="n">
        <x:v>0.2093256455251942842817748809</x:v>
      </x:c>
      <x:c r="L152" s="32" t="n">
        <x:v>0.3351717222361494108799197794</x:v>
      </x:c>
      <x:c r="M152" s="32" t="n">
        <x:v>0.503133617447981950363499624</x:v>
      </x:c>
      <x:c r="N152" s="23" t="n">
        <x:v>0.7024316871396339934820757082</x:v>
      </x:c>
      <x:c r="O152" s="32" t="n">
        <x:v>0.8513411882677362747555778391</x:v>
      </x:c>
      <x:c r="P152" s="32" t="n">
        <x:v>0.945600401103033341689646528</x:v>
      </x:c>
      <x:c r="Q152" s="32" t="n">
        <x:v>0.9593883178741539232890448734</x:v>
      </x:c>
      <x:c r="R152" s="32" t="n">
        <x:v>0.9704186512910503885685635498</x:v>
      </x:c>
      <x:c r="BI152" s="33" t="s"/>
      <x:c r="BJ152" s="11" t="s">
        <x:v>314</x:v>
      </x:c>
      <x:c r="BK152" s="12" t="str">
        <x:f>=BX152</x:f>
      </x:c>
      <x:c r="BL152" s="12" t="n">
        <x:v>0.954625219353221358736525445</x:v>
      </x:c>
      <x:c r="BM152" s="12" t="n">
        <x:v>0.018049636500376034093757834</x:v>
      </x:c>
      <x:c r="BN152" s="12" t="n">
        <x:v>0.027325144146402607169716721</x:v>
      </x:c>
      <x:c r="BO152" s="12" t="str">
        <x:f>=BW152</x:f>
      </x:c>
      <x:c r="BP152" s="12" t="str">
        <x:f>=CF152</x:f>
      </x:c>
      <x:c r="BQ152" s="12" t="str"/>
      <x:c r="BR152" s="12" t="str">
        <x:v>AW 2019 EOS</x:v>
      </x:c>
      <x:c r="BS152" s="13" t="str"/>
      <x:c r="BT152" s="30" t="n">
        <x:v>24700.65</x:v>
      </x:c>
      <x:c r="BU152" s="30" t="n">
        <x:v>-16677.2499</x:v>
      </x:c>
      <x:c r="BV152" s="30" t="str">
        <x:f>=BT152+BU152</x:f>
      </x:c>
      <x:c r="BW152" s="66" t="str">
        <x:f>=BV152/BT152</x:f>
      </x:c>
      <x:c r="BX152" s="66" t="n">
        <x:v>0.972674855853597392830283279</x:v>
      </x:c>
      <x:c r="BY152" s="30" t="n">
        <x:v>14933.90</x:v>
      </x:c>
      <x:c r="BZ152" s="41" t="n">
        <x:v>109</x:v>
      </x:c>
      <x:c r="CA152" s="30" t="n">
        <x:v>408.07097016796189521183253949</x:v>
      </x:c>
      <x:c r="CC152" s="30" t="n">
        <x:v>24701.620418651291050388568564</x:v>
      </x:c>
      <x:c r="CD152" s="30" t="n">
        <x:v>-16677.2499</x:v>
      </x:c>
      <x:c r="CE152" s="30" t="str">
        <x:f>=CC152+CD152</x:f>
      </x:c>
      <x:c r="CF152" s="66" t="str">
        <x:f>=CE152/CC152</x:f>
      </x:c>
      <x:c r="CH152" s="66" t="str">
        <x:f>=CI152+CJ152</x:f>
      </x:c>
      <x:c r="CI152" s="66" t="str">
        <x:f>=BX152+(0*7)</x:f>
      </x:c>
      <x:c r="CJ152" s="66" t="str">
        <x:f>=(1-CI152)*0.5</x:f>
      </x:c>
      <x:c r="CK152" s="66" t="str">
        <x:f>=1-CH152</x:f>
      </x:c>
      <x:c r="CM152" s="66" t="str">
        <x:f>=CJ152/(1-CI152)</x:f>
      </x:c>
    </x:row>
    <x:row r="153">
      <x:c r="A153" s="31" t="s">
        <x:v>345</x:v>
      </x:c>
      <x:c r="B153" t="s"/>
      <x:c r="C153" t="s">
        <x:v>344</x:v>
      </x:c>
      <x:c r="D153" t="s">
        <x:v>147</x:v>
      </x:c>
      <x:c r="E153" s="69" t="s">
        <x:v>153</x:v>
      </x:c>
      <x:c r="F153" t="n">
        <x:v>1974</x:v>
      </x:c>
      <x:c r="G153" s="32" t="n">
        <x:v>0.0283687943262411347517730496</x:v>
      </x:c>
      <x:c r="H153" s="32" t="n">
        <x:v>0.1180344478216818642350557244</x:v>
      </x:c>
      <x:c r="I153" s="32" t="n">
        <x:v>0.2259371833839918946301925025</x:v>
      </x:c>
      <x:c r="J153" s="32" t="n">
        <x:v>0.3611955420466058763931104357</x:v>
      </x:c>
      <x:c r="K153" s="32" t="n">
        <x:v>0.4782168186423505572441742655</x:v>
      </x:c>
      <x:c r="L153" s="32" t="n">
        <x:v>0.6529888551165146909827760892</x:v>
      </x:c>
      <x:c r="M153" s="23" t="n">
        <x:v>0.813576494427558257345491388</x:v>
      </x:c>
      <x:c r="N153" s="32" t="n">
        <x:v>0.9214792299898682877406281662</x:v>
      </x:c>
      <x:c r="O153" s="32" t="n">
        <x:v>0.9559270516717325227963525836</x:v>
      </x:c>
      <x:c r="P153" s="32" t="n">
        <x:v>0.9756838905775075987841945289</x:v>
      </x:c>
      <x:c r="Q153" s="32" t="n">
        <x:v>0.9863221884498480243161094225</x:v>
      </x:c>
      <x:c r="R153" s="32" t="n">
        <x:v>0.9858156028368794326241134752</x:v>
      </x:c>
      <x:c r="BI153" s="33" t="s"/>
      <x:c r="BJ153" s="11" t="s">
        <x:v>314</x:v>
      </x:c>
      <x:c r="BK153" s="12" t="str">
        <x:f>=BX153</x:f>
      </x:c>
      <x:c r="BL153" s="12" t="n">
        <x:v>0.9640324214792299898682877406</x:v>
      </x:c>
      <x:c r="BM153" s="12" t="n">
        <x:v>0.0379939209726443768996960486</x:v>
      </x:c>
      <x:c r="BN153" s="12" t="n">
        <x:v>-0.0020263424518743667679837893</x:v>
      </x:c>
      <x:c r="BO153" s="12" t="str">
        <x:f>=BW153</x:f>
      </x:c>
      <x:c r="BP153" s="12" t="str">
        <x:f>=CF153</x:f>
      </x:c>
      <x:c r="BQ153" s="12" t="str"/>
      <x:c r="BR153" s="12" t="str">
        <x:v>AW 2019 EOS</x:v>
      </x:c>
      <x:c r="BS153" s="13" t="str"/>
      <x:c r="BT153" s="30" t="n">
        <x:v>14582.39</x:v>
      </x:c>
      <x:c r="BU153" s="30" t="n">
        <x:v>-8901.3882</x:v>
      </x:c>
      <x:c r="BV153" s="30" t="str">
        <x:f>=BT153+BU153</x:f>
      </x:c>
      <x:c r="BW153" s="66" t="str">
        <x:f>=BV153/BT153</x:f>
      </x:c>
      <x:c r="BX153" s="66" t="n">
        <x:v>1.0020263424518743667679837893</x:v>
      </x:c>
      <x:c r="BY153" s="30" t="n">
        <x:v>7930.98</x:v>
      </x:c>
      <x:c r="BZ153" s="41" t="n">
        <x:v>-4</x:v>
      </x:c>
      <x:c r="CA153" s="30" t="n">
        <x:v>-16.070881458966565349544072948</x:v>
      </x:c>
      <x:c r="CC153" s="30" t="n">
        <x:v>14583.376322188449848024316109</x:v>
      </x:c>
      <x:c r="CD153" s="30" t="n">
        <x:v>-8901.3882</x:v>
      </x:c>
      <x:c r="CE153" s="30" t="str">
        <x:f>=CC153+CD153</x:f>
      </x:c>
      <x:c r="CF153" s="66" t="str">
        <x:f>=CE153/CC153</x:f>
      </x:c>
      <x:c r="CH153" s="66" t="str">
        <x:f>=CI153+CJ153</x:f>
      </x:c>
      <x:c r="CI153" s="66" t="str">
        <x:f>=BX153+(0*7)</x:f>
      </x:c>
      <x:c r="CJ153" s="66" t="str">
        <x:f>=(1-CI153)*0.5</x:f>
      </x:c>
      <x:c r="CK153" s="66" t="str">
        <x:f>=1-CH153</x:f>
      </x:c>
      <x:c r="CM153" s="66" t="str">
        <x:f>=CJ153/(1-CI153)</x:f>
      </x:c>
    </x:row>
    <x:row r="154">
      <x:c r="A154" s="31" t="s">
        <x:v>346</x:v>
      </x:c>
      <x:c r="B154" t="s"/>
      <x:c r="C154" t="s">
        <x:v>347</x:v>
      </x:c>
      <x:c r="D154" t="s">
        <x:v>147</x:v>
      </x:c>
      <x:c r="E154" s="69" t="s">
        <x:v>153</x:v>
      </x:c>
      <x:c r="F154" t="n">
        <x:v>2954</x:v>
      </x:c>
      <x:c r="G154" s="32" t="n">
        <x:v>0.0416384563303994583615436696</x:v>
      </x:c>
      <x:c r="H154" s="32" t="n">
        <x:v>0.1445497630331753554502369668</x:v>
      </x:c>
      <x:c r="I154" s="32" t="n">
        <x:v>0.2373053486797562626946513202</x:v>
      </x:c>
      <x:c r="J154" s="32" t="n">
        <x:v>0.3774542992552471225457007448</x:v>
      </x:c>
      <x:c r="K154" s="32" t="n">
        <x:v>0.5169262017603249830737982397</x:v>
      </x:c>
      <x:c r="L154" s="32" t="n">
        <x:v>0.6357481381178063642518618822</x:v>
      </x:c>
      <x:c r="M154" s="23" t="n">
        <x:v>0.7339201083276912660798916723</x:v>
      </x:c>
      <x:c r="N154" s="32" t="n">
        <x:v>0.8226134055517941773865944482</x:v>
      </x:c>
      <x:c r="O154" s="32" t="n">
        <x:v>0.9079214624238320920785375762</x:v>
      </x:c>
      <x:c r="P154" s="32" t="n">
        <x:v>0.9641164522681110358835477319</x:v>
      </x:c>
      <x:c r="Q154" s="32" t="n">
        <x:v>0.9844278943805010155721056195</x:v>
      </x:c>
      <x:c r="R154" s="32" t="n">
        <x:v>0.9857819905213270142180094787</x:v>
      </x:c>
      <x:c r="BI154" s="33" t="s"/>
      <x:c r="BJ154" s="11" t="s">
        <x:v>314</x:v>
      </x:c>
      <x:c r="BK154" s="12" t="str">
        <x:f>=BX154</x:f>
      </x:c>
      <x:c r="BL154" s="12" t="n">
        <x:v>0.9600541638456330399458361544</x:v>
      </x:c>
      <x:c r="BM154" s="12" t="n">
        <x:v>0.0480704129993229519295870007</x:v>
      </x:c>
      <x:c r="BN154" s="12" t="n">
        <x:v>-0.008124576844955991875423155</x:v>
      </x:c>
      <x:c r="BO154" s="12" t="str">
        <x:f>=BW154</x:f>
      </x:c>
      <x:c r="BP154" s="12" t="str">
        <x:f>=CF154</x:f>
      </x:c>
      <x:c r="BQ154" s="12" t="str"/>
      <x:c r="BR154" s="12" t="str">
        <x:v>AW 2019 EOS</x:v>
      </x:c>
      <x:c r="BS154" s="13" t="str"/>
      <x:c r="BT154" s="30" t="n">
        <x:v>21578.48</x:v>
      </x:c>
      <x:c r="BU154" s="30" t="n">
        <x:v>-13438.9678</x:v>
      </x:c>
      <x:c r="BV154" s="30" t="str">
        <x:f>=BT154+BU154</x:f>
      </x:c>
      <x:c r="BW154" s="66" t="str">
        <x:f>=BV154/BT154</x:f>
      </x:c>
      <x:c r="BX154" s="66" t="n">
        <x:v>1.008124576844955991875423155</x:v>
      </x:c>
      <x:c r="BY154" s="30" t="n">
        <x:v>11878.64</x:v>
      </x:c>
      <x:c r="BZ154" s="41" t="n">
        <x:v>-24</x:v>
      </x:c>
      <x:c r="CA154" s="30" t="n">
        <x:v>-96.50892349356804333107650643</x:v>
      </x:c>
      <x:c r="CC154" s="30" t="n">
        <x:v>21579.465781990521327014218009</x:v>
      </x:c>
      <x:c r="CD154" s="30" t="n">
        <x:v>-13438.9678</x:v>
      </x:c>
      <x:c r="CE154" s="30" t="str">
        <x:f>=CC154+CD154</x:f>
      </x:c>
      <x:c r="CF154" s="66" t="str">
        <x:f>=CE154/CC154</x:f>
      </x:c>
      <x:c r="CH154" s="66" t="str">
        <x:f>=CI154+CJ154</x:f>
      </x:c>
      <x:c r="CI154" s="66" t="str">
        <x:f>=BX154+(0*7)</x:f>
      </x:c>
      <x:c r="CJ154" s="66" t="str">
        <x:f>=(1-CI154)*0.5</x:f>
      </x:c>
      <x:c r="CK154" s="66" t="str">
        <x:f>=1-CH154</x:f>
      </x:c>
      <x:c r="CM154" s="66" t="str">
        <x:f>=CJ154/(1-CI154)</x:f>
      </x:c>
    </x:row>
    <x:row r="155">
      <x:c r="A155" s="31" t="s">
        <x:v>348</x:v>
      </x:c>
      <x:c r="B155" t="s"/>
      <x:c r="C155" t="s">
        <x:v>349</x:v>
      </x:c>
      <x:c r="D155" t="s">
        <x:v>147</x:v>
      </x:c>
      <x:c r="E155" s="69" t="s">
        <x:v>153</x:v>
      </x:c>
      <x:c r="F155" t="n">
        <x:v>2052</x:v>
      </x:c>
      <x:c r="G155" s="32" t="n">
        <x:v>0.0082846003898635477582846004</x:v>
      </x:c>
      <x:c r="H155" s="32" t="n">
        <x:v>0.100877192982456140350877193</x:v>
      </x:c>
      <x:c r="I155" s="32" t="n">
        <x:v>0.2158869395711500974658869396</x:v>
      </x:c>
      <x:c r="J155" s="32" t="n">
        <x:v>0.3693957115009746588693957115</x:v>
      </x:c>
      <x:c r="K155" s="32" t="n">
        <x:v>0.5014619883040935672514619883</x:v>
      </x:c>
      <x:c r="L155" s="32" t="n">
        <x:v>0.6252436647173489278752436647</x:v>
      </x:c>
      <x:c r="M155" s="23" t="n">
        <x:v>0.7207602339181286549707602339</x:v>
      </x:c>
      <x:c r="N155" s="32" t="n">
        <x:v>0.7704678362573099415204678363</x:v>
      </x:c>
      <x:c r="O155" s="32" t="n">
        <x:v>0.8128654970760233918128654971</x:v>
      </x:c>
      <x:c r="P155" s="32" t="n">
        <x:v>0.8386939571150097465886939571</x:v>
      </x:c>
      <x:c r="Q155" s="32" t="n">
        <x:v>0.8674463937621832358674463938</x:v>
      </x:c>
      <x:c r="BI155" s="33" t="s"/>
      <x:c r="BJ155" s="11" t="s">
        <x:v>294</x:v>
      </x:c>
      <x:c r="BK155" s="12" t="str">
        <x:f>=BX155</x:f>
      </x:c>
      <x:c r="BL155" s="12" t="n">
        <x:v>0.8874269005847953216374269006</x:v>
      </x:c>
      <x:c r="BM155" s="12" t="n">
        <x:v>0.0984405458089668615984405458</x:v>
      </x:c>
      <x:c r="BN155" s="12" t="n">
        <x:v>0.0141325536062378167641325536</x:v>
      </x:c>
      <x:c r="BO155" s="12" t="str">
        <x:f>=BW155</x:f>
      </x:c>
      <x:c r="BP155" s="12" t="str">
        <x:f>=CF155</x:f>
      </x:c>
      <x:c r="BQ155" s="12" t="str"/>
      <x:c r="BR155" s="12" t="str">
        <x:v>AW 2019 EOS</x:v>
      </x:c>
      <x:c r="BS155" s="13" t="str"/>
      <x:c r="BT155" s="30" t="n">
        <x:v>7477.47</x:v>
      </x:c>
      <x:c r="BU155" s="30" t="n">
        <x:v>-4885.5044</x:v>
      </x:c>
      <x:c r="BV155" s="30" t="str">
        <x:f>=BT155+BU155</x:f>
      </x:c>
      <x:c r="BW155" s="66" t="str">
        <x:f>=BV155/BT155</x:f>
      </x:c>
      <x:c r="BX155" s="66" t="n">
        <x:v>0.9858674463937621832358674464</x:v>
      </x:c>
      <x:c r="BY155" s="30" t="n">
        <x:v>4888.52</x:v>
      </x:c>
      <x:c r="BZ155" s="41" t="n">
        <x:v>29</x:v>
      </x:c>
      <x:c r="CA155" s="30" t="n">
        <x:v>69.087270955165692007797270955</x:v>
      </x:c>
      <x:c r="CC155" s="30" t="n">
        <x:v>7478.3374463937621832358674464</x:v>
      </x:c>
      <x:c r="CD155" s="30" t="n">
        <x:v>-4885.5044</x:v>
      </x:c>
      <x:c r="CE155" s="30" t="str">
        <x:f>=CC155+CD155</x:f>
      </x:c>
      <x:c r="CF155" s="66" t="str">
        <x:f>=CE155/CC155</x:f>
      </x:c>
      <x:c r="CH155" s="66" t="str">
        <x:f>=CI155+CJ155</x:f>
      </x:c>
      <x:c r="CI155" s="66" t="str">
        <x:f>=BX155+(0*7)</x:f>
      </x:c>
      <x:c r="CJ155" s="66" t="str">
        <x:f>=(1-CI155)*0.5</x:f>
      </x:c>
      <x:c r="CK155" s="66" t="str">
        <x:f>=1-CH155</x:f>
      </x:c>
      <x:c r="CM155" s="66" t="str">
        <x:f>=CJ155/(1-CI155)</x:f>
      </x:c>
    </x:row>
    <x:row r="156">
      <x:c r="A156" s="31" t="s">
        <x:v>350</x:v>
      </x:c>
      <x:c r="B156" t="s"/>
      <x:c r="C156" t="s">
        <x:v>351</x:v>
      </x:c>
      <x:c r="D156" t="s">
        <x:v>147</x:v>
      </x:c>
      <x:c r="E156" s="69" t="s">
        <x:v>153</x:v>
      </x:c>
      <x:c r="F156" t="n">
        <x:v>1014</x:v>
      </x:c>
      <x:c r="G156" s="32" t="n">
        <x:v>0.0788954635108481262327416174</x:v>
      </x:c>
      <x:c r="H156" s="32" t="n">
        <x:v>0.1597633136094674556213017751</x:v>
      </x:c>
      <x:c r="I156" s="32" t="n">
        <x:v>0.2859960552268244575936883629</x:v>
      </x:c>
      <x:c r="J156" s="32" t="n">
        <x:v>0.4102564102564102564102564103</x:v>
      </x:c>
      <x:c r="K156" s="32" t="n">
        <x:v>0.4881656804733727810650887574</x:v>
      </x:c>
      <x:c r="L156" s="32" t="n">
        <x:v>0.5670611439842209072978303748</x:v>
      </x:c>
      <x:c r="M156" s="32" t="n">
        <x:v>0.6065088757396449704142011834</x:v>
      </x:c>
      <x:c r="N156" s="32" t="n">
        <x:v>0.6321499013806706114398422091</x:v>
      </x:c>
      <x:c r="O156" s="32" t="n">
        <x:v>0.6548323471400394477317554241</x:v>
      </x:c>
      <x:c r="BI156" s="33" t="s"/>
      <x:c r="BJ156" s="11" t="s">
        <x:v>161</x:v>
      </x:c>
      <x:c r="BK156" s="12" t="str">
        <x:f>=BX156</x:f>
      </x:c>
      <x:c r="BL156" s="12" t="n">
        <x:v>0.6489151873767258382642998028</x:v>
      </x:c>
      <x:c r="BM156" s="12" t="n">
        <x:v>0.3293885601577909270216962525</x:v>
      </x:c>
      <x:c r="BN156" s="12" t="n">
        <x:v>0.0216962524654832347140039448</x:v>
      </x:c>
      <x:c r="BO156" s="12" t="str">
        <x:f>=BW156</x:f>
      </x:c>
      <x:c r="BP156" s="12" t="str">
        <x:f>=CF156</x:f>
      </x:c>
      <x:c r="BQ156" s="12" t="str"/>
      <x:c r="BR156" s="12" t="str">
        <x:v>AW 2019 EOS</x:v>
      </x:c>
      <x:c r="BS156" s="13" t="str"/>
      <x:c r="BT156" s="30" t="n">
        <x:v>7288.22</x:v>
      </x:c>
      <x:c r="BU156" s="30" t="n">
        <x:v>-5022.5326</x:v>
      </x:c>
      <x:c r="BV156" s="30" t="str">
        <x:f>=BT156+BU156</x:f>
      </x:c>
      <x:c r="BW156" s="66" t="str">
        <x:f>=BV156/BT156</x:f>
      </x:c>
      <x:c r="BX156" s="66" t="n">
        <x:v>0.9783037475345167652859960552</x:v>
      </x:c>
      <x:c r="BY156" s="30" t="n">
        <x:v>5122.36</x:v>
      </x:c>
      <x:c r="BZ156" s="41" t="n">
        <x:v>22</x:v>
      </x:c>
      <x:c r="CA156" s="30" t="n">
        <x:v>111.13601577909270216962524655</x:v>
      </x:c>
      <x:c r="CC156" s="30" t="n">
        <x:v>7288.8728599605522682445759369</x:v>
      </x:c>
      <x:c r="CD156" s="30" t="n">
        <x:v>-5022.5326</x:v>
      </x:c>
      <x:c r="CE156" s="30" t="str">
        <x:f>=CC156+CD156</x:f>
      </x:c>
      <x:c r="CF156" s="66" t="str">
        <x:f>=CE156/CC156</x:f>
      </x:c>
      <x:c r="CH156" s="66" t="str">
        <x:f>=CI156+CJ156</x:f>
      </x:c>
      <x:c r="CI156" s="66" t="str">
        <x:f>=BX156+(0*7)</x:f>
      </x:c>
      <x:c r="CJ156" s="66" t="str">
        <x:f>=(1-CI156)*0.5</x:f>
      </x:c>
      <x:c r="CK156" s="66" t="str">
        <x:f>=1-CH156</x:f>
      </x:c>
      <x:c r="CM156" s="66" t="str">
        <x:f>=CJ156/(1-CI156)</x:f>
      </x:c>
    </x:row>
    <x:row r="157">
      <x:c r="A157" s="31" t="s">
        <x:v>352</x:v>
      </x:c>
      <x:c r="B157" t="s"/>
      <x:c r="C157" t="s">
        <x:v>353</x:v>
      </x:c>
      <x:c r="D157" t="s">
        <x:v>274</x:v>
      </x:c>
      <x:c r="E157" s="69" t="s">
        <x:v>153</x:v>
      </x:c>
      <x:c r="F157" t="n">
        <x:v>2941</x:v>
      </x:c>
      <x:c r="G157" s="32" t="n">
        <x:v>0.0081604896293777626657599456</x:v>
      </x:c>
      <x:c r="H157" s="32" t="n">
        <x:v>0.0533832029921795307718463108</x:v>
      </x:c>
      <x:c r="I157" s="32" t="n">
        <x:v>0.1234274056443386603196191772</x:v>
      </x:c>
      <x:c r="J157" s="32" t="n">
        <x:v>0.2060523631417885073104386263</x:v>
      </x:c>
      <x:c r="K157" s="32" t="n">
        <x:v>0.2995579734784087045222713363</x:v>
      </x:c>
      <x:c r="L157" s="32" t="n">
        <x:v>0.4270656239374362461747704862</x:v>
      </x:c>
      <x:c r="M157" s="32" t="n">
        <x:v>0.5406324379462767766065963958</x:v>
      </x:c>
      <x:c r="N157" s="32" t="n">
        <x:v>0.6467188031281876912614756885</x:v>
      </x:c>
      <x:c r="O157" s="32" t="n">
        <x:v>0.6766405984359061543692621557</x:v>
      </x:c>
      <x:c r="BI157" s="33" t="s"/>
      <x:c r="BJ157" s="11" t="s">
        <x:v>161</x:v>
      </x:c>
      <x:c r="BK157" s="12" t="str">
        <x:f>=BX157</x:f>
      </x:c>
      <x:c r="BL157" s="12" t="n">
        <x:v>0.6613396803808228493709622577</x:v>
      </x:c>
      <x:c r="BM157" s="12" t="n">
        <x:v>0.0948656919415164909894593676</x:v>
      </x:c>
      <x:c r="BN157" s="12" t="n">
        <x:v>0.2437946276776606596395783747</x:v>
      </x:c>
      <x:c r="BO157" s="12" t="str">
        <x:f>=BW157</x:f>
      </x:c>
      <x:c r="BP157" s="12" t="str">
        <x:f>=CF157</x:f>
      </x:c>
      <x:c r="BQ157" s="12" t="str"/>
      <x:c r="BR157" s="12" t="str">
        <x:v>AW 2019 EOS</x:v>
      </x:c>
      <x:c r="BS157" s="13" t="str"/>
      <x:c r="BT157" s="30" t="n">
        <x:v>20274.36</x:v>
      </x:c>
      <x:c r="BU157" s="30" t="n">
        <x:v>-17531.44642</x:v>
      </x:c>
      <x:c r="BV157" s="30" t="str">
        <x:f>=BT157+BU157</x:f>
      </x:c>
      <x:c r="BW157" s="66" t="str">
        <x:f>=BV157/BT157</x:f>
      </x:c>
      <x:c r="BX157" s="66" t="n">
        <x:v>0.7562053723223393403604216253</x:v>
      </x:c>
      <x:c r="BY157" s="30" t="n">
        <x:v>15938.37</x:v>
      </x:c>
      <x:c r="BZ157" s="41" t="n">
        <x:v>717</x:v>
      </x:c>
      <x:c r="CA157" s="30" t="n">
        <x:v>3885.6889799387963277796667800</x:v>
      </x:c>
      <x:c r="CC157" s="30" t="n">
        <x:v>21416.725793166759605576334580</x:v>
      </x:c>
      <x:c r="CD157" s="30" t="n">
        <x:v>-17531.44642</x:v>
      </x:c>
      <x:c r="CE157" s="30" t="str">
        <x:f>=CC157+CD157</x:f>
      </x:c>
      <x:c r="CF157" s="66" t="str">
        <x:f>=CE157/CC157</x:f>
      </x:c>
      <x:c r="CH157" s="66" t="str">
        <x:f>=CI157+CJ157</x:f>
      </x:c>
      <x:c r="CI157" s="66" t="str">
        <x:f>=BX157+(0*7)</x:f>
      </x:c>
      <x:c r="CJ157" s="66" t="str">
        <x:f>=(1-CI157)*0.5</x:f>
      </x:c>
      <x:c r="CK157" s="66" t="str">
        <x:f>=1-CH157</x:f>
      </x:c>
      <x:c r="CM157" s="66" t="str">
        <x:f>=CJ157/(1-CI157)</x:f>
      </x:c>
    </x:row>
    <x:row r="158">
      <x:c r="A158" s="31" t="s">
        <x:v>354</x:v>
      </x:c>
      <x:c r="B158" t="s"/>
      <x:c r="C158" t="s">
        <x:v>355</x:v>
      </x:c>
      <x:c r="D158" t="s">
        <x:v>274</x:v>
      </x:c>
      <x:c r="E158" s="69" t="s">
        <x:v>153</x:v>
      </x:c>
      <x:c r="F158" t="n">
        <x:v>4868</x:v>
      </x:c>
      <x:c r="G158" s="32" t="n">
        <x:v>0.0006162695152013147082990961</x:v>
      </x:c>
      <x:c r="H158" s="32" t="n">
        <x:v>0.031429745275267050123253903</x:v>
      </x:c>
      <x:c r="I158" s="32" t="n">
        <x:v>0.1507806080525883319638455218</x:v>
      </x:c>
      <x:c r="J158" s="32" t="n">
        <x:v>0.3042317173377156943303204601</x:v>
      </x:c>
      <x:c r="K158" s="32" t="n">
        <x:v>0.4435086277732128184059161873</x:v>
      </x:c>
      <x:c r="L158" s="32" t="n">
        <x:v>0.5618323746918652423993426459</x:v>
      </x:c>
      <x:c r="M158" s="32" t="n">
        <x:v>0.6676253081347576006573541495</x:v>
      </x:c>
      <x:c r="N158" s="23" t="n">
        <x:v>0.7762941659819227608874281019</x:v>
      </x:c>
      <x:c r="O158" s="32" t="n">
        <x:v>0.8553820870994248151191454396</x:v>
      </x:c>
      <x:c r="BI158" s="33" t="s"/>
      <x:c r="BJ158" s="11" t="s">
        <x:v>161</x:v>
      </x:c>
      <x:c r="BK158" s="12" t="str">
        <x:f>=BX158</x:f>
      </x:c>
      <x:c r="BL158" s="12" t="n">
        <x:v>0.8373048479868529170090386196</x:v>
      </x:c>
      <x:c r="BM158" s="12" t="n">
        <x:v>0.1678307313064913722267871816</x:v>
      </x:c>
      <x:c r="BN158" s="12" t="n">
        <x:v>-0.0051355792933442892358258012</x:v>
      </x:c>
      <x:c r="BO158" s="12" t="str">
        <x:f>=BW158</x:f>
      </x:c>
      <x:c r="BP158" s="12" t="str">
        <x:f>=CF158</x:f>
      </x:c>
      <x:c r="BQ158" s="12" t="str"/>
      <x:c r="BR158" s="12" t="str">
        <x:v>AW 2019 EOS</x:v>
      </x:c>
      <x:c r="BS158" s="13" t="str"/>
      <x:c r="BT158" s="30" t="n">
        <x:v>57074.23</x:v>
      </x:c>
      <x:c r="BU158" s="30" t="n">
        <x:v>-36777.05880</x:v>
      </x:c>
      <x:c r="BV158" s="30" t="str">
        <x:f>=BT158+BU158</x:f>
      </x:c>
      <x:c r="BW158" s="66" t="str">
        <x:f>=BV158/BT158</x:f>
      </x:c>
      <x:c r="BX158" s="66" t="n">
        <x:v>1.0051355792933442892358258012</x:v>
      </x:c>
      <x:c r="BY158" s="30" t="n">
        <x:v>33659.80</x:v>
      </x:c>
      <x:c r="BZ158" s="41" t="n">
        <x:v>-25</x:v>
      </x:c>
      <x:c r="CA158" s="30" t="n">
        <x:v>-172.86257189811010682004930156</x:v>
      </x:c>
      <x:c r="CC158" s="30" t="n">
        <x:v>57075.085382087099424815119145</x:v>
      </x:c>
      <x:c r="CD158" s="30" t="n">
        <x:v>-36777.05880</x:v>
      </x:c>
      <x:c r="CE158" s="30" t="str">
        <x:f>=CC158+CD158</x:f>
      </x:c>
      <x:c r="CF158" s="66" t="str">
        <x:f>=CE158/CC158</x:f>
      </x:c>
      <x:c r="CH158" s="66" t="str">
        <x:f>=CI158+CJ158</x:f>
      </x:c>
      <x:c r="CI158" s="66" t="str">
        <x:f>=BX158+(0*7)</x:f>
      </x:c>
      <x:c r="CJ158" s="66" t="str">
        <x:f>=(1-CI158)*0.5</x:f>
      </x:c>
      <x:c r="CK158" s="66" t="str">
        <x:f>=1-CH158</x:f>
      </x:c>
      <x:c r="CM158" s="66" t="str">
        <x:f>=CJ158/(1-CI158)</x:f>
      </x:c>
    </x:row>
    <x:row r="159">
      <x:c r="A159" s="31" t="s"/>
      <x:c r="BI159" s="33" t="s"/>
      <x:c r="BJ159" s="11" t="s"/>
      <x:c r="BS159" s="13" t="s"/>
    </x:row>
    <x:row r="160">
      <x:c r="A160" s="17" t="s">
        <x:v>114</x:v>
      </x:c>
      <x:c r="BI160" s="33" t="s"/>
      <x:c r="BJ160" s="11" t="s"/>
      <x:c r="BS160" s="13" t="s"/>
    </x:row>
    <x:row r="161">
      <x:c r="A161" s="31" t="s">
        <x:v>356</x:v>
      </x:c>
      <x:c r="B161" t="s"/>
      <x:c r="C161" t="s">
        <x:v>357</x:v>
      </x:c>
      <x:c r="D161" t="s">
        <x:v>147</x:v>
      </x:c>
      <x:c r="E161" s="69" t="s">
        <x:v>153</x:v>
      </x:c>
      <x:c r="F161" t="n">
        <x:v>2038</x:v>
      </x:c>
      <x:c r="G161" s="32" t="n">
        <x:v>0.0004906771344455348380765456</x:v>
      </x:c>
      <x:c r="H161" s="32" t="n">
        <x:v>0.0014720314033366045142296369</x:v>
      </x:c>
      <x:c r="I161" s="32" t="n">
        <x:v>0.0039254170755642787046123651</x:v>
      </x:c>
      <x:c r="J161" s="32" t="n">
        <x:v>0.0127576054955839057899901865</x:v>
      </x:c>
      <x:c r="K161" s="32" t="n">
        <x:v>0.020117762512266928361138371</x:v>
      </x:c>
      <x:c r="L161" s="32" t="n">
        <x:v>0.033366045142296368989205103</x:v>
      </x:c>
      <x:c r="M161" s="32" t="n">
        <x:v>0.0510304219823356231599607458</x:v>
      </x:c>
      <x:c r="N161" s="32" t="n">
        <x:v>0.0672227674190382728164867517</x:v>
      </x:c>
      <x:c r="O161" s="32" t="n">
        <x:v>0.0843964671246319921491658489</x:v>
      </x:c>
      <x:c r="P161" s="32" t="n">
        <x:v>0.1040235525024533856722276742</x:v>
      </x:c>
      <x:c r="Q161" s="32" t="n">
        <x:v>0.1246319921491658488714425908</x:v>
      </x:c>
      <x:c r="R161" s="32" t="n">
        <x:v>0.1427870461236506378802747792</x:v>
      </x:c>
      <x:c r="S161" s="32" t="n">
        <x:v>0.15505397448478900883218842</x:v>
      </x:c>
      <x:c r="BI161" s="33" t="s"/>
      <x:c r="BJ161" s="11" t="s">
        <x:v>140</x:v>
      </x:c>
      <x:c r="BK161" s="12" t="str">
        <x:f>=BX161</x:f>
      </x:c>
      <x:c r="BL161" s="12" t="n">
        <x:v>0.1678115799803729146221786065</x:v>
      </x:c>
      <x:c r="BM161" s="12" t="n">
        <x:v>0.7777232580961727183513248283</x:v>
      </x:c>
      <x:c r="BN161" s="12" t="n">
        <x:v>0.0544651619234543670264965653</x:v>
      </x:c>
      <x:c r="BO161" s="12" t="str">
        <x:f>=BW161</x:f>
      </x:c>
      <x:c r="BP161" s="12" t="str">
        <x:f>=CF161</x:f>
      </x:c>
      <x:c r="BQ161" s="12" t="str"/>
      <x:c r="BR161" s="12" t="str">
        <x:v>AW 2019 EOS</x:v>
      </x:c>
      <x:c r="BS161" s="13" t="str"/>
      <x:c r="BT161" s="30" t="n">
        <x:v>13145.33</x:v>
      </x:c>
      <x:c r="BU161" s="30" t="n">
        <x:v>-14619.4109</x:v>
      </x:c>
      <x:c r="BV161" s="30" t="str">
        <x:f>=BT161+BU161</x:f>
      </x:c>
      <x:c r="BW161" s="66" t="str">
        <x:f>=BV161/BT161</x:f>
      </x:c>
      <x:c r="BX161" s="66" t="n">
        <x:v>0.9455348380765456329735034347</x:v>
      </x:c>
      <x:c r="BY161" s="30" t="n">
        <x:v>14648.41</x:v>
      </x:c>
      <x:c r="BZ161" s="41" t="n">
        <x:v>111</x:v>
      </x:c>
      <x:c r="CA161" s="30" t="n">
        <x:v>797.8280225711481844946025515</x:v>
      </x:c>
      <x:c r="CC161" s="30" t="n">
        <x:v>13145.484563297350343473994112</x:v>
      </x:c>
      <x:c r="CD161" s="30" t="n">
        <x:v>-14619.4109</x:v>
      </x:c>
      <x:c r="CE161" s="30" t="str">
        <x:f>=CC161+CD161</x:f>
      </x:c>
      <x:c r="CF161" s="66" t="str">
        <x:f>=CE161/CC161</x:f>
      </x:c>
      <x:c r="CH161" s="66" t="str">
        <x:f>=CI161+CJ161</x:f>
      </x:c>
      <x:c r="CI161" s="66" t="str">
        <x:f>=BX161+(0*7)</x:f>
      </x:c>
      <x:c r="CJ161" s="66" t="str">
        <x:f>=(1-CI161)*0.5</x:f>
      </x:c>
      <x:c r="CK161" s="66" t="str">
        <x:f>=1-CH161</x:f>
      </x:c>
      <x:c r="CM161" s="66" t="str">
        <x:f>=CJ161/(1-CI161)</x:f>
      </x:c>
    </x:row>
    <x:row r="162">
      <x:c r="A162" s="31" t="s">
        <x:v>358</x:v>
      </x:c>
      <x:c r="B162" t="s"/>
      <x:c r="C162" t="s">
        <x:v>359</x:v>
      </x:c>
      <x:c r="D162" t="s">
        <x:v>193</x:v>
      </x:c>
      <x:c r="E162" s="69" t="s">
        <x:v>153</x:v>
      </x:c>
      <x:c r="F162" t="n">
        <x:v>4234</x:v>
      </x:c>
      <x:c r="G162" s="32" t="n">
        <x:v>0.0262163438828530940009447331</x:v>
      </x:c>
      <x:c r="H162" s="32" t="n">
        <x:v>0.0897496457250826641473783656</x:v>
      </x:c>
      <x:c r="I162" s="32" t="n">
        <x:v>0.1894189891355692017005196032</x:v>
      </x:c>
      <x:c r="J162" s="32" t="n">
        <x:v>0.265706188001889466225791214</x:v>
      </x:c>
      <x:c r="K162" s="32" t="n">
        <x:v>0.3396315540859707132735002362</x:v>
      </x:c>
      <x:c r="L162" s="32" t="n">
        <x:v>0.4000944733112895606991025035</x:v>
      </x:c>
      <x:c r="M162" s="32" t="n">
        <x:v>0.4362305148795465281058101086</x:v>
      </x:c>
      <x:c r="N162" s="32" t="n">
        <x:v>0.4747283892300425129900803023</x:v>
      </x:c>
      <x:c r="O162" s="32" t="n">
        <x:v>0.4860651865847897968823807274</x:v>
      </x:c>
      <x:c r="P162" s="32" t="n">
        <x:v>0.490080302314596126594237128</x:v>
      </x:c>
      <x:c r="BI162" s="33" t="s"/>
      <x:c r="BJ162" s="11" t="s">
        <x:v>148</x:v>
      </x:c>
      <x:c r="BK162" s="12" t="str">
        <x:f>=BX162</x:f>
      </x:c>
      <x:c r="BL162" s="12" t="n">
        <x:v>0.4919697685403873405762871989</x:v>
      </x:c>
      <x:c r="BM162" s="12" t="n">
        <x:v>0.1053377420878601794992914502</x:v>
      </x:c>
      <x:c r="BN162" s="12" t="n">
        <x:v>0.402692489371752479924421351</x:v>
      </x:c>
      <x:c r="BO162" s="12" t="str">
        <x:f>=BW162</x:f>
      </x:c>
      <x:c r="BP162" s="12" t="str">
        <x:f>=CF162</x:f>
      </x:c>
      <x:c r="BQ162" s="12" t="str"/>
      <x:c r="BR162" s="12" t="str">
        <x:v>AW 2019 EOS</x:v>
      </x:c>
      <x:c r="BS162" s="13" t="str"/>
      <x:c r="BT162" s="30" t="n">
        <x:v>42156.73</x:v>
      </x:c>
      <x:c r="BU162" s="30" t="n">
        <x:v>-48454.8760</x:v>
      </x:c>
      <x:c r="BV162" s="30" t="str">
        <x:f>=BT162+BU162</x:f>
      </x:c>
      <x:c r="BW162" s="66" t="str">
        <x:f>=BV162/BT162</x:f>
      </x:c>
      <x:c r="BX162" s="66" t="n">
        <x:v>0.597307510628247520075578649</x:v>
      </x:c>
      <x:c r="BY162" s="30" t="n">
        <x:v>47448.00</x:v>
      </x:c>
      <x:c r="BZ162" s="41" t="n">
        <x:v>1705</x:v>
      </x:c>
      <x:c r="CA162" s="30" t="n">
        <x:v>19106.953235710911667453944261</x:v>
      </x:c>
      <x:c r="CC162" s="30" t="n">
        <x:v>48958.925164948164855928200282</x:v>
      </x:c>
      <x:c r="CD162" s="30" t="n">
        <x:v>-48454.8760</x:v>
      </x:c>
      <x:c r="CE162" s="30" t="str">
        <x:f>=CC162+CD162</x:f>
      </x:c>
      <x:c r="CF162" s="66" t="str">
        <x:f>=CE162/CC162</x:f>
      </x:c>
      <x:c r="CH162" s="66" t="str">
        <x:f>=CI162+CJ162</x:f>
      </x:c>
      <x:c r="CI162" s="66" t="str">
        <x:f>=BX162+(0*7)</x:f>
      </x:c>
      <x:c r="CJ162" s="66" t="str">
        <x:f>=(1-CI162)*0.5</x:f>
      </x:c>
      <x:c r="CK162" s="66" t="str">
        <x:f>=1-CH162</x:f>
      </x:c>
      <x:c r="CM162" s="66" t="str">
        <x:f>=CJ162/(1-CI162)</x:f>
      </x:c>
    </x:row>
    <x:row r="163">
      <x:c r="A163" s="31" t="s">
        <x:v>360</x:v>
      </x:c>
      <x:c r="B163" t="s"/>
      <x:c r="C163" t="s">
        <x:v>361</x:v>
      </x:c>
      <x:c r="D163" t="s">
        <x:v>274</x:v>
      </x:c>
      <x:c r="E163" s="69" t="s">
        <x:v>153</x:v>
      </x:c>
      <x:c r="F163" t="n">
        <x:v>4064</x:v>
      </x:c>
      <x:c r="G163" s="32" t="n">
        <x:v>0.0054133858267716535433070866</x:v>
      </x:c>
      <x:c r="H163" s="32" t="n">
        <x:v>0.0172244094488188976377952756</x:v>
      </x:c>
      <x:c r="I163" s="32" t="n">
        <x:v>0.0337106299212598425196850394</x:v>
      </x:c>
      <x:c r="J163" s="32" t="n">
        <x:v>0.046998031496062992125984252</x:v>
      </x:c>
      <x:c r="K163" s="32" t="n">
        <x:v>0.0632381889763779527559055118</x:v>
      </x:c>
      <x:c r="L163" s="32" t="n">
        <x:v>0.074064960629921259842519685</x:v>
      </x:c>
      <x:c r="M163" s="32" t="n">
        <x:v>0.0947342519685039370078740157</x:v>
      </x:c>
      <x:c r="N163" s="32" t="n">
        <x:v>0.1245078740157480314960629921</x:v>
      </x:c>
      <x:c r="O163" s="32" t="n">
        <x:v>0.1651082677165354330708661417</x:v>
      </x:c>
      <x:c r="BI163" s="33" t="s"/>
      <x:c r="BJ163" s="11" t="s">
        <x:v>161</x:v>
      </x:c>
      <x:c r="BK163" s="12" t="str">
        <x:f>=BX163</x:f>
      </x:c>
      <x:c r="BL163" s="12" t="n">
        <x:v>0.1779035433070866141732283465</x:v>
      </x:c>
      <x:c r="BM163" s="12" t="n">
        <x:v>0.6380413385826771653543307087</x:v>
      </x:c>
      <x:c r="BN163" s="12" t="n">
        <x:v>0.1840551181102362204724409449</x:v>
      </x:c>
      <x:c r="BO163" s="12" t="str">
        <x:f>=BW163</x:f>
      </x:c>
      <x:c r="BP163" s="12" t="str">
        <x:f>=CF163</x:f>
      </x:c>
      <x:c r="BQ163" s="12" t="str"/>
      <x:c r="BR163" s="12" t="str">
        <x:v>AW 2019 EOS</x:v>
      </x:c>
      <x:c r="BS163" s="13" t="str"/>
      <x:c r="BT163" s="30" t="n">
        <x:v>23687.98</x:v>
      </x:c>
      <x:c r="BU163" s="30" t="n">
        <x:v>-29802.67200</x:v>
      </x:c>
      <x:c r="BV163" s="30" t="str">
        <x:f>=BT163+BU163</x:f>
      </x:c>
      <x:c r="BW163" s="66" t="str">
        <x:f>=BV163/BT163</x:f>
      </x:c>
      <x:c r="BX163" s="66" t="n">
        <x:v>0.8159448818897637795275590551</x:v>
      </x:c>
      <x:c r="BY163" s="30" t="n">
        <x:v>27256.00</x:v>
      </x:c>
      <x:c r="BZ163" s="41" t="n">
        <x:v>748</x:v>
      </x:c>
      <x:c r="CA163" s="30" t="n">
        <x:v>5016.6062992125984251968503937</x:v>
      </x:c>
      <x:c r="CC163" s="30" t="n">
        <x:v>23688.144862204724409448818898</x:v>
      </x:c>
      <x:c r="CD163" s="30" t="n">
        <x:v>-29802.67200</x:v>
      </x:c>
      <x:c r="CE163" s="30" t="str">
        <x:f>=CC163+CD163</x:f>
      </x:c>
      <x:c r="CF163" s="66" t="str">
        <x:f>=CE163/CC163</x:f>
      </x:c>
      <x:c r="CH163" s="66" t="str">
        <x:f>=CI163+CJ163</x:f>
      </x:c>
      <x:c r="CI163" s="66" t="str">
        <x:f>=BX163+(0*7)</x:f>
      </x:c>
      <x:c r="CJ163" s="66" t="str">
        <x:f>=(1-CI163)*0.5</x:f>
      </x:c>
      <x:c r="CK163" s="66" t="str">
        <x:f>=1-CH163</x:f>
      </x:c>
      <x:c r="CM163" s="66" t="str">
        <x:f>=CJ163/(1-CI163)</x:f>
      </x:c>
    </x:row>
    <x:row r="164">
      <x:c r="A164" s="31" t="s">
        <x:v>362</x:v>
      </x:c>
      <x:c r="B164" t="s"/>
      <x:c r="C164" t="s">
        <x:v>363</x:v>
      </x:c>
      <x:c r="D164" t="s">
        <x:v>274</x:v>
      </x:c>
      <x:c r="E164" s="69" t="s">
        <x:v>153</x:v>
      </x:c>
      <x:c r="F164" t="n">
        <x:v>2097</x:v>
      </x:c>
      <x:c r="G164" s="32" t="n">
        <x:v>0.0057224606580829756795422031</x:v>
      </x:c>
      <x:c r="H164" s="32" t="n">
        <x:v>0.0133524082021936099189318073</x:v>
      </x:c>
      <x:c r="I164" s="32" t="n">
        <x:v>0.0224129709108249880782069623</x:v>
      </x:c>
      <x:c r="J164" s="32" t="n">
        <x:v>0.038149737720553171196948021</x:v>
      </x:c>
      <x:c r="K164" s="32" t="n">
        <x:v>0.0572246065808297567954220315</x:v>
      </x:c>
      <x:c r="L164" s="32" t="n">
        <x:v>0.078206962327134000953743443</x:v>
      </x:c>
      <x:c r="M164" s="32" t="n">
        <x:v>0.1030042918454935622317596567</x:v>
      </x:c>
      <x:c r="N164" s="32" t="n">
        <x:v>0.1378159275154983309489747258</x:v>
      </x:c>
      <x:c r="BI164" s="33" t="s"/>
      <x:c r="BJ164" s="11" t="s">
        <x:v>165</x:v>
      </x:c>
      <x:c r="BK164" s="12" t="str">
        <x:f>=BX164</x:f>
      </x:c>
      <x:c r="BL164" s="12" t="n">
        <x:v>0.1373390557939914163090128755</x:v>
      </x:c>
      <x:c r="BM164" s="12" t="n">
        <x:v>0.7453505007153075822603719599</x:v>
      </x:c>
      <x:c r="BN164" s="12" t="n">
        <x:v>0.1173104434907010014306151645</x:v>
      </x:c>
      <x:c r="BO164" s="12" t="str">
        <x:f>=BW164</x:f>
      </x:c>
      <x:c r="BP164" s="12" t="str">
        <x:f>=CF164</x:f>
      </x:c>
      <x:c r="BQ164" s="12" t="str"/>
      <x:c r="BR164" s="12" t="str">
        <x:v>AW 2019 EOS</x:v>
      </x:c>
      <x:c r="BS164" s="13" t="str"/>
      <x:c r="BT164" s="30" t="n">
        <x:v>11188.35</x:v>
      </x:c>
      <x:c r="BU164" s="30" t="n">
        <x:v>-14736.55320</x:v>
      </x:c>
      <x:c r="BV164" s="30" t="str">
        <x:f>=BT164+BU164</x:f>
      </x:c>
      <x:c r="BW164" s="66" t="str">
        <x:f>=BV164/BT164</x:f>
      </x:c>
      <x:c r="BX164" s="66" t="n">
        <x:v>0.8826895565092989985693848355</x:v>
      </x:c>
      <x:c r="BY164" s="30" t="n">
        <x:v>13462.20</x:v>
      </x:c>
      <x:c r="BZ164" s="41" t="n">
        <x:v>246</x:v>
      </x:c>
      <x:c r="CA164" s="30" t="n">
        <x:v>1579.2566523605150214592274678</x:v>
      </x:c>
      <x:c r="CC164" s="30" t="n">
        <x:v>11188.487339055793991416309013</x:v>
      </x:c>
      <x:c r="CD164" s="30" t="n">
        <x:v>-14736.55320</x:v>
      </x:c>
      <x:c r="CE164" s="30" t="str">
        <x:f>=CC164+CD164</x:f>
      </x:c>
      <x:c r="CF164" s="66" t="str">
        <x:f>=CE164/CC164</x:f>
      </x:c>
      <x:c r="CH164" s="66" t="str">
        <x:f>=CI164+CJ164</x:f>
      </x:c>
      <x:c r="CI164" s="66" t="str">
        <x:f>=BX164+(0*7)</x:f>
      </x:c>
      <x:c r="CJ164" s="66" t="str">
        <x:f>=(1-CI164)*0.5</x:f>
      </x:c>
      <x:c r="CK164" s="66" t="str">
        <x:f>=1-CH164</x:f>
      </x:c>
      <x:c r="CM164" s="66" t="str">
        <x:f>=CJ164/(1-CI164)</x:f>
      </x:c>
    </x:row>
    <x:row r="165">
      <x:c r="BI165" s="33" t="s"/>
      <x:c r="BJ165" s="11" t="s"/>
      <x:c r="BS165" s="13" t="s"/>
    </x:row>
    <x:row r="166">
      <x:c r="A166" s="35" t="s">
        <x:v>113</x:v>
      </x:c>
      <x:c r="BI166" s="33" t="s"/>
      <x:c r="BJ166" s="11" t="s"/>
      <x:c r="BS166" s="13" t="s"/>
    </x:row>
    <x:row r="167">
      <x:c r="A167" s="17" t="s">
        <x:v>114</x:v>
      </x:c>
      <x:c r="BI167" s="33" t="s"/>
      <x:c r="BJ167" s="11" t="s"/>
      <x:c r="BS167" s="13" t="s"/>
    </x:row>
    <x:row r="168">
      <x:c r="A168" s="31" t="s">
        <x:v>364</x:v>
      </x:c>
      <x:c r="B168" t="s"/>
      <x:c r="C168" t="s">
        <x:v>365</x:v>
      </x:c>
      <x:c r="D168" t="s">
        <x:v>130</x:v>
      </x:c>
      <x:c r="E168" s="68" t="s">
        <x:v>119</x:v>
      </x:c>
      <x:c r="F168" t="n">
        <x:v>505</x:v>
      </x:c>
      <x:c r="G168" s="32" t="n">
        <x:v>0.003960396039603960396039604</x:v>
      </x:c>
      <x:c r="H168" s="32" t="n">
        <x:v>0.0118811881188118811881188119</x:v>
      </x:c>
      <x:c r="I168" s="32" t="n">
        <x:v>0.0316831683168316831683168317</x:v>
      </x:c>
      <x:c r="J168" s="32" t="n">
        <x:v>0.0415841584158415841584158416</x:v>
      </x:c>
      <x:c r="K168" s="32" t="n">
        <x:v>0.0475247524752475247524752475</x:v>
      </x:c>
      <x:c r="L168" s="32" t="n">
        <x:v>0.0633663366336633663366336634</x:v>
      </x:c>
      <x:c r="M168" s="32" t="n">
        <x:v>0.0712871287128712871287128713</x:v>
      </x:c>
      <x:c r="N168" s="32" t="n">
        <x:v>0.0772277227722772277227722772</x:v>
      </x:c>
      <x:c r="O168" s="32" t="n">
        <x:v>0.0930693069306930693069306931</x:v>
      </x:c>
      <x:c r="P168" s="32" t="n">
        <x:v>0.1108910891089108910891089109</x:v>
      </x:c>
      <x:c r="Q168" s="32" t="n">
        <x:v>0.1207920792079207920792079208</x:v>
      </x:c>
      <x:c r="R168" s="32" t="n">
        <x:v>0.1287128712871287128712871287</x:v>
      </x:c>
      <x:c r="S168" s="32" t="n">
        <x:v>0.1267326732673267326732673267</x:v>
      </x:c>
      <x:c r="T168" s="32" t="n">
        <x:v>0.1306930693069306930693069307</x:v>
      </x:c>
      <x:c r="U168" s="32" t="n">
        <x:v>0.1366336633663366336633663366</x:v>
      </x:c>
      <x:c r="V168" s="32" t="n">
        <x:v>0.1346534653465346534653465347</x:v>
      </x:c>
      <x:c r="W168" s="32" t="n">
        <x:v>0.1366336633663366336633663366</x:v>
      </x:c>
      <x:c r="X168" s="32" t="n">
        <x:v>0.1425742574257425742574257426</x:v>
      </x:c>
      <x:c r="Y168" s="32" t="n">
        <x:v>0.1425742574257425742574257426</x:v>
      </x:c>
      <x:c r="Z168" s="32" t="n">
        <x:v>0.1425742574257425742574257426</x:v>
      </x:c>
      <x:c r="AA168" s="32" t="n">
        <x:v>0.1465346534653465346534653465</x:v>
      </x:c>
      <x:c r="AB168" s="32" t="n">
        <x:v>0.1524752475247524752475247525</x:v>
      </x:c>
      <x:c r="AC168" s="32" t="n">
        <x:v>0.1564356435643564356435643564</x:v>
      </x:c>
      <x:c r="AD168" s="32" t="n">
        <x:v>0.1643564356435643564356435644</x:v>
      </x:c>
      <x:c r="AE168" s="32" t="n">
        <x:v>0.1702970297029702970297029703</x:v>
      </x:c>
      <x:c r="AF168" s="32" t="n">
        <x:v>0.2138613861386138613861386139</x:v>
      </x:c>
      <x:c r="AG168" s="32" t="n">
        <x:v>0.3386138613861386138613861386</x:v>
      </x:c>
      <x:c r="AH168" s="32" t="n">
        <x:v>0.4257425742574257425742574257</x:v>
      </x:c>
      <x:c r="AI168" s="32" t="n">
        <x:v>0.5425742574257425742574257426</x:v>
      </x:c>
      <x:c r="BI168" s="33" t="s"/>
      <x:c r="BJ168" s="11" t="s">
        <x:v>205</x:v>
      </x:c>
      <x:c r="BK168" s="12" t="str">
        <x:f>=BX168</x:f>
      </x:c>
      <x:c r="BL168" s="12" t="n">
        <x:v>0.2</x:v>
      </x:c>
      <x:c r="BM168" s="12" t="n">
        <x:v>0.3782178217821782178217821782</x:v>
      </x:c>
      <x:c r="BN168" s="12" t="n">
        <x:v>0.4217821782178217821782178218</x:v>
      </x:c>
      <x:c r="BO168" s="12" t="str">
        <x:f>=BW168</x:f>
      </x:c>
      <x:c r="BP168" s="12" t="str">
        <x:f>=CF168</x:f>
      </x:c>
      <x:c r="BQ168" s="12" t="str"/>
      <x:c r="BR168" s="12" t="str">
        <x:v>AW 2019 EOS</x:v>
      </x:c>
      <x:c r="BS168" s="13" t="str"/>
      <x:c r="BT168" s="30" t="n">
        <x:v>1366.53</x:v>
      </x:c>
      <x:c r="BU168" s="30" t="n">
        <x:v>-2902.66709357925000000000</x:v>
      </x:c>
      <x:c r="BV168" s="30" t="str">
        <x:f>=BT168+BU168</x:f>
      </x:c>
      <x:c r="BW168" s="66" t="str">
        <x:f>=BV168/BT168</x:f>
      </x:c>
      <x:c r="BX168" s="66" t="n">
        <x:v>0.5782178217821782178217821782</x:v>
      </x:c>
      <x:c r="BY168" s="30" t="n">
        <x:v>2931.527931525000000000</x:v>
      </x:c>
      <x:c r="BZ168" s="41" t="n">
        <x:v>213</x:v>
      </x:c>
      <x:c r="CA168" s="30" t="n">
        <x:v>1236.466236465000000000</x:v>
      </x:c>
      <x:c r="CC168" s="30" t="n">
        <x:v>1447.3122588178217821782178218</x:v>
      </x:c>
      <x:c r="CD168" s="30" t="n">
        <x:v>-2902.66709357925000000000</x:v>
      </x:c>
      <x:c r="CE168" s="30" t="str">
        <x:f>=CC168+CD168</x:f>
      </x:c>
      <x:c r="CF168" s="66" t="str">
        <x:f>=CE168/CC168</x:f>
      </x:c>
      <x:c r="CH168" s="66" t="str">
        <x:f>=CI168+CJ168</x:f>
      </x:c>
      <x:c r="CI168" s="66" t="str">
        <x:f>=BX168+(0*7)</x:f>
      </x:c>
      <x:c r="CJ168" s="66" t="str">
        <x:f>=(1-CI168)*0.5</x:f>
      </x:c>
      <x:c r="CK168" s="66" t="str">
        <x:f>=1-CH168</x:f>
      </x:c>
      <x:c r="CM168" s="66" t="str">
        <x:f>=CJ168/(1-CI168)</x:f>
      </x:c>
    </x:row>
    <x:row r="169">
      <x:c r="A169" s="31" t="s">
        <x:v>366</x:v>
      </x:c>
      <x:c r="B169" t="s"/>
      <x:c r="C169" t="s">
        <x:v>367</x:v>
      </x:c>
      <x:c r="D169" t="s">
        <x:v>130</x:v>
      </x:c>
      <x:c r="E169" s="68" t="s">
        <x:v>119</x:v>
      </x:c>
      <x:c r="F169" t="n">
        <x:v>516</x:v>
      </x:c>
      <x:c r="G169" s="32" t="n">
        <x:v>0.001937984496124031007751938</x:v>
      </x:c>
      <x:c r="H169" s="32" t="n">
        <x:v>0.0096899224806201550387596899</x:v>
      </x:c>
      <x:c r="I169" s="32" t="n">
        <x:v>0.0116279069767441860465116279</x:v>
      </x:c>
      <x:c r="J169" s="32" t="n">
        <x:v>0.0174418604651162790697674419</x:v>
      </x:c>
      <x:c r="K169" s="32" t="n">
        <x:v>0.0116279069767441860465116279</x:v>
      </x:c>
      <x:c r="L169" s="32" t="n">
        <x:v>0.0135658914728682170542635659</x:v>
      </x:c>
      <x:c r="M169" s="32" t="n">
        <x:v>0.0155038759689922480620155039</x:v>
      </x:c>
      <x:c r="N169" s="32" t="n">
        <x:v>0.0232558139534883720930232558</x:v>
      </x:c>
      <x:c r="O169" s="32" t="n">
        <x:v>0.0290697674418604651162790698</x:v>
      </x:c>
      <x:c r="P169" s="32" t="n">
        <x:v>0.0406976744186046511627906977</x:v>
      </x:c>
      <x:c r="Q169" s="32" t="n">
        <x:v>0.0523255813953488372093023256</x:v>
      </x:c>
      <x:c r="R169" s="32" t="n">
        <x:v>0.0562015503875968992248062016</x:v>
      </x:c>
      <x:c r="S169" s="32" t="n">
        <x:v>0.0562015503875968992248062016</x:v>
      </x:c>
      <x:c r="T169" s="32" t="n">
        <x:v>0.0581395348837209302325581395</x:v>
      </x:c>
      <x:c r="U169" s="32" t="n">
        <x:v>0.0600775193798449612403100775</x:v>
      </x:c>
      <x:c r="V169" s="32" t="n">
        <x:v>0.0678294573643410852713178295</x:v>
      </x:c>
      <x:c r="W169" s="32" t="n">
        <x:v>0.0697674418604651162790697674</x:v>
      </x:c>
      <x:c r="X169" s="32" t="n">
        <x:v>0.0775193798449612403100775194</x:v>
      </x:c>
      <x:c r="Y169" s="32" t="n">
        <x:v>0.0794573643410852713178294574</x:v>
      </x:c>
      <x:c r="Z169" s="32" t="n">
        <x:v>0.0813953488372093023255813953</x:v>
      </x:c>
      <x:c r="AA169" s="32" t="n">
        <x:v>0.0813953488372093023255813953</x:v>
      </x:c>
      <x:c r="AB169" s="32" t="n">
        <x:v>0.0833333333333333333333333333</x:v>
      </x:c>
      <x:c r="AC169" s="32" t="n">
        <x:v>0.0833333333333333333333333333</x:v>
      </x:c>
      <x:c r="AD169" s="32" t="n">
        <x:v>0.0813953488372093023255813953</x:v>
      </x:c>
      <x:c r="AE169" s="32" t="n">
        <x:v>0.0833333333333333333333333333</x:v>
      </x:c>
      <x:c r="AF169" s="32" t="n">
        <x:v>0.1027131782945736434108527132</x:v>
      </x:c>
      <x:c r="AG169" s="32" t="n">
        <x:v>0.2267441860465116279069767442</x:v>
      </x:c>
      <x:c r="AH169" s="32" t="n">
        <x:v>0.3120155038759689922480620155</x:v>
      </x:c>
      <x:c r="AI169" s="32" t="n">
        <x:v>0.4341085271317829457364341085</x:v>
      </x:c>
      <x:c r="BI169" s="33" t="s"/>
      <x:c r="BJ169" s="11" t="s">
        <x:v>205</x:v>
      </x:c>
      <x:c r="BK169" s="12" t="str">
        <x:f>=BX169</x:f>
      </x:c>
      <x:c r="BL169" s="12" t="n">
        <x:v>0.1065891472868217054263565891</x:v>
      </x:c>
      <x:c r="BM169" s="12" t="n">
        <x:v>0.377906976744186046511627907</x:v>
      </x:c>
      <x:c r="BN169" s="12" t="n">
        <x:v>0.5155038759689922480620155039</x:v>
      </x:c>
      <x:c r="BO169" s="12" t="str">
        <x:f>=BW169</x:f>
      </x:c>
      <x:c r="BP169" s="12" t="str">
        <x:f>=CF169</x:f>
      </x:c>
      <x:c r="BQ169" s="12" t="str"/>
      <x:c r="BR169" s="12" t="str">
        <x:v>AW 2019 EOS</x:v>
      </x:c>
      <x:c r="BS169" s="13" t="str"/>
      <x:c r="BT169" s="30" t="n">
        <x:v>990.87</x:v>
      </x:c>
      <x:c r="BU169" s="30" t="n">
        <x:v>-2964.50030551860000000000</x:v>
      </x:c>
      <x:c r="BV169" s="30" t="str">
        <x:f>=BT169+BU169</x:f>
      </x:c>
      <x:c r="BW169" s="66" t="str">
        <x:f>=BV169/BT169</x:f>
      </x:c>
      <x:c r="BX169" s="66" t="n">
        <x:v>0.4844961240310077519379844961</x:v>
      </x:c>
      <x:c r="BY169" s="30" t="n">
        <x:v>2995.382995380000000000</x:v>
      </x:c>
      <x:c r="BZ169" s="41" t="n">
        <x:v>266</x:v>
      </x:c>
      <x:c r="CA169" s="30" t="n">
        <x:v>1544.131544130000000000</x:v>
      </x:c>
      <x:c r="CC169" s="30" t="n">
        <x:v>1204.1554845178294573643410854</x:v>
      </x:c>
      <x:c r="CD169" s="30" t="n">
        <x:v>-2964.50030551860000000000</x:v>
      </x:c>
      <x:c r="CE169" s="30" t="str">
        <x:f>=CC169+CD169</x:f>
      </x:c>
      <x:c r="CF169" s="66" t="str">
        <x:f>=CE169/CC169</x:f>
      </x:c>
      <x:c r="CH169" s="66" t="str">
        <x:f>=CI169+CJ169</x:f>
      </x:c>
      <x:c r="CI169" s="66" t="str">
        <x:f>=BX169+(0*7)</x:f>
      </x:c>
      <x:c r="CJ169" s="66" t="str">
        <x:f>=(1-CI169)*0.5</x:f>
      </x:c>
      <x:c r="CK169" s="66" t="str">
        <x:f>=1-CH169</x:f>
      </x:c>
      <x:c r="CM169" s="66" t="str">
        <x:f>=CJ169/(1-CI169)</x:f>
      </x:c>
    </x:row>
    <x:row r="170">
      <x:c r="A170" s="31" t="s">
        <x:v>368</x:v>
      </x:c>
      <x:c r="B170" t="s"/>
      <x:c r="C170" t="s">
        <x:v>369</x:v>
      </x:c>
      <x:c r="D170" t="s">
        <x:v>130</x:v>
      </x:c>
      <x:c r="E170" s="68" t="s">
        <x:v>119</x:v>
      </x:c>
      <x:c r="F170" t="n">
        <x:v>519</x:v>
      </x:c>
      <x:c r="G170" s="32" t="n">
        <x:v>0.0038535645472061657032755299</x:v>
      </x:c>
      <x:c r="H170" s="32" t="n">
        <x:v>0.0077071290944123314065510597</x:v>
      </x:c>
      <x:c r="I170" s="32" t="n">
        <x:v>0.0173410404624277456647398844</x:v>
      </x:c>
      <x:c r="J170" s="32" t="n">
        <x:v>0.0269749518304431599229287091</x:v>
      </x:c>
      <x:c r="K170" s="32" t="n">
        <x:v>0.0308285163776493256262042389</x:v>
      </x:c>
      <x:c r="L170" s="32" t="n">
        <x:v>0.0423892100192678227360308285</x:v>
      </x:c>
      <x:c r="M170" s="32" t="n">
        <x:v>0.0423892100192678227360308285</x:v>
      </x:c>
      <x:c r="N170" s="32" t="n">
        <x:v>0.0423892100192678227360308285</x:v>
      </x:c>
      <x:c r="O170" s="32" t="n">
        <x:v>0.0520231213872832369942196532</x:v>
      </x:c>
      <x:c r="P170" s="32" t="n">
        <x:v>0.0616570327552986512524084778</x:v>
      </x:c>
      <x:c r="Q170" s="32" t="n">
        <x:v>0.0712909441233140655105973025</x:v>
      </x:c>
      <x:c r="R170" s="32" t="n">
        <x:v>0.0751445086705202312138728324</x:v>
      </x:c>
      <x:c r="S170" s="32" t="n">
        <x:v>0.0732177263969171483622350674</x:v>
      </x:c>
      <x:c r="T170" s="32" t="n">
        <x:v>0.0770712909441233140655105973</x:v>
      </x:c>
      <x:c r="U170" s="32" t="n">
        <x:v>0.0789980732177263969171483622</x:v>
      </x:c>
      <x:c r="V170" s="32" t="n">
        <x:v>0.0828516377649325626204238921</x:v>
      </x:c>
      <x:c r="W170" s="32" t="n">
        <x:v>0.084778420038535645472061657</x:v>
      </x:c>
      <x:c r="X170" s="32" t="n">
        <x:v>0.0886319845857418111753371869</x:v>
      </x:c>
      <x:c r="Y170" s="32" t="n">
        <x:v>0.0905587668593448940269749518</x:v>
      </x:c>
      <x:c r="Z170" s="32" t="n">
        <x:v>0.0905587668593448940269749518</x:v>
      </x:c>
      <x:c r="AA170" s="32" t="n">
        <x:v>0.0924855491329479768786127168</x:v>
      </x:c>
      <x:c r="AB170" s="32" t="n">
        <x:v>0.0944123314065510597302504817</x:v>
      </x:c>
      <x:c r="AC170" s="32" t="n">
        <x:v>0.0982658959537572254335260116</x:v>
      </x:c>
      <x:c r="AD170" s="32" t="n">
        <x:v>0.0982658959537572254335260116</x:v>
      </x:c>
      <x:c r="AE170" s="32" t="n">
        <x:v>0.0982658959537572254335260116</x:v>
      </x:c>
      <x:c r="AF170" s="32" t="n">
        <x:v>0.142581888246628131021194605</x:v>
      </x:c>
      <x:c r="AG170" s="32" t="n">
        <x:v>0.2447013487475915221579961464</x:v>
      </x:c>
      <x:c r="AH170" s="32" t="n">
        <x:v>0.2813102119460500963391136802</x:v>
      </x:c>
      <x:c r="AI170" s="32" t="n">
        <x:v>0.3391136801541425818882466281</x:v>
      </x:c>
      <x:c r="BI170" s="33" t="s"/>
      <x:c r="BJ170" s="11" t="s">
        <x:v>205</x:v>
      </x:c>
      <x:c r="BK170" s="12" t="str">
        <x:f>=BX170</x:f>
      </x:c>
      <x:c r="BL170" s="12" t="n">
        <x:v>0.1252408477842003853564547206</x:v>
      </x:c>
      <x:c r="BM170" s="12" t="n">
        <x:v>0.2678227360308285163776493256</x:v>
      </x:c>
      <x:c r="BN170" s="12" t="n">
        <x:v>0.6069364161849710982658959538</x:v>
      </x:c>
      <x:c r="BO170" s="12" t="str">
        <x:f>=BW170</x:f>
      </x:c>
      <x:c r="BP170" s="12" t="str">
        <x:f>=CF170</x:f>
      </x:c>
      <x:c r="BQ170" s="12" t="str"/>
      <x:c r="BR170" s="12" t="str">
        <x:v>AW 2019 EOS</x:v>
      </x:c>
      <x:c r="BS170" s="13" t="str"/>
      <x:c r="BT170" s="30" t="n">
        <x:v>923.82</x:v>
      </x:c>
      <x:c r="BU170" s="30" t="n">
        <x:v>-2983.13707241115000000000</x:v>
      </x:c>
      <x:c r="BV170" s="30" t="str">
        <x:f>=BT170+BU170</x:f>
      </x:c>
      <x:c r="BW170" s="66" t="str">
        <x:f>=BV170/BT170</x:f>
      </x:c>
      <x:c r="BX170" s="66" t="n">
        <x:v>0.3930635838150289017341040462</x:v>
      </x:c>
      <x:c r="BY170" s="30" t="n">
        <x:v>3012.798012795000000000</x:v>
      </x:c>
      <x:c r="BZ170" s="41" t="n">
        <x:v>315</x:v>
      </x:c>
      <x:c r="CA170" s="30" t="n">
        <x:v>1828.576828575000000000</x:v>
      </x:c>
      <x:c r="CC170" s="30" t="n">
        <x:v>1402.3303049895953757225433526</x:v>
      </x:c>
      <x:c r="CD170" s="30" t="n">
        <x:v>-2983.13707241115000000000</x:v>
      </x:c>
      <x:c r="CE170" s="30" t="str">
        <x:f>=CC170+CD170</x:f>
      </x:c>
      <x:c r="CF170" s="66" t="str">
        <x:f>=CE170/CC170</x:f>
      </x:c>
      <x:c r="CH170" s="66" t="str">
        <x:f>=CI170+CJ170</x:f>
      </x:c>
      <x:c r="CI170" s="66" t="str">
        <x:f>=BX170+(0*7)</x:f>
      </x:c>
      <x:c r="CJ170" s="66" t="str">
        <x:f>=(1-CI170)*0.5</x:f>
      </x:c>
      <x:c r="CK170" s="66" t="str">
        <x:f>=1-CH170</x:f>
      </x:c>
      <x:c r="CM170" s="66" t="str">
        <x:f>=CJ170/(1-CI170)</x:f>
      </x:c>
    </x:row>
    <x:row r="171">
      <x:c r="BI171" s="33" t="s"/>
      <x:c r="BJ171" s="11" t="s"/>
      <x:c r="BS171" s="13" t="s"/>
      <x:c r="BT171" s="20" t="n">
        <x:v>461224.53</x:v>
      </x:c>
      <x:c r="BU171" s="20" t="n">
        <x:v>-373051.42779150900000000000</x:v>
      </x:c>
      <x:c r="BV171" s="20" t="str">
        <x:f>=BT171+BU171</x:f>
      </x:c>
      <x:c r="BW171" s="21" t="n">
        <x:v>0.1911717536109603710800030519</x:v>
      </x:c>
      <x:c r="BY171" s="20" t="n">
        <x:v>-347386.278939700000000000</x:v>
      </x:c>
      <x:c r="BZ171" s="20" t="n">
        <x:v>5914</x:v>
      </x:c>
      <x:c r="CA171" s="20" t="n">
        <x:v>30962.781131682327586206896552</x:v>
      </x:c>
      <x:c r="CC171" s="20" t="n">
        <x:v>470859.59885299323481242431244</x:v>
      </x:c>
      <x:c r="CD171" s="20" t="n">
        <x:v>-373051.42779150900000000000</x:v>
      </x:c>
      <x:c r="CE171" s="20" t="str">
        <x:f>=CC171+CD171</x:f>
      </x:c>
      <x:c r="CF171" s="21" t="n">
        <x:v>0.2077225807857447108562641969</x:v>
      </x:c>
    </x:row>
    <x:row r="172">
      <x:c r="A172" s="35" t="s">
        <x:v>126</x:v>
      </x:c>
      <x:c r="BI172" s="33" t="s"/>
      <x:c r="BJ172" s="11" t="s"/>
      <x:c r="BS172" s="13" t="s"/>
    </x:row>
    <x:row r="173">
      <x:c r="A173" s="17" t="s">
        <x:v>127</x:v>
      </x:c>
      <x:c r="BI173" s="33" t="s"/>
      <x:c r="BJ173" s="11" t="s"/>
      <x:c r="BS173" s="13" t="s"/>
    </x:row>
    <x:row r="174">
      <x:c r="A174" s="31" t="s">
        <x:v>370</x:v>
      </x:c>
      <x:c r="B174" t="s"/>
      <x:c r="C174" t="s">
        <x:v>371</x:v>
      </x:c>
      <x:c r="D174" t="s">
        <x:v>130</x:v>
      </x:c>
      <x:c r="E174" s="67" t="s">
        <x:v>131</x:v>
      </x:c>
      <x:c r="F174" t="n">
        <x:v>502</x:v>
      </x:c>
      <x:c r="G174" s="32" t="n">
        <x:v>0.0278884462151394422310756972</x:v>
      </x:c>
      <x:c r="H174" s="32" t="n">
        <x:v>0.0478087649402390438247011952</x:v>
      </x:c>
      <x:c r="I174" s="32" t="n">
        <x:v>0.0776892430278884462151394422</x:v>
      </x:c>
      <x:c r="J174" s="32" t="n">
        <x:v>0.1274900398406374501992031873</x:v>
      </x:c>
      <x:c r="K174" s="32" t="n">
        <x:v>0.1434262948207171314741035857</x:v>
      </x:c>
      <x:c r="L174" s="32" t="n">
        <x:v>0.1633466135458167330677290837</x:v>
      </x:c>
      <x:c r="M174" s="32" t="n">
        <x:v>0.2151394422310756972111553785</x:v>
      </x:c>
      <x:c r="N174" s="32" t="n">
        <x:v>0.2430278884462151394422310757</x:v>
      </x:c>
      <x:c r="O174" s="32" t="n">
        <x:v>0.2768924302788844621513944223</x:v>
      </x:c>
      <x:c r="P174" s="32" t="n">
        <x:v>0.2908366533864541832669322709</x:v>
      </x:c>
      <x:c r="Q174" s="32" t="n">
        <x:v>0.3107569721115537848605577689</x:v>
      </x:c>
      <x:c r="R174" s="32" t="n">
        <x:v>0.3286852589641434262948207171</x:v>
      </x:c>
      <x:c r="S174" s="32" t="n">
        <x:v>0.3645418326693227091633466135</x:v>
      </x:c>
      <x:c r="T174" s="32" t="n">
        <x:v>0.380478087649402390438247012</x:v>
      </x:c>
      <x:c r="U174" s="32" t="n">
        <x:v>0.4183266932270916334661354582</x:v>
      </x:c>
      <x:c r="V174" s="32" t="n">
        <x:v>0.5</x:v>
      </x:c>
      <x:c r="W174" s="32" t="n">
        <x:v>0.5617529880478087649402390438</x:v>
      </x:c>
      <x:c r="X174" s="32" t="n">
        <x:v>0.609561752988047808764940239</x:v>
      </x:c>
      <x:c r="Y174" s="32" t="n">
        <x:v>0.6952191235059760956175298805</x:v>
      </x:c>
      <x:c r="Z174" s="23" t="n">
        <x:v>0.7430278884462151394422310757</x:v>
      </x:c>
      <x:c r="AA174" s="32" t="n">
        <x:v>0.7410358565737051792828685259</x:v>
      </x:c>
      <x:c r="AB174" s="32" t="n">
        <x:v>0.7549800796812749003984063745</x:v>
      </x:c>
      <x:c r="AC174" s="32" t="n">
        <x:v>0.7509960159362549800796812749</x:v>
      </x:c>
      <x:c r="AD174" s="32" t="n">
        <x:v>0.7529880478087649402390438247</x:v>
      </x:c>
      <x:c r="AE174" s="32" t="n">
        <x:v>0.7569721115537848605577689243</x:v>
      </x:c>
      <x:c r="AF174" s="32" t="n">
        <x:v>0.7709163346613545816733067729</x:v>
      </x:c>
      <x:c r="AG174" s="32" t="n">
        <x:v>0.7908366533864541832669322709</x:v>
      </x:c>
      <x:c r="AH174" s="32" t="n">
        <x:v>0.7908366533864541832669322709</x:v>
      </x:c>
      <x:c r="AI174" s="32" t="n">
        <x:v>0.8127490039840637450199203187</x:v>
      </x:c>
      <x:c r="AJ174" s="32" t="n">
        <x:v>0.8187250996015936254980079681</x:v>
      </x:c>
      <x:c r="AK174" s="32" t="n">
        <x:v>0.8187250996015936254980079681</x:v>
      </x:c>
      <x:c r="AL174" s="32" t="n">
        <x:v>0.8127490039840637450199203187</x:v>
      </x:c>
      <x:c r="AM174" s="32" t="n">
        <x:v>0.8127490039840637450199203187</x:v>
      </x:c>
      <x:c r="AN174" s="32" t="n">
        <x:v>0.8266932270916334661354581673</x:v>
      </x:c>
      <x:c r="AO174" s="32" t="n">
        <x:v>0.8466135458167330677290836653</x:v>
      </x:c>
      <x:c r="AP174" s="32" t="n">
        <x:v>0.8764940239043824701195219124</x:v>
      </x:c>
      <x:c r="AQ174" s="32" t="n">
        <x:v>0.9183266932270916334661354582</x:v>
      </x:c>
      <x:c r="AR174" s="32" t="n">
        <x:v>0.9681274900398406374501992032</x:v>
      </x:c>
      <x:c r="AS174" s="32" t="n">
        <x:v>0.9442231075697211155378486056</x:v>
      </x:c>
      <x:c r="AT174" s="32" t="n">
        <x:v>0.9183266932270916334661354582</x:v>
      </x:c>
      <x:c r="AU174" s="32" t="n">
        <x:v>0.9163346613545816733067729084</x:v>
      </x:c>
      <x:c r="BI174" s="33" t="s"/>
      <x:c r="BJ174" s="11" t="s">
        <x:v>372</x:v>
      </x:c>
      <x:c r="BK174" s="12" t="str">
        <x:f>=BX174</x:f>
      </x:c>
      <x:c r="BL174" s="12" t="n">
        <x:v>0.8884462151394422310756972112</x:v>
      </x:c>
      <x:c r="BM174" s="12" t="n">
        <x:v>0.0836653386454183266932270916</x:v>
      </x:c>
      <x:c r="BN174" s="12" t="n">
        <x:v>0.0278884462151394422310756972</x:v>
      </x:c>
      <x:c r="BO174" s="12" t="str">
        <x:f>=BW174</x:f>
      </x:c>
      <x:c r="BP174" s="12" t="str">
        <x:f>=CF174</x:f>
      </x:c>
      <x:c r="BQ174" s="12" t="str"/>
      <x:c r="BR174" s="12" t="str">
        <x:v>AW 2019 EOS</x:v>
      </x:c>
      <x:c r="BS174" s="13" t="str"/>
      <x:c r="BT174" s="30" t="n">
        <x:v>5793.07</x:v>
      </x:c>
      <x:c r="BU174" s="30" t="n">
        <x:v>-4105.52472374922372321860</x:v>
      </x:c>
      <x:c r="BV174" s="30" t="str">
        <x:f>=BT174+BU174</x:f>
      </x:c>
      <x:c r="BW174" s="66" t="str">
        <x:f>=BV174/BT174</x:f>
      </x:c>
      <x:c r="BX174" s="66" t="n">
        <x:v>0.9721115537848605577689243028</x:v>
      </x:c>
      <x:c r="BY174" s="30" t="n">
        <x:v>4131.582189432189405380</x:v>
      </x:c>
      <x:c r="BZ174" s="41" t="n">
        <x:v>14</x:v>
      </x:c>
      <x:c r="CA174" s="30" t="n">
        <x:v>115.223407673407672660</x:v>
      </x:c>
      <x:c r="CC174" s="30" t="n">
        <x:v>5793.9504780876494023904382470</x:v>
      </x:c>
      <x:c r="CD174" s="30" t="n">
        <x:v>-4105.52472374922372321860</x:v>
      </x:c>
      <x:c r="CE174" s="30" t="str">
        <x:f>=CC174+CD174</x:f>
      </x:c>
      <x:c r="CF174" s="66" t="str">
        <x:f>=CE174/CC174</x:f>
      </x:c>
      <x:c r="CH174" s="66" t="str">
        <x:f>=CI174+CJ174</x:f>
      </x:c>
      <x:c r="CI174" s="66" t="str">
        <x:f>=BX174+(0*7)</x:f>
      </x:c>
      <x:c r="CJ174" s="66" t="str">
        <x:f>=(1-CI174)*0.5</x:f>
      </x:c>
      <x:c r="CK174" s="66" t="str">
        <x:f>=1-CH174</x:f>
      </x:c>
      <x:c r="CM174" s="66" t="str">
        <x:f>=CJ174/(1-CI174)</x:f>
      </x:c>
    </x:row>
    <x:row r="175">
      <x:c r="A175" s="31" t="s">
        <x:v>373</x:v>
      </x:c>
      <x:c r="B175" t="s"/>
      <x:c r="C175" t="s">
        <x:v>374</x:v>
      </x:c>
      <x:c r="D175" t="s">
        <x:v>193</x:v>
      </x:c>
      <x:c r="E175" s="67" t="s">
        <x:v>131</x:v>
      </x:c>
      <x:c r="F175" t="n">
        <x:v>1007</x:v>
      </x:c>
      <x:c r="G175" s="32" t="n">
        <x:v>0.0019860973187686196623634558</x:v>
      </x:c>
      <x:c r="H175" s="32" t="n">
        <x:v>0.0248262164846077457795431976</x:v>
      </x:c>
      <x:c r="I175" s="32" t="n">
        <x:v>0.0397219463753723932472691162</x:v>
      </x:c>
      <x:c r="J175" s="32" t="n">
        <x:v>0.0546176762661370407149950348</x:v>
      </x:c>
      <x:c r="K175" s="32" t="n">
        <x:v>0.0764647467725918570009930487</x:v>
      </x:c>
      <x:c r="L175" s="32" t="n">
        <x:v>0.1012909632571996027805362463</x:v>
      </x:c>
      <x:c r="M175" s="32" t="n">
        <x:v>0.1211519364448857994041708044</x:v>
      </x:c>
      <x:c r="N175" s="32" t="n">
        <x:v>0.1519364448857994041708043694</x:v>
      </x:c>
      <x:c r="O175" s="32" t="n">
        <x:v>0.1727904667328699106256206554</x:v>
      </x:c>
      <x:c r="P175" s="32" t="n">
        <x:v>0.1996027805362462760675273088</x:v>
      </x:c>
      <x:c r="Q175" s="32" t="n">
        <x:v>0.229394240317775571002979146</x:v>
      </x:c>
      <x:c r="R175" s="32" t="n">
        <x:v>0.2383316782522343594836146971</x:v>
      </x:c>
      <x:c r="S175" s="32" t="n">
        <x:v>0.2800397219463753723932472691</x:v>
      </x:c>
      <x:c r="T175" s="32" t="n">
        <x:v>0.3247269116186693147964250248</x:v>
      </x:c>
      <x:c r="U175" s="32" t="n">
        <x:v>0.354518371400198609731876862</x:v>
      </x:c>
      <x:c r="V175" s="32" t="n">
        <x:v>0.3674280039721946375372393247</x:v>
      </x:c>
      <x:c r="W175" s="32" t="n">
        <x:v>0.3882820258192651439920556107</x:v>
      </x:c>
      <x:c r="X175" s="32" t="n">
        <x:v>0.4359483614697120158887785501</x:v>
      </x:c>
      <x:c r="Y175" s="32" t="n">
        <x:v>0.4667328699106256206554121152</x:v>
      </x:c>
      <x:c r="Z175" s="32" t="n">
        <x:v>0.5024826216484607745779543198</x:v>
      </x:c>
      <x:c r="AA175" s="32" t="n">
        <x:v>0.5292949354518371400198609732</x:v>
      </x:c>
      <x:c r="AB175" s="32" t="n">
        <x:v>0.5471698113207547169811320755</x:v>
      </x:c>
      <x:c r="AC175" s="32" t="n">
        <x:v>0.5809334657398212512413108242</x:v>
      </x:c>
      <x:c r="AD175" s="32" t="n">
        <x:v>0.5918570009930486593843098312</x:v>
      </x:c>
      <x:c r="AE175" s="32" t="n">
        <x:v>0.6067527308838133068520357498</x:v>
      </x:c>
      <x:c r="AF175" s="32" t="n">
        <x:v>0.6107249255213505461767626614</x:v>
      </x:c>
      <x:c r="AG175" s="32" t="n">
        <x:v>0.624627606752730883813306852</x:v>
      </x:c>
      <x:c r="AH175" s="32" t="n">
        <x:v>0.6534260178748758689175769613</x:v>
      </x:c>
      <x:c r="AI175" s="32" t="n">
        <x:v>0.666335650446871896722939424</x:v>
      </x:c>
      <x:c r="AJ175" s="32" t="n">
        <x:v>0.6782522343594836146971201589</x:v>
      </x:c>
      <x:c r="AK175" s="32" t="n">
        <x:v>0.6832174776564051638530287984</x:v>
      </x:c>
      <x:c r="AL175" s="32" t="n">
        <x:v>0.6881827209533267130089374379</x:v>
      </x:c>
      <x:c r="AM175" s="32" t="n">
        <x:v>0.6971201588877855014895729891</x:v>
      </x:c>
      <x:c r="AN175" s="23" t="n">
        <x:v>0.7090367428003972194637537239</x:v>
      </x:c>
      <x:c r="AO175" s="32" t="n">
        <x:v>0.7249255213505461767626613704</x:v>
      </x:c>
      <x:c r="AP175" s="32" t="n">
        <x:v>0.7874875868917576961271102284</x:v>
      </x:c>
      <x:c r="AQ175" s="32" t="n">
        <x:v>0.8003972194637537239324726912</x:v>
      </x:c>
      <x:c r="AR175" s="32" t="n">
        <x:v>0.8083416087388282025819265144</x:v>
      </x:c>
      <x:c r="AS175" s="32" t="n">
        <x:v>0.823237338629592850049652433</x:v>
      </x:c>
      <x:c r="BI175" s="33" t="s"/>
      <x:c r="BJ175" s="11" t="s">
        <x:v>375</x:v>
      </x:c>
      <x:c r="BK175" s="12" t="str">
        <x:f>=BX175</x:f>
      </x:c>
      <x:c r="BL175" s="12" t="n">
        <x:v>0.7487586891757696127110228401</x:v>
      </x:c>
      <x:c r="BM175" s="12" t="n">
        <x:v>0.1122144985104270109235352532</x:v>
      </x:c>
      <x:c r="BN175" s="12" t="n">
        <x:v>0.1390268123138033763654419067</x:v>
      </x:c>
      <x:c r="BO175" s="12" t="str">
        <x:f>=BW175</x:f>
      </x:c>
      <x:c r="BP175" s="12" t="str">
        <x:f>=CF175</x:f>
      </x:c>
      <x:c r="BQ175" s="12" t="str"/>
      <x:c r="BR175" s="12" t="str">
        <x:v>AW 2019 EOS</x:v>
      </x:c>
      <x:c r="BS175" s="13" t="str"/>
      <x:c r="BT175" s="30" t="n">
        <x:v>14711.27</x:v>
      </x:c>
      <x:c r="BU175" s="30" t="n">
        <x:v>-11769.4132</x:v>
      </x:c>
      <x:c r="BV175" s="30" t="str">
        <x:f>=BT175+BU175</x:f>
      </x:c>
      <x:c r="BW175" s="66" t="str">
        <x:f>=BV175/BT175</x:f>
      </x:c>
      <x:c r="BX175" s="66" t="n">
        <x:v>0.8609731876861966236345580933</x:v>
      </x:c>
      <x:c r="BY175" s="30" t="n">
        <x:v>10573.50</x:v>
      </x:c>
      <x:c r="BZ175" s="41" t="n">
        <x:v>140</x:v>
      </x:c>
      <x:c r="CA175" s="30" t="n">
        <x:v>1470.00</x:v>
      </x:c>
      <x:c r="CC175" s="30" t="n">
        <x:v>14905.386007674900695134061570</x:v>
      </x:c>
      <x:c r="CD175" s="30" t="n">
        <x:v>-11769.4132</x:v>
      </x:c>
      <x:c r="CE175" s="30" t="str">
        <x:f>=CC175+CD175</x:f>
      </x:c>
      <x:c r="CF175" s="66" t="str">
        <x:f>=CE175/CC175</x:f>
      </x:c>
      <x:c r="CH175" s="66" t="str">
        <x:f>=CI175+CJ175</x:f>
      </x:c>
      <x:c r="CI175" s="66" t="str">
        <x:f>=BX175+(0*7)</x:f>
      </x:c>
      <x:c r="CJ175" s="66" t="str">
        <x:f>=(1-CI175)*0.5</x:f>
      </x:c>
      <x:c r="CK175" s="66" t="str">
        <x:f>=1-CH175</x:f>
      </x:c>
      <x:c r="CM175" s="66" t="str">
        <x:f>=CJ175/(1-CI175)</x:f>
      </x:c>
    </x:row>
    <x:row r="176">
      <x:c r="A176" s="31" t="s">
        <x:v>376</x:v>
      </x:c>
      <x:c r="B176" t="s"/>
      <x:c r="C176" t="s">
        <x:v>377</x:v>
      </x:c>
      <x:c r="D176" t="s">
        <x:v>130</x:v>
      </x:c>
      <x:c r="E176" s="67" t="s">
        <x:v>131</x:v>
      </x:c>
      <x:c r="F176" t="n">
        <x:v>410</x:v>
      </x:c>
      <x:c r="G176" s="32" t="n">
        <x:v>0.019512195121951219512195122</x:v>
      </x:c>
      <x:c r="H176" s="32" t="n">
        <x:v>0.0975609756097560975609756098</x:v>
      </x:c>
      <x:c r="I176" s="32" t="n">
        <x:v>0.1682926829268292682926829268</x:v>
      </x:c>
      <x:c r="J176" s="32" t="n">
        <x:v>0.219512195121951219512195122</x:v>
      </x:c>
      <x:c r="K176" s="32" t="n">
        <x:v>0.2365853658536585365853658537</x:v>
      </x:c>
      <x:c r="L176" s="32" t="n">
        <x:v>0.2170731707317073170731707317</x:v>
      </x:c>
      <x:c r="M176" s="32" t="n">
        <x:v>0.2243902439024390243902439024</x:v>
      </x:c>
      <x:c r="N176" s="32" t="n">
        <x:v>0.2341463414634146341463414634</x:v>
      </x:c>
      <x:c r="O176" s="32" t="n">
        <x:v>0.2414634146341463414634146341</x:v>
      </x:c>
      <x:c r="P176" s="32" t="n">
        <x:v>0.2609756097560975609756097561</x:v>
      </x:c>
      <x:c r="Q176" s="32" t="n">
        <x:v>0.2707317073170731707317073171</x:v>
      </x:c>
      <x:c r="R176" s="32" t="n">
        <x:v>0.2878048780487804878048780488</x:v>
      </x:c>
      <x:c r="S176" s="32" t="n">
        <x:v>0.3268292682926829268292682927</x:v>
      </x:c>
      <x:c r="T176" s="32" t="n">
        <x:v>0.3487804878048780487804878049</x:v>
      </x:c>
      <x:c r="U176" s="32" t="n">
        <x:v>0.3658536585365853658536585366</x:v>
      </x:c>
      <x:c r="V176" s="32" t="n">
        <x:v>0.3731707317073170731707317073</x:v>
      </x:c>
      <x:c r="W176" s="32" t="n">
        <x:v>0.3878048780487804878048780488</x:v>
      </x:c>
      <x:c r="X176" s="32" t="n">
        <x:v>0.4073170731707317073170731707</x:v>
      </x:c>
      <x:c r="Y176" s="32" t="n">
        <x:v>0.4341463414634146341463414634</x:v>
      </x:c>
      <x:c r="Z176" s="32" t="n">
        <x:v>0.4536585365853658536585365854</x:v>
      </x:c>
      <x:c r="AA176" s="32" t="n">
        <x:v>0.4780487804878048780487804878</x:v>
      </x:c>
      <x:c r="AB176" s="32" t="n">
        <x:v>0.4926829268292682926829268293</x:v>
      </x:c>
      <x:c r="AC176" s="32" t="n">
        <x:v>0.509756097560975609756097561</x:v>
      </x:c>
      <x:c r="AD176" s="32" t="n">
        <x:v>0.5170731707317073170731707317</x:v>
      </x:c>
      <x:c r="AE176" s="32" t="n">
        <x:v>0.5390243902439024390243902439</x:v>
      </x:c>
      <x:c r="AF176" s="32" t="n">
        <x:v>0.5487804878048780487804878049</x:v>
      </x:c>
      <x:c r="AG176" s="32" t="n">
        <x:v>0.5414634146341463414634146341</x:v>
      </x:c>
      <x:c r="AH176" s="32" t="n">
        <x:v>0.5512195121951219512195121951</x:v>
      </x:c>
      <x:c r="AI176" s="32" t="n">
        <x:v>0.5585365853658536585365853659</x:v>
      </x:c>
      <x:c r="AJ176" s="32" t="n">
        <x:v>0.5658536585365853658536585366</x:v>
      </x:c>
      <x:c r="AK176" s="32" t="n">
        <x:v>0.5756097560975609756097560976</x:v>
      </x:c>
      <x:c r="AL176" s="32" t="n">
        <x:v>0.5780487804878048780487804878</x:v>
      </x:c>
      <x:c r="AM176" s="32" t="n">
        <x:v>0.5756097560975609756097560976</x:v>
      </x:c>
      <x:c r="BI176" s="33" t="s"/>
      <x:c r="BJ176" s="11" t="s">
        <x:v>378</x:v>
      </x:c>
      <x:c r="BK176" s="12" t="str">
        <x:f>=BX176</x:f>
      </x:c>
      <x:c r="BL176" s="12" t="n">
        <x:v>0.5731707317073170731707317073</x:v>
      </x:c>
      <x:c r="BM176" s="12" t="n">
        <x:v>0.4243902439024390243902439024</x:v>
      </x:c>
      <x:c r="BN176" s="12" t="n">
        <x:v>0.0024390243902439024390243902</x:v>
      </x:c>
      <x:c r="BO176" s="12" t="str">
        <x:f>=BW176</x:f>
      </x:c>
      <x:c r="BP176" s="12" t="str">
        <x:f>=CF176</x:f>
      </x:c>
      <x:c r="BQ176" s="12" t="str"/>
      <x:c r="BR176" s="12" t="str">
        <x:v>AW 2019 EOS</x:v>
      </x:c>
      <x:c r="BS176" s="13" t="str"/>
      <x:c r="BT176" s="30" t="n">
        <x:v>4216.46</x:v>
      </x:c>
      <x:c r="BU176" s="30" t="n">
        <x:v>-3929.41308879925000000000</x:v>
      </x:c>
      <x:c r="BV176" s="30" t="str">
        <x:f>=BT176+BU176</x:f>
      </x:c>
      <x:c r="BW176" s="66" t="str">
        <x:f>=BV176/BT176</x:f>
      </x:c>
      <x:c r="BX176" s="66" t="n">
        <x:v>0.9975609756097560975609756098</x:v>
      </x:c>
      <x:c r="BY176" s="30" t="n">
        <x:v>3957.528957525000000000</x:v>
      </x:c>
      <x:c r="BZ176" s="41" t="n">
        <x:v>1</x:v>
      </x:c>
      <x:c r="CA176" s="30" t="n">
        <x:v>9.652509652500000000</x:v>
      </x:c>
      <x:c r="CC176" s="30" t="n">
        <x:v>4217.0356097560975609756097561</x:v>
      </x:c>
      <x:c r="CD176" s="30" t="n">
        <x:v>-3929.41308879925000000000</x:v>
      </x:c>
      <x:c r="CE176" s="30" t="str">
        <x:f>=CC176+CD176</x:f>
      </x:c>
      <x:c r="CF176" s="66" t="str">
        <x:f>=CE176/CC176</x:f>
      </x:c>
      <x:c r="CH176" s="66" t="str">
        <x:f>=CI176+CJ176</x:f>
      </x:c>
      <x:c r="CI176" s="66" t="str">
        <x:f>=BX176+(0*7)</x:f>
      </x:c>
      <x:c r="CJ176" s="66" t="str">
        <x:f>=(1-CI176)*0.5</x:f>
      </x:c>
      <x:c r="CK176" s="66" t="str">
        <x:f>=1-CH176</x:f>
      </x:c>
      <x:c r="CM176" s="66" t="str">
        <x:f>=CJ176/(1-CI176)</x:f>
      </x:c>
    </x:row>
    <x:row r="177">
      <x:c r="A177" s="31" t="s">
        <x:v>379</x:v>
      </x:c>
      <x:c r="B177" t="s"/>
      <x:c r="C177" t="s">
        <x:v>380</x:v>
      </x:c>
      <x:c r="D177" t="s">
        <x:v>274</x:v>
      </x:c>
      <x:c r="E177" s="67" t="s">
        <x:v>131</x:v>
      </x:c>
      <x:c r="F177" t="n">
        <x:v>1212</x:v>
      </x:c>
      <x:c r="G177" s="32" t="n">
        <x:v>0</x:v>
      </x:c>
      <x:c r="H177" s="32" t="n">
        <x:v>0.0008250825082508250825082508</x:v>
      </x:c>
      <x:c r="I177" s="32" t="n">
        <x:v>0.004950495049504950495049505</x:v>
      </x:c>
      <x:c r="J177" s="32" t="n">
        <x:v>0.0915841584158415841584158416</x:v>
      </x:c>
      <x:c r="K177" s="32" t="n">
        <x:v>0.1097359735973597359735973597</x:v>
      </x:c>
      <x:c r="L177" s="32" t="n">
        <x:v>0.1254125412541254125412541254</x:v>
      </x:c>
      <x:c r="M177" s="32" t="n">
        <x:v>0.1485148514851485148514851485</x:v>
      </x:c>
      <x:c r="N177" s="32" t="n">
        <x:v>0.1782178217821782178217821782</x:v>
      </x:c>
      <x:c r="O177" s="32" t="n">
        <x:v>0.235973597359735973597359736</x:v>
      </x:c>
      <x:c r="P177" s="32" t="n">
        <x:v>0.2805280528052805280528052805</x:v>
      </x:c>
      <x:c r="Q177" s="32" t="n">
        <x:v>0.3366336633663366336633663366</x:v>
      </x:c>
      <x:c r="R177" s="32" t="n">
        <x:v>0.3976897689768976897689768977</x:v>
      </x:c>
      <x:c r="S177" s="32" t="n">
        <x:v>0.4364686468646864686468646865</x:v>
      </x:c>
      <x:c r="T177" s="32" t="n">
        <x:v>0.4678217821782178217821782178</x:v>
      </x:c>
      <x:c r="U177" s="32" t="n">
        <x:v>0.5024752475247524752475247525</x:v>
      </x:c>
      <x:c r="V177" s="32" t="n">
        <x:v>0.518976897689768976897689769</x:v>
      </x:c>
      <x:c r="W177" s="32" t="n">
        <x:v>0.5338283828382838283828382838</x:v>
      </x:c>
      <x:c r="X177" s="32" t="n">
        <x:v>0.551980198019801980198019802</x:v>
      </x:c>
      <x:c r="Y177" s="32" t="n">
        <x:v>0.5627062706270627062706270627</x:v>
      </x:c>
      <x:c r="Z177" s="32" t="n">
        <x:v>0.5627062706270627062706270627</x:v>
      </x:c>
      <x:c r="AA177" s="32" t="n">
        <x:v>0.570957095709570957095709571</x:v>
      </x:c>
      <x:c r="AB177" s="32" t="n">
        <x:v>0.5858085808580858085808580858</x:v>
      </x:c>
      <x:c r="AC177" s="32" t="n">
        <x:v>0.5940594059405940594059405941</x:v>
      </x:c>
      <x:c r="AD177" s="32" t="n">
        <x:v>0.5998349834983498349834983498</x:v>
      </x:c>
      <x:c r="AE177" s="32" t="n">
        <x:v>0.6097359735973597359735973597</x:v>
      </x:c>
      <x:c r="AF177" s="32" t="n">
        <x:v>0.6146864686468646864686468647</x:v>
      </x:c>
      <x:c r="AG177" s="32" t="n">
        <x:v>0.6163366336633663366336633663</x:v>
      </x:c>
      <x:c r="AH177" s="32" t="n">
        <x:v>0.6188118811881188118811881188</x:v>
      </x:c>
      <x:c r="AI177" s="32" t="n">
        <x:v>0.6212871287128712871287128713</x:v>
      </x:c>
      <x:c r="AJ177" s="32" t="n">
        <x:v>0.6072607260726072607260726073</x:v>
      </x:c>
      <x:c r="AK177" s="32" t="n">
        <x:v>0.6072607260726072607260726073</x:v>
      </x:c>
      <x:c r="AL177" s="32" t="n">
        <x:v>0.6105610561056105610561056106</x:v>
      </x:c>
      <x:c r="AM177" s="32" t="n">
        <x:v>0.6064356435643564356435643564</x:v>
      </x:c>
      <x:c r="BI177" s="33" t="s"/>
      <x:c r="BJ177" s="11" t="s">
        <x:v>378</x:v>
      </x:c>
      <x:c r="BK177" s="12" t="str">
        <x:f>=BX177</x:f>
      </x:c>
      <x:c r="BL177" s="12" t="n">
        <x:v>0.6146864686468646864686468647</x:v>
      </x:c>
      <x:c r="BM177" s="12" t="n">
        <x:v>0.1674917491749174917491749175</x:v>
      </x:c>
      <x:c r="BN177" s="12" t="n">
        <x:v>0.2178217821782178217821782178</x:v>
      </x:c>
      <x:c r="BO177" s="12" t="str">
        <x:f>=BW177</x:f>
      </x:c>
      <x:c r="BP177" s="12" t="str">
        <x:f>=CF177</x:f>
      </x:c>
      <x:c r="BQ177" s="12" t="str"/>
      <x:c r="BR177" s="12" t="str">
        <x:v>AW 2019 EOS</x:v>
      </x:c>
      <x:c r="BS177" s="13" t="str"/>
      <x:c r="BT177" s="30" t="n">
        <x:v>11521.32</x:v>
      </x:c>
      <x:c r="BU177" s="30" t="n">
        <x:v>-10865.94360</x:v>
      </x:c>
      <x:c r="BV177" s="30" t="str">
        <x:f>=BT177+BU177</x:f>
      </x:c>
      <x:c r="BW177" s="66" t="str">
        <x:f>=BV177/BT177</x:f>
      </x:c>
      <x:c r="BX177" s="66" t="n">
        <x:v>0.7821782178217821782178217822</x:v>
      </x:c>
      <x:c r="BY177" s="30" t="n">
        <x:v>9999.00</x:v>
      </x:c>
      <x:c r="BZ177" s="41" t="n">
        <x:v>264</x:v>
      </x:c>
      <x:c r="CA177" s="30" t="n">
        <x:v>2178.00</x:v>
      </x:c>
      <x:c r="CC177" s="30" t="n">
        <x:v>11814.425903061056105610561056</x:v>
      </x:c>
      <x:c r="CD177" s="30" t="n">
        <x:v>-10865.94360</x:v>
      </x:c>
      <x:c r="CE177" s="30" t="str">
        <x:f>=CC177+CD177</x:f>
      </x:c>
      <x:c r="CF177" s="66" t="str">
        <x:f>=CE177/CC177</x:f>
      </x:c>
      <x:c r="CH177" s="66" t="str">
        <x:f>=CI177+CJ177</x:f>
      </x:c>
      <x:c r="CI177" s="66" t="str">
        <x:f>=BX177+(0*7)</x:f>
      </x:c>
      <x:c r="CJ177" s="66" t="str">
        <x:f>=(1-CI177)*0.5</x:f>
      </x:c>
      <x:c r="CK177" s="66" t="str">
        <x:f>=1-CH177</x:f>
      </x:c>
      <x:c r="CM177" s="66" t="str">
        <x:f>=CJ177/(1-CI177)</x:f>
      </x:c>
    </x:row>
    <x:row r="178">
      <x:c r="A178" s="31" t="s">
        <x:v>381</x:v>
      </x:c>
      <x:c r="B178" t="s"/>
      <x:c r="C178" t="s">
        <x:v>382</x:v>
      </x:c>
      <x:c r="D178" t="s">
        <x:v>383</x:v>
      </x:c>
      <x:c r="E178" s="67" t="s">
        <x:v>131</x:v>
      </x:c>
      <x:c r="F178" t="n">
        <x:v>1452</x:v>
      </x:c>
      <x:c r="G178" s="32" t="n">
        <x:v>0.0179063360881542699724517906</x:v>
      </x:c>
      <x:c r="H178" s="32" t="n">
        <x:v>0.037190082644628099173553719</x:v>
      </x:c>
      <x:c r="I178" s="32" t="n">
        <x:v>0.0557851239669421487603305785</x:v>
      </x:c>
      <x:c r="J178" s="32" t="n">
        <x:v>0.0544077134986225895316804408</x:v>
      </x:c>
      <x:c r="K178" s="32" t="n">
        <x:v>0.0564738292011019283746556474</x:v>
      </x:c>
      <x:c r="L178" s="32" t="n">
        <x:v>0.0626721763085399449035812672</x:v>
      </x:c>
      <x:c r="M178" s="32" t="n">
        <x:v>0.0695592286501377410468319559</x:v>
      </x:c>
      <x:c r="N178" s="32" t="n">
        <x:v>0.074380165289256198347107438</x:v>
      </x:c>
      <x:c r="O178" s="32" t="n">
        <x:v>0.0874655647382920110192837466</x:v>
      </x:c>
      <x:c r="P178" s="32" t="n">
        <x:v>0.0929752066115702479338842975</x:v>
      </x:c>
      <x:c r="Q178" s="32" t="n">
        <x:v>0.0998622589531680440771349862</x:v>
      </x:c>
      <x:c r="R178" s="32" t="n">
        <x:v>0.1026170798898071625344352617</x:v>
      </x:c>
      <x:c r="S178" s="32" t="n">
        <x:v>0.1163911845730027548209366391</x:v>
      </x:c>
      <x:c r="T178" s="32" t="n">
        <x:v>0.1301652892561983471074380165</x:v>
      </x:c>
      <x:c r="U178" s="32" t="n">
        <x:v>0.159779614325068870523415978</x:v>
      </x:c>
      <x:c r="V178" s="32" t="n">
        <x:v>0.1928374655647382920110192837</x:v>
      </x:c>
      <x:c r="W178" s="32" t="n">
        <x:v>0.2389807162534435261707988981</x:v>
      </x:c>
      <x:c r="X178" s="32" t="n">
        <x:v>0.287190082644628099173553719</x:v>
      </x:c>
      <x:c r="Y178" s="32" t="n">
        <x:v>0.3202479338842975206611570248</x:v>
      </x:c>
      <x:c r="Z178" s="32" t="n">
        <x:v>0.3567493112947658402203856749</x:v>
      </x:c>
      <x:c r="AA178" s="32" t="n">
        <x:v>0.382920110192837465564738292</x:v>
      </x:c>
      <x:c r="AB178" s="32" t="n">
        <x:v>0.4015151515151515151515151515</x:v>
      </x:c>
      <x:c r="AC178" s="32" t="n">
        <x:v>0.4263085399449035812672176309</x:v>
      </x:c>
      <x:c r="AD178" s="32" t="n">
        <x:v>0.4497245179063360881542699725</x:v>
      </x:c>
      <x:c r="AE178" s="32" t="n">
        <x:v>0.4690082644628099173553719008</x:v>
      </x:c>
      <x:c r="AF178" s="32" t="n">
        <x:v>0.494490358126721763085399449</x:v>
      </x:c>
      <x:c r="AG178" s="32" t="n">
        <x:v>0.5241046831955922865013774105</x:v>
      </x:c>
      <x:c r="AH178" s="32" t="n">
        <x:v>0.5571625344352617079889807163</x:v>
      </x:c>
      <x:c r="AI178" s="32" t="n">
        <x:v>0.5688705234159779614325068871</x:v>
      </x:c>
      <x:c r="AJ178" s="32" t="n">
        <x:v>0.5915977961432506887052341598</x:v>
      </x:c>
      <x:c r="AK178" s="32" t="n">
        <x:v>0.6287878787878787878787878788</x:v>
      </x:c>
      <x:c r="AL178" s="32" t="n">
        <x:v>0.6515151515151515151515151515</x:v>
      </x:c>
      <x:c r="BI178" s="33" t="s"/>
      <x:c r="BJ178" s="11" t="s">
        <x:v>197</x:v>
      </x:c>
      <x:c r="BK178" s="12" t="str">
        <x:f>=BX178</x:f>
      </x:c>
      <x:c r="BL178" s="12" t="n">
        <x:v>0.8106060606060606060606060606</x:v>
      </x:c>
      <x:c r="BM178" s="12" t="n">
        <x:v>0.1219008264462809917355371901</x:v>
      </x:c>
      <x:c r="BN178" s="12" t="n">
        <x:v>0.0674931129476584022038567493</x:v>
      </x:c>
      <x:c r="BO178" s="12" t="str">
        <x:f>=BW178</x:f>
      </x:c>
      <x:c r="BP178" s="12" t="str">
        <x:f>=CF178</x:f>
      </x:c>
      <x:c r="BQ178" s="12" t="str"/>
      <x:c r="BR178" s="12" t="str">
        <x:v>AW 2019 EOS</x:v>
      </x:c>
      <x:c r="BS178" s="13" t="str"/>
      <x:c r="BT178" s="30" t="n">
        <x:v>11493.13</x:v>
      </x:c>
      <x:c r="BU178" s="30" t="n">
        <x:v>-8899.8888</x:v>
      </x:c>
      <x:c r="BV178" s="30" t="str">
        <x:f>=BT178+BU178</x:f>
      </x:c>
      <x:c r="BW178" s="66" t="str">
        <x:f>=BV178/BT178</x:f>
      </x:c>
      <x:c r="BX178" s="66" t="n">
        <x:v>0.9325068870523415977961432507</x:v>
      </x:c>
      <x:c r="BY178" s="30" t="n">
        <x:v>8784.60</x:v>
      </x:c>
      <x:c r="BZ178" s="41" t="n">
        <x:v>98</x:v>
      </x:c>
      <x:c r="CA178" s="30" t="n">
        <x:v>592.90</x:v>
      </x:c>
      <x:c r="CC178" s="30" t="n">
        <x:v>11987.782009151515151515151515</x:v>
      </x:c>
      <x:c r="CD178" s="30" t="n">
        <x:v>-8899.8888</x:v>
      </x:c>
      <x:c r="CE178" s="30" t="str">
        <x:f>=CC178+CD178</x:f>
      </x:c>
      <x:c r="CF178" s="66" t="str">
        <x:f>=CE178/CC178</x:f>
      </x:c>
      <x:c r="CH178" s="66" t="str">
        <x:f>=CI178+CJ178</x:f>
      </x:c>
      <x:c r="CI178" s="66" t="str">
        <x:f>=BX178+(0*7)</x:f>
      </x:c>
      <x:c r="CJ178" s="66" t="str">
        <x:f>=(1-CI178)*0.5</x:f>
      </x:c>
      <x:c r="CK178" s="66" t="str">
        <x:f>=1-CH178</x:f>
      </x:c>
      <x:c r="CM178" s="66" t="str">
        <x:f>=CJ178/(1-CI178)</x:f>
      </x:c>
    </x:row>
    <x:row r="179">
      <x:c r="A179" s="31" t="s">
        <x:v>384</x:v>
      </x:c>
      <x:c r="B179" t="s"/>
      <x:c r="C179" t="s">
        <x:v>385</x:v>
      </x:c>
      <x:c r="D179" t="s">
        <x:v>147</x:v>
      </x:c>
      <x:c r="E179" s="67" t="s">
        <x:v>131</x:v>
      </x:c>
      <x:c r="F179" t="n">
        <x:v>1099</x:v>
      </x:c>
      <x:c r="G179" s="32" t="n">
        <x:v>0.0090991810737033666969972702</x:v>
      </x:c>
      <x:c r="H179" s="32" t="n">
        <x:v>0.0391264786169244767970882621</x:v>
      </x:c>
      <x:c r="I179" s="32" t="n">
        <x:v>0.0545950864422202001819836215</x:v>
      </x:c>
      <x:c r="J179" s="32" t="n">
        <x:v>0.1392174704276615104640582348</x:v>
      </x:c>
      <x:c r="K179" s="32" t="n">
        <x:v>0.1565059144676979071883530482</x:v>
      </x:c>
      <x:c r="L179" s="32" t="n">
        <x:v>0.2256596906278434940855323021</x:v>
      </x:c>
      <x:c r="M179" s="32" t="n">
        <x:v>0.2547770700636942675159235669</x:v>
      </x:c>
      <x:c r="N179" s="32" t="n">
        <x:v>0.3657870791628753412192902639</x:v>
      </x:c>
      <x:c r="O179" s="32" t="n">
        <x:v>0.3757961783439490445859872611</x:v>
      </x:c>
      <x:c r="P179" s="32" t="n">
        <x:v>0.3921747042766151046405823476</x:v>
      </x:c>
      <x:c r="Q179" s="32" t="n">
        <x:v>0.4121929026387625113739763421</x:v>
      </x:c>
      <x:c r="R179" s="32" t="n">
        <x:v>0.4340309372156505914467697907</x:v>
      </x:c>
      <x:c r="S179" s="32" t="n">
        <x:v>0.4467697907188353048225659691</x:v>
      </x:c>
      <x:c r="T179" s="32" t="n">
        <x:v>0.4485896269335759781619654231</x:v>
      </x:c>
      <x:c r="U179" s="32" t="n">
        <x:v>0.4485896269335759781619654231</x:v>
      </x:c>
      <x:c r="V179" s="32" t="n">
        <x:v>0.4567788898999090081892629663</x:v>
      </x:c>
      <x:c r="W179" s="32" t="n">
        <x:v>0.4695177434030937215650591447</x:v>
      </x:c>
      <x:c r="X179" s="32" t="n">
        <x:v>0.4731574158325750682438580528</x:v>
      </x:c>
      <x:c r="Y179" s="32" t="n">
        <x:v>0.4767970882620564149226569609</x:v>
      </x:c>
      <x:c r="Z179" s="32" t="n">
        <x:v>0.4767970882620564149226569609</x:v>
      </x:c>
      <x:c r="AA179" s="32" t="n">
        <x:v>0.482256596906278434940855323</x:v>
      </x:c>
      <x:c r="AB179" s="32" t="n">
        <x:v>0.4849863512283894449499545041</x:v>
      </x:c>
      <x:c r="AC179" s="32" t="n">
        <x:v>0.4886260236578707916287534122</x:v>
      </x:c>
      <x:c r="AD179" s="32" t="n">
        <x:v>0.4922656960873521383075523203</x:v>
      </x:c>
      <x:c r="AE179" s="32" t="n">
        <x:v>0.4968152866242038216560509554</x:v>
      </x:c>
      <x:c r="AF179" s="32" t="n">
        <x:v>0.4949954504094631483166515014</x:v>
      </x:c>
      <x:c r="AG179" s="32" t="n">
        <x:v>0.4986351228389444949954504095</x:v>
      </x:c>
      <x:c r="AH179" s="32" t="n">
        <x:v>0.4995450409463148316651501365</x:v>
      </x:c>
      <x:c r="AI179" s="32" t="n">
        <x:v>0.5040946314831665150136487716</x:v>
      </x:c>
      <x:c r="BI179" s="33" t="s"/>
      <x:c r="BJ179" s="11" t="s">
        <x:v>205</x:v>
      </x:c>
      <x:c r="BK179" s="12" t="str">
        <x:f>=BX179</x:f>
      </x:c>
      <x:c r="BL179" s="12" t="n">
        <x:v>0.5031847133757961783439490446</x:v>
      </x:c>
      <x:c r="BM179" s="12" t="n">
        <x:v>0.3166515013648771610555050045</x:v>
      </x:c>
      <x:c r="BN179" s="12" t="n">
        <x:v>0.1801637852593266606005459509</x:v>
      </x:c>
      <x:c r="BO179" s="12" t="str">
        <x:f>=BW179</x:f>
      </x:c>
      <x:c r="BP179" s="12" t="str">
        <x:f>=CF179</x:f>
      </x:c>
      <x:c r="BQ179" s="12" t="str"/>
      <x:c r="BR179" s="12" t="str">
        <x:v>AW 2019 EOS</x:v>
      </x:c>
      <x:c r="BS179" s="13" t="str"/>
      <x:c r="BT179" s="30" t="n">
        <x:v>8754.79</x:v>
      </x:c>
      <x:c r="BU179" s="30" t="n">
        <x:v>-8610.7749</x:v>
      </x:c>
      <x:c r="BV179" s="30" t="str">
        <x:f>=BT179+BU179</x:f>
      </x:c>
      <x:c r="BW179" s="66" t="str">
        <x:f>=BV179/BT179</x:f>
      </x:c>
      <x:c r="BX179" s="66" t="n">
        <x:v>0.8198362147406733393994540491</x:v>
      </x:c>
      <x:c r="BY179" s="30" t="n">
        <x:v>8605.17</x:v>
      </x:c>
      <x:c r="BZ179" s="41" t="n">
        <x:v>198</x:v>
      </x:c>
      <x:c r="CA179" s="30" t="n">
        <x:v>1550.34</x:v>
      </x:c>
      <x:c r="CC179" s="30" t="n">
        <x:v>8755.294094631483166515013649</x:v>
      </x:c>
      <x:c r="CD179" s="30" t="n">
        <x:v>-8610.7749</x:v>
      </x:c>
      <x:c r="CE179" s="30" t="str">
        <x:f>=CC179+CD179</x:f>
      </x:c>
      <x:c r="CF179" s="66" t="str">
        <x:f>=CE179/CC179</x:f>
      </x:c>
      <x:c r="CH179" s="66" t="str">
        <x:f>=CI179+CJ179</x:f>
      </x:c>
      <x:c r="CI179" s="66" t="str">
        <x:f>=BX179+(0*7)</x:f>
      </x:c>
      <x:c r="CJ179" s="66" t="str">
        <x:f>=(1-CI179)*0.5</x:f>
      </x:c>
      <x:c r="CK179" s="66" t="str">
        <x:f>=1-CH179</x:f>
      </x:c>
      <x:c r="CM179" s="66" t="str">
        <x:f>=CJ179/(1-CI179)</x:f>
      </x:c>
    </x:row>
    <x:row r="180">
      <x:c r="A180" s="31" t="s">
        <x:v>386</x:v>
      </x:c>
      <x:c r="B180" t="s"/>
      <x:c r="C180" t="s">
        <x:v>387</x:v>
      </x:c>
      <x:c r="D180" t="s">
        <x:v>130</x:v>
      </x:c>
      <x:c r="E180" s="67" t="s">
        <x:v>131</x:v>
      </x:c>
      <x:c r="F180" t="n">
        <x:v>1034</x:v>
      </x:c>
      <x:c r="G180" s="32" t="n">
        <x:v>0.0435203094777562862669245648</x:v>
      </x:c>
      <x:c r="H180" s="32" t="n">
        <x:v>0.1063829787234042553191489362</x:v>
      </x:c>
      <x:c r="I180" s="32" t="n">
        <x:v>0.1721470019342359767891682785</x:v>
      </x:c>
      <x:c r="J180" s="32" t="n">
        <x:v>0.1924564796905222437137330754</x:v>
      </x:c>
      <x:c r="K180" s="32" t="n">
        <x:v>0.1992263056092843326885880077</x:v>
      </x:c>
      <x:c r="L180" s="32" t="n">
        <x:v>0.2224371373307543520309477756</x:v>
      </x:c>
      <x:c r="M180" s="32" t="n">
        <x:v>0.2369439071566731141199226306</x:v>
      </x:c>
      <x:c r="N180" s="32" t="n">
        <x:v>0.2562862669245647969052224371</x:v>
      </x:c>
      <x:c r="O180" s="32" t="n">
        <x:v>0.2862669245647969052224371373</x:v>
      </x:c>
      <x:c r="P180" s="32" t="n">
        <x:v>0.3046421663442940038684719536</x:v>
      </x:c>
      <x:c r="Q180" s="32" t="n">
        <x:v>0.3065764023210831721470019342</x:v>
      </x:c>
      <x:c r="R180" s="32" t="n">
        <x:v>0.3307543520309477756286266925</x:v>
      </x:c>
      <x:c r="S180" s="32" t="n">
        <x:v>0.3462282398452611218568665377</x:v>
      </x:c>
      <x:c r="T180" s="32" t="n">
        <x:v>0.3607350096711798839458413926</x:v>
      </x:c>
      <x:c r="U180" s="32" t="n">
        <x:v>0.361702127659574468085106383</x:v>
      </x:c>
      <x:c r="V180" s="32" t="n">
        <x:v>0.367504835589941972920696325</x:v>
      </x:c>
      <x:c r="W180" s="32" t="n">
        <x:v>0.3733075435203094777562862669</x:v>
      </x:c>
      <x:c r="X180" s="32" t="n">
        <x:v>0.3781431334622823984526112186</x:v>
      </x:c>
      <x:c r="Y180" s="32" t="n">
        <x:v>0.4139264990328820116054158607</x:v>
      </x:c>
      <x:c r="Z180" s="32" t="n">
        <x:v>0.4448742746615087040618955513</x:v>
      </x:c>
      <x:c r="AA180" s="32" t="n">
        <x:v>0.5203094777562862669245647969</x:v>
      </x:c>
      <x:c r="AB180" s="32" t="n">
        <x:v>0.6063829787234042553191489362</x:v>
      </x:c>
      <x:c r="AC180" s="32" t="n">
        <x:v>0.6914893617021276595744680851</x:v>
      </x:c>
      <x:c r="AD180" s="23" t="n">
        <x:v>0.7698259187620889748549323017</x:v>
      </x:c>
      <x:c r="AE180" s="32" t="n">
        <x:v>0.8172147001934235976789168279</x:v>
      </x:c>
      <x:c r="AF180" s="32" t="n">
        <x:v>0.8568665377176015473887814313</x:v>
      </x:c>
      <x:c r="AG180" s="32" t="n">
        <x:v>0.8839458413926499032882011605</x:v>
      </x:c>
      <x:c r="AH180" s="32" t="n">
        <x:v>0.9052224371373307543520309478</x:v>
      </x:c>
      <x:c r="BI180" s="33" t="s"/>
      <x:c r="BJ180" s="11" t="s">
        <x:v>265</x:v>
      </x:c>
      <x:c r="BK180" s="12" t="str">
        <x:f>=BX180</x:f>
      </x:c>
      <x:c r="BL180" s="12" t="n">
        <x:v>0.8926499032882011605415860735</x:v>
      </x:c>
      <x:c r="BM180" s="12" t="n">
        <x:v>0.1170212765957446808510638298</x:v>
      </x:c>
      <x:c r="BN180" s="12" t="n">
        <x:v>-0.0096711798839458413926499033</x:v>
      </x:c>
      <x:c r="BO180" s="12" t="str">
        <x:f>=BW180</x:f>
      </x:c>
      <x:c r="BP180" s="12" t="str">
        <x:f>=CF180</x:f>
      </x:c>
      <x:c r="BQ180" s="12" t="str"/>
      <x:c r="BR180" s="12" t="str">
        <x:v>AW 2019 EOS</x:v>
      </x:c>
      <x:c r="BS180" s="13" t="str"/>
      <x:c r="BT180" s="30" t="n">
        <x:v>13587.56</x:v>
      </x:c>
      <x:c r="BU180" s="30" t="n">
        <x:v>-9287.81516676566670670740</x:v>
      </x:c>
      <x:c r="BV180" s="30" t="str">
        <x:f>=BT180+BU180</x:f>
      </x:c>
      <x:c r="BW180" s="66" t="str">
        <x:f>=BV180/BT180</x:f>
      </x:c>
      <x:c r="BX180" s="66" t="n">
        <x:v>1.0096711798839458413926499033</x:v>
      </x:c>
      <x:c r="BY180" s="30" t="n">
        <x:v>9367.201202851202790420</x:v>
      </x:c>
      <x:c r="BZ180" s="41" t="n">
        <x:v>-10</x:v>
      </x:c>
      <x:c r="CA180" s="30" t="n">
        <x:v>-90.591887841887841300</x:v>
      </x:c>
      <x:c r="CC180" s="30" t="n">
        <x:v>13588.465222437137330754352031</x:v>
      </x:c>
      <x:c r="CD180" s="30" t="n">
        <x:v>-9287.81516676566670670740</x:v>
      </x:c>
      <x:c r="CE180" s="30" t="str">
        <x:f>=CC180+CD180</x:f>
      </x:c>
      <x:c r="CF180" s="66" t="str">
        <x:f>=CE180/CC180</x:f>
      </x:c>
      <x:c r="CH180" s="66" t="str">
        <x:f>=CI180+CJ180</x:f>
      </x:c>
      <x:c r="CI180" s="66" t="str">
        <x:f>=BX180+(0*7)</x:f>
      </x:c>
      <x:c r="CJ180" s="66" t="str">
        <x:f>=(1-CI180)*0.5</x:f>
      </x:c>
      <x:c r="CK180" s="66" t="str">
        <x:f>=1-CH180</x:f>
      </x:c>
      <x:c r="CM180" s="66" t="str">
        <x:f>=CJ180/(1-CI180)</x:f>
      </x:c>
    </x:row>
    <x:row r="181">
      <x:c r="A181" s="31" t="s">
        <x:v>388</x:v>
      </x:c>
      <x:c r="B181" t="s"/>
      <x:c r="C181" t="s">
        <x:v>389</x:v>
      </x:c>
      <x:c r="D181" t="s">
        <x:v>147</x:v>
      </x:c>
      <x:c r="E181" s="67" t="s">
        <x:v>131</x:v>
      </x:c>
      <x:c r="F181" t="n">
        <x:v>1028</x:v>
      </x:c>
      <x:c r="G181" s="32" t="n">
        <x:v>0.0535019455252918287937743191</x:v>
      </x:c>
      <x:c r="H181" s="32" t="n">
        <x:v>0.2285992217898832684824902724</x:v>
      </x:c>
      <x:c r="I181" s="32" t="n">
        <x:v>0.2714007782101167315175097276</x:v>
      </x:c>
      <x:c r="J181" s="32" t="n">
        <x:v>0.394941634241245136186770428</x:v>
      </x:c>
      <x:c r="K181" s="32" t="n">
        <x:v>0.3939688715953307392996108949</x:v>
      </x:c>
      <x:c r="L181" s="32" t="n">
        <x:v>0.4250972762645914396887159533</x:v>
      </x:c>
      <x:c r="M181" s="32" t="n">
        <x:v>0.4377431906614785992217898833</x:v>
      </x:c>
      <x:c r="N181" s="32" t="n">
        <x:v>0.4562256809338521400778210117</x:v>
      </x:c>
      <x:c r="O181" s="32" t="n">
        <x:v>0.4970817120622568093385214008</x:v>
      </x:c>
      <x:c r="P181" s="32" t="n">
        <x:v>0.4990272373540856031128404669</x:v>
      </x:c>
      <x:c r="Q181" s="32" t="n">
        <x:v>0.5048638132295719844357976654</x:v>
      </x:c>
      <x:c r="R181" s="32" t="n">
        <x:v>0.5116731517509727626459143969</x:v>
      </x:c>
      <x:c r="S181" s="32" t="n">
        <x:v>0.5223735408560311284046692607</x:v>
      </x:c>
      <x:c r="T181" s="32" t="n">
        <x:v>0.5437743190661478599221789883</x:v>
      </x:c>
      <x:c r="U181" s="32" t="n">
        <x:v>0.5564202334630350194552529183</x:v>
      </x:c>
      <x:c r="V181" s="32" t="n">
        <x:v>0.5593385214007782101167315175</x:v>
      </x:c>
      <x:c r="W181" s="32" t="n">
        <x:v>0.565175097276264591439688716</x:v>
      </x:c>
      <x:c r="X181" s="32" t="n">
        <x:v>0.5680933852140077821011673152</x:v>
      </x:c>
      <x:c r="Y181" s="32" t="n">
        <x:v>0.5768482490272373540856031128</x:v>
      </x:c>
      <x:c r="Z181" s="32" t="n">
        <x:v>0.5797665369649805447470817121</x:v>
      </x:c>
      <x:c r="AA181" s="32" t="n">
        <x:v>0.5875486381322957198443579767</x:v>
      </x:c>
      <x:c r="AB181" s="32" t="n">
        <x:v>0.5904669260700389105058365759</x:v>
      </x:c>
      <x:c r="AC181" s="32" t="n">
        <x:v>0.592412451361867704280155642</x:v>
      </x:c>
      <x:c r="AD181" s="32" t="n">
        <x:v>0.5963035019455252918287937743</x:v>
      </x:c>
      <x:c r="AE181" s="32" t="n">
        <x:v>0.592412451361867704280155642</x:v>
      </x:c>
      <x:c r="BI181" s="33" t="s"/>
      <x:c r="BJ181" s="11" t="s">
        <x:v>168</x:v>
      </x:c>
      <x:c r="BK181" s="12" t="str">
        <x:f>=BX181</x:f>
      </x:c>
      <x:c r="BL181" s="12" t="n">
        <x:v>0.5671206225680933852140077821</x:v>
      </x:c>
      <x:c r="BM181" s="12" t="n">
        <x:v>0.3375486381322957198443579767</x:v>
      </x:c>
      <x:c r="BN181" s="12" t="n">
        <x:v>0.0953307392996108949416342412</x:v>
      </x:c>
      <x:c r="BO181" s="12" t="str">
        <x:f>=BW181</x:f>
      </x:c>
      <x:c r="BP181" s="12" t="str">
        <x:f>=CF181</x:f>
      </x:c>
      <x:c r="BQ181" s="12" t="str"/>
      <x:c r="BR181" s="12" t="str">
        <x:v>AW 2019 EOS</x:v>
      </x:c>
      <x:c r="BS181" s="13" t="str"/>
      <x:c r="BT181" s="30" t="n">
        <x:v>9693.86</x:v>
      </x:c>
      <x:c r="BU181" s="30" t="n">
        <x:v>-8054.4828</x:v>
      </x:c>
      <x:c r="BV181" s="30" t="str">
        <x:f>=BT181+BU181</x:f>
      </x:c>
      <x:c r="BW181" s="66" t="str">
        <x:f>=BV181/BT181</x:f>
      </x:c>
      <x:c r="BX181" s="66" t="n">
        <x:v>0.9046692607003891050583657588</x:v>
      </x:c>
      <x:c r="BY181" s="30" t="n">
        <x:v>8049.24</x:v>
      </x:c>
      <x:c r="BZ181" s="41" t="n">
        <x:v>98</x:v>
      </x:c>
      <x:c r="CA181" s="30" t="n">
        <x:v>767.34</x:v>
      </x:c>
      <x:c r="CC181" s="30" t="n">
        <x:v>9694.452412451361867704280156</x:v>
      </x:c>
      <x:c r="CD181" s="30" t="n">
        <x:v>-8054.4828</x:v>
      </x:c>
      <x:c r="CE181" s="30" t="str">
        <x:f>=CC181+CD181</x:f>
      </x:c>
      <x:c r="CF181" s="66" t="str">
        <x:f>=CE181/CC181</x:f>
      </x:c>
      <x:c r="CH181" s="66" t="str">
        <x:f>=CI181+CJ181</x:f>
      </x:c>
      <x:c r="CI181" s="66" t="str">
        <x:f>=BX181+(0*7)</x:f>
      </x:c>
      <x:c r="CJ181" s="66" t="str">
        <x:f>=(1-CI181)*0.5</x:f>
      </x:c>
      <x:c r="CK181" s="66" t="str">
        <x:f>=1-CH181</x:f>
      </x:c>
      <x:c r="CM181" s="66" t="str">
        <x:f>=CJ181/(1-CI181)</x:f>
      </x:c>
    </x:row>
    <x:row r="182">
      <x:c r="A182" s="31" t="s">
        <x:v>390</x:v>
      </x:c>
      <x:c r="B182" t="s"/>
      <x:c r="C182" t="s">
        <x:v>391</x:v>
      </x:c>
      <x:c r="D182" t="s">
        <x:v>147</x:v>
      </x:c>
      <x:c r="E182" s="67" t="s">
        <x:v>131</x:v>
      </x:c>
      <x:c r="F182" t="n">
        <x:v>1001</x:v>
      </x:c>
      <x:c r="G182" s="32" t="n">
        <x:v>0.046953046953046953046953047</x:v>
      </x:c>
      <x:c r="H182" s="32" t="n">
        <x:v>0.2137862137862137862137862138</x:v>
      </x:c>
      <x:c r="I182" s="32" t="n">
        <x:v>0.3446553446553446553446553447</x:v>
      </x:c>
      <x:c r="J182" s="32" t="n">
        <x:v>0.4365634365634365634365634366</x:v>
      </x:c>
      <x:c r="K182" s="32" t="n">
        <x:v>0.4925074925074925074925074925</x:v>
      </x:c>
      <x:c r="L182" s="32" t="n">
        <x:v>0.5944055944055944055944055944</x:v>
      </x:c>
      <x:c r="M182" s="32" t="n">
        <x:v>0.6583416583416583416583416583</x:v>
      </x:c>
      <x:c r="N182" s="23" t="n">
        <x:v>0.7452547452547452547452547453</x:v>
      </x:c>
      <x:c r="O182" s="32" t="n">
        <x:v>0.7832167832167832167832167832</x:v>
      </x:c>
      <x:c r="P182" s="32" t="n">
        <x:v>0.8321678321678321678321678322</x:v>
      </x:c>
      <x:c r="Q182" s="32" t="n">
        <x:v>0.8211788211788211788211788212</x:v>
      </x:c>
      <x:c r="R182" s="32" t="n">
        <x:v>0.8371628371628371628371628372</x:v>
      </x:c>
      <x:c r="S182" s="32" t="n">
        <x:v>0.8421578421578421578421578422</x:v>
      </x:c>
      <x:c r="T182" s="32" t="n">
        <x:v>0.8611388611388611388611388611</x:v>
      </x:c>
      <x:c r="U182" s="32" t="n">
        <x:v>0.8811188811188811188811188811</x:v>
      </x:c>
      <x:c r="V182" s="32" t="n">
        <x:v>0.8891108891108891108891108891</x:v>
      </x:c>
      <x:c r="W182" s="32" t="n">
        <x:v>0.9120879120879120879120879121</x:v>
      </x:c>
      <x:c r="X182" s="32" t="n">
        <x:v>0.9130869130869130869130869131</x:v>
      </x:c>
      <x:c r="Y182" s="32" t="n">
        <x:v>0.9210789210789210789210789211</x:v>
      </x:c>
      <x:c r="Z182" s="32" t="n">
        <x:v>0.9310689310689310689310689311</x:v>
      </x:c>
      <x:c r="AA182" s="32" t="n">
        <x:v>0.9400599400599400599400599401</x:v>
      </x:c>
      <x:c r="AB182" s="32" t="n">
        <x:v>0.9380619380619380619380619381</x:v>
      </x:c>
      <x:c r="BI182" s="33" t="s"/>
      <x:c r="BJ182" s="11" t="s">
        <x:v>330</x:v>
      </x:c>
      <x:c r="BK182" s="12" t="str">
        <x:f>=BX182</x:f>
      </x:c>
      <x:c r="BL182" s="12" t="n">
        <x:v>0.9260739260739260739260739261</x:v>
      </x:c>
      <x:c r="BM182" s="12" t="n">
        <x:v>0.031968031968031968031968032</x:v>
      </x:c>
      <x:c r="BN182" s="12" t="n">
        <x:v>0.041958041958041958041958042</x:v>
      </x:c>
      <x:c r="BO182" s="12" t="str">
        <x:f>=BW182</x:f>
      </x:c>
      <x:c r="BP182" s="12" t="str">
        <x:f>=CF182</x:f>
      </x:c>
      <x:c r="BQ182" s="12" t="str"/>
      <x:c r="BR182" s="12" t="str">
        <x:v>AW 2019 EOS</x:v>
      </x:c>
      <x:c r="BS182" s="13" t="str"/>
      <x:c r="BT182" s="30" t="n">
        <x:v>10065.27</x:v>
      </x:c>
      <x:c r="BU182" s="30" t="n">
        <x:v>-6113.7076</x:v>
      </x:c>
      <x:c r="BV182" s="30" t="str">
        <x:f>=BT182+BU182</x:f>
      </x:c>
      <x:c r="BW182" s="66" t="str">
        <x:f>=BV182/BT182</x:f>
      </x:c>
      <x:c r="BX182" s="66" t="n">
        <x:v>0.958041958041958041958041958</x:v>
      </x:c>
      <x:c r="BY182" s="30" t="n">
        <x:v>6086.08</x:v>
      </x:c>
      <x:c r="BZ182" s="41" t="n">
        <x:v>42</x:v>
      </x:c>
      <x:c r="CA182" s="30" t="n">
        <x:v>255.36</x:v>
      </x:c>
      <x:c r="CC182" s="30" t="n">
        <x:v>10066.208061938061938061938062</x:v>
      </x:c>
      <x:c r="CD182" s="30" t="n">
        <x:v>-6113.7076</x:v>
      </x:c>
      <x:c r="CE182" s="30" t="str">
        <x:f>=CC182+CD182</x:f>
      </x:c>
      <x:c r="CF182" s="66" t="str">
        <x:f>=CE182/CC182</x:f>
      </x:c>
      <x:c r="CH182" s="66" t="str">
        <x:f>=CI182+CJ182</x:f>
      </x:c>
      <x:c r="CI182" s="66" t="str">
        <x:f>=BX182+(0*7)</x:f>
      </x:c>
      <x:c r="CJ182" s="66" t="str">
        <x:f>=(1-CI182)*0.5</x:f>
      </x:c>
      <x:c r="CK182" s="66" t="str">
        <x:f>=1-CH182</x:f>
      </x:c>
      <x:c r="CM182" s="66" t="str">
        <x:f>=CJ182/(1-CI182)</x:f>
      </x:c>
    </x:row>
    <x:row r="183">
      <x:c r="A183" s="31" t="s">
        <x:v>392</x:v>
      </x:c>
      <x:c r="B183" t="s"/>
      <x:c r="C183" t="s">
        <x:v>393</x:v>
      </x:c>
      <x:c r="D183" t="s">
        <x:v>130</x:v>
      </x:c>
      <x:c r="E183" s="67" t="s">
        <x:v>131</x:v>
      </x:c>
      <x:c r="F183" t="n">
        <x:v>539</x:v>
      </x:c>
      <x:c r="G183" s="32" t="n">
        <x:v>0.0871985157699443413729128015</x:v>
      </x:c>
      <x:c r="H183" s="32" t="n">
        <x:v>0.1762523191094619666048237477</x:v>
      </x:c>
      <x:c r="I183" s="32" t="n">
        <x:v>0.2207792207792207792207792208</x:v>
      </x:c>
      <x:c r="J183" s="32" t="n">
        <x:v>0.2820037105751391465677179963</x:v>
      </x:c>
      <x:c r="K183" s="32" t="n">
        <x:v>0.3283858998144712430426716141</x:v>
      </x:c>
      <x:c r="L183" s="32" t="n">
        <x:v>0.3729128014842300556586270872</x:v>
      </x:c>
      <x:c r="M183" s="32" t="n">
        <x:v>0.4118738404452690166975881262</x:v>
      </x:c>
      <x:c r="N183" s="32" t="n">
        <x:v>0.432282003710575139146567718</x:v>
      </x:c>
      <x:c r="O183" s="32" t="n">
        <x:v>0.4786641929499072356215213358</x:v>
      </x:c>
      <x:c r="P183" s="32" t="n">
        <x:v>0.4953617810760667903525046382</x:v>
      </x:c>
      <x:c r="Q183" s="32" t="n">
        <x:v>0.5083487940630797773654916512</x:v>
      </x:c>
      <x:c r="R183" s="32" t="n">
        <x:v>0.5343228200371057513914656772</x:v>
      </x:c>
      <x:c r="S183" s="32" t="n">
        <x:v>0.5231910946196660482374768089</x:v>
      </x:c>
      <x:c r="T183" s="32" t="n">
        <x:v>0.5565862708719851576994434137</x:v>
      </x:c>
      <x:c r="U183" s="32" t="n">
        <x:v>0.5844155844155844155844155844</x:v>
      </x:c>
      <x:c r="V183" s="32" t="n">
        <x:v>0.5974025974025974025974025974</x:v>
      </x:c>
      <x:c r="W183" s="32" t="n">
        <x:v>0.6085343228200371057513914657</x:v>
      </x:c>
      <x:c r="X183" s="32" t="n">
        <x:v>0.6141001855287569573283858998</x:v>
      </x:c>
      <x:c r="Y183" s="32" t="n">
        <x:v>0.6382189239332096474953617811</x:v>
      </x:c>
      <x:c r="Z183" s="32" t="n">
        <x:v>0.6567717996289424860853432282</x:v>
      </x:c>
      <x:c r="BI183" s="33" t="s"/>
      <x:c r="BJ183" s="11" t="s">
        <x:v>132</x:v>
      </x:c>
      <x:c r="BK183" s="12" t="str">
        <x:f>=BX183</x:f>
      </x:c>
      <x:c r="BL183" s="12" t="n">
        <x:v>0.6549165120593692022263450835</x:v>
      </x:c>
      <x:c r="BM183" s="12" t="n">
        <x:v>0.1910946196660482374768089054</x:v>
      </x:c>
      <x:c r="BN183" s="12" t="n">
        <x:v>0.1539888682745825602968460111</x:v>
      </x:c>
      <x:c r="BO183" s="12" t="str">
        <x:f>=BW183</x:f>
      </x:c>
      <x:c r="BP183" s="12" t="str">
        <x:f>=CF183</x:f>
      </x:c>
      <x:c r="BQ183" s="12" t="str"/>
      <x:c r="BR183" s="12" t="str">
        <x:v>AW 2019 EOS</x:v>
      </x:c>
      <x:c r="BS183" s="13" t="str"/>
      <x:c r="BT183" s="30" t="n">
        <x:v>4273.90</x:v>
      </x:c>
      <x:c r="BU183" s="30" t="n">
        <x:v>-3541.87606566566551968420</x:v>
      </x:c>
      <x:c r="BV183" s="30" t="str">
        <x:f>=BT183+BU183</x:f>
      </x:c>
      <x:c r="BW183" s="66" t="str">
        <x:f>=BV183/BT183</x:f>
      </x:c>
      <x:c r="BX183" s="66" t="n">
        <x:v>0.8460111317254174397031539889</x:v>
      </x:c>
      <x:c r="BY183" s="30" t="n">
        <x:v>3564.956356356356205860</x:v>
      </x:c>
      <x:c r="BZ183" s="41" t="n">
        <x:v>83</x:v>
      </x:c>
      <x:c r="CA183" s="30" t="n">
        <x:v>548.963594763594740420</x:v>
      </x:c>
      <x:c r="CC183" s="30" t="n">
        <x:v>4274.5530612244897959183673469</x:v>
      </x:c>
      <x:c r="CD183" s="30" t="n">
        <x:v>-3541.87606566566551968420</x:v>
      </x:c>
      <x:c r="CE183" s="30" t="str">
        <x:f>=CC183+CD183</x:f>
      </x:c>
      <x:c r="CF183" s="66" t="str">
        <x:f>=CE183/CC183</x:f>
      </x:c>
      <x:c r="CH183" s="66" t="str">
        <x:f>=CI183+CJ183</x:f>
      </x:c>
      <x:c r="CI183" s="66" t="str">
        <x:f>=BX183+(0*7)</x:f>
      </x:c>
      <x:c r="CJ183" s="66" t="str">
        <x:f>=(1-CI183)*0.5</x:f>
      </x:c>
      <x:c r="CK183" s="66" t="str">
        <x:f>=1-CH183</x:f>
      </x:c>
      <x:c r="CM183" s="66" t="str">
        <x:f>=CJ183/(1-CI183)</x:f>
      </x:c>
    </x:row>
    <x:row r="184">
      <x:c r="A184" s="31" t="s">
        <x:v>394</x:v>
      </x:c>
      <x:c r="B184" t="s"/>
      <x:c r="C184" t="s">
        <x:v>395</x:v>
      </x:c>
      <x:c r="D184" t="s">
        <x:v>147</x:v>
      </x:c>
      <x:c r="E184" s="67" t="s">
        <x:v>131</x:v>
      </x:c>
      <x:c r="F184" t="n">
        <x:v>538</x:v>
      </x:c>
      <x:c r="G184" s="32" t="n">
        <x:v>0.0353159851301115241635687732</x:v>
      </x:c>
      <x:c r="H184" s="32" t="n">
        <x:v>0.2936802973977695167286245353</x:v>
      </x:c>
      <x:c r="I184" s="32" t="n">
        <x:v>0.4684014869888475836431226766</x:v>
      </x:c>
      <x:c r="J184" s="32" t="n">
        <x:v>0.5706319702602230483271375465</x:v>
      </x:c>
      <x:c r="K184" s="32" t="n">
        <x:v>0.5576208178438661710037174721</x:v>
      </x:c>
      <x:c r="L184" s="32" t="n">
        <x:v>0.6133828996282527881040892193</x:v>
      </x:c>
      <x:c r="M184" s="32" t="n">
        <x:v>0.6301115241635687732342007435</x:v>
      </x:c>
      <x:c r="N184" s="32" t="n">
        <x:v>0.6152416356877323420074349442</x:v>
      </x:c>
      <x:c r="O184" s="32" t="n">
        <x:v>0.600371747211895910780669145</x:v>
      </x:c>
      <x:c r="P184" s="32" t="n">
        <x:v>0.5855018587360594795539033457</x:v>
      </x:c>
      <x:c r="Q184" s="32" t="n">
        <x:v>0.6040892193308550185873605948</x:v>
      </x:c>
      <x:c r="R184" s="32" t="n">
        <x:v>0.6133828996282527881040892193</x:v>
      </x:c>
      <x:c r="S184" s="32" t="n">
        <x:v>0.6078066914498141263940520446</x:v>
      </x:c>
      <x:c r="T184" s="32" t="n">
        <x:v>0.6375464684014869888475836431</x:v>
      </x:c>
      <x:c r="BI184" s="33" t="s"/>
      <x:c r="BJ184" s="11" t="s">
        <x:v>123</x:v>
      </x:c>
      <x:c r="BK184" s="12" t="str">
        <x:f>=BX184</x:f>
      </x:c>
      <x:c r="BL184" s="12" t="n">
        <x:v>0.5966542750929368029739776952</x:v>
      </x:c>
      <x:c r="BM184" s="12" t="n">
        <x:v>0.2527881040892193308550185874</x:v>
      </x:c>
      <x:c r="BN184" s="12" t="n">
        <x:v>0.1505576208178438661710037175</x:v>
      </x:c>
      <x:c r="BO184" s="12" t="str">
        <x:f>=BW184</x:f>
      </x:c>
      <x:c r="BP184" s="12" t="str">
        <x:f>=CF184</x:f>
      </x:c>
      <x:c r="BQ184" s="12" t="str"/>
      <x:c r="BR184" s="12" t="str">
        <x:v>AW 2019 EOS</x:v>
      </x:c>
      <x:c r="BS184" s="13" t="str"/>
      <x:c r="BT184" s="30" t="n">
        <x:v>5478.15</x:v>
      </x:c>
      <x:c r="BU184" s="30" t="n">
        <x:v>-4549.4356</x:v>
      </x:c>
      <x:c r="BV184" s="30" t="str">
        <x:f>=BT184+BU184</x:f>
      </x:c>
      <x:c r="BW184" s="66" t="str">
        <x:f>=BV184/BT184</x:f>
      </x:c>
      <x:c r="BX184" s="66" t="n">
        <x:v>0.8494423791821561338289962825</x:v>
      </x:c>
      <x:c r="BY184" s="30" t="n">
        <x:v>4508.44</x:v>
      </x:c>
      <x:c r="BZ184" s="41" t="n">
        <x:v>81</x:v>
      </x:c>
      <x:c r="CA184" s="30" t="n">
        <x:v>678.78</x:v>
      </x:c>
      <x:c r="CC184" s="30" t="n">
        <x:v>5478.7745353159851301115241636</x:v>
      </x:c>
      <x:c r="CD184" s="30" t="n">
        <x:v>-4549.4356</x:v>
      </x:c>
      <x:c r="CE184" s="30" t="str">
        <x:f>=CC184+CD184</x:f>
      </x:c>
      <x:c r="CF184" s="66" t="str">
        <x:f>=CE184/CC184</x:f>
      </x:c>
      <x:c r="CH184" s="66" t="str">
        <x:f>=CI184+CJ184</x:f>
      </x:c>
      <x:c r="CI184" s="66" t="str">
        <x:f>=BX184+(0*7)</x:f>
      </x:c>
      <x:c r="CJ184" s="66" t="str">
        <x:f>=(1-CI184)*0.5</x:f>
      </x:c>
      <x:c r="CK184" s="66" t="str">
        <x:f>=1-CH184</x:f>
      </x:c>
      <x:c r="CM184" s="66" t="str">
        <x:f>=CJ184/(1-CI184)</x:f>
      </x:c>
    </x:row>
    <x:row r="185">
      <x:c r="A185" s="31" t="s">
        <x:v>396</x:v>
      </x:c>
      <x:c r="B185" t="s"/>
      <x:c r="C185" t="s">
        <x:v>397</x:v>
      </x:c>
      <x:c r="D185" t="s">
        <x:v>147</x:v>
      </x:c>
      <x:c r="E185" s="67" t="s">
        <x:v>131</x:v>
      </x:c>
      <x:c r="F185" t="n">
        <x:v>889</x:v>
      </x:c>
      <x:c r="G185" s="32" t="n">
        <x:v>0.0449943757030371203599550056</x:v>
      </x:c>
      <x:c r="H185" s="32" t="n">
        <x:v>0.3228346456692913385826771654</x:v>
      </x:c>
      <x:c r="I185" s="32" t="n">
        <x:v>0.4926884139482564679415073116</x:v>
      </x:c>
      <x:c r="J185" s="32" t="n">
        <x:v>0.5331833520809898762654668166</x:v>
      </x:c>
      <x:c r="K185" s="32" t="n">
        <x:v>0.519685039370078740157480315</x:v>
      </x:c>
      <x:c r="L185" s="32" t="n">
        <x:v>0.5185601799775028121484814398</x:v>
      </x:c>
      <x:c r="M185" s="32" t="n">
        <x:v>0.5016872890888638920134983127</x:v>
      </x:c>
      <x:c r="N185" s="32" t="n">
        <x:v>0.5320584926884139482564679415</x:v>
      </x:c>
      <x:c r="O185" s="32" t="n">
        <x:v>0.5590551181102362204724409449</x:v>
      </x:c>
      <x:c r="P185" s="32" t="n">
        <x:v>0.5883014623172103487064116985</x:v>
      </x:c>
      <x:c r="Q185" s="32" t="n">
        <x:v>0.591676040494938132733408324</x:v>
      </x:c>
      <x:c r="R185" s="32" t="n">
        <x:v>0.6209223847019122609673790776</x:v>
      </x:c>
      <x:c r="S185" s="32" t="n">
        <x:v>0.6580427446569178852643419573</x:v>
      </x:c>
      <x:c r="BI185" s="33" t="s"/>
      <x:c r="BJ185" s="11" t="s">
        <x:v>140</x:v>
      </x:c>
      <x:c r="BK185" s="12" t="str">
        <x:f>=BX185</x:f>
      </x:c>
      <x:c r="BL185" s="12" t="n">
        <x:v>0.6006749156355455568053993251</x:v>
      </x:c>
      <x:c r="BM185" s="12" t="n">
        <x:v>0.2227221597300337457817772778</x:v>
      </x:c>
      <x:c r="BN185" s="12" t="n">
        <x:v>0.1766029246344206974128233971</x:v>
      </x:c>
      <x:c r="BO185" s="12" t="str">
        <x:f>=BW185</x:f>
      </x:c>
      <x:c r="BP185" s="12" t="str">
        <x:f>=CF185</x:f>
      </x:c>
      <x:c r="BQ185" s="12" t="str"/>
      <x:c r="BR185" s="12" t="str">
        <x:v>AW 2019 EOS</x:v>
      </x:c>
      <x:c r="BS185" s="13" t="str"/>
      <x:c r="BT185" s="30" t="n">
        <x:v>8939.90</x:v>
      </x:c>
      <x:c r="BU185" s="30" t="n">
        <x:v>-7845.6028</x:v>
      </x:c>
      <x:c r="BV185" s="30" t="str">
        <x:f>=BT185+BU185</x:f>
      </x:c>
      <x:c r="BW185" s="66" t="str">
        <x:f>=BV185/BT185</x:f>
      </x:c>
      <x:c r="BX185" s="66" t="n">
        <x:v>0.8233970753655793025871766029</x:v>
      </x:c>
      <x:c r="BY185" s="30" t="n">
        <x:v>7787.64</x:v>
      </x:c>
      <x:c r="BZ185" s="41" t="n">
        <x:v>157</x:v>
      </x:c>
      <x:c r="CA185" s="30" t="n">
        <x:v>1375.32</x:v>
      </x:c>
      <x:c r="CC185" s="30" t="n">
        <x:v>8940.552418447694038245219348</x:v>
      </x:c>
      <x:c r="CD185" s="30" t="n">
        <x:v>-7845.6028</x:v>
      </x:c>
      <x:c r="CE185" s="30" t="str">
        <x:f>=CC185+CD185</x:f>
      </x:c>
      <x:c r="CF185" s="66" t="str">
        <x:f>=CE185/CC185</x:f>
      </x:c>
      <x:c r="CH185" s="66" t="str">
        <x:f>=CI185+CJ185</x:f>
      </x:c>
      <x:c r="CI185" s="66" t="str">
        <x:f>=BX185+(0*7)</x:f>
      </x:c>
      <x:c r="CJ185" s="66" t="str">
        <x:f>=(1-CI185)*0.5</x:f>
      </x:c>
      <x:c r="CK185" s="66" t="str">
        <x:f>=1-CH185</x:f>
      </x:c>
      <x:c r="CM185" s="66" t="str">
        <x:f>=CJ185/(1-CI185)</x:f>
      </x:c>
    </x:row>
    <x:row r="186">
      <x:c r="A186" s="31" t="s">
        <x:v>398</x:v>
      </x:c>
      <x:c r="B186" t="s"/>
      <x:c r="C186" t="s">
        <x:v>399</x:v>
      </x:c>
      <x:c r="D186" t="s">
        <x:v>147</x:v>
      </x:c>
      <x:c r="E186" s="67" t="s">
        <x:v>131</x:v>
      </x:c>
      <x:c r="F186" t="n">
        <x:v>341</x:v>
      </x:c>
      <x:c r="G186" s="32" t="n">
        <x:v>0.1700879765395894428152492669</x:v>
      </x:c>
      <x:c r="H186" s="32" t="n">
        <x:v>0.6539589442815249266862170088</x:v>
      </x:c>
      <x:c r="I186" s="23" t="n">
        <x:v>0.7947214076246334310850439883</x:v>
      </x:c>
      <x:c r="J186" s="32" t="n">
        <x:v>0.8064516129032258064516129032</x:v>
      </x:c>
      <x:c r="K186" s="32" t="n">
        <x:v>0.8739002932551319648093841642</x:v>
      </x:c>
      <x:c r="L186" s="32" t="n">
        <x:v>0.8856304985337243401759530792</x:v>
      </x:c>
      <x:c r="M186" s="32" t="n">
        <x:v>0.9120234604105571847507331378</x:v>
      </x:c>
      <x:c r="BI186" s="33" t="s"/>
      <x:c r="BJ186" s="11" t="s">
        <x:v>400</x:v>
      </x:c>
      <x:c r="BK186" s="12" t="str">
        <x:f>=BX186</x:f>
      </x:c>
      <x:c r="BL186" s="12" t="n">
        <x:v>0.8240469208211143695014662757</x:v>
      </x:c>
      <x:c r="BM186" s="12" t="n">
        <x:v>0.0733137829912023460410557185</x:v>
      </x:c>
      <x:c r="BN186" s="12" t="n">
        <x:v>0.1026392961876832844574780059</x:v>
      </x:c>
      <x:c r="BO186" s="12" t="str">
        <x:f>=BW186</x:f>
      </x:c>
      <x:c r="BP186" s="12" t="str">
        <x:f>=CF186</x:f>
      </x:c>
      <x:c r="BQ186" s="12" t="str"/>
      <x:c r="BR186" s="12" t="str">
        <x:v>AW 2019 EOS</x:v>
      </x:c>
      <x:c r="BS186" s="13" t="str"/>
      <x:c r="BT186" s="30" t="n">
        <x:v>2449.86</x:v>
      </x:c>
      <x:c r="BU186" s="30" t="n">
        <x:v>-1906.8720</x:v>
      </x:c>
      <x:c r="BV186" s="30" t="str">
        <x:f>=BT186+BU186</x:f>
      </x:c>
      <x:c r="BW186" s="66" t="str">
        <x:f>=BV186/BT186</x:f>
      </x:c>
      <x:c r="BX186" s="66" t="n">
        <x:v>0.8973607038123167155425219941</x:v>
      </x:c>
      <x:c r="BY186" s="30" t="n">
        <x:v>1909.60</x:v>
      </x:c>
      <x:c r="BZ186" s="41" t="n">
        <x:v>35</x:v>
      </x:c>
      <x:c r="CA186" s="30" t="n">
        <x:v>196.00</x:v>
      </x:c>
      <x:c r="CC186" s="30" t="n">
        <x:v>2450.7720234604105571847507331</x:v>
      </x:c>
      <x:c r="CD186" s="30" t="n">
        <x:v>-1906.8720</x:v>
      </x:c>
      <x:c r="CE186" s="30" t="str">
        <x:f>=CC186+CD186</x:f>
      </x:c>
      <x:c r="CF186" s="66" t="str">
        <x:f>=CE186/CC186</x:f>
      </x:c>
      <x:c r="CH186" s="66" t="str">
        <x:f>=CI186+CJ186</x:f>
      </x:c>
      <x:c r="CI186" s="66" t="str">
        <x:f>=BX186+(0*7)</x:f>
      </x:c>
      <x:c r="CJ186" s="66" t="str">
        <x:f>=(1-CI186)*0.5</x:f>
      </x:c>
      <x:c r="CK186" s="66" t="str">
        <x:f>=1-CH186</x:f>
      </x:c>
      <x:c r="CM186" s="66" t="str">
        <x:f>=CJ186/(1-CI186)</x:f>
      </x:c>
    </x:row>
    <x:row r="187">
      <x:c r="A187" s="31" t="s"/>
      <x:c r="BI187" s="33" t="s"/>
      <x:c r="BJ187" s="11" t="s"/>
      <x:c r="BS187" s="13" t="s"/>
    </x:row>
    <x:row r="188">
      <x:c r="A188" s="17" t="s">
        <x:v>114</x:v>
      </x:c>
      <x:c r="BI188" s="33" t="s"/>
      <x:c r="BJ188" s="11" t="s"/>
      <x:c r="BS188" s="13" t="s"/>
    </x:row>
    <x:row r="189">
      <x:c r="A189" s="31" t="s">
        <x:v>401</x:v>
      </x:c>
      <x:c r="B189" t="s"/>
      <x:c r="C189" t="s">
        <x:v>402</x:v>
      </x:c>
      <x:c r="D189" t="s">
        <x:v>130</x:v>
      </x:c>
      <x:c r="E189" s="67" t="s">
        <x:v>131</x:v>
      </x:c>
      <x:c r="F189" t="n">
        <x:v>833</x:v>
      </x:c>
      <x:c r="G189" s="32" t="n">
        <x:v>0.0204081632653061224489795918</x:v>
      </x:c>
      <x:c r="H189" s="32" t="n">
        <x:v>0.0204081632653061224489795918</x:v>
      </x:c>
      <x:c r="I189" s="32" t="n">
        <x:v>0.0396158463385354141656662665</x:v>
      </x:c>
      <x:c r="J189" s="32" t="n">
        <x:v>0.0636254501800720288115246098</x:v>
      </x:c>
      <x:c r="K189" s="32" t="n">
        <x:v>0.0612244897959183673469387755</x:v>
      </x:c>
      <x:c r="L189" s="32" t="n">
        <x:v>0.0612244897959183673469387755</x:v>
      </x:c>
      <x:c r="M189" s="32" t="n">
        <x:v>0.0708283313325330132052821128</x:v>
      </x:c>
      <x:c r="N189" s="32" t="n">
        <x:v>0.0768307322929171668667466987</x:v>
      </x:c>
      <x:c r="O189" s="32" t="n">
        <x:v>0.0900360144057623049219687875</x:v>
      </x:c>
      <x:c r="P189" s="32" t="n">
        <x:v>0.1020408163265306122448979592</x:v>
      </x:c>
      <x:c r="Q189" s="32" t="n">
        <x:v>0.1104441776710684273709483794</x:v>
      </x:c>
      <x:c r="R189" s="32" t="n">
        <x:v>0.1128451380552220888355342137</x:v>
      </x:c>
      <x:c r="S189" s="32" t="n">
        <x:v>0.1284513805522208883553421369</x:v>
      </x:c>
      <x:c r="T189" s="32" t="n">
        <x:v>0.1284513805522208883553421369</x:v>
      </x:c>
      <x:c r="U189" s="32" t="n">
        <x:v>0.1404561824729891956782713085</x:v>
      </x:c>
      <x:c r="V189" s="32" t="n">
        <x:v>0.14405762304921968787515006</x:v>
      </x:c>
      <x:c r="W189" s="32" t="n">
        <x:v>0.14405762304921968787515006</x:v>
      </x:c>
      <x:c r="X189" s="32" t="n">
        <x:v>0.1452581032412965186074429772</x:v>
      </x:c>
      <x:c r="Y189" s="32" t="n">
        <x:v>0.1524609843937575030012004802</x:v>
      </x:c>
      <x:c r="Z189" s="32" t="n">
        <x:v>0.1572629051620648259303721489</x:v>
      </x:c>
      <x:c r="AA189" s="32" t="n">
        <x:v>0.1572629051620648259303721489</x:v>
      </x:c>
      <x:c r="AB189" s="32" t="n">
        <x:v>0.1620648259303721488595438175</x:v>
      </x:c>
      <x:c r="AC189" s="32" t="n">
        <x:v>0.1608643457382953181272509004</x:v>
      </x:c>
      <x:c r="AD189" s="32" t="n">
        <x:v>0.1644657863145258103241296519</x:v>
      </x:c>
      <x:c r="AE189" s="32" t="n">
        <x:v>0.172869147659063625450180072</x:v>
      </x:c>
      <x:c r="AF189" s="32" t="n">
        <x:v>0.1836734693877551020408163265</x:v>
      </x:c>
      <x:c r="AG189" s="32" t="n">
        <x:v>0.187274909963985594237695078</x:v>
      </x:c>
      <x:c r="AH189" s="32" t="n">
        <x:v>0.1908763505402160864345738295</x:v>
      </x:c>
      <x:c r="AI189" s="32" t="n">
        <x:v>0.1980792316926770708283313325</x:v>
      </x:c>
      <x:c r="AJ189" s="32" t="n">
        <x:v>0.2076830732292917166866746699</x:v>
      </x:c>
      <x:c r="AK189" s="32" t="n">
        <x:v>0.2136854741896758703481392557</x:v>
      </x:c>
      <x:c r="AL189" s="32" t="n">
        <x:v>0.2184873949579831932773109244</x:v>
      </x:c>
      <x:c r="AM189" s="32" t="n">
        <x:v>0.2280912364945978391356542617</x:v>
      </x:c>
      <x:c r="AN189" s="32" t="n">
        <x:v>0.2364945978391356542617046819</x:v>
      </x:c>
      <x:c r="AO189" s="32" t="n">
        <x:v>0.2605042016806722689075630252</x:v>
      </x:c>
      <x:c r="AP189" s="32" t="n">
        <x:v>0.2749099639855942376950780312</x:v>
      </x:c>
      <x:c r="AQ189" s="32" t="n">
        <x:v>0.2917166866746698679471788715</x:v>
      </x:c>
      <x:c r="AR189" s="32" t="n">
        <x:v>0.3133253301320528211284513806</x:v>
      </x:c>
      <x:c r="AS189" s="32" t="n">
        <x:v>0.3205282112845138055222088836</x:v>
      </x:c>
      <x:c r="AT189" s="32" t="n">
        <x:v>0.3265306122448979591836734694</x:v>
      </x:c>
      <x:c r="AU189" s="32" t="n">
        <x:v>0.3253301320528211284513805522</x:v>
      </x:c>
      <x:c r="AV189" s="32" t="n">
        <x:v>0.3373349339735894357743097239</x:v>
      </x:c>
      <x:c r="AW189" s="32" t="n">
        <x:v>0.3361344537815126050420168067</x:v>
      </x:c>
      <x:c r="AX189" s="32" t="n">
        <x:v>0.3373349339735894357743097239</x:v>
      </x:c>
      <x:c r="AY189" s="32" t="n">
        <x:v>0.3349339735894357743097238896</x:v>
      </x:c>
      <x:c r="AZ189" s="32" t="n">
        <x:v>0.3361344537815126050420168067</x:v>
      </x:c>
      <x:c r="BA189" s="32" t="n">
        <x:v>0.3361344537815126050420168067</x:v>
      </x:c>
      <x:c r="BB189" s="32" t="n">
        <x:v>0.3397358943577430972388955582</x:v>
      </x:c>
      <x:c r="BI189" s="33" t="s"/>
      <x:c r="BJ189" s="11" t="s">
        <x:v>403</x:v>
      </x:c>
      <x:c r="BK189" s="12" t="str">
        <x:f>=BX189</x:f>
      </x:c>
      <x:c r="BL189" s="12" t="n">
        <x:v>0.4225690276110444177671068427</x:v>
      </x:c>
      <x:c r="BM189" s="12" t="n">
        <x:v>0.5462184873949579831932773109</x:v>
      </x:c>
      <x:c r="BN189" s="12" t="n">
        <x:v>0.0312124849939975990396158463</x:v>
      </x:c>
      <x:c r="BO189" s="12" t="str">
        <x:f>=BW189</x:f>
      </x:c>
      <x:c r="BP189" s="12" t="str">
        <x:f>=CF189</x:f>
      </x:c>
      <x:c r="BQ189" s="12" t="str"/>
      <x:c r="BR189" s="12" t="str">
        <x:v>AW 2019 EOS</x:v>
      </x:c>
      <x:c r="BS189" s="13" t="str"/>
      <x:c r="BT189" s="30" t="n">
        <x:v>9435.79</x:v>
      </x:c>
      <x:c r="BU189" s="30" t="n">
        <x:v>-10087.50758698733692307470</x:v>
      </x:c>
      <x:c r="BV189" s="30" t="str">
        <x:f>=BT189+BU189</x:f>
      </x:c>
      <x:c r="BW189" s="66" t="str">
        <x:f>=BV189/BT189</x:f>
      </x:c>
      <x:c r="BX189" s="66" t="n">
        <x:v>0.9687875150060024009603841537</x:v>
      </x:c>
      <x:c r="BY189" s="30" t="n">
        <x:v>10209.705759780759714510</x:v>
      </x:c>
      <x:c r="BZ189" s="41" t="n">
        <x:v>26</x:v>
      </x:c>
      <x:c r="CA189" s="30" t="n">
        <x:v>318.670287820287818220</x:v>
      </x:c>
      <x:c r="CC189" s="30" t="n">
        <x:v>9436.129735894357743097238896</x:v>
      </x:c>
      <x:c r="CD189" s="30" t="n">
        <x:v>-10087.50758698733692307470</x:v>
      </x:c>
      <x:c r="CE189" s="30" t="str">
        <x:f>=CC189+CD189</x:f>
      </x:c>
      <x:c r="CF189" s="66" t="str">
        <x:f>=CE189/CC189</x:f>
      </x:c>
      <x:c r="CH189" s="66" t="str">
        <x:f>=CI189+CJ189</x:f>
      </x:c>
      <x:c r="CI189" s="66" t="str">
        <x:f>=BX189+(0*7)</x:f>
      </x:c>
      <x:c r="CJ189" s="66" t="str">
        <x:f>=(1-CI189)*0.5</x:f>
      </x:c>
      <x:c r="CK189" s="66" t="str">
        <x:f>=1-CH189</x:f>
      </x:c>
      <x:c r="CM189" s="66" t="str">
        <x:f>=CJ189/(1-CI189)</x:f>
      </x:c>
    </x:row>
    <x:row r="190">
      <x:c r="A190" s="31" t="s">
        <x:v>404</x:v>
      </x:c>
      <x:c r="B190" t="s"/>
      <x:c r="C190" t="s">
        <x:v>405</x:v>
      </x:c>
      <x:c r="D190" t="s">
        <x:v>193</x:v>
      </x:c>
      <x:c r="E190" s="67" t="s">
        <x:v>131</x:v>
      </x:c>
      <x:c r="F190" t="n">
        <x:v>1007</x:v>
      </x:c>
      <x:c r="G190" s="32" t="n">
        <x:v>0.0009930486593843098311817279</x:v>
      </x:c>
      <x:c r="H190" s="32" t="n">
        <x:v>0.0367428003972194637537239325</x:v>
      </x:c>
      <x:c r="I190" s="32" t="n">
        <x:v>0.0585898709036742800397219464</x:v>
      </x:c>
      <x:c r="J190" s="32" t="n">
        <x:v>0.0714995034756703078450844091</x:v>
      </x:c>
      <x:c r="K190" s="32" t="n">
        <x:v>0.0844091360476663356504468719</x:v>
      </x:c>
      <x:c r="L190" s="32" t="n">
        <x:v>0.0963257199602780536246276068</x:v>
      </x:c>
      <x:c r="M190" s="32" t="n">
        <x:v>0.1032770605759682224428997021</x:v>
      </x:c>
      <x:c r="N190" s="32" t="n">
        <x:v>0.114200595829195630585898709</x:v>
      </x:c>
      <x:c r="O190" s="32" t="n">
        <x:v>0.125124131082423038728897716</x:v>
      </x:c>
      <x:c r="P190" s="32" t="n">
        <x:v>0.1340615690168818272095332671</x:v>
      </x:c>
      <x:c r="Q190" s="32" t="n">
        <x:v>0.135054617676266137040714995</x:v>
      </x:c>
      <x:c r="R190" s="32" t="n">
        <x:v>0.1469712015888778550148957299</x:v>
      </x:c>
      <x:c r="S190" s="32" t="n">
        <x:v>0.1578947368421052631578947368</x:v>
      </x:c>
      <x:c r="T190" s="32" t="n">
        <x:v>0.1787487586891757696127110228</x:v>
      </x:c>
      <x:c r="U190" s="32" t="n">
        <x:v>0.1936444885799404170804369414</x:v>
      </x:c>
      <x:c r="V190" s="32" t="n">
        <x:v>0.2045680238331678252234359484</x:v>
      </x:c>
      <x:c r="W190" s="32" t="n">
        <x:v>0.2552135054617676266137040715</x:v>
      </x:c>
      <x:c r="X190" s="32" t="n">
        <x:v>0.2869910625620655412115193644</x:v>
      </x:c>
      <x:c r="Y190" s="32" t="n">
        <x:v>0.3058589870903674280039721946</x:v>
      </x:c>
      <x:c r="Z190" s="32" t="n">
        <x:v>0.322740814299900695134061569</x:v>
      </x:c>
      <x:c r="AA190" s="32" t="n">
        <x:v>0.3455809334657398212512413108</x:v>
      </x:c>
      <x:c r="AB190" s="32" t="n">
        <x:v>0.3922542204568023833167825223</x:v>
      </x:c>
      <x:c r="AC190" s="32" t="n">
        <x:v>0.4001986097318768619662363456</x:v>
      </x:c>
      <x:c r="AD190" s="32" t="n">
        <x:v>0.4160873882820258192651439921</x:v>
      </x:c>
      <x:c r="AE190" s="32" t="n">
        <x:v>0.4359483614697120158887785501</x:v>
      </x:c>
      <x:c r="AF190" s="32" t="n">
        <x:v>0.4369414101290963257199602781</x:v>
      </x:c>
      <x:c r="AG190" s="32" t="n">
        <x:v>0.4399205561072492552135054618</x:v>
      </x:c>
      <x:c r="AH190" s="32" t="n">
        <x:v>0.4458788480635551142005958292</x:v>
      </x:c>
      <x:c r="AI190" s="32" t="n">
        <x:v>0.4538232373386295928500496524</x:v>
      </x:c>
      <x:c r="AJ190" s="32" t="n">
        <x:v>0.4617676266137040714995034757</x:v>
      </x:c>
      <x:c r="AK190" s="32" t="n">
        <x:v>0.4627606752730883813306852036</x:v>
      </x:c>
      <x:c r="AL190" s="32" t="n">
        <x:v>0.4667328699106256206554121152</x:v>
      </x:c>
      <x:c r="AM190" s="32" t="n">
        <x:v>0.4736842105263157894736842105</x:v>
      </x:c>
      <x:c r="AN190" s="32" t="n">
        <x:v>0.4716981132075471698113207547</x:v>
      </x:c>
      <x:c r="AO190" s="32" t="n">
        <x:v>0.4776564051638530287984111221</x:v>
      </x:c>
      <x:c r="AP190" s="32" t="n">
        <x:v>0.4766633565044687189672293942</x:v>
      </x:c>
      <x:c r="AQ190" s="32" t="n">
        <x:v>0.4875868917576961271102284012</x:v>
      </x:c>
      <x:c r="AR190" s="32" t="n">
        <x:v>0.4965243296921549155908639523</x:v>
      </x:c>
      <x:c r="AS190" s="32" t="n">
        <x:v>0.5779543197616683217477656405</x:v>
      </x:c>
      <x:c r="AT190" s="32" t="n">
        <x:v>0.624627606752730883813306852</x:v>
      </x:c>
      <x:c r="AU190" s="32" t="n">
        <x:v>0.6415094339622641509433962264</x:v>
      </x:c>
      <x:c r="AV190" s="32" t="n">
        <x:v>0.677259185700099304865938431</x:v>
      </x:c>
      <x:c r="BI190" s="33" t="s"/>
      <x:c r="BJ190" s="11" t="s">
        <x:v>406</x:v>
      </x:c>
      <x:c r="BK190" s="12" t="str">
        <x:f>=BX190</x:f>
      </x:c>
      <x:c r="BL190" s="12" t="n">
        <x:v>0.5283018867924528301886792453</x:v>
      </x:c>
      <x:c r="BM190" s="12" t="n">
        <x:v>0.1886792452830188679245283019</x:v>
      </x:c>
      <x:c r="BN190" s="12" t="n">
        <x:v>0.2830188679245283018867924528</x:v>
      </x:c>
      <x:c r="BO190" s="12" t="str">
        <x:f>=BW190</x:f>
      </x:c>
      <x:c r="BP190" s="12" t="str">
        <x:f>=CF190</x:f>
      </x:c>
      <x:c r="BQ190" s="12" t="str"/>
      <x:c r="BR190" s="12" t="str">
        <x:v>AW 2019 EOS</x:v>
      </x:c>
      <x:c r="BS190" s="13" t="str"/>
      <x:c r="BT190" s="30" t="n">
        <x:v>9073.13</x:v>
      </x:c>
      <x:c r="BU190" s="30" t="n">
        <x:v>-9650.4838</x:v>
      </x:c>
      <x:c r="BV190" s="30" t="str">
        <x:f>=BT190+BU190</x:f>
      </x:c>
      <x:c r="BW190" s="66" t="str">
        <x:f>=BV190/BT190</x:f>
      </x:c>
      <x:c r="BX190" s="66" t="n">
        <x:v>0.7169811320754716981132075472</x:v>
      </x:c>
      <x:c r="BY190" s="30" t="n">
        <x:v>8660.20</x:v>
      </x:c>
      <x:c r="BZ190" s="41" t="n">
        <x:v>285</x:v>
      </x:c>
      <x:c r="CA190" s="30" t="n">
        <x:v>2451.00</x:v>
      </x:c>
      <x:c r="CC190" s="30" t="n">
        <x:v>9555.947860651539225422045680</x:v>
      </x:c>
      <x:c r="CD190" s="30" t="n">
        <x:v>-9650.4838</x:v>
      </x:c>
      <x:c r="CE190" s="30" t="str">
        <x:f>=CC190+CD190</x:f>
      </x:c>
      <x:c r="CF190" s="66" t="str">
        <x:f>=CE190/CC190</x:f>
      </x:c>
      <x:c r="CH190" s="66" t="str">
        <x:f>=CI190+CJ190</x:f>
      </x:c>
      <x:c r="CI190" s="66" t="str">
        <x:f>=BX190+(0*7)</x:f>
      </x:c>
      <x:c r="CJ190" s="66" t="str">
        <x:f>=(1-CI190)*0.5</x:f>
      </x:c>
      <x:c r="CK190" s="66" t="str">
        <x:f>=1-CH190</x:f>
      </x:c>
      <x:c r="CM190" s="66" t="str">
        <x:f>=CJ190/(1-CI190)</x:f>
      </x:c>
    </x:row>
    <x:row r="191">
      <x:c r="A191" s="31" t="s">
        <x:v>407</x:v>
      </x:c>
      <x:c r="B191" t="s"/>
      <x:c r="C191" t="s">
        <x:v>408</x:v>
      </x:c>
      <x:c r="D191" t="s">
        <x:v>193</x:v>
      </x:c>
      <x:c r="E191" s="67" t="s">
        <x:v>131</x:v>
      </x:c>
      <x:c r="F191" t="n">
        <x:v>1007</x:v>
      </x:c>
      <x:c r="G191" s="32" t="n">
        <x:v>0.0009930486593843098311817279</x:v>
      </x:c>
      <x:c r="H191" s="32" t="n">
        <x:v>0.0039721946375372393247269116</x:v>
      </x:c>
      <x:c r="I191" s="32" t="n">
        <x:v>0.0079443892750744786494538232</x:v>
      </x:c>
      <x:c r="J191" s="32" t="n">
        <x:v>0.010923535253227408142999007</x:v>
      </x:c>
      <x:c r="K191" s="32" t="n">
        <x:v>0.0119165839126117179741807349</x:v>
      </x:c>
      <x:c r="L191" s="32" t="n">
        <x:v>0.0119165839126117179741807349</x:v>
      </x:c>
      <x:c r="M191" s="32" t="n">
        <x:v>0.0158887785501489572989076465</x:v>
      </x:c>
      <x:c r="N191" s="32" t="n">
        <x:v>0.0317775571002979145978152929</x:v>
      </x:c>
      <x:c r="O191" s="32" t="n">
        <x:v>0.0367428003972194637537239325</x:v>
      </x:c>
      <x:c r="P191" s="32" t="n">
        <x:v>0.0407149950347567030784508441</x:v>
      </x:c>
      <x:c r="Q191" s="32" t="n">
        <x:v>0.0387288977159880834160873883</x:v>
      </x:c>
      <x:c r="R191" s="32" t="n">
        <x:v>0.0407149950347567030784508441</x:v>
      </x:c>
      <x:c r="S191" s="32" t="n">
        <x:v>0.0436941410129096325719960278</x:v>
      </x:c>
      <x:c r="T191" s="32" t="n">
        <x:v>0.041708043694141012909632572</x:v>
      </x:c>
      <x:c r="U191" s="32" t="n">
        <x:v>0.0476663356504468718967229394</x:v>
      </x:c>
      <x:c r="V191" s="32" t="n">
        <x:v>0.0546176762661370407149950348</x:v>
      </x:c>
      <x:c r="W191" s="32" t="n">
        <x:v>0.1112214498510427010923535253</x:v>
      </x:c>
      <x:c r="X191" s="32" t="n">
        <x:v>0.1122144985104270109235352532</x:v>
      </x:c>
      <x:c r="Y191" s="32" t="n">
        <x:v>0.1151936444885799404170804369</x:v>
      </x:c>
      <x:c r="Z191" s="32" t="n">
        <x:v>0.0993048659384309831181727905</x:v>
      </x:c>
      <x:c r="AA191" s="32" t="n">
        <x:v>0.1112214498510427010923535253</x:v>
      </x:c>
      <x:c r="AB191" s="32" t="n">
        <x:v>0.1022840119165839126117179742</x:v>
      </x:c>
      <x:c r="AC191" s="32" t="n">
        <x:v>0.1032770605759682224428997021</x:v>
      </x:c>
      <x:c r="AD191" s="32" t="n">
        <x:v>0.0893743793445878848063555114</x:v>
      </x:c>
      <x:c r="AE191" s="32" t="n">
        <x:v>0.1032770605759682224428997021</x:v>
      </x:c>
      <x:c r="AF191" s="32" t="n">
        <x:v>0.1072492552135054617676266137</x:v>
      </x:c>
      <x:c r="AG191" s="32" t="n">
        <x:v>0.1062562065541211519364448858</x:v>
      </x:c>
      <x:c r="AH191" s="32" t="n">
        <x:v>0.1052631578947368421052631579</x:v>
      </x:c>
      <x:c r="AI191" s="32" t="n">
        <x:v>0.1082423038728897715988083416</x:v>
      </x:c>
      <x:c r="AJ191" s="32" t="n">
        <x:v>0.1112214498510427010923535253</x:v>
      </x:c>
      <x:c r="AK191" s="32" t="n">
        <x:v>0.1151936444885799404170804369</x:v>
      </x:c>
      <x:c r="AL191" s="32" t="n">
        <x:v>0.1161866931479642502482621648</x:v>
      </x:c>
      <x:c r="AM191" s="32" t="n">
        <x:v>0.1161866931479642502482621648</x:v>
      </x:c>
      <x:c r="AN191" s="32" t="n">
        <x:v>0.1171797418073485600794438928</x:v>
      </x:c>
      <x:c r="AO191" s="32" t="n">
        <x:v>0.1171797418073485600794438928</x:v>
      </x:c>
      <x:c r="AP191" s="32" t="n">
        <x:v>0.1181727904667328699106256207</x:v>
      </x:c>
      <x:c r="AQ191" s="32" t="n">
        <x:v>0.1201588877855014895729890765</x:v>
      </x:c>
      <x:c r="AR191" s="32" t="n">
        <x:v>0.1241310824230387288977159881</x:v>
      </x:c>
      <x:c r="AS191" s="32" t="n">
        <x:v>0.1678252234359483614697120159</x:v>
      </x:c>
      <x:c r="AT191" s="32" t="n">
        <x:v>0.2651439920556107249255213505</x:v>
      </x:c>
      <x:c r="AU191" s="32" t="n">
        <x:v>0.2999006951340615690168818272</x:v>
      </x:c>
      <x:c r="AV191" s="32" t="n">
        <x:v>0.3535253227408142999006951341</x:v>
      </x:c>
      <x:c r="BI191" s="33" t="s"/>
      <x:c r="BJ191" s="11" t="s">
        <x:v>406</x:v>
      </x:c>
      <x:c r="BK191" s="12" t="str">
        <x:f>=BX191</x:f>
      </x:c>
      <x:c r="BL191" s="12" t="n">
        <x:v>0.2641509433962264150943396226</x:v>
      </x:c>
      <x:c r="BM191" s="12" t="n">
        <x:v>0.3396226415094339622641509434</x:v>
      </x:c>
      <x:c r="BN191" s="12" t="n">
        <x:v>0.396226415094339622641509434</x:v>
      </x:c>
      <x:c r="BO191" s="12" t="str">
        <x:f>=BW191</x:f>
      </x:c>
      <x:c r="BP191" s="12" t="str">
        <x:f>=CF191</x:f>
      </x:c>
      <x:c r="BQ191" s="12" t="str"/>
      <x:c r="BR191" s="12" t="str">
        <x:v>AW 2019 EOS</x:v>
      </x:c>
      <x:c r="BS191" s="13" t="str"/>
      <x:c r="BT191" s="30" t="n">
        <x:v>3947.86</x:v>
      </x:c>
      <x:c r="BU191" s="30" t="n">
        <x:v>-8663.8252</x:v>
      </x:c>
      <x:c r="BV191" s="30" t="str">
        <x:f>=BT191+BU191</x:f>
      </x:c>
      <x:c r="BW191" s="66" t="str">
        <x:f>=BV191/BT191</x:f>
      </x:c>
      <x:c r="BX191" s="66" t="n">
        <x:v>0.603773584905660377358490566</x:v>
      </x:c>
      <x:c r="BY191" s="30" t="n">
        <x:v>7753.90</x:v>
      </x:c>
      <x:c r="BZ191" s="41" t="n">
        <x:v>399</x:v>
      </x:c>
      <x:c r="CA191" s="30" t="n">
        <x:v>3072.30</x:v>
      </x:c>
      <x:c r="CC191" s="30" t="n">
        <x:v>4688.9928164716981132075471703</x:v>
      </x:c>
      <x:c r="CD191" s="30" t="n">
        <x:v>-8663.8252</x:v>
      </x:c>
      <x:c r="CE191" s="30" t="str">
        <x:f>=CC191+CD191</x:f>
      </x:c>
      <x:c r="CF191" s="66" t="str">
        <x:f>=CE191/CC191</x:f>
      </x:c>
      <x:c r="CH191" s="66" t="str">
        <x:f>=CI191+CJ191</x:f>
      </x:c>
      <x:c r="CI191" s="66" t="str">
        <x:f>=BX191+(0*7)</x:f>
      </x:c>
      <x:c r="CJ191" s="66" t="str">
        <x:f>=(1-CI191)*0.5</x:f>
      </x:c>
      <x:c r="CK191" s="66" t="str">
        <x:f>=1-CH191</x:f>
      </x:c>
      <x:c r="CM191" s="66" t="str">
        <x:f>=CJ191/(1-CI191)</x:f>
      </x:c>
    </x:row>
    <x:row r="192">
      <x:c r="A192" s="31" t="s">
        <x:v>409</x:v>
      </x:c>
      <x:c r="B192" t="s"/>
      <x:c r="C192" t="s">
        <x:v>410</x:v>
      </x:c>
      <x:c r="D192" t="s">
        <x:v>193</x:v>
      </x:c>
      <x:c r="E192" s="67" t="s">
        <x:v>131</x:v>
      </x:c>
      <x:c r="F192" t="n">
        <x:v>1007</x:v>
      </x:c>
      <x:c r="G192" s="32" t="n">
        <x:v>0.0049652432969215491559086395</x:v>
      </x:c>
      <x:c r="H192" s="32" t="n">
        <x:v>0.0059582919563058589870903674</x:v>
      </x:c>
      <x:c r="I192" s="32" t="n">
        <x:v>0.0079443892750744786494538232</x:v>
      </x:c>
      <x:c r="J192" s="32" t="n">
        <x:v>0.0089374379344587884806355511</x:v>
      </x:c>
      <x:c r="K192" s="32" t="n">
        <x:v>0.0089374379344587884806355511</x:v>
      </x:c>
      <x:c r="L192" s="32" t="n">
        <x:v>0.0198609731876861966236345581</x:v>
      </x:c>
      <x:c r="M192" s="32" t="n">
        <x:v>0.0238331678252234359483614697</x:v>
      </x:c>
      <x:c r="N192" s="32" t="n">
        <x:v>0.020854021847070506454816286</x:v>
      </x:c>
      <x:c r="O192" s="32" t="n">
        <x:v>0.0278053624627606752730883813</x:v>
      </x:c>
      <x:c r="P192" s="32" t="n">
        <x:v>0.0238331678252234359483614697</x:v>
      </x:c>
      <x:c r="Q192" s="32" t="n">
        <x:v>0.0278053624627606752730883813</x:v>
      </x:c>
      <x:c r="R192" s="32" t="n">
        <x:v>0.0287984111221449851042701092</x:v>
      </x:c>
      <x:c r="S192" s="32" t="n">
        <x:v>0.030784508440913604766633565</x:v>
      </x:c>
      <x:c r="T192" s="32" t="n">
        <x:v>0.030784508440913604766633565</x:v>
      </x:c>
      <x:c r="U192" s="32" t="n">
        <x:v>0.0357497517378351539225422046</x:v>
      </x:c>
      <x:c r="V192" s="32" t="n">
        <x:v>0.0446871896722939424031777557</x:v>
      </x:c>
      <x:c r="W192" s="32" t="n">
        <x:v>0.0486593843098311817279046673</x:v>
      </x:c>
      <x:c r="X192" s="32" t="n">
        <x:v>0.0585898709036742800397219464</x:v>
      </x:c>
      <x:c r="Y192" s="32" t="n">
        <x:v>0.0615690168818272095332671301</x:v>
      </x:c>
      <x:c r="Z192" s="32" t="n">
        <x:v>0.0575968222442899702085402185</x:v>
      </x:c>
      <x:c r="AA192" s="32" t="n">
        <x:v>0.0595829195630585898709036743</x:v>
      </x:c>
      <x:c r="AB192" s="32" t="n">
        <x:v>0.0605759682224428997020854022</x:v>
      </x:c>
      <x:c r="AC192" s="32" t="n">
        <x:v>0.0615690168818272095332671301</x:v>
      </x:c>
      <x:c r="AD192" s="32" t="n">
        <x:v>0.0605759682224428997020854022</x:v>
      </x:c>
      <x:c r="AE192" s="32" t="n">
        <x:v>0.0585898709036742800397219464</x:v>
      </x:c>
      <x:c r="AF192" s="32" t="n">
        <x:v>0.0585898709036742800397219464</x:v>
      </x:c>
      <x:c r="AG192" s="32" t="n">
        <x:v>0.0566037735849056603773584906</x:v>
      </x:c>
      <x:c r="AH192" s="32" t="n">
        <x:v>0.0585898709036742800397219464</x:v>
      </x:c>
      <x:c r="AI192" s="32" t="n">
        <x:v>0.0595829195630585898709036743</x:v>
      </x:c>
      <x:c r="AJ192" s="32" t="n">
        <x:v>0.0595829195630585898709036743</x:v>
      </x:c>
      <x:c r="AK192" s="32" t="n">
        <x:v>0.0595829195630585898709036743</x:v>
      </x:c>
      <x:c r="AL192" s="32" t="n">
        <x:v>0.0585898709036742800397219464</x:v>
      </x:c>
      <x:c r="AM192" s="32" t="n">
        <x:v>0.0585898709036742800397219464</x:v>
      </x:c>
      <x:c r="AN192" s="32" t="n">
        <x:v>0.0575968222442899702085402185</x:v>
      </x:c>
      <x:c r="AO192" s="32" t="n">
        <x:v>0.0595829195630585898709036743</x:v>
      </x:c>
      <x:c r="AP192" s="32" t="n">
        <x:v>0.0615690168818272095332671301</x:v>
      </x:c>
      <x:c r="AQ192" s="32" t="n">
        <x:v>0.0734856007944389275074478649</x:v>
      </x:c>
      <x:c r="AR192" s="32" t="n">
        <x:v>0.1370407149950347567030784508</x:v>
      </x:c>
      <x:c r="AS192" s="32" t="n">
        <x:v>0.1698113207547169811320754717</x:v>
      </x:c>
      <x:c r="AT192" s="32" t="n">
        <x:v>0.2025819265143992055610724926</x:v>
      </x:c>
      <x:c r="BI192" s="33" t="s"/>
      <x:c r="BJ192" s="11" t="s">
        <x:v>242</x:v>
      </x:c>
      <x:c r="BK192" s="12" t="str">
        <x:f>=BX192</x:f>
      </x:c>
      <x:c r="BL192" s="12" t="n">
        <x:v>0.2214498510427010923535253227</x:v>
      </x:c>
      <x:c r="BM192" s="12" t="n">
        <x:v>0.2889771598808341608738828203</x:v>
      </x:c>
      <x:c r="BN192" s="12" t="n">
        <x:v>0.489572989076464746772591857</x:v>
      </x:c>
      <x:c r="BO192" s="12" t="str">
        <x:f>=BW192</x:f>
      </x:c>
      <x:c r="BP192" s="12" t="str">
        <x:f>=CF192</x:f>
      </x:c>
      <x:c r="BQ192" s="12" t="str"/>
      <x:c r="BR192" s="12" t="str">
        <x:v>AW 2019 EOS</x:v>
      </x:c>
      <x:c r="BS192" s="13" t="str"/>
      <x:c r="BT192" s="30" t="n">
        <x:v>3772.31</x:v>
      </x:c>
      <x:c r="BU192" s="30" t="n">
        <x:v>-12069.9020</x:v>
      </x:c>
      <x:c r="BV192" s="30" t="str">
        <x:f>=BT192+BU192</x:f>
      </x:c>
      <x:c r="BW192" s="66" t="str">
        <x:f>=BV192/BT192</x:f>
      </x:c>
      <x:c r="BX192" s="66" t="n">
        <x:v>0.510427010923535253227408143</x:v>
      </x:c>
      <x:c r="BY192" s="30" t="n">
        <x:v>10875.60</x:v>
      </x:c>
      <x:c r="BZ192" s="41" t="n">
        <x:v>493</x:v>
      </x:c>
      <x:c r="CA192" s="30" t="n">
        <x:v>5324.40</x:v>
      </x:c>
      <x:c r="CC192" s="30" t="n">
        <x:v>5777.9485745918818272095332671</x:v>
      </x:c>
      <x:c r="CD192" s="30" t="n">
        <x:v>-12069.9020</x:v>
      </x:c>
      <x:c r="CE192" s="30" t="str">
        <x:f>=CC192+CD192</x:f>
      </x:c>
      <x:c r="CF192" s="66" t="str">
        <x:f>=CE192/CC192</x:f>
      </x:c>
      <x:c r="CH192" s="66" t="str">
        <x:f>=CI192+CJ192</x:f>
      </x:c>
      <x:c r="CI192" s="66" t="str">
        <x:f>=BX192+(0*7)</x:f>
      </x:c>
      <x:c r="CJ192" s="66" t="str">
        <x:f>=(1-CI192)*0.5</x:f>
      </x:c>
      <x:c r="CK192" s="66" t="str">
        <x:f>=1-CH192</x:f>
      </x:c>
      <x:c r="CM192" s="66" t="str">
        <x:f>=CJ192/(1-CI192)</x:f>
      </x:c>
    </x:row>
    <x:row r="193">
      <x:c r="A193" s="31" t="s">
        <x:v>411</x:v>
      </x:c>
      <x:c r="B193" t="s"/>
      <x:c r="C193" t="s">
        <x:v>412</x:v>
      </x:c>
      <x:c r="D193" t="s">
        <x:v>383</x:v>
      </x:c>
      <x:c r="E193" s="67" t="s">
        <x:v>131</x:v>
      </x:c>
      <x:c r="F193" t="n">
        <x:v>1189</x:v>
      </x:c>
      <x:c r="G193" s="32" t="n">
        <x:v>0.0042052144659377628259041211</x:v>
      </x:c>
      <x:c r="H193" s="32" t="n">
        <x:v>0.0050462573591253153910849453</x:v>
      </x:c>
      <x:c r="I193" s="32" t="n">
        <x:v>0.0134566862910008410428931876</x:v>
      </x:c>
      <x:c r="J193" s="32" t="n">
        <x:v>0.0084104289318755256518082422</x:v>
      </x:c>
      <x:c r="K193" s="32" t="n">
        <x:v>0.0100925147182506307821698907</x:v>
      </x:c>
      <x:c r="L193" s="32" t="n">
        <x:v>0.0109335576114381833473507149</x:v>
      </x:c>
      <x:c r="M193" s="32" t="n">
        <x:v>0.0134566862910008410428931876</x:v>
      </x:c>
      <x:c r="N193" s="32" t="n">
        <x:v>0.0159798149705634987384356602</x:v>
      </x:c>
      <x:c r="O193" s="32" t="n">
        <x:v>0.0193439865433137089991589571</x:v>
      </x:c>
      <x:c r="P193" s="32" t="n">
        <x:v>0.0193439865433137089991589571</x:v>
      </x:c>
      <x:c r="Q193" s="32" t="n">
        <x:v>0.0168208578637510513036164844</x:v>
      </x:c>
      <x:c r="R193" s="32" t="n">
        <x:v>0.0185029436501261564339781329</x:v>
      </x:c>
      <x:c r="S193" s="32" t="n">
        <x:v>0.0218671152228763666947014298</x:v>
      </x:c>
      <x:c r="T193" s="32" t="n">
        <x:v>0.0252312867956265769554247267</x:v>
      </x:c>
      <x:c r="U193" s="32" t="n">
        <x:v>0.0328006728343145500420521447</x:v>
      </x:c>
      <x:c r="V193" s="32" t="n">
        <x:v>0.0428931875525651808242220353</x:v>
      </x:c>
      <x:c r="W193" s="32" t="n">
        <x:v>0.0437342304457527333894028595</x:v>
      </x:c>
      <x:c r="X193" s="32" t="n">
        <x:v>0.0462573591253153910849453322</x:v>
      </x:c>
      <x:c r="Y193" s="32" t="n">
        <x:v>0.052985702270815811606391926</x:v>
      </x:c>
      <x:c r="Z193" s="32" t="n">
        <x:v>0.0555088309503784693019343987</x:v>
      </x:c>
      <x:c r="AA193" s="32" t="n">
        <x:v>0.0538267451640033641715727502</x:v>
      </x:c>
      <x:c r="AB193" s="32" t="n">
        <x:v>0.0538267451640033641715727502</x:v>
      </x:c>
      <x:c r="AC193" s="32" t="n">
        <x:v>0.0538267451640033641715727502</x:v>
      </x:c>
      <x:c r="AD193" s="32" t="n">
        <x:v>0.0588730025231286795626576955</x:v>
      </x:c>
      <x:c r="AE193" s="32" t="n">
        <x:v>0.060555088309503784693019344</x:v>
      </x:c>
      <x:c r="AF193" s="32" t="n">
        <x:v>0.0588730025231286795626576955</x:v>
      </x:c>
      <x:c r="AG193" s="32" t="n">
        <x:v>0.0613961312026913372582001682</x:v>
      </x:c>
      <x:c r="AH193" s="32" t="n">
        <x:v>0.0613961312026913372582001682</x:v>
      </x:c>
      <x:c r="AI193" s="32" t="n">
        <x:v>0.0630782169890664423885618167</x:v>
      </x:c>
      <x:c r="AJ193" s="32" t="n">
        <x:v>0.0630782169890664423885618167</x:v>
      </x:c>
      <x:c r="AK193" s="32" t="n">
        <x:v>0.0639192598822539949537426409</x:v>
      </x:c>
      <x:c r="AL193" s="32" t="n">
        <x:v>0.0630782169890664423885618167</x:v>
      </x:c>
      <x:c r="AM193" s="32" t="n">
        <x:v>0.0630782169890664423885618167</x:v>
      </x:c>
      <x:c r="AN193" s="32" t="n">
        <x:v>0.0622371740958788898233809924</x:v>
      </x:c>
      <x:c r="AO193" s="32" t="n">
        <x:v>0.0622371740958788898233809924</x:v>
      </x:c>
      <x:c r="AP193" s="32" t="n">
        <x:v>0.0656013456686291000841042893</x:v>
      </x:c>
      <x:c r="AQ193" s="32" t="n">
        <x:v>0.0622371740958788898233809924</x:v>
      </x:c>
      <x:c r="BI193" s="33" t="s"/>
      <x:c r="BJ193" s="11" t="s">
        <x:v>413</x:v>
      </x:c>
      <x:c r="BK193" s="12" t="str">
        <x:f>=BX193</x:f>
      </x:c>
      <x:c r="BL193" s="12" t="n">
        <x:v>0.2792262405382674516400336417</x:v>
      </x:c>
      <x:c r="BM193" s="12" t="n">
        <x:v>0.4684608915054667788057190917</x:v>
      </x:c>
      <x:c r="BN193" s="12" t="n">
        <x:v>0.2523128679562657695542472666</x:v>
      </x:c>
      <x:c r="BO193" s="12" t="str">
        <x:f>=BW193</x:f>
      </x:c>
      <x:c r="BP193" s="12" t="str">
        <x:f>=CF193</x:f>
      </x:c>
      <x:c r="BQ193" s="12" t="str"/>
      <x:c r="BR193" s="12" t="str">
        <x:v>AW 2019 EOS</x:v>
      </x:c>
      <x:c r="BS193" s="13" t="str"/>
      <x:c r="BT193" s="30" t="n">
        <x:v>4757.94</x:v>
      </x:c>
      <x:c r="BU193" s="30" t="n">
        <x:v>-12203.8960</x:v>
      </x:c>
      <x:c r="BV193" s="30" t="str">
        <x:f>=BT193+BU193</x:f>
      </x:c>
      <x:c r="BW193" s="66" t="str">
        <x:f>=BV193/BT193</x:f>
      </x:c>
      <x:c r="BX193" s="66" t="n">
        <x:v>0.7476871320437342304457527334</x:v>
      </x:c>
      <x:c r="BY193" s="30" t="n">
        <x:v>12127.80</x:v>
      </x:c>
      <x:c r="BZ193" s="41" t="n">
        <x:v>300</x:v>
      </x:c>
      <x:c r="CA193" s="30" t="n">
        <x:v>3060.00</x:v>
      </x:c>
      <x:c r="CC193" s="30" t="n">
        <x:v>4763.2022423740958788898233809</x:v>
      </x:c>
      <x:c r="CD193" s="30" t="n">
        <x:v>-12203.8960</x:v>
      </x:c>
      <x:c r="CE193" s="30" t="str">
        <x:f>=CC193+CD193</x:f>
      </x:c>
      <x:c r="CF193" s="66" t="str">
        <x:f>=CE193/CC193</x:f>
      </x:c>
      <x:c r="CH193" s="66" t="str">
        <x:f>=CI193+CJ193</x:f>
      </x:c>
      <x:c r="CI193" s="66" t="str">
        <x:f>=BX193+(0*7)</x:f>
      </x:c>
      <x:c r="CJ193" s="66" t="str">
        <x:f>=(1-CI193)*0.5</x:f>
      </x:c>
      <x:c r="CK193" s="66" t="str">
        <x:f>=1-CH193</x:f>
      </x:c>
      <x:c r="CM193" s="66" t="str">
        <x:f>=CJ193/(1-CI193)</x:f>
      </x:c>
    </x:row>
    <x:row r="194">
      <x:c r="A194" s="31" t="s">
        <x:v>414</x:v>
      </x:c>
      <x:c r="B194" t="s"/>
      <x:c r="C194" t="s">
        <x:v>415</x:v>
      </x:c>
      <x:c r="D194" t="s">
        <x:v>274</x:v>
      </x:c>
      <x:c r="E194" s="67" t="s">
        <x:v>131</x:v>
      </x:c>
      <x:c r="F194" t="n">
        <x:v>1249</x:v>
      </x:c>
      <x:c r="G194" s="32" t="n">
        <x:v>0.0008006405124099279423538831</x:v>
      </x:c>
      <x:c r="H194" s="32" t="n">
        <x:v>0.0008006405124099279423538831</x:v>
      </x:c>
      <x:c r="I194" s="32" t="n">
        <x:v>0.0280224179343474779823859087</x:v>
      </x:c>
      <x:c r="J194" s="32" t="n">
        <x:v>0.060048038430744595676541233</x:v>
      </x:c>
      <x:c r="K194" s="32" t="n">
        <x:v>0.0576461168935148118494795837</x:v>
      </x:c>
      <x:c r="L194" s="32" t="n">
        <x:v>0.0568454763811048839071257006</x:v>
      </x:c>
      <x:c r="M194" s="32" t="n">
        <x:v>0.0704563650920736589271417134</x:v>
      </x:c>
      <x:c r="N194" s="32" t="n">
        <x:v>0.0800640512409927942353883106</x:v>
      </x:c>
      <x:c r="O194" s="32" t="n">
        <x:v>0.0816653322658126501200960769</x:v>
      </x:c>
      <x:c r="P194" s="32" t="n">
        <x:v>0.1016813450760608486789431545</x:v>
      </x:c>
      <x:c r="Q194" s="32" t="n">
        <x:v>0.128102481985588470776621297</x:v>
      </x:c>
      <x:c r="R194" s="32" t="n">
        <x:v>0.1593274619695756605284227382</x:v>
      </x:c>
      <x:c r="S194" s="32" t="n">
        <x:v>0.1769415532425940752602081665</x:v>
      </x:c>
      <x:c r="T194" s="32" t="n">
        <x:v>0.2001601281024819855884707766</x:v>
      </x:c>
      <x:c r="U194" s="32" t="n">
        <x:v>0.1929543634907926341072858287</x:v>
      </x:c>
      <x:c r="V194" s="32" t="n">
        <x:v>0.2169735788630904723779023219</x:v>
      </x:c>
      <x:c r="W194" s="32" t="n">
        <x:v>0.2201761409127301841473178543</x:v>
      </x:c>
      <x:c r="X194" s="32" t="n">
        <x:v>0.2193755004003202562049639712</x:v>
      </x:c>
      <x:c r="Y194" s="32" t="n">
        <x:v>0.2249799839871897518014411529</x:v>
      </x:c>
      <x:c r="Z194" s="32" t="n">
        <x:v>0.2313851080864691753402722178</x:v>
      </x:c>
      <x:c r="AA194" s="32" t="n">
        <x:v>0.2369895916733386709367493995</x:v>
      </x:c>
      <x:c r="AB194" s="32" t="n">
        <x:v>0.2401921537229783827061649319</x:v>
      </x:c>
      <x:c r="AC194" s="32" t="n">
        <x:v>0.2465972778222578062449959968</x:v>
      </x:c>
      <x:c r="AD194" s="32" t="n">
        <x:v>0.2530024019215372297838270616</x:v>
      </x:c>
      <x:c r="AE194" s="32" t="n">
        <x:v>0.2497998398718975180144115292</x:v>
      </x:c>
      <x:c r="AF194" s="32" t="n">
        <x:v>0.2473979183346677341873498799</x:v>
      </x:c>
      <x:c r="AG194" s="32" t="n">
        <x:v>0.2489991993594875900720576461</x:v>
      </x:c>
      <x:c r="AH194" s="32" t="n">
        <x:v>0.2514011208967173738991192954</x:v>
      </x:c>
      <x:c r="AI194" s="32" t="n">
        <x:v>0.2506004803843074459567654123</x:v>
      </x:c>
      <x:c r="AJ194" s="32" t="n">
        <x:v>0.2514011208967173738991192954</x:v>
      </x:c>
      <x:c r="AK194" s="32" t="n">
        <x:v>0.2506004803843074459567654123</x:v>
      </x:c>
      <x:c r="AL194" s="32" t="n">
        <x:v>0.2530024019215372297838270616</x:v>
      </x:c>
      <x:c r="AM194" s="32" t="n">
        <x:v>0.2594075260208166533226581265</x:v>
      </x:c>
      <x:c r="AN194" s="32" t="n">
        <x:v>0.2570056044835868694955964772</x:v>
      </x:c>
      <x:c r="BI194" s="33" t="s"/>
      <x:c r="BJ194" s="11" t="s">
        <x:v>416</x:v>
      </x:c>
      <x:c r="BK194" s="12" t="str">
        <x:f>=BX194</x:f>
      </x:c>
      <x:c r="BL194" s="12" t="n">
        <x:v>0.2738190552441953562850280224</x:v>
      </x:c>
      <x:c r="BM194" s="12" t="n">
        <x:v>0.2506004803843074459567654123</x:v>
      </x:c>
      <x:c r="BN194" s="12" t="n">
        <x:v>0.4755804643714971977582065653</x:v>
      </x:c>
      <x:c r="BO194" s="12" t="str">
        <x:f>=BW194</x:f>
      </x:c>
      <x:c r="BP194" s="12" t="str">
        <x:f>=CF194</x:f>
      </x:c>
      <x:c r="BQ194" s="12" t="str"/>
      <x:c r="BR194" s="12" t="str">
        <x:v>AW 2019 EOS</x:v>
      </x:c>
      <x:c r="BS194" s="13" t="str"/>
      <x:c r="BT194" s="30" t="n">
        <x:v>5366.18</x:v>
      </x:c>
      <x:c r="BU194" s="30" t="n">
        <x:v>-10131.38840</x:v>
      </x:c>
      <x:c r="BV194" s="30" t="str">
        <x:f>=BT194+BU194</x:f>
      </x:c>
      <x:c r="BW194" s="66" t="str">
        <x:f>=BV194/BT194</x:f>
      </x:c>
      <x:c r="BX194" s="66" t="n">
        <x:v>0.5244195356285028022417934347</x:v>
      </x:c>
      <x:c r="BY194" s="30" t="n">
        <x:v>9305.05</x:v>
      </x:c>
      <x:c r="BZ194" s="41" t="n">
        <x:v>594</x:v>
      </x:c>
      <x:c r="CA194" s="30" t="n">
        <x:v>4425.30</x:v>
      </x:c>
      <x:c r="CC194" s="30" t="n">
        <x:v>6544.2381834044835868694955967</x:v>
      </x:c>
      <x:c r="CD194" s="30" t="n">
        <x:v>-10131.38840</x:v>
      </x:c>
      <x:c r="CE194" s="30" t="str">
        <x:f>=CC194+CD194</x:f>
      </x:c>
      <x:c r="CF194" s="66" t="str">
        <x:f>=CE194/CC194</x:f>
      </x:c>
      <x:c r="CH194" s="66" t="str">
        <x:f>=CI194+CJ194</x:f>
      </x:c>
      <x:c r="CI194" s="66" t="str">
        <x:f>=BX194+(0*7)</x:f>
      </x:c>
      <x:c r="CJ194" s="66" t="str">
        <x:f>=(1-CI194)*0.5</x:f>
      </x:c>
      <x:c r="CK194" s="66" t="str">
        <x:f>=1-CH194</x:f>
      </x:c>
      <x:c r="CM194" s="66" t="str">
        <x:f>=CJ194/(1-CI194)</x:f>
      </x:c>
    </x:row>
    <x:row r="195">
      <x:c r="A195" s="31" t="s">
        <x:v>417</x:v>
      </x:c>
      <x:c r="B195" t="s"/>
      <x:c r="C195" t="s">
        <x:v>418</x:v>
      </x:c>
      <x:c r="D195" t="s">
        <x:v>383</x:v>
      </x:c>
      <x:c r="E195" s="67" t="s">
        <x:v>131</x:v>
      </x:c>
      <x:c r="F195" t="n">
        <x:v>738</x:v>
      </x:c>
      <x:c r="G195" s="32" t="n">
        <x:v>0.0094850948509485094850948509</x:v>
      </x:c>
      <x:c r="H195" s="32" t="n">
        <x:v>0.0365853658536585365853658537</x:v>
      </x:c>
      <x:c r="I195" s="32" t="n">
        <x:v>0.0447154471544715447154471545</x:v>
      </x:c>
      <x:c r="J195" s="32" t="n">
        <x:v>0.0474254742547425474254742547</x:v>
      </x:c>
      <x:c r="K195" s="32" t="n">
        <x:v>0.0542005420054200542005420054</x:v>
      </x:c>
      <x:c r="L195" s="32" t="n">
        <x:v>0.0569105691056910569105691057</x:v>
      </x:c>
      <x:c r="M195" s="32" t="n">
        <x:v>0.0840108401084010840108401084</x:v>
      </x:c>
      <x:c r="N195" s="32" t="n">
        <x:v>0.0934959349593495934959349593</x:v>
      </x:c>
      <x:c r="O195" s="32" t="n">
        <x:v>0.1016260162601626016260162602</x:v>
      </x:c>
      <x:c r="P195" s="32" t="n">
        <x:v>0.1165311653116531165311653117</x:v>
      </x:c>
      <x:c r="Q195" s="32" t="n">
        <x:v>0.1233062330623306233062330623</x:v>
      </x:c>
      <x:c r="R195" s="32" t="n">
        <x:v>0.1355013550135501355013550136</x:v>
      </x:c>
      <x:c r="S195" s="32" t="n">
        <x:v>0.139566395663956639566395664</x:v>
      </x:c>
      <x:c r="T195" s="32" t="n">
        <x:v>0.1490514905149051490514905149</x:v>
      </x:c>
      <x:c r="U195" s="32" t="n">
        <x:v>0.1842818428184281842818428184</x:v>
      </x:c>
      <x:c r="V195" s="32" t="n">
        <x:v>0.2222222222222222222222222222</x:v>
      </x:c>
      <x:c r="W195" s="32" t="n">
        <x:v>0.2506775067750677506775067751</x:v>
      </x:c>
      <x:c r="X195" s="32" t="n">
        <x:v>0.2655826558265582655826558266</x:v>
      </x:c>
      <x:c r="Y195" s="32" t="n">
        <x:v>0.2953929539295392953929539295</x:v>
      </x:c>
      <x:c r="Z195" s="32" t="n">
        <x:v>0.3008130081300813008130081301</x:v>
      </x:c>
      <x:c r="AA195" s="32" t="n">
        <x:v>0.3157181571815718157181571816</x:v>
      </x:c>
      <x:c r="AB195" s="32" t="n">
        <x:v>0.3184281842818428184281842818</x:v>
      </x:c>
      <x:c r="AC195" s="32" t="n">
        <x:v>0.3265582655826558265582655827</x:v>
      </x:c>
      <x:c r="AD195" s="32" t="n">
        <x:v>0.3292682926829268292682926829</x:v>
      </x:c>
      <x:c r="AE195" s="32" t="n">
        <x:v>0.3373983739837398373983739837</x:v>
      </x:c>
      <x:c r="AF195" s="32" t="n">
        <x:v>0.3468834688346883468834688347</x:v>
      </x:c>
      <x:c r="AG195" s="32" t="n">
        <x:v>0.3563685636856368563685636856</x:v>
      </x:c>
      <x:c r="AH195" s="32" t="n">
        <x:v>0.360433604336043360433604336</x:v>
      </x:c>
      <x:c r="AI195" s="32" t="n">
        <x:v>0.360433604336043360433604336</x:v>
      </x:c>
      <x:c r="AJ195" s="32" t="n">
        <x:v>0.3631436314363143631436314363</x:v>
      </x:c>
      <x:c r="AK195" s="32" t="n">
        <x:v>0.3644986449864498644986449864</x:v>
      </x:c>
      <x:c r="AL195" s="32" t="n">
        <x:v>0.3766937669376693766937669377</x:v>
      </x:c>
      <x:c r="BI195" s="33" t="s"/>
      <x:c r="BJ195" s="11" t="s">
        <x:v>197</x:v>
      </x:c>
      <x:c r="BK195" s="12" t="str">
        <x:f>=BX195</x:f>
      </x:c>
      <x:c r="BL195" s="12" t="n">
        <x:v>0.5975609756097560975609756098</x:v>
      </x:c>
      <x:c r="BM195" s="12" t="n">
        <x:v>0.2940379403794037940379403794</x:v>
      </x:c>
      <x:c r="BN195" s="12" t="n">
        <x:v>0.1084010840108401084010840108</x:v>
      </x:c>
      <x:c r="BO195" s="12" t="str">
        <x:f>=BW195</x:f>
      </x:c>
      <x:c r="BP195" s="12" t="str">
        <x:f>=CF195</x:f>
      </x:c>
      <x:c r="BQ195" s="12" t="str"/>
      <x:c r="BR195" s="12" t="str">
        <x:v>AW 2019 EOS</x:v>
      </x:c>
      <x:c r="BS195" s="13" t="str"/>
      <x:c r="BT195" s="30" t="n">
        <x:v>3930.27</x:v>
      </x:c>
      <x:c r="BU195" s="30" t="n">
        <x:v>-4343.8680</x:v>
      </x:c>
      <x:c r="BV195" s="30" t="str">
        <x:f>=BT195+BU195</x:f>
      </x:c>
      <x:c r="BW195" s="66" t="str">
        <x:f>=BV195/BT195</x:f>
      </x:c>
      <x:c r="BX195" s="66" t="n">
        <x:v>0.8915989159891598915989159892</x:v>
      </x:c>
      <x:c r="BY195" s="30" t="n">
        <x:v>4280.40</x:v>
      </x:c>
      <x:c r="BZ195" s="41" t="n">
        <x:v>80</x:v>
      </x:c>
      <x:c r="CA195" s="30" t="n">
        <x:v>464.00</x:v>
      </x:c>
      <x:c r="CC195" s="30" t="n">
        <x:v>4006.6967698169376693766937671</x:v>
      </x:c>
      <x:c r="CD195" s="30" t="n">
        <x:v>-4343.8680</x:v>
      </x:c>
      <x:c r="CE195" s="30" t="str">
        <x:f>=CC195+CD195</x:f>
      </x:c>
      <x:c r="CF195" s="66" t="str">
        <x:f>=CE195/CC195</x:f>
      </x:c>
      <x:c r="CH195" s="66" t="str">
        <x:f>=CI195+CJ195</x:f>
      </x:c>
      <x:c r="CI195" s="66" t="str">
        <x:f>=BX195+(0*7)</x:f>
      </x:c>
      <x:c r="CJ195" s="66" t="str">
        <x:f>=(1-CI195)*0.5</x:f>
      </x:c>
      <x:c r="CK195" s="66" t="str">
        <x:f>=1-CH195</x:f>
      </x:c>
      <x:c r="CM195" s="66" t="str">
        <x:f>=CJ195/(1-CI195)</x:f>
      </x:c>
    </x:row>
    <x:row r="196">
      <x:c r="A196" s="31" t="s">
        <x:v>419</x:v>
      </x:c>
      <x:c r="B196" t="s"/>
      <x:c r="C196" t="s">
        <x:v>420</x:v>
      </x:c>
      <x:c r="D196" t="s">
        <x:v>383</x:v>
      </x:c>
      <x:c r="E196" s="67" t="s">
        <x:v>131</x:v>
      </x:c>
      <x:c r="F196" t="n">
        <x:v>647</x:v>
      </x:c>
      <x:c r="G196" s="32" t="n">
        <x:v>0.0309119010819165378670788253</x:v>
      </x:c>
      <x:c r="H196" s="32" t="n">
        <x:v>0.0726429675425038639876352396</x:v>
      </x:c>
      <x:c r="I196" s="32" t="n">
        <x:v>0.0880989180834621329211746522</x:v>
      </x:c>
      <x:c r="J196" s="32" t="n">
        <x:v>0.0880989180834621329211746522</x:v>
      </x:c>
      <x:c r="K196" s="32" t="n">
        <x:v>0.092735703245749613601236476</x:v>
      </x:c>
      <x:c r="L196" s="32" t="n">
        <x:v>0.0989180834621329211746522411</x:v>
      </x:c>
      <x:c r="M196" s="32" t="n">
        <x:v>0.1020092735703245749613601236</x:v>
      </x:c>
      <x:c r="N196" s="32" t="n">
        <x:v>0.1112828438948995363214837713</x:v>
      </x:c>
      <x:c r="O196" s="32" t="n">
        <x:v>0.1236476043276661514683153014</x:v>
      </x:c>
      <x:c r="P196" s="32" t="n">
        <x:v>0.1344667697063369397217928903</x:v>
      </x:c>
      <x:c r="Q196" s="32" t="n">
        <x:v>0.1514683153013910355486862442</x:v>
      </x:c>
      <x:c r="R196" s="32" t="n">
        <x:v>0.1731066460587326120556414219</x:v>
      </x:c>
      <x:c r="S196" s="32" t="n">
        <x:v>0.1761978361669242658423493045</x:v>
      </x:c>
      <x:c r="T196" s="32" t="n">
        <x:v>0.1823802163833075734157650696</x:v>
      </x:c>
      <x:c r="U196" s="32" t="n">
        <x:v>0.1931993817619783616692426584</x:v>
      </x:c>
      <x:c r="V196" s="32" t="n">
        <x:v>0.1993817619783616692426584235</x:v>
      </x:c>
      <x:c r="W196" s="32" t="n">
        <x:v>0.2071097372488408037094281298</x:v>
      </x:c>
      <x:c r="X196" s="32" t="n">
        <x:v>0.2102009273570324574961360124</x:v>
      </x:c>
      <x:c r="Y196" s="32" t="n">
        <x:v>0.2117465224111282843894899536</x:v>
      </x:c>
      <x:c r="Z196" s="32" t="n">
        <x:v>0.2117465224111282843894899536</x:v>
      </x:c>
      <x:c r="AA196" s="32" t="n">
        <x:v>0.2148377125193199381761978362</x:v>
      </x:c>
      <x:c r="AB196" s="32" t="n">
        <x:v>0.2179289026275115919629057187</x:v>
      </x:c>
      <x:c r="AC196" s="32" t="n">
        <x:v>0.2148377125193199381761978362</x:v>
      </x:c>
      <x:c r="AD196" s="32" t="n">
        <x:v>0.2210200927357032457496136012</x:v>
      </x:c>
      <x:c r="AE196" s="32" t="n">
        <x:v>0.2241112828438948995363214838</x:v>
      </x:c>
      <x:c r="AF196" s="32" t="n">
        <x:v>0.2272024729520865533230293663</x:v>
      </x:c>
      <x:c r="AG196" s="32" t="n">
        <x:v>0.2302936630602782071097372488</x:v>
      </x:c>
      <x:c r="AH196" s="32" t="n">
        <x:v>0.2287480680061823802163833076</x:v>
      </x:c>
      <x:c r="AI196" s="32" t="n">
        <x:v>0.2318392581143740340030911901</x:v>
      </x:c>
      <x:c r="AJ196" s="32" t="n">
        <x:v>0.2333848531684698608964451314</x:v>
      </x:c>
      <x:c r="AK196" s="32" t="n">
        <x:v>0.2395672333848531684698608964</x:v>
      </x:c>
      <x:c r="AL196" s="32" t="n">
        <x:v>0.2395672333848531684698608964</x:v>
      </x:c>
      <x:c r="BI196" s="33" t="s"/>
      <x:c r="BJ196" s="11" t="s">
        <x:v>197</x:v>
      </x:c>
      <x:c r="BK196" s="12" t="str">
        <x:f>=BX196</x:f>
      </x:c>
      <x:c r="BL196" s="12" t="n">
        <x:v>0.5069551777434312210200927357</x:v>
      </x:c>
      <x:c r="BM196" s="12" t="n">
        <x:v>0.3848531684698608964451313756</x:v>
      </x:c>
      <x:c r="BN196" s="12" t="n">
        <x:v>0.1081916537867078825347758887</x:v>
      </x:c>
      <x:c r="BO196" s="12" t="str">
        <x:f>=BW196</x:f>
      </x:c>
      <x:c r="BP196" s="12" t="str">
        <x:f>=CF196</x:f>
      </x:c>
      <x:c r="BQ196" s="12" t="str"/>
      <x:c r="BR196" s="12" t="str">
        <x:v>AW 2019 EOS</x:v>
      </x:c>
      <x:c r="BS196" s="13" t="str"/>
      <x:c r="BT196" s="30" t="n">
        <x:v>2886.73</x:v>
      </x:c>
      <x:c r="BU196" s="30" t="n">
        <x:v>-4310.3140</x:v>
      </x:c>
      <x:c r="BV196" s="30" t="str">
        <x:f>=BT196+BU196</x:f>
      </x:c>
      <x:c r="BW196" s="66" t="str">
        <x:f>=BV196/BT196</x:f>
      </x:c>
      <x:c r="BX196" s="66" t="n">
        <x:v>0.8918083462132921174652241113</x:v>
      </x:c>
      <x:c r="BY196" s="30" t="n">
        <x:v>4270.20</x:v>
      </x:c>
      <x:c r="BZ196" s="41" t="n">
        <x:v>70</x:v>
      </x:c>
      <x:c r="CA196" s="30" t="n">
        <x:v>462.00</x:v>
      </x:c>
      <x:c r="CC196" s="30" t="n">
        <x:v>2886.9695672333848531684698609</x:v>
      </x:c>
      <x:c r="CD196" s="30" t="n">
        <x:v>-4310.3140</x:v>
      </x:c>
      <x:c r="CE196" s="30" t="str">
        <x:f>=CC196+CD196</x:f>
      </x:c>
      <x:c r="CF196" s="66" t="str">
        <x:f>=CE196/CC196</x:f>
      </x:c>
      <x:c r="CH196" s="66" t="str">
        <x:f>=CI196+CJ196</x:f>
      </x:c>
      <x:c r="CI196" s="66" t="str">
        <x:f>=BX196+(0*7)</x:f>
      </x:c>
      <x:c r="CJ196" s="66" t="str">
        <x:f>=(1-CI196)*0.5</x:f>
      </x:c>
      <x:c r="CK196" s="66" t="str">
        <x:f>=1-CH196</x:f>
      </x:c>
      <x:c r="CM196" s="66" t="str">
        <x:f>=CJ196/(1-CI196)</x:f>
      </x:c>
    </x:row>
    <x:row r="197">
      <x:c r="A197" s="31" t="s">
        <x:v>421</x:v>
      </x:c>
      <x:c r="B197" t="s"/>
      <x:c r="C197" t="s">
        <x:v>422</x:v>
      </x:c>
      <x:c r="D197" t="s">
        <x:v>193</x:v>
      </x:c>
      <x:c r="E197" s="67" t="s">
        <x:v>131</x:v>
      </x:c>
      <x:c r="F197" t="n">
        <x:v>998</x:v>
      </x:c>
      <x:c r="G197" s="32" t="n">
        <x:v>0.0110220440881763527054108216</x:v>
      </x:c>
      <x:c r="H197" s="32" t="n">
        <x:v>0.0160320641282565130260521042</x:v>
      </x:c>
      <x:c r="I197" s="32" t="n">
        <x:v>0.0200400801603206412825651303</x:v>
      </x:c>
      <x:c r="J197" s="32" t="n">
        <x:v>0.0230460921843687374749498998</x:v>
      </x:c>
      <x:c r="K197" s="32" t="n">
        <x:v>0.0240480961923847695390781563</x:v>
      </x:c>
      <x:c r="L197" s="32" t="n">
        <x:v>0.0270541082164328657314629259</x:v>
      </x:c>
      <x:c r="M197" s="32" t="n">
        <x:v>0.0270541082164328657314629259</x:v>
      </x:c>
      <x:c r="N197" s="32" t="n">
        <x:v>0.0310621242484969939879759519</x:v>
      </x:c>
      <x:c r="O197" s="32" t="n">
        <x:v>0.0360721442885771543086172345</x:v>
      </x:c>
      <x:c r="P197" s="32" t="n">
        <x:v>0.0380761523046092184368737475</x:v>
      </x:c>
      <x:c r="Q197" s="32" t="n">
        <x:v>0.0400801603206412825651302605</x:v>
      </x:c>
      <x:c r="R197" s="32" t="n">
        <x:v>0.0420841683366733466933867735</x:v>
      </x:c>
      <x:c r="S197" s="32" t="n">
        <x:v>0.0430861723446893787575150301</x:v>
      </x:c>
      <x:c r="T197" s="32" t="n">
        <x:v>0.0480961923847695390781563126</x:v>
      </x:c>
      <x:c r="U197" s="32" t="n">
        <x:v>0.0531062124248496993987975952</x:v>
      </x:c>
      <x:c r="V197" s="32" t="n">
        <x:v>0.0551102204408817635270541082</x:v>
      </x:c>
      <x:c r="W197" s="32" t="n">
        <x:v>0.0551102204408817635270541082</x:v>
      </x:c>
      <x:c r="X197" s="32" t="n">
        <x:v>0.0561122244488977955911823647</x:v>
      </x:c>
      <x:c r="Y197" s="32" t="n">
        <x:v>0.0581162324649298597194388778</x:v>
      </x:c>
      <x:c r="Z197" s="32" t="n">
        <x:v>0.0571142284569138276553106212</x:v>
      </x:c>
      <x:c r="AA197" s="32" t="n">
        <x:v>0.0571142284569138276553106212</x:v>
      </x:c>
      <x:c r="AB197" s="32" t="n">
        <x:v>0.0571142284569138276553106212</x:v>
      </x:c>
      <x:c r="AC197" s="32" t="n">
        <x:v>0.0591182364729458917835671343</x:v>
      </x:c>
      <x:c r="AD197" s="32" t="n">
        <x:v>0.0591182364729458917835671343</x:v>
      </x:c>
      <x:c r="AE197" s="32" t="n">
        <x:v>0.0591182364729458917835671343</x:v>
      </x:c>
      <x:c r="AF197" s="32" t="n">
        <x:v>0.0601202404809619238476953908</x:v>
      </x:c>
      <x:c r="AG197" s="32" t="n">
        <x:v>0.0591182364729458917835671343</x:v>
      </x:c>
      <x:c r="AH197" s="32" t="n">
        <x:v>0.0591182364729458917835671343</x:v>
      </x:c>
      <x:c r="AI197" s="32" t="n">
        <x:v>0.0601202404809619238476953908</x:v>
      </x:c>
      <x:c r="AJ197" s="32" t="n">
        <x:v>0.0621242484969939879759519038</x:v>
      </x:c>
      <x:c r="AK197" s="32" t="n">
        <x:v>0.0621242484969939879759519038</x:v>
      </x:c>
      <x:c r="AL197" s="32" t="n">
        <x:v>0.0661322645290581162324649299</x:v>
      </x:c>
      <x:c r="BI197" s="33" t="s"/>
      <x:c r="BJ197" s="11" t="s">
        <x:v>197</x:v>
      </x:c>
      <x:c r="BK197" s="12" t="str">
        <x:f>=BX197</x:f>
      </x:c>
      <x:c r="BL197" s="12" t="n">
        <x:v>0.0681362725450901803607214429</x:v>
      </x:c>
      <x:c r="BM197" s="12" t="n">
        <x:v>0.919839679358717434869739479</x:v>
      </x:c>
      <x:c r="BN197" s="12" t="n">
        <x:v>0.0120240480961923847695390782</x:v>
      </x:c>
      <x:c r="BO197" s="12" t="str">
        <x:f>=BW197</x:f>
      </x:c>
      <x:c r="BP197" s="12" t="str">
        <x:f>=CF197</x:f>
      </x:c>
      <x:c r="BQ197" s="12" t="str"/>
      <x:c r="BR197" s="12" t="str">
        <x:v>AW 2019 EOS</x:v>
      </x:c>
      <x:c r="BS197" s="13" t="str"/>
      <x:c r="BT197" s="30" t="n">
        <x:v>10469.64</x:v>
      </x:c>
      <x:c r="BU197" s="30" t="n">
        <x:v>-24321.7590</x:v>
      </x:c>
      <x:c r="BV197" s="30" t="str">
        <x:f>=BT197+BU197</x:f>
      </x:c>
      <x:c r="BW197" s="66" t="str">
        <x:f>=BV197/BT197</x:f>
      </x:c>
      <x:c r="BX197" s="66" t="n">
        <x:v>0.9879759519038076152304609218</x:v>
      </x:c>
      <x:c r="BY197" s="30" t="n">
        <x:v>21407.10</x:v>
      </x:c>
      <x:c r="BZ197" s="41" t="n">
        <x:v>12</x:v>
      </x:c>
      <x:c r="CA197" s="30" t="n">
        <x:v>257.40</x:v>
      </x:c>
      <x:c r="CC197" s="30" t="n">
        <x:v>10469.702124248496993987975952</x:v>
      </x:c>
      <x:c r="CD197" s="30" t="n">
        <x:v>-24321.7590</x:v>
      </x:c>
      <x:c r="CE197" s="30" t="str">
        <x:f>=CC197+CD197</x:f>
      </x:c>
      <x:c r="CF197" s="66" t="str">
        <x:f>=CE197/CC197</x:f>
      </x:c>
      <x:c r="CH197" s="66" t="str">
        <x:f>=CI197+CJ197</x:f>
      </x:c>
      <x:c r="CI197" s="66" t="str">
        <x:f>=BX197+(0*7)</x:f>
      </x:c>
      <x:c r="CJ197" s="66" t="str">
        <x:f>=(1-CI197)*0.5</x:f>
      </x:c>
      <x:c r="CK197" s="66" t="str">
        <x:f>=1-CH197</x:f>
      </x:c>
      <x:c r="CM197" s="66" t="str">
        <x:f>=CJ197/(1-CI197)</x:f>
      </x:c>
    </x:row>
    <x:row r="198">
      <x:c r="A198" s="31" t="s">
        <x:v>423</x:v>
      </x:c>
      <x:c r="B198" t="s"/>
      <x:c r="C198" t="s">
        <x:v>424</x:v>
      </x:c>
      <x:c r="D198" t="s">
        <x:v>193</x:v>
      </x:c>
      <x:c r="E198" s="67" t="s">
        <x:v>131</x:v>
      </x:c>
      <x:c r="F198" t="n">
        <x:v>996</x:v>
      </x:c>
      <x:c r="G198" s="32" t="n">
        <x:v>0.0130522088353413654618473896</x:v>
      </x:c>
      <x:c r="H198" s="32" t="n">
        <x:v>0.0361445783132530120481927711</x:v>
      </x:c>
      <x:c r="I198" s="32" t="n">
        <x:v>0.0411646586345381526104417671</x:v>
      </x:c>
      <x:c r="J198" s="32" t="n">
        <x:v>0.0491967871485943775100401606</x:v>
      </x:c>
      <x:c r="K198" s="32" t="n">
        <x:v>0.0451807228915662650602409639</x:v>
      </x:c>
      <x:c r="L198" s="32" t="n">
        <x:v>0.051204819277108433734939759</x:v>
      </x:c>
      <x:c r="M198" s="32" t="n">
        <x:v>0.0582329317269076305220883534</x:v>
      </x:c>
      <x:c r="N198" s="32" t="n">
        <x:v>0.0652610441767068273092369478</x:v>
      </x:c>
      <x:c r="O198" s="32" t="n">
        <x:v>0.0702811244979919678714859438</x:v>
      </x:c>
      <x:c r="P198" s="32" t="n">
        <x:v>0.076305220883534136546184739</x:v>
      </x:c>
      <x:c r="Q198" s="32" t="n">
        <x:v>0.0833333333333333333333333333</x:v>
      </x:c>
      <x:c r="R198" s="32" t="n">
        <x:v>0.0843373493975903614457831325</x:v>
      </x:c>
      <x:c r="S198" s="32" t="n">
        <x:v>0.0933734939759036144578313253</x:v>
      </x:c>
      <x:c r="T198" s="32" t="n">
        <x:v>0.1054216867469879518072289157</x:v>
      </x:c>
      <x:c r="U198" s="32" t="n">
        <x:v>0.1104417670682730923694779116</x:v>
      </x:c>
      <x:c r="V198" s="32" t="n">
        <x:v>0.1204819277108433734939759036</x:v>
      </x:c>
      <x:c r="W198" s="32" t="n">
        <x:v>0.127510040160642570281124498</x:v>
      </x:c>
      <x:c r="X198" s="32" t="n">
        <x:v>0.13755020080321285140562249</x:v>
      </x:c>
      <x:c r="Y198" s="32" t="n">
        <x:v>0.1445783132530120481927710843</x:v>
      </x:c>
      <x:c r="Z198" s="32" t="n">
        <x:v>0.1455823293172690763052208835</x:v>
      </x:c>
      <x:c r="AA198" s="32" t="n">
        <x:v>0.1576305220883534136546184739</x:v>
      </x:c>
      <x:c r="AB198" s="32" t="n">
        <x:v>0.1606425702811244979919678715</x:v>
      </x:c>
      <x:c r="AC198" s="32" t="n">
        <x:v>0.1636546184738955823293172691</x:v>
      </x:c>
      <x:c r="AD198" s="32" t="n">
        <x:v>0.1626506024096385542168674699</x:v>
      </x:c>
      <x:c r="AE198" s="32" t="n">
        <x:v>0.1656626506024096385542168675</x:v>
      </x:c>
      <x:c r="AF198" s="32" t="n">
        <x:v>0.1686746987951807228915662651</x:v>
      </x:c>
      <x:c r="AG198" s="32" t="n">
        <x:v>0.1656626506024096385542168675</x:v>
      </x:c>
      <x:c r="AH198" s="32" t="n">
        <x:v>0.1686746987951807228915662651</x:v>
      </x:c>
      <x:c r="AI198" s="32" t="n">
        <x:v>0.1696787148594377510040160643</x:v>
      </x:c>
      <x:c r="AJ198" s="32" t="n">
        <x:v>0.1686746987951807228915662651</x:v>
      </x:c>
      <x:c r="AK198" s="32" t="n">
        <x:v>0.1827309236947791164658634538</x:v>
      </x:c>
      <x:c r="AL198" s="32" t="n">
        <x:v>0.2309236947791164658634538153</x:v>
      </x:c>
      <x:c r="BI198" s="33" t="s"/>
      <x:c r="BJ198" s="11" t="s">
        <x:v>197</x:v>
      </x:c>
      <x:c r="BK198" s="12" t="str">
        <x:f>=BX198</x:f>
      </x:c>
      <x:c r="BL198" s="12" t="n">
        <x:v>0.1957831325301204819277108434</x:v>
      </x:c>
      <x:c r="BM198" s="12" t="n">
        <x:v>0.5522088353413654618473895582</x:v>
      </x:c>
      <x:c r="BN198" s="12" t="n">
        <x:v>0.2520080321285140562248995984</x:v>
      </x:c>
      <x:c r="BO198" s="12" t="str">
        <x:f>=BW198</x:f>
      </x:c>
      <x:c r="BP198" s="12" t="str">
        <x:f>=CF198</x:f>
      </x:c>
      <x:c r="BQ198" s="12" t="str"/>
      <x:c r="BR198" s="12" t="str">
        <x:v>AW 2019 EOS</x:v>
      </x:c>
      <x:c r="BS198" s="13" t="str"/>
      <x:c r="BT198" s="30" t="n">
        <x:v>9314.56</x:v>
      </x:c>
      <x:c r="BU198" s="30" t="n">
        <x:v>-16728.8160</x:v>
      </x:c>
      <x:c r="BV198" s="30" t="str">
        <x:f>=BT198+BU198</x:f>
      </x:c>
      <x:c r="BW198" s="66" t="str">
        <x:f>=BV198/BT198</x:f>
      </x:c>
      <x:c r="BX198" s="66" t="n">
        <x:v>0.7479919678714859437751004016</x:v>
      </x:c>
      <x:c r="BY198" s="30" t="n">
        <x:v>14591.40</x:v>
      </x:c>
      <x:c r="BZ198" s="41" t="n">
        <x:v>251</x:v>
      </x:c>
      <x:c r="CA198" s="30" t="n">
        <x:v>3677.15</x:v>
      </x:c>
      <x:c r="CC198" s="30" t="n">
        <x:v>9314.755783132530120481927711</x:v>
      </x:c>
      <x:c r="CD198" s="30" t="n">
        <x:v>-16728.8160</x:v>
      </x:c>
      <x:c r="CE198" s="30" t="str">
        <x:f>=CC198+CD198</x:f>
      </x:c>
      <x:c r="CF198" s="66" t="str">
        <x:f>=CE198/CC198</x:f>
      </x:c>
      <x:c r="CH198" s="66" t="str">
        <x:f>=CI198+CJ198</x:f>
      </x:c>
      <x:c r="CI198" s="66" t="str">
        <x:f>=BX198+(0*7)</x:f>
      </x:c>
      <x:c r="CJ198" s="66" t="str">
        <x:f>=(1-CI198)*0.5</x:f>
      </x:c>
      <x:c r="CK198" s="66" t="str">
        <x:f>=1-CH198</x:f>
      </x:c>
      <x:c r="CM198" s="66" t="str">
        <x:f>=CJ198/(1-CI198)</x:f>
      </x:c>
    </x:row>
    <x:row r="199">
      <x:c r="A199" s="31" t="s">
        <x:v>425</x:v>
      </x:c>
      <x:c r="B199" t="s"/>
      <x:c r="C199" t="s">
        <x:v>426</x:v>
      </x:c>
      <x:c r="D199" t="s">
        <x:v>130</x:v>
      </x:c>
      <x:c r="E199" s="67" t="s">
        <x:v>131</x:v>
      </x:c>
      <x:c r="F199" t="n">
        <x:v>1064</x:v>
      </x:c>
      <x:c r="G199" s="32" t="n">
        <x:v>0.0366541353383458646616541353</x:v>
      </x:c>
      <x:c r="H199" s="32" t="n">
        <x:v>0.0958646616541353383458646617</x:v>
      </x:c>
      <x:c r="I199" s="32" t="n">
        <x:v>0.1278195488721804511278195489</x:v>
      </x:c>
      <x:c r="J199" s="32" t="n">
        <x:v>0.132518796992481203007518797</x:v>
      </x:c>
      <x:c r="K199" s="32" t="n">
        <x:v>0.140037593984962406015037594</x:v>
      </x:c>
      <x:c r="L199" s="32" t="n">
        <x:v>0.147556390977443609022556391</x:v>
      </x:c>
      <x:c r="M199" s="32" t="n">
        <x:v>0.1447368421052631578947368421</x:v>
      </x:c>
      <x:c r="N199" s="32" t="n">
        <x:v>0.1513157894736842105263157895</x:v>
      </x:c>
      <x:c r="O199" s="32" t="n">
        <x:v>0.1484962406015037593984962406</x:v>
      </x:c>
      <x:c r="P199" s="32" t="n">
        <x:v>0.1560150375939849624060150376</x:v>
      </x:c>
      <x:c r="Q199" s="32" t="n">
        <x:v>0.1578947368421052631578947368</x:v>
      </x:c>
      <x:c r="R199" s="32" t="n">
        <x:v>0.1644736842105263157894736842</x:v>
      </x:c>
      <x:c r="S199" s="32" t="n">
        <x:v>0.1691729323308270676691729323</x:v>
      </x:c>
      <x:c r="T199" s="32" t="n">
        <x:v>0.1766917293233082706766917293</x:v>
      </x:c>
      <x:c r="U199" s="32" t="n">
        <x:v>0.1926691729323308270676691729</x:v>
      </x:c>
      <x:c r="V199" s="32" t="n">
        <x:v>0.2133458646616541353383458647</x:v>
      </x:c>
      <x:c r="W199" s="32" t="n">
        <x:v>0.234962406015037593984962406</x:v>
      </x:c>
      <x:c r="X199" s="32" t="n">
        <x:v>0.2528195488721804511278195489</x:v>
      </x:c>
      <x:c r="Y199" s="32" t="n">
        <x:v>0.2593984962406015037593984962</x:v>
      </x:c>
      <x:c r="Z199" s="32" t="n">
        <x:v>0.2640977443609022556390977444</x:v>
      </x:c>
      <x:c r="AA199" s="32" t="n">
        <x:v>0.2659774436090225563909774436</x:v>
      </x:c>
      <x:c r="AB199" s="32" t="n">
        <x:v>0.2687969924812030075187969925</x:v>
      </x:c>
      <x:c r="AC199" s="32" t="n">
        <x:v>0.2734962406015037593984962406</x:v>
      </x:c>
      <x:c r="AD199" s="32" t="n">
        <x:v>0.2744360902255639097744360902</x:v>
      </x:c>
      <x:c r="AE199" s="32" t="n">
        <x:v>0.2791353383458646616541353383</x:v>
      </x:c>
      <x:c r="AF199" s="32" t="n">
        <x:v>0.2781954887218045112781954887</x:v>
      </x:c>
      <x:c r="AG199" s="32" t="n">
        <x:v>0.280075187969924812030075188</x:v>
      </x:c>
      <x:c r="AH199" s="32" t="n">
        <x:v>0.280075187969924812030075188</x:v>
      </x:c>
      <x:c r="AI199" s="32" t="n">
        <x:v>0.2819548872180451127819548872</x:v>
      </x:c>
      <x:c r="AJ199" s="32" t="n">
        <x:v>0.2828947368421052631578947368</x:v>
      </x:c>
      <x:c r="AK199" s="32" t="n">
        <x:v>0.2847744360902255639097744361</x:v>
      </x:c>
      <x:c r="AL199" s="32" t="n">
        <x:v>0.2866541353383458646616541353</x:v>
      </x:c>
      <x:c r="BI199" s="33" t="s"/>
      <x:c r="BJ199" s="11" t="s">
        <x:v>197</x:v>
      </x:c>
      <x:c r="BK199" s="12" t="str">
        <x:f>=BX199</x:f>
      </x:c>
      <x:c r="BL199" s="12" t="n">
        <x:v>0.2922932330827067669172932331</x:v>
      </x:c>
      <x:c r="BM199" s="12" t="n">
        <x:v>0.6907894736842105263157894737</x:v>
      </x:c>
      <x:c r="BN199" s="12" t="n">
        <x:v>0.0169172932330827067669172932</x:v>
      </x:c>
      <x:c r="BO199" s="12" t="str">
        <x:f>=BW199</x:f>
      </x:c>
      <x:c r="BP199" s="12" t="str">
        <x:f>=CF199</x:f>
      </x:c>
      <x:c r="BQ199" s="12" t="str"/>
      <x:c r="BR199" s="12" t="str">
        <x:v>AW 2019 EOS</x:v>
      </x:c>
      <x:c r="BS199" s="13" t="str"/>
      <x:c r="BT199" s="30" t="n">
        <x:v>7846.84</x:v>
      </x:c>
      <x:c r="BU199" s="30" t="n">
        <x:v>-9611.81293516360000000000</x:v>
      </x:c>
      <x:c r="BV199" s="30" t="str">
        <x:f>=BT199+BU199</x:f>
      </x:c>
      <x:c r="BW199" s="66" t="str">
        <x:f>=BV199/BT199</x:f>
      </x:c>
      <x:c r="BX199" s="66" t="n">
        <x:v>0.9830827067669172932330827068</x:v>
      </x:c>
      <x:c r="BY199" s="30" t="n">
        <x:v>9623.889623880000000000</x:v>
      </x:c>
      <x:c r="BZ199" s="41" t="n">
        <x:v>18</x:v>
      </x:c>
      <x:c r="CA199" s="30" t="n">
        <x:v>162.810162810000000000</x:v>
      </x:c>
      <x:c r="CC199" s="30" t="n">
        <x:v>7847.1266541353383458646616541</x:v>
      </x:c>
      <x:c r="CD199" s="30" t="n">
        <x:v>-9611.81293516360000000000</x:v>
      </x:c>
      <x:c r="CE199" s="30" t="str">
        <x:f>=CC199+CD199</x:f>
      </x:c>
      <x:c r="CF199" s="66" t="str">
        <x:f>=CE199/CC199</x:f>
      </x:c>
      <x:c r="CH199" s="66" t="str">
        <x:f>=CI199+CJ199</x:f>
      </x:c>
      <x:c r="CI199" s="66" t="str">
        <x:f>=BX199+(0*7)</x:f>
      </x:c>
      <x:c r="CJ199" s="66" t="str">
        <x:f>=(1-CI199)*0.5</x:f>
      </x:c>
      <x:c r="CK199" s="66" t="str">
        <x:f>=1-CH199</x:f>
      </x:c>
      <x:c r="CM199" s="66" t="str">
        <x:f>=CJ199/(1-CI199)</x:f>
      </x:c>
    </x:row>
    <x:row r="200">
      <x:c r="A200" s="31" t="s">
        <x:v>427</x:v>
      </x:c>
      <x:c r="B200" t="s"/>
      <x:c r="C200" t="s">
        <x:v>428</x:v>
      </x:c>
      <x:c r="D200" t="s">
        <x:v>130</x:v>
      </x:c>
      <x:c r="E200" s="67" t="s">
        <x:v>131</x:v>
      </x:c>
      <x:c r="F200" t="n">
        <x:v>1097</x:v>
      </x:c>
      <x:c r="G200" s="32" t="n">
        <x:v>0.0246125797629899726526891522</x:v>
      </x:c>
      <x:c r="H200" s="32" t="n">
        <x:v>0.0528714676390154968094804011</x:v>
      </x:c>
      <x:c r="I200" s="32" t="n">
        <x:v>0.0711030082041932543299908842</x:v>
      </x:c>
      <x:c r="J200" s="32" t="n">
        <x:v>0.0656335460346399270738377393</x:v>
      </x:c>
      <x:c r="K200" s="32" t="n">
        <x:v>0.0592525068368277119416590702</x:v>
      </x:c>
      <x:c r="L200" s="32" t="n">
        <x:v>0.0565177757520510483135824977</x:v>
      </x:c>
      <x:c r="M200" s="32" t="n">
        <x:v>0.0556061987237921604375569736</x:v>
      </x:c>
      <x:c r="N200" s="32" t="n">
        <x:v>0.0546946216955332725615314494</x:v>
      </x:c>
      <x:c r="O200" s="32" t="n">
        <x:v>0.0574293527803099361896080219</x:v>
      </x:c>
      <x:c r="P200" s="32" t="n">
        <x:v>0.0628988149498632634457611668</x:v>
      </x:c>
      <x:c r="Q200" s="32" t="n">
        <x:v>0.0628988149498632634457611668</x:v>
      </x:c>
      <x:c r="R200" s="32" t="n">
        <x:v>0.0628988149498632634457611668</x:v>
      </x:c>
      <x:c r="S200" s="32" t="n">
        <x:v>0.0647219690063810391978122151</x:v>
      </x:c>
      <x:c r="T200" s="32" t="n">
        <x:v>0.0656335460346399270738377393</x:v>
      </x:c>
      <x:c r="U200" s="32" t="n">
        <x:v>0.0747493163172288058340929809</x:v>
      </x:c>
      <x:c r="V200" s="32" t="n">
        <x:v>0.0938924339106654512306289881</x:v>
      </x:c>
      <x:c r="W200" s="32" t="n">
        <x:v>0.1121239744758432087511394713</x:v>
      </x:c>
      <x:c r="X200" s="32" t="n">
        <x:v>0.1257976298997265268915223336</x:v>
      </x:c>
      <x:c r="Y200" s="32" t="n">
        <x:v>0.1330902461257976298997265269</x:v>
      </x:c>
      <x:c r="Z200" s="32" t="n">
        <x:v>0.1376481312670920692798541477</x:v>
      </x:c>
      <x:c r="AA200" s="32" t="n">
        <x:v>0.1431175934366453965360072926</x:v>
      </x:c>
      <x:c r="AB200" s="32" t="n">
        <x:v>0.1467639015496809480401093892</x:v>
      </x:c>
      <x:c r="AC200" s="32" t="n">
        <x:v>0.1558796718322698268003646308</x:v>
      </x:c>
      <x:c r="AD200" s="32" t="n">
        <x:v>0.1577028258887876025524156791</x:v>
      </x:c>
      <x:c r="AE200" s="32" t="n">
        <x:v>0.1604375569735642661804922516</x:v>
      </x:c>
      <x:c r="AF200" s="32" t="n">
        <x:v>0.1631722880583409298085688241</x:v>
      </x:c>
      <x:c r="AG200" s="32" t="n">
        <x:v>0.1640838650865998176845943482</x:v>
      </x:c>
      <x:c r="AH200" s="32" t="n">
        <x:v>0.1640838650865998176845943482</x:v>
      </x:c>
      <x:c r="AI200" s="32" t="n">
        <x:v>0.168641750227894257064721969</x:v>
      </x:c>
      <x:c r="AJ200" s="32" t="n">
        <x:v>0.1713764813126709206927985415</x:v>
      </x:c>
      <x:c r="AK200" s="32" t="n">
        <x:v>0.1768459434822242479489516864</x:v>
      </x:c>
      <x:c r="AL200" s="32" t="n">
        <x:v>0.168641750227894257064721969</x:v>
      </x:c>
      <x:c r="BI200" s="33" t="s"/>
      <x:c r="BJ200" s="11" t="s">
        <x:v>197</x:v>
      </x:c>
      <x:c r="BK200" s="12" t="str">
        <x:f>=BX200</x:f>
      </x:c>
      <x:c r="BL200" s="12" t="n">
        <x:v>0.2251595259799453053783044667</x:v>
      </x:c>
      <x:c r="BM200" s="12" t="n">
        <x:v>0.628076572470373746581586144</x:v>
      </x:c>
      <x:c r="BN200" s="12" t="n">
        <x:v>0.1467639015496809480401093892</x:v>
      </x:c>
      <x:c r="BO200" s="12" t="str">
        <x:f>=BW200</x:f>
      </x:c>
      <x:c r="BP200" s="12" t="str">
        <x:f>=CF200</x:f>
      </x:c>
      <x:c r="BQ200" s="12" t="str"/>
      <x:c r="BR200" s="12" t="str">
        <x:v>AW 2019 EOS</x:v>
      </x:c>
      <x:c r="BS200" s="13" t="str"/>
      <x:c r="BT200" s="30" t="n">
        <x:v>7546.35</x:v>
      </x:c>
      <x:c r="BU200" s="30" t="n">
        <x:v>-11906.27363899807500000000</x:v>
      </x:c>
      <x:c r="BV200" s="30" t="str">
        <x:f>=BT200+BU200</x:f>
      </x:c>
      <x:c r="BW200" s="66" t="str">
        <x:f>=BV200/BT200</x:f>
      </x:c>
      <x:c r="BX200" s="66" t="n">
        <x:v>0.8532360984503190519598906108</x:v>
      </x:c>
      <x:c r="BY200" s="30" t="n">
        <x:v>11921.659421647500000000</x:v>
      </x:c>
      <x:c r="BZ200" s="41" t="n">
        <x:v>161</x:v>
      </x:c>
      <x:c r="CA200" s="30" t="n">
        <x:v>1749.669249667500000000</x:v>
      </x:c>
      <x:c r="CC200" s="30" t="n">
        <x:v>7546.5177301731996353691886964</x:v>
      </x:c>
      <x:c r="CD200" s="30" t="n">
        <x:v>-11906.27363899807500000000</x:v>
      </x:c>
      <x:c r="CE200" s="30" t="str">
        <x:f>=CC200+CD200</x:f>
      </x:c>
      <x:c r="CF200" s="66" t="str">
        <x:f>=CE200/CC200</x:f>
      </x:c>
      <x:c r="CH200" s="66" t="str">
        <x:f>=CI200+CJ200</x:f>
      </x:c>
      <x:c r="CI200" s="66" t="str">
        <x:f>=BX200+(0*7)</x:f>
      </x:c>
      <x:c r="CJ200" s="66" t="str">
        <x:f>=(1-CI200)*0.5</x:f>
      </x:c>
      <x:c r="CK200" s="66" t="str">
        <x:f>=1-CH200</x:f>
      </x:c>
      <x:c r="CM200" s="66" t="str">
        <x:f>=CJ200/(1-CI200)</x:f>
      </x:c>
    </x:row>
    <x:row r="201">
      <x:c r="A201" s="31" t="s">
        <x:v>429</x:v>
      </x:c>
      <x:c r="B201" t="s"/>
      <x:c r="C201" t="s">
        <x:v>430</x:v>
      </x:c>
      <x:c r="D201" t="s">
        <x:v>130</x:v>
      </x:c>
      <x:c r="E201" s="67" t="s">
        <x:v>131</x:v>
      </x:c>
      <x:c r="F201" t="n">
        <x:v>1100</x:v>
      </x:c>
      <x:c r="G201" s="32" t="n">
        <x:v>0.0209090909090909090909090909</x:v>
      </x:c>
      <x:c r="H201" s="32" t="n">
        <x:v>0.0454545454545454545454545455</x:v>
      </x:c>
      <x:c r="I201" s="32" t="n">
        <x:v>0.0572727272727272727272727273</x:v>
      </x:c>
      <x:c r="J201" s="32" t="n">
        <x:v>0.0636363636363636363636363636</x:v>
      </x:c>
      <x:c r="K201" s="32" t="n">
        <x:v>0.0627272727272727272727272727</x:v>
      </x:c>
      <x:c r="L201" s="32" t="n">
        <x:v>0.0709090909090909090909090909</x:v>
      </x:c>
      <x:c r="M201" s="32" t="n">
        <x:v>0.0736363636363636363636363636</x:v>
      </x:c>
      <x:c r="N201" s="32" t="n">
        <x:v>0.0772727272727272727272727273</x:v>
      </x:c>
      <x:c r="O201" s="32" t="n">
        <x:v>0.0845454545454545454545454545</x:v>
      </x:c>
      <x:c r="P201" s="32" t="n">
        <x:v>0.0881818181818181818181818182</x:v>
      </x:c>
      <x:c r="Q201" s="32" t="n">
        <x:v>0.0909090909090909090909090909</x:v>
      </x:c>
      <x:c r="R201" s="32" t="n">
        <x:v>0.0981818181818181818181818182</x:v>
      </x:c>
      <x:c r="S201" s="32" t="n">
        <x:v>0.1045454545454545454545454545</x:v>
      </x:c>
      <x:c r="T201" s="32" t="n">
        <x:v>0.1118181818181818181818181818</x:v>
      </x:c>
      <x:c r="U201" s="32" t="n">
        <x:v>0.1336363636363636363636363636</x:v>
      </x:c>
      <x:c r="V201" s="32" t="n">
        <x:v>0.15</x:v>
      </x:c>
      <x:c r="W201" s="32" t="n">
        <x:v>0.1627272727272727272727272727</x:v>
      </x:c>
      <x:c r="X201" s="32" t="n">
        <x:v>0.1727272727272727272727272727</x:v>
      </x:c>
      <x:c r="Y201" s="32" t="n">
        <x:v>0.1790909090909090909090909091</x:v>
      </x:c>
      <x:c r="Z201" s="32" t="n">
        <x:v>0.1845454545454545454545454545</x:v>
      </x:c>
      <x:c r="AA201" s="32" t="n">
        <x:v>0.1881818181818181818181818182</x:v>
      </x:c>
      <x:c r="AB201" s="32" t="n">
        <x:v>0.1890909090909090909090909091</x:v>
      </x:c>
      <x:c r="AC201" s="32" t="n">
        <x:v>0.1918181818181818181818181818</x:v>
      </x:c>
      <x:c r="AD201" s="32" t="n">
        <x:v>0.1972727272727272727272727273</x:v>
      </x:c>
      <x:c r="AE201" s="32" t="n">
        <x:v>0.1990909090909090909090909091</x:v>
      </x:c>
      <x:c r="AF201" s="32" t="n">
        <x:v>0.1990909090909090909090909091</x:v>
      </x:c>
      <x:c r="AG201" s="32" t="n">
        <x:v>0.2</x:v>
      </x:c>
      <x:c r="AH201" s="32" t="n">
        <x:v>0.2</x:v>
      </x:c>
      <x:c r="AI201" s="32" t="n">
        <x:v>0.2018181818181818181818181818</x:v>
      </x:c>
      <x:c r="AJ201" s="32" t="n">
        <x:v>0.2018181818181818181818181818</x:v>
      </x:c>
      <x:c r="AK201" s="32" t="n">
        <x:v>0.2045454545454545454545454545</x:v>
      </x:c>
      <x:c r="AL201" s="32" t="n">
        <x:v>0.21</x:v>
      </x:c>
      <x:c r="BI201" s="33" t="s"/>
      <x:c r="BJ201" s="11" t="s">
        <x:v>197</x:v>
      </x:c>
      <x:c r="BK201" s="12" t="str">
        <x:f>=BX201</x:f>
      </x:c>
      <x:c r="BL201" s="12" t="n">
        <x:v>0.2172727272727272727272727273</x:v>
      </x:c>
      <x:c r="BM201" s="12" t="n">
        <x:v>0.7481818181818181818181818182</x:v>
      </x:c>
      <x:c r="BN201" s="12" t="n">
        <x:v>0.0345454545454545454545454545</x:v>
      </x:c>
      <x:c r="BO201" s="12" t="str">
        <x:f>=BW201</x:f>
      </x:c>
      <x:c r="BP201" s="12" t="str">
        <x:f>=CF201</x:f>
      </x:c>
      <x:c r="BQ201" s="12" t="str"/>
      <x:c r="BR201" s="12" t="str">
        <x:v>AW 2019 EOS</x:v>
      </x:c>
      <x:c r="BS201" s="13" t="str"/>
      <x:c r="BT201" s="30" t="n">
        <x:v>7079.21</x:v>
      </x:c>
      <x:c r="BU201" s="30" t="n">
        <x:v>-9937.02465101500000000000</x:v>
      </x:c>
      <x:c r="BV201" s="30" t="str">
        <x:f>=BT201+BU201</x:f>
      </x:c>
      <x:c r="BW201" s="66" t="str">
        <x:f>=BV201/BT201</x:f>
      </x:c>
      <x:c r="BX201" s="66" t="n">
        <x:v>0.9654545454545454545454545455</x:v>
      </x:c>
      <x:c r="BY201" s="30" t="n">
        <x:v>9949.509949500000000000</x:v>
      </x:c>
      <x:c r="BZ201" s="41" t="n">
        <x:v>38</x:v>
      </x:c>
      <x:c r="CA201" s="30" t="n">
        <x:v>343.710343710000000000</x:v>
      </x:c>
      <x:c r="CC201" s="30" t="n">
        <x:v>7079.4181818181818181818181818</x:v>
      </x:c>
      <x:c r="CD201" s="30" t="n">
        <x:v>-9937.02465101500000000000</x:v>
      </x:c>
      <x:c r="CE201" s="30" t="str">
        <x:f>=CC201+CD201</x:f>
      </x:c>
      <x:c r="CF201" s="66" t="str">
        <x:f>=CE201/CC201</x:f>
      </x:c>
      <x:c r="CH201" s="66" t="str">
        <x:f>=CI201+CJ201</x:f>
      </x:c>
      <x:c r="CI201" s="66" t="str">
        <x:f>=BX201+(0*7)</x:f>
      </x:c>
      <x:c r="CJ201" s="66" t="str">
        <x:f>=(1-CI201)*0.5</x:f>
      </x:c>
      <x:c r="CK201" s="66" t="str">
        <x:f>=1-CH201</x:f>
      </x:c>
      <x:c r="CM201" s="66" t="str">
        <x:f>=CJ201/(1-CI201)</x:f>
      </x:c>
    </x:row>
    <x:row r="202">
      <x:c r="A202" s="31" t="s">
        <x:v>431</x:v>
      </x:c>
      <x:c r="B202" t="s"/>
      <x:c r="C202" t="s">
        <x:v>432</x:v>
      </x:c>
      <x:c r="D202" t="s">
        <x:v>147</x:v>
      </x:c>
      <x:c r="E202" s="67" t="s">
        <x:v>131</x:v>
      </x:c>
      <x:c r="F202" t="n">
        <x:v>470</x:v>
      </x:c>
      <x:c r="G202" s="32" t="n">
        <x:v>0.0021276595744680851063829787</x:v>
      </x:c>
      <x:c r="H202" s="32" t="n">
        <x:v>0</x:v>
      </x:c>
      <x:c r="I202" s="32" t="n">
        <x:v>0.0021276595744680851063829787</x:v>
      </x:c>
      <x:c r="J202" s="32" t="n">
        <x:v>0.1851063829787234042553191489</x:v>
      </x:c>
      <x:c r="K202" s="32" t="n">
        <x:v>0.1744680851063829787234042553</x:v>
      </x:c>
      <x:c r="L202" s="32" t="n">
        <x:v>0.1893617021276595744680851064</x:v>
      </x:c>
      <x:c r="M202" s="32" t="n">
        <x:v>0.2021276595744680851063829787</x:v>
      </x:c>
      <x:c r="N202" s="32" t="n">
        <x:v>0.2021276595744680851063829787</x:v>
      </x:c>
      <x:c r="O202" s="32" t="n">
        <x:v>0.2276595744680851063829787234</x:v>
      </x:c>
      <x:c r="P202" s="32" t="n">
        <x:v>0.2659574468085106382978723404</x:v>
      </x:c>
      <x:c r="Q202" s="32" t="n">
        <x:v>0.2723404255319148936170212766</x:v>
      </x:c>
      <x:c r="R202" s="32" t="n">
        <x:v>0.3</x:v>
      </x:c>
      <x:c r="S202" s="32" t="n">
        <x:v>0.3085106382978723404255319149</x:v>
      </x:c>
      <x:c r="T202" s="32" t="n">
        <x:v>0.3340425531914893617021276596</x:v>
      </x:c>
      <x:c r="U202" s="32" t="n">
        <x:v>0.3489361702127659574468085106</x:v>
      </x:c>
      <x:c r="V202" s="32" t="n">
        <x:v>0.3638297872340425531914893617</x:v>
      </x:c>
      <x:c r="W202" s="32" t="n">
        <x:v>0.3319148936170212765957446809</x:v>
      </x:c>
      <x:c r="X202" s="32" t="n">
        <x:v>0.3489361702127659574468085106</x:v>
      </x:c>
      <x:c r="Y202" s="32" t="n">
        <x:v>0.3638297872340425531914893617</x:v>
      </x:c>
      <x:c r="Z202" s="32" t="n">
        <x:v>0.3659574468085106382978723404</x:v>
      </x:c>
      <x:c r="AA202" s="32" t="n">
        <x:v>0.3914893617021276595744680851</x:v>
      </x:c>
      <x:c r="AB202" s="32" t="n">
        <x:v>0.4</x:v>
      </x:c>
      <x:c r="AC202" s="32" t="n">
        <x:v>0.3829787234042553191489361702</x:v>
      </x:c>
      <x:c r="AD202" s="32" t="n">
        <x:v>0.3829787234042553191489361702</x:v>
      </x:c>
      <x:c r="AE202" s="32" t="n">
        <x:v>0.3872340425531914893617021277</x:v>
      </x:c>
      <x:c r="AF202" s="32" t="n">
        <x:v>0.3936170212765957446808510638</x:v>
      </x:c>
      <x:c r="AG202" s="32" t="n">
        <x:v>0.4</x:v>
      </x:c>
      <x:c r="AH202" s="32" t="n">
        <x:v>0.4042553191489361702127659574</x:v>
      </x:c>
      <x:c r="AI202" s="32" t="n">
        <x:v>0.4042553191489361702127659574</x:v>
      </x:c>
      <x:c r="AJ202" s="32" t="n">
        <x:v>0.4085106382978723404255319149</x:v>
      </x:c>
      <x:c r="AK202" s="32" t="n">
        <x:v>0.4170212765957446808510638298</x:v>
      </x:c>
      <x:c r="AL202" s="32" t="n">
        <x:v>0.4319148936170212765957446809</x:v>
      </x:c>
      <x:c r="BI202" s="33" t="s"/>
      <x:c r="BJ202" s="11" t="s">
        <x:v>197</x:v>
      </x:c>
      <x:c r="BK202" s="12" t="str">
        <x:f>=BX202</x:f>
      </x:c>
      <x:c r="BL202" s="12" t="n">
        <x:v>0.4638297872340425531914893617</x:v>
      </x:c>
      <x:c r="BM202" s="12" t="n">
        <x:v>0.2978723404255319148936170213</x:v>
      </x:c>
      <x:c r="BN202" s="12" t="n">
        <x:v>0.238297872340425531914893617</x:v>
      </x:c>
      <x:c r="BO202" s="12" t="str">
        <x:f>=BW202</x:f>
      </x:c>
      <x:c r="BP202" s="12" t="str">
        <x:f>=CF202</x:f>
      </x:c>
      <x:c r="BQ202" s="12" t="str"/>
      <x:c r="BR202" s="12" t="str">
        <x:v>AW 2019 EOS</x:v>
      </x:c>
      <x:c r="BS202" s="13" t="str"/>
      <x:c r="BT202" s="30" t="n">
        <x:v>3711.96</x:v>
      </x:c>
      <x:c r="BU202" s="30" t="n">
        <x:v>-4631.2860</x:v>
      </x:c>
      <x:c r="BV202" s="30" t="str">
        <x:f>=BT202+BU202</x:f>
      </x:c>
      <x:c r="BW202" s="66" t="str">
        <x:f>=BV202/BT202</x:f>
      </x:c>
      <x:c r="BX202" s="66" t="n">
        <x:v>0.761702127659574468085106383</x:v>
      </x:c>
      <x:c r="BY202" s="30" t="n">
        <x:v>4629.50</x:v>
      </x:c>
      <x:c r="BZ202" s="41" t="n">
        <x:v>112</x:v>
      </x:c>
      <x:c r="CA202" s="30" t="n">
        <x:v>1103.20</x:v>
      </x:c>
      <x:c r="CC202" s="30" t="n">
        <x:v>3712.3812765957446808510638298</x:v>
      </x:c>
      <x:c r="CD202" s="30" t="n">
        <x:v>-4631.2860</x:v>
      </x:c>
      <x:c r="CE202" s="30" t="str">
        <x:f>=CC202+CD202</x:f>
      </x:c>
      <x:c r="CF202" s="66" t="str">
        <x:f>=CE202/CC202</x:f>
      </x:c>
      <x:c r="CH202" s="66" t="str">
        <x:f>=CI202+CJ202</x:f>
      </x:c>
      <x:c r="CI202" s="66" t="str">
        <x:f>=BX202+(0*7)</x:f>
      </x:c>
      <x:c r="CJ202" s="66" t="str">
        <x:f>=(1-CI202)*0.5</x:f>
      </x:c>
      <x:c r="CK202" s="66" t="str">
        <x:f>=1-CH202</x:f>
      </x:c>
      <x:c r="CM202" s="66" t="str">
        <x:f>=CJ202/(1-CI202)</x:f>
      </x:c>
    </x:row>
    <x:row r="203">
      <x:c r="A203" s="31" t="s">
        <x:v>433</x:v>
      </x:c>
      <x:c r="B203" t="s"/>
      <x:c r="C203" t="s">
        <x:v>434</x:v>
      </x:c>
      <x:c r="D203" t="s">
        <x:v>147</x:v>
      </x:c>
      <x:c r="E203" s="67" t="s">
        <x:v>131</x:v>
      </x:c>
      <x:c r="F203" t="n">
        <x:v>455</x:v>
      </x:c>
      <x:c r="G203" s="32" t="n">
        <x:v>0.0021978021978021978021978022</x:v>
      </x:c>
      <x:c r="H203" s="32" t="n">
        <x:v>0.0021978021978021978021978022</x:v>
      </x:c>
      <x:c r="I203" s="32" t="n">
        <x:v>0.021978021978021978021978022</x:v>
      </x:c>
      <x:c r="J203" s="32" t="n">
        <x:v>0.2021978021978021978021978022</x:v>
      </x:c>
      <x:c r="K203" s="32" t="n">
        <x:v>0.1912087912087912087912087912</x:v>
      </x:c>
      <x:c r="L203" s="32" t="n">
        <x:v>0.221978021978021978021978022</x:v>
      </x:c>
      <x:c r="M203" s="32" t="n">
        <x:v>0.178021978021978021978021978</x:v>
      </x:c>
      <x:c r="N203" s="32" t="n">
        <x:v>0.1736263736263736263736263736</x:v>
      </x:c>
      <x:c r="O203" s="32" t="n">
        <x:v>0.2087912087912087912087912088</x:v>
      </x:c>
      <x:c r="P203" s="32" t="n">
        <x:v>0.2417582417582417582417582418</x:v>
      </x:c>
      <x:c r="Q203" s="32" t="n">
        <x:v>0.2527472527472527472527472527</x:v>
      </x:c>
      <x:c r="R203" s="32" t="n">
        <x:v>0.2813186813186813186813186813</x:v>
      </x:c>
      <x:c r="S203" s="32" t="n">
        <x:v>0.3186813186813186813186813187</x:v>
      </x:c>
      <x:c r="T203" s="32" t="n">
        <x:v>0.356043956043956043956043956</x:v>
      </x:c>
      <x:c r="U203" s="32" t="n">
        <x:v>0.3648351648351648351648351648</x:v>
      </x:c>
      <x:c r="V203" s="32" t="n">
        <x:v>0.3824175824175824175824175824</x:v>
      </x:c>
      <x:c r="W203" s="32" t="n">
        <x:v>0.3934065934065934065934065934</x:v>
      </x:c>
      <x:c r="X203" s="32" t="n">
        <x:v>0.4021978021978021978021978022</x:v>
      </x:c>
      <x:c r="Y203" s="32" t="n">
        <x:v>0.4153846153846153846153846154</x:v>
      </x:c>
      <x:c r="Z203" s="32" t="n">
        <x:v>0.4241758241758241758241758242</x:v>
      </x:c>
      <x:c r="AA203" s="32" t="n">
        <x:v>0.4197802197802197802197802198</x:v>
      </x:c>
      <x:c r="AB203" s="32" t="n">
        <x:v>0.4197802197802197802197802198</x:v>
      </x:c>
      <x:c r="AC203" s="32" t="n">
        <x:v>0.4175824175824175824175824176</x:v>
      </x:c>
      <x:c r="AD203" s="32" t="n">
        <x:v>0.4241758241758241758241758242</x:v>
      </x:c>
      <x:c r="AE203" s="32" t="n">
        <x:v>0.4505494505494505494505494505</x:v>
      </x:c>
      <x:c r="AF203" s="32" t="n">
        <x:v>0.4461538461538461538461538462</x:v>
      </x:c>
      <x:c r="AG203" s="32" t="n">
        <x:v>0.443956043956043956043956044</x:v>
      </x:c>
      <x:c r="AH203" s="32" t="n">
        <x:v>0.4505494505494505494505494505</x:v>
      </x:c>
      <x:c r="AI203" s="32" t="n">
        <x:v>0.4505494505494505494505494505</x:v>
      </x:c>
      <x:c r="AJ203" s="32" t="n">
        <x:v>0.4703296703296703296703296703</x:v>
      </x:c>
      <x:c r="AK203" s="32" t="n">
        <x:v>0.4725274725274725274725274725</x:v>
      </x:c>
      <x:c r="AL203" s="32" t="n">
        <x:v>0.4923076923076923076923076923</x:v>
      </x:c>
      <x:c r="BI203" s="33" t="s"/>
      <x:c r="BJ203" s="11" t="s">
        <x:v>197</x:v>
      </x:c>
      <x:c r="BK203" s="12" t="str">
        <x:f>=BX203</x:f>
      </x:c>
      <x:c r="BL203" s="12" t="n">
        <x:v>0.4813186813186813186813186813</x:v>
      </x:c>
      <x:c r="BM203" s="12" t="n">
        <x:v>0.3098901098901098901098901099</x:v>
      </x:c>
      <x:c r="BN203" s="12" t="n">
        <x:v>0.2087912087912087912087912088</x:v>
      </x:c>
      <x:c r="BO203" s="12" t="str">
        <x:f>=BW203</x:f>
      </x:c>
      <x:c r="BP203" s="12" t="str">
        <x:f>=CF203</x:f>
      </x:c>
      <x:c r="BQ203" s="12" t="str"/>
      <x:c r="BR203" s="12" t="str">
        <x:v>AW 2019 EOS</x:v>
      </x:c>
      <x:c r="BS203" s="13" t="str"/>
      <x:c r="BT203" s="30" t="n">
        <x:v>3924.40</x:v>
      </x:c>
      <x:c r="BU203" s="30" t="n">
        <x:v>-4479.2475</x:v>
      </x:c>
      <x:c r="BV203" s="30" t="str">
        <x:f>=BT203+BU203</x:f>
      </x:c>
      <x:c r="BW203" s="66" t="str">
        <x:f>=BV203/BT203</x:f>
      </x:c>
      <x:c r="BX203" s="66" t="n">
        <x:v>0.7912087912087912087912087912</x:v>
      </x:c>
      <x:c r="BY203" s="30" t="n">
        <x:v>4481.75</x:v>
      </x:c>
      <x:c r="BZ203" s="41" t="n">
        <x:v>95</x:v>
      </x:c>
      <x:c r="CA203" s="30" t="n">
        <x:v>935.75</x:v>
      </x:c>
      <x:c r="CC203" s="30" t="n">
        <x:v>3924.8879120879120879120879121</x:v>
      </x:c>
      <x:c r="CD203" s="30" t="n">
        <x:v>-4479.2475</x:v>
      </x:c>
      <x:c r="CE203" s="30" t="str">
        <x:f>=CC203+CD203</x:f>
      </x:c>
      <x:c r="CF203" s="66" t="str">
        <x:f>=CE203/CC203</x:f>
      </x:c>
      <x:c r="CH203" s="66" t="str">
        <x:f>=CI203+CJ203</x:f>
      </x:c>
      <x:c r="CI203" s="66" t="str">
        <x:f>=BX203+(0*7)</x:f>
      </x:c>
      <x:c r="CJ203" s="66" t="str">
        <x:f>=(1-CI203)*0.5</x:f>
      </x:c>
      <x:c r="CK203" s="66" t="str">
        <x:f>=1-CH203</x:f>
      </x:c>
      <x:c r="CM203" s="66" t="str">
        <x:f>=CJ203/(1-CI203)</x:f>
      </x:c>
    </x:row>
    <x:row r="204">
      <x:c r="A204" s="31" t="s">
        <x:v>435</x:v>
      </x:c>
      <x:c r="B204" t="s"/>
      <x:c r="C204" t="s">
        <x:v>436</x:v>
      </x:c>
      <x:c r="D204" t="s">
        <x:v>147</x:v>
      </x:c>
      <x:c r="E204" s="67" t="s">
        <x:v>131</x:v>
      </x:c>
      <x:c r="F204" t="n">
        <x:v>448</x:v>
      </x:c>
      <x:c r="G204" s="32" t="n">
        <x:v>0.0022321428571428571428571429</x:v>
      </x:c>
      <x:c r="H204" s="32" t="n">
        <x:v>0.0022321428571428571428571429</x:v>
      </x:c>
      <x:c r="I204" s="32" t="n">
        <x:v>0.0022321428571428571428571429</x:v>
      </x:c>
      <x:c r="J204" s="32" t="n">
        <x:v>0.0669642857142857142857142857</x:v>
      </x:c>
      <x:c r="K204" s="32" t="n">
        <x:v>0.0535714285714285714285714286</x:v>
      </x:c>
      <x:c r="L204" s="32" t="n">
        <x:v>0.0669642857142857142857142857</x:v>
      </x:c>
      <x:c r="M204" s="32" t="n">
        <x:v>0.0848214285714285714285714286</x:v>
      </x:c>
      <x:c r="N204" s="32" t="n">
        <x:v>0.0848214285714285714285714286</x:v>
      </x:c>
      <x:c r="O204" s="32" t="n">
        <x:v>0.1004464285714285714285714286</x:v>
      </x:c>
      <x:c r="P204" s="32" t="n">
        <x:v>0.1071428571428571428571428571</x:v>
      </x:c>
      <x:c r="Q204" s="32" t="n">
        <x:v>0.1183035714285714285714285714</x:v>
      </x:c>
      <x:c r="R204" s="32" t="n">
        <x:v>0.1183035714285714285714285714</x:v>
      </x:c>
      <x:c r="S204" s="32" t="n">
        <x:v>0.1517857142857142857142857143</x:v>
      </x:c>
      <x:c r="T204" s="32" t="n">
        <x:v>0.1383928571428571428571428571</x:v>
      </x:c>
      <x:c r="U204" s="32" t="n">
        <x:v>0.1473214285714285714285714286</x:v>
      </x:c>
      <x:c r="V204" s="32" t="n">
        <x:v>0.1361607142857142857142857143</x:v>
      </x:c>
      <x:c r="W204" s="32" t="n">
        <x:v>0.1450892857142857142857142857</x:v>
      </x:c>
      <x:c r="X204" s="32" t="n">
        <x:v>0.1495535714285714285714285714</x:v>
      </x:c>
      <x:c r="Y204" s="32" t="n">
        <x:v>0.1651785714285714285714285714</x:v>
      </x:c>
      <x:c r="Z204" s="32" t="n">
        <x:v>0.1629464285714285714285714286</x:v>
      </x:c>
      <x:c r="AA204" s="32" t="n">
        <x:v>0.1651785714285714285714285714</x:v>
      </x:c>
      <x:c r="AB204" s="32" t="n">
        <x:v>0.1785714285714285714285714286</x:v>
      </x:c>
      <x:c r="AC204" s="32" t="n">
        <x:v>0.1808035714285714285714285714</x:v>
      </x:c>
      <x:c r="AD204" s="32" t="n">
        <x:v>0.1897321428571428571428571429</x:v>
      </x:c>
      <x:c r="AE204" s="32" t="n">
        <x:v>0.1852678571428571428571428571</x:v>
      </x:c>
      <x:c r="AF204" s="32" t="n">
        <x:v>0.1852678571428571428571428571</x:v>
      </x:c>
      <x:c r="AG204" s="32" t="n">
        <x:v>0.1919642857142857142857142857</x:v>
      </x:c>
      <x:c r="AH204" s="32" t="n">
        <x:v>0.1964285714285714285714285714</x:v>
      </x:c>
      <x:c r="AI204" s="32" t="n">
        <x:v>0.2075892857142857142857142857</x:v>
      </x:c>
      <x:c r="AJ204" s="32" t="n">
        <x:v>0.2008928571428571428571428571</x:v>
      </x:c>
      <x:c r="AK204" s="32" t="n">
        <x:v>0.203125</x:v>
      </x:c>
      <x:c r="BI204" s="33" t="s"/>
      <x:c r="BJ204" s="11" t="s">
        <x:v>202</x:v>
      </x:c>
      <x:c r="BK204" s="12" t="str">
        <x:f>=BX204</x:f>
      </x:c>
      <x:c r="BL204" s="12" t="n">
        <x:v>0.4107142857142857142857142857</x:v>
      </x:c>
      <x:c r="BM204" s="12" t="n">
        <x:v>0.2879464285714285714285714286</x:v>
      </x:c>
      <x:c r="BN204" s="12" t="n">
        <x:v>0.3013392857142857142857142857</x:v>
      </x:c>
      <x:c r="BO204" s="12" t="str">
        <x:f>=BW204</x:f>
      </x:c>
      <x:c r="BP204" s="12" t="str">
        <x:f>=CF204</x:f>
      </x:c>
      <x:c r="BQ204" s="12" t="str"/>
      <x:c r="BR204" s="12" t="str">
        <x:v>AW 2019 EOS</x:v>
      </x:c>
      <x:c r="BS204" s="13" t="str"/>
      <x:c r="BT204" s="30" t="n">
        <x:v>2348.75</x:v>
      </x:c>
      <x:c r="BU204" s="30" t="n">
        <x:v>-4410.0672</x:v>
      </x:c>
      <x:c r="BV204" s="30" t="str">
        <x:f>=BT204+BU204</x:f>
      </x:c>
      <x:c r="BW204" s="66" t="str">
        <x:f>=BV204/BT204</x:f>
      </x:c>
      <x:c r="BX204" s="66" t="n">
        <x:v>0.6986607142857142857142857143</x:v>
      </x:c>
      <x:c r="BY204" s="30" t="n">
        <x:v>4412.80</x:v>
      </x:c>
      <x:c r="BZ204" s="41" t="n">
        <x:v>135</x:v>
      </x:c>
      <x:c r="CA204" s="30" t="n">
        <x:v>1329.75</x:v>
      </x:c>
      <x:c r="CC204" s="30" t="n">
        <x:v>2799.4035754499999999999999999</x:v>
      </x:c>
      <x:c r="CD204" s="30" t="n">
        <x:v>-4410.0672</x:v>
      </x:c>
      <x:c r="CE204" s="30" t="str">
        <x:f>=CC204+CD204</x:f>
      </x:c>
      <x:c r="CF204" s="66" t="str">
        <x:f>=CE204/CC204</x:f>
      </x:c>
      <x:c r="CH204" s="66" t="str">
        <x:f>=CI204+CJ204</x:f>
      </x:c>
      <x:c r="CI204" s="66" t="str">
        <x:f>=BX204+(0*7)</x:f>
      </x:c>
      <x:c r="CJ204" s="66" t="str">
        <x:f>=(1-CI204)*0.5</x:f>
      </x:c>
      <x:c r="CK204" s="66" t="str">
        <x:f>=1-CH204</x:f>
      </x:c>
      <x:c r="CM204" s="66" t="str">
        <x:f>=CJ204/(1-CI204)</x:f>
      </x:c>
    </x:row>
    <x:row r="205">
      <x:c r="A205" s="31" t="s">
        <x:v>437</x:v>
      </x:c>
      <x:c r="B205" t="s"/>
      <x:c r="C205" t="s">
        <x:v>438</x:v>
      </x:c>
      <x:c r="D205" t="s">
        <x:v>274</x:v>
      </x:c>
      <x:c r="E205" s="67" t="s">
        <x:v>131</x:v>
      </x:c>
      <x:c r="F205" t="n">
        <x:v>1194</x:v>
      </x:c>
      <x:c r="G205" s="32" t="n">
        <x:v>0.0075376884422110552763819095</x:v>
      </x:c>
      <x:c r="H205" s="32" t="n">
        <x:v>0.0242881072026800670016750419</x:v>
      </x:c>
      <x:c r="I205" s="32" t="n">
        <x:v>0.0577889447236180904522613065</x:v>
      </x:c>
      <x:c r="J205" s="32" t="n">
        <x:v>0.0628140703517587939698492462</x:v>
      </x:c>
      <x:c r="K205" s="32" t="n">
        <x:v>0.072026800670016750418760469</x:v>
      </x:c>
      <x:c r="L205" s="32" t="n">
        <x:v>0.0686767169179229480737018425</x:v>
      </x:c>
      <x:c r="M205" s="32" t="n">
        <x:v>0.0753768844221105527638190955</x:v>
      </x:c>
      <x:c r="N205" s="32" t="n">
        <x:v>0.0946398659966499162479061977</x:v>
      </x:c>
      <x:c r="O205" s="32" t="n">
        <x:v>0.1080402010050251256281407035</x:v>
      </x:c>
      <x:c r="P205" s="32" t="n">
        <x:v>0.1348408710217755443886097152</x:v>
      </x:c>
      <x:c r="Q205" s="32" t="n">
        <x:v>0.1381909547738693467336683417</x:v>
      </x:c>
      <x:c r="R205" s="32" t="n">
        <x:v>0.144053601340033500837520938</x:v>
      </x:c>
      <x:c r="S205" s="32" t="n">
        <x:v>0.1532663316582914572864321608</x:v>
      </x:c>
      <x:c r="T205" s="32" t="n">
        <x:v>0.1658291457286432160804020101</x:v>
      </x:c>
      <x:c r="U205" s="32" t="n">
        <x:v>0.1700167504187604690117252931</x:v>
      </x:c>
      <x:c r="V205" s="32" t="n">
        <x:v>0.1691792294807370184254606365</x:v>
      </x:c>
      <x:c r="W205" s="32" t="n">
        <x:v>0.172529313232830820770519263</x:v>
      </x:c>
      <x:c r="X205" s="32" t="n">
        <x:v>0.1817420435510887772194304858</x:v>
      </x:c>
      <x:c r="Y205" s="32" t="n">
        <x:v>0.1892797319932998324958123953</x:v>
      </x:c>
      <x:c r="Z205" s="32" t="n">
        <x:v>0.1984924623115577889447236181</x:v>
      </x:c>
      <x:c r="AA205" s="32" t="n">
        <x:v>0.2026800670016750418760469012</x:v>
      </x:c>
      <x:c r="AB205" s="32" t="n">
        <x:v>0.1993299832495812395309882747</x:v>
      </x:c>
      <x:c r="AC205" s="32" t="n">
        <x:v>0.2043551088777219430485762144</x:v>
      </x:c>
      <x:c r="AD205" s="32" t="n">
        <x:v>0.2077051926298157453936348409</x:v>
      </x:c>
      <x:c r="AE205" s="32" t="n">
        <x:v>0.2110552763819095477386934673</x:v>
      </x:c>
      <x:c r="AF205" s="32" t="n">
        <x:v>0.2093802345058626465661641541</x:v>
      </x:c>
      <x:c r="AG205" s="32" t="n">
        <x:v>0.2068676716917922948073701843</x:v>
      </x:c>
      <x:c r="AH205" s="32" t="n">
        <x:v>0.2127303182579564489112227806</x:v>
      </x:c>
      <x:c r="AI205" s="32" t="n">
        <x:v>0.2093802345058626465661641541</x:v>
      </x:c>
      <x:c r="AJ205" s="32" t="n">
        <x:v>0.2177554438860971524288107203</x:v>
      </x:c>
      <x:c r="AK205" s="32" t="n">
        <x:v>0.2244556113902847571189279732</x:v>
      </x:c>
      <x:c r="BI205" s="33" t="s"/>
      <x:c r="BJ205" s="11" t="s">
        <x:v>202</x:v>
      </x:c>
      <x:c r="BK205" s="12" t="str">
        <x:f>=BX205</x:f>
      </x:c>
      <x:c r="BL205" s="12" t="n">
        <x:v>0.2370184254606365159128978224</x:v>
      </x:c>
      <x:c r="BM205" s="12" t="n">
        <x:v>0.2512562814070351758793969849</x:v>
      </x:c>
      <x:c r="BN205" s="12" t="n">
        <x:v>0.5117252931323283082077051926</x:v>
      </x:c>
      <x:c r="BO205" s="12" t="str">
        <x:f>=BW205</x:f>
      </x:c>
      <x:c r="BP205" s="12" t="str">
        <x:f>=CF205</x:f>
      </x:c>
      <x:c r="BQ205" s="12" t="str"/>
      <x:c r="BR205" s="12" t="str">
        <x:v>AW 2019 EOS</x:v>
      </x:c>
      <x:c r="BS205" s="13" t="str"/>
      <x:c r="BT205" s="30" t="n">
        <x:v>4672.49</x:v>
      </x:c>
      <x:c r="BU205" s="30" t="n">
        <x:v>-10337.77140</x:v>
      </x:c>
      <x:c r="BV205" s="30" t="str">
        <x:f>=BT205+BU205</x:f>
      </x:c>
      <x:c r="BW205" s="66" t="str">
        <x:f>=BV205/BT205</x:f>
      </x:c>
      <x:c r="BX205" s="66" t="n">
        <x:v>0.4882747068676716917922948074</x:v>
      </x:c>
      <x:c r="BY205" s="30" t="n">
        <x:v>9552.00</x:v>
      </x:c>
      <x:c r="BZ205" s="41" t="n">
        <x:v>611</x:v>
      </x:c>
      <x:c r="CA205" s="30" t="n">
        <x:v>4888.00</x:v>
      </x:c>
      <x:c r="CC205" s="30" t="n">
        <x:v>5963.6115589067001675041876055</x:v>
      </x:c>
      <x:c r="CD205" s="30" t="n">
        <x:v>-10337.77140</x:v>
      </x:c>
      <x:c r="CE205" s="30" t="str">
        <x:f>=CC205+CD205</x:f>
      </x:c>
      <x:c r="CF205" s="66" t="str">
        <x:f>=CE205/CC205</x:f>
      </x:c>
      <x:c r="CH205" s="66" t="str">
        <x:f>=CI205+CJ205</x:f>
      </x:c>
      <x:c r="CI205" s="66" t="str">
        <x:f>=BX205+(0*7)</x:f>
      </x:c>
      <x:c r="CJ205" s="66" t="str">
        <x:f>=(1-CI205)*0.5</x:f>
      </x:c>
      <x:c r="CK205" s="66" t="str">
        <x:f>=1-CH205</x:f>
      </x:c>
      <x:c r="CM205" s="66" t="str">
        <x:f>=CJ205/(1-CI205)</x:f>
      </x:c>
    </x:row>
    <x:row r="206">
      <x:c r="A206" s="31" t="s">
        <x:v>439</x:v>
      </x:c>
      <x:c r="B206" t="s"/>
      <x:c r="C206" t="s">
        <x:v>440</x:v>
      </x:c>
      <x:c r="D206" t="s">
        <x:v>147</x:v>
      </x:c>
      <x:c r="E206" s="67" t="s">
        <x:v>131</x:v>
      </x:c>
      <x:c r="F206" t="n">
        <x:v>920</x:v>
      </x:c>
      <x:c r="G206" s="32" t="n">
        <x:v>0.0673913043478260869565217391</x:v>
      </x:c>
      <x:c r="H206" s="32" t="n">
        <x:v>0.2195652173913043478260869565</x:v>
      </x:c>
      <x:c r="I206" s="32" t="n">
        <x:v>0.2880434782608695652173913043</x:v>
      </x:c>
      <x:c r="J206" s="32" t="n">
        <x:v>0.2152173913043478260869565217</x:v>
      </x:c>
      <x:c r="K206" s="32" t="n">
        <x:v>0.1804347826086956521739130435</x:v>
      </x:c>
      <x:c r="L206" s="32" t="n">
        <x:v>0.1793478260869565217391304348</x:v>
      </x:c>
      <x:c r="M206" s="32" t="n">
        <x:v>0.185869565217391304347826087</x:v>
      </x:c>
      <x:c r="N206" s="32" t="n">
        <x:v>0.1913043478260869565217391304</x:v>
      </x:c>
      <x:c r="O206" s="32" t="n">
        <x:v>0.225</x:v>
      </x:c>
      <x:c r="P206" s="32" t="n">
        <x:v>0.225</x:v>
      </x:c>
      <x:c r="Q206" s="32" t="n">
        <x:v>0.225</x:v>
      </x:c>
      <x:c r="R206" s="32" t="n">
        <x:v>0.235869565217391304347826087</x:v>
      </x:c>
      <x:c r="S206" s="32" t="n">
        <x:v>0.2576086956521739130434782609</x:v>
      </x:c>
      <x:c r="T206" s="32" t="n">
        <x:v>0.2826086956521739130434782609</x:v>
      </x:c>
      <x:c r="U206" s="32" t="n">
        <x:v>0.289130434782608695652173913</x:v>
      </x:c>
      <x:c r="V206" s="32" t="n">
        <x:v>0.289130434782608695652173913</x:v>
      </x:c>
      <x:c r="W206" s="32" t="n">
        <x:v>0.2923913043478260869565217391</x:v>
      </x:c>
      <x:c r="X206" s="32" t="n">
        <x:v>0.2934782608695652173913043478</x:v>
      </x:c>
      <x:c r="Y206" s="32" t="n">
        <x:v>0.3010869565217391304347826087</x:v>
      </x:c>
      <x:c r="Z206" s="32" t="n">
        <x:v>0.3032608695652173913043478261</x:v>
      </x:c>
      <x:c r="AA206" s="32" t="n">
        <x:v>0.3119565217391304347826086957</x:v>
      </x:c>
      <x:c r="AB206" s="32" t="n">
        <x:v>0.3119565217391304347826086957</x:v>
      </x:c>
      <x:c r="AC206" s="32" t="n">
        <x:v>0.3163043478260869565217391304</x:v>
      </x:c>
      <x:c r="AD206" s="32" t="n">
        <x:v>0.3173913043478260869565217391</x:v>
      </x:c>
      <x:c r="AE206" s="32" t="n">
        <x:v>0.3163043478260869565217391304</x:v>
      </x:c>
      <x:c r="AF206" s="32" t="n">
        <x:v>0.3173913043478260869565217391</x:v>
      </x:c>
      <x:c r="AG206" s="32" t="n">
        <x:v>0.3206521739130434782608695652</x:v>
      </x:c>
      <x:c r="AH206" s="32" t="n">
        <x:v>0.3228260869565217391304347826</x:v>
      </x:c>
      <x:c r="AI206" s="32" t="n">
        <x:v>0.3228260869565217391304347826</x:v>
      </x:c>
      <x:c r="AJ206" s="32" t="n">
        <x:v>0.3228260869565217391304347826</x:v>
      </x:c>
      <x:c r="BI206" s="33" t="s"/>
      <x:c r="BJ206" s="11" t="s">
        <x:v>325</x:v>
      </x:c>
      <x:c r="BK206" s="12" t="str">
        <x:f>=BX206</x:f>
      </x:c>
      <x:c r="BL206" s="12" t="n">
        <x:v>0.4706521739130434782608695652</x:v>
      </x:c>
      <x:c r="BM206" s="12" t="n">
        <x:v>0.2826086956521739130434782609</x:v>
      </x:c>
      <x:c r="BN206" s="12" t="n">
        <x:v>0.2467391304347826086956521739</x:v>
      </x:c>
      <x:c r="BO206" s="12" t="str">
        <x:f>=BW206</x:f>
      </x:c>
      <x:c r="BP206" s="12" t="str">
        <x:f>=CF206</x:f>
      </x:c>
      <x:c r="BQ206" s="12" t="str"/>
      <x:c r="BR206" s="12" t="str">
        <x:v>AW 2019 EOS</x:v>
      </x:c>
      <x:c r="BS206" s="13" t="str"/>
      <x:c r="BT206" s="30" t="n">
        <x:v>5812.97</x:v>
      </x:c>
      <x:c r="BU206" s="30" t="n">
        <x:v>-7449.2400</x:v>
      </x:c>
      <x:c r="BV206" s="30" t="str">
        <x:f>=BT206+BU206</x:f>
      </x:c>
      <x:c r="BW206" s="66" t="str">
        <x:f>=BV206/BT206</x:f>
      </x:c>
      <x:c r="BX206" s="66" t="n">
        <x:v>0.7532608695652173913043478261</x:v>
      </x:c>
      <x:c r="BY206" s="30" t="n">
        <x:v>7452.00</x:v>
      </x:c>
      <x:c r="BZ206" s="41" t="n">
        <x:v>227</x:v>
      </x:c>
      <x:c r="CA206" s="30" t="n">
        <x:v>1838.70</x:v>
      </x:c>
      <x:c r="CC206" s="30" t="n">
        <x:v>6214.9932277869565217391304346</x:v>
      </x:c>
      <x:c r="CD206" s="30" t="n">
        <x:v>-7449.2400</x:v>
      </x:c>
      <x:c r="CE206" s="30" t="str">
        <x:f>=CC206+CD206</x:f>
      </x:c>
      <x:c r="CF206" s="66" t="str">
        <x:f>=CE206/CC206</x:f>
      </x:c>
      <x:c r="CH206" s="66" t="str">
        <x:f>=CI206+CJ206</x:f>
      </x:c>
      <x:c r="CI206" s="66" t="str">
        <x:f>=BX206+(0*7)</x:f>
      </x:c>
      <x:c r="CJ206" s="66" t="str">
        <x:f>=(1-CI206)*0.5</x:f>
      </x:c>
      <x:c r="CK206" s="66" t="str">
        <x:f>=1-CH206</x:f>
      </x:c>
      <x:c r="CM206" s="66" t="str">
        <x:f>=CJ206/(1-CI206)</x:f>
      </x:c>
    </x:row>
    <x:row r="207">
      <x:c r="A207" s="31" t="s">
        <x:v>441</x:v>
      </x:c>
      <x:c r="B207" t="s"/>
      <x:c r="C207" t="s">
        <x:v>442</x:v>
      </x:c>
      <x:c r="D207" t="s">
        <x:v>147</x:v>
      </x:c>
      <x:c r="E207" s="67" t="s">
        <x:v>131</x:v>
      </x:c>
      <x:c r="F207" t="n">
        <x:v>1072</x:v>
      </x:c>
      <x:c r="G207" s="32" t="n">
        <x:v>0.0009328358208955223880597015</x:v>
      </x:c>
      <x:c r="H207" s="32" t="n">
        <x:v>0.0811567164179104477611940299</x:v>
      </x:c>
      <x:c r="I207" s="32" t="n">
        <x:v>0.1352611940298507462686567164</x:v>
      </x:c>
      <x:c r="J207" s="32" t="n">
        <x:v>0.1520522388059701492537313433</x:v>
      </x:c>
      <x:c r="K207" s="32" t="n">
        <x:v>0.1436567164179104477611940299</x:v>
      </x:c>
      <x:c r="L207" s="32" t="n">
        <x:v>0.1464552238805970149253731343</x:v>
      </x:c>
      <x:c r="M207" s="32" t="n">
        <x:v>0.1529850746268656716417910448</x:v>
      </x:c>
      <x:c r="N207" s="32" t="n">
        <x:v>0.1688432835820895522388059701</x:v>
      </x:c>
      <x:c r="O207" s="32" t="n">
        <x:v>0.1809701492537313432835820896</x:v>
      </x:c>
      <x:c r="P207" s="32" t="n">
        <x:v>0.1977611940298507462686567164</x:v>
      </x:c>
      <x:c r="Q207" s="32" t="n">
        <x:v>0.191231343283582089552238806</x:v>
      </x:c>
      <x:c r="R207" s="32" t="n">
        <x:v>0.1949626865671641791044776119</x:v>
      </x:c>
      <x:c r="S207" s="32" t="n">
        <x:v>0.2061567164179104477611940299</x:v>
      </x:c>
      <x:c r="T207" s="32" t="n">
        <x:v>0.2042910447761194029850746269</x:v>
      </x:c>
      <x:c r="U207" s="32" t="n">
        <x:v>0.2089552238805970149253731343</x:v>
      </x:c>
      <x:c r="V207" s="32" t="n">
        <x:v>0.2192164179104477611940298507</x:v>
      </x:c>
      <x:c r="W207" s="32" t="n">
        <x:v>0.2192164179104477611940298507</x:v>
      </x:c>
      <x:c r="X207" s="32" t="n">
        <x:v>0.2192164179104477611940298507</x:v>
      </x:c>
      <x:c r="Y207" s="32" t="n">
        <x:v>0.2164179104477611940298507463</x:v>
      </x:c>
      <x:c r="Z207" s="32" t="n">
        <x:v>0.2192164179104477611940298507</x:v>
      </x:c>
      <x:c r="AA207" s="32" t="n">
        <x:v>0.2257462686567164179104477612</x:v>
      </x:c>
      <x:c r="AB207" s="32" t="n">
        <x:v>0.2294776119402985074626865672</x:v>
      </x:c>
      <x:c r="AC207" s="32" t="n">
        <x:v>0.2322761194029850746268656716</x:v>
      </x:c>
      <x:c r="AD207" s="32" t="n">
        <x:v>0.2350746268656716417910447761</x:v>
      </x:c>
      <x:c r="AE207" s="32" t="n">
        <x:v>0.2388059701492537313432835821</x:v>
      </x:c>
      <x:c r="AF207" s="32" t="n">
        <x:v>0.2388059701492537313432835821</x:v>
      </x:c>
      <x:c r="AG207" s="32" t="n">
        <x:v>0.2416044776119402985074626866</x:v>
      </x:c>
      <x:c r="AH207" s="32" t="n">
        <x:v>0.2472014925373134328358208955</x:v>
      </x:c>
      <x:c r="AI207" s="32" t="n">
        <x:v>0.2472014925373134328358208955</x:v>
      </x:c>
      <x:c r="AJ207" s="32" t="n">
        <x:v>0.255597014925373134328358209</x:v>
      </x:c>
      <x:c r="BI207" s="33" t="s"/>
      <x:c r="BJ207" s="11" t="s">
        <x:v>325</x:v>
      </x:c>
      <x:c r="BK207" s="12" t="str">
        <x:f>=BX207</x:f>
      </x:c>
      <x:c r="BL207" s="12" t="n">
        <x:v>0.310634328358208955223880597</x:v>
      </x:c>
      <x:c r="BM207" s="12" t="n">
        <x:v>0.4608208955223880597014925373</x:v>
      </x:c>
      <x:c r="BN207" s="12" t="n">
        <x:v>0.2285447761194029850746268657</x:v>
      </x:c>
      <x:c r="BO207" s="12" t="str">
        <x:f>=BW207</x:f>
      </x:c>
      <x:c r="BP207" s="12" t="str">
        <x:f>=CF207</x:f>
      </x:c>
      <x:c r="BQ207" s="12" t="str"/>
      <x:c r="BR207" s="12" t="str">
        <x:v>AW 2019 EOS</x:v>
      </x:c>
      <x:c r="BS207" s="13" t="str"/>
      <x:c r="BT207" s="30" t="n">
        <x:v>5276.30</x:v>
      </x:c>
      <x:c r="BU207" s="30" t="n">
        <x:v>-7285.6336</x:v>
      </x:c>
      <x:c r="BV207" s="30" t="str">
        <x:f>=BT207+BU207</x:f>
      </x:c>
      <x:c r="BW207" s="66" t="str">
        <x:f>=BV207/BT207</x:f>
      </x:c>
      <x:c r="BX207" s="66" t="n">
        <x:v>0.7714552238805970149253731343</x:v>
      </x:c>
      <x:c r="BY207" s="30" t="n">
        <x:v>7278.88</x:v>
      </x:c>
      <x:c r="BZ207" s="41" t="n">
        <x:v>245</x:v>
      </x:c>
      <x:c r="CA207" s="30" t="n">
        <x:v>1663.55</x:v>
      </x:c>
      <x:c r="CC207" s="30" t="n">
        <x:v>5276.5518656716417910447761194</x:v>
      </x:c>
      <x:c r="CD207" s="30" t="n">
        <x:v>-7285.6336</x:v>
      </x:c>
      <x:c r="CE207" s="30" t="str">
        <x:f>=CC207+CD207</x:f>
      </x:c>
      <x:c r="CF207" s="66" t="str">
        <x:f>=CE207/CC207</x:f>
      </x:c>
      <x:c r="CH207" s="66" t="str">
        <x:f>=CI207+CJ207</x:f>
      </x:c>
      <x:c r="CI207" s="66" t="str">
        <x:f>=BX207+(0*7)</x:f>
      </x:c>
      <x:c r="CJ207" s="66" t="str">
        <x:f>=(1-CI207)*0.5</x:f>
      </x:c>
      <x:c r="CK207" s="66" t="str">
        <x:f>=1-CH207</x:f>
      </x:c>
      <x:c r="CM207" s="66" t="str">
        <x:f>=CJ207/(1-CI207)</x:f>
      </x:c>
    </x:row>
    <x:row r="208">
      <x:c r="A208" s="31" t="s">
        <x:v>443</x:v>
      </x:c>
      <x:c r="B208" t="s"/>
      <x:c r="C208" t="s">
        <x:v>444</x:v>
      </x:c>
      <x:c r="D208" t="s">
        <x:v>147</x:v>
      </x:c>
      <x:c r="E208" s="67" t="s">
        <x:v>131</x:v>
      </x:c>
      <x:c r="F208" t="n">
        <x:v>945</x:v>
      </x:c>
      <x:c r="G208" s="32" t="n">
        <x:v>0.0010582010582010582010582011</x:v>
      </x:c>
      <x:c r="H208" s="32" t="n">
        <x:v>0.0497354497354497354497354497</x:v>
      </x:c>
      <x:c r="I208" s="32" t="n">
        <x:v>0.1047619047619047619047619048</x:v>
      </x:c>
      <x:c r="J208" s="32" t="n">
        <x:v>0.1121693121693121693121693122</x:v>
      </x:c>
      <x:c r="K208" s="32" t="n">
        <x:v>0.108994708994708994708994709</x:v>
      </x:c>
      <x:c r="L208" s="32" t="n">
        <x:v>0.1153439153439153439153439153</x:v>
      </x:c>
      <x:c r="M208" s="32" t="n">
        <x:v>0.1164021164021164021164021164</x:v>
      </x:c>
      <x:c r="N208" s="32" t="n">
        <x:v>0.1238095238095238095238095238</x:v>
      </x:c>
      <x:c r="O208" s="32" t="n">
        <x:v>0.1238095238095238095238095238</x:v>
      </x:c>
      <x:c r="P208" s="32" t="n">
        <x:v>0.1291005291005291005291005291</x:v>
      </x:c>
      <x:c r="Q208" s="32" t="n">
        <x:v>0.1238095238095238095238095238</x:v>
      </x:c>
      <x:c r="R208" s="32" t="n">
        <x:v>0.128042328042328042328042328</x:v>
      </x:c>
      <x:c r="S208" s="32" t="n">
        <x:v>0.1291005291005291005291005291</x:v>
      </x:c>
      <x:c r="T208" s="32" t="n">
        <x:v>0.126984126984126984126984127</x:v>
      </x:c>
      <x:c r="U208" s="32" t="n">
        <x:v>0.1238095238095238095238095238</x:v>
      </x:c>
      <x:c r="V208" s="32" t="n">
        <x:v>0.126984126984126984126984127</x:v>
      </x:c>
      <x:c r="W208" s="32" t="n">
        <x:v>0.1312169312169312169312169312</x:v>
      </x:c>
      <x:c r="X208" s="32" t="n">
        <x:v>0.1322751322751322751322751323</x:v>
      </x:c>
      <x:c r="Y208" s="32" t="n">
        <x:v>0.1312169312169312169312169312</x:v>
      </x:c>
      <x:c r="Z208" s="32" t="n">
        <x:v>0.1333333333333333333333333333</x:v>
      </x:c>
      <x:c r="AA208" s="32" t="n">
        <x:v>0.1333333333333333333333333333</x:v>
      </x:c>
      <x:c r="AB208" s="32" t="n">
        <x:v>0.1333333333333333333333333333</x:v>
      </x:c>
      <x:c r="AC208" s="32" t="n">
        <x:v>0.1354497354497354497354497354</x:v>
      </x:c>
      <x:c r="AD208" s="32" t="n">
        <x:v>0.1322751322751322751322751323</x:v>
      </x:c>
      <x:c r="AE208" s="32" t="n">
        <x:v>0.1322751322751322751322751323</x:v>
      </x:c>
      <x:c r="AF208" s="32" t="n">
        <x:v>0.1322751322751322751322751323</x:v>
      </x:c>
      <x:c r="AG208" s="32" t="n">
        <x:v>0.1322751322751322751322751323</x:v>
      </x:c>
      <x:c r="AH208" s="32" t="n">
        <x:v>0.1343915343915343915343915344</x:v>
      </x:c>
      <x:c r="BI208" s="33" t="s"/>
      <x:c r="BJ208" s="11" t="s">
        <x:v>265</x:v>
      </x:c>
      <x:c r="BK208" s="12" t="str">
        <x:f>=BX208</x:f>
      </x:c>
      <x:c r="BL208" s="12" t="n">
        <x:v>0.1587301587301587301587301587</x:v>
      </x:c>
      <x:c r="BM208" s="12" t="n">
        <x:v>0.4518518518518518518518518519</x:v>
      </x:c>
      <x:c r="BN208" s="12" t="n">
        <x:v>0.3894179894179894179894179894</x:v>
      </x:c>
      <x:c r="BO208" s="12" t="str">
        <x:f>=BW208</x:f>
      </x:c>
      <x:c r="BP208" s="12" t="str">
        <x:f>=CF208</x:f>
      </x:c>
      <x:c r="BQ208" s="12" t="str"/>
      <x:c r="BR208" s="12" t="str">
        <x:v>AW 2019 EOS</x:v>
      </x:c>
      <x:c r="BS208" s="13" t="str"/>
      <x:c r="BT208" s="30" t="n">
        <x:v>2916.71</x:v>
      </x:c>
      <x:c r="BU208" s="30" t="n">
        <x:v>-7714.9800</x:v>
      </x:c>
      <x:c r="BV208" s="30" t="str">
        <x:f>=BT208+BU208</x:f>
      </x:c>
      <x:c r="BW208" s="66" t="str">
        <x:f>=BV208/BT208</x:f>
      </x:c>
      <x:c r="BX208" s="66" t="n">
        <x:v>0.6105820105820105820105820106</x:v>
      </x:c>
      <x:c r="BY208" s="30" t="n">
        <x:v>7749.00</x:v>
      </x:c>
      <x:c r="BZ208" s="41" t="n">
        <x:v>368</x:v>
      </x:c>
      <x:c r="CA208" s="30" t="n">
        <x:v>3017.60</x:v>
      </x:c>
      <x:c r="CC208" s="30" t="n">
        <x:v>2916.8443915343915343915343915</x:v>
      </x:c>
      <x:c r="CD208" s="30" t="n">
        <x:v>-7714.9800</x:v>
      </x:c>
      <x:c r="CE208" s="30" t="str">
        <x:f>=CC208+CD208</x:f>
      </x:c>
      <x:c r="CF208" s="66" t="str">
        <x:f>=CE208/CC208</x:f>
      </x:c>
      <x:c r="CH208" s="66" t="str">
        <x:f>=CI208+CJ208</x:f>
      </x:c>
      <x:c r="CI208" s="66" t="str">
        <x:f>=BX208+(0*7)</x:f>
      </x:c>
      <x:c r="CJ208" s="66" t="str">
        <x:f>=(1-CI208)*0.5</x:f>
      </x:c>
      <x:c r="CK208" s="66" t="str">
        <x:f>=1-CH208</x:f>
      </x:c>
      <x:c r="CM208" s="66" t="str">
        <x:f>=CJ208/(1-CI208)</x:f>
      </x:c>
    </x:row>
    <x:row r="209">
      <x:c r="A209" s="31" t="s">
        <x:v>445</x:v>
      </x:c>
      <x:c r="B209" t="s"/>
      <x:c r="C209" t="s">
        <x:v>446</x:v>
      </x:c>
      <x:c r="D209" t="s">
        <x:v>147</x:v>
      </x:c>
      <x:c r="E209" s="67" t="s">
        <x:v>131</x:v>
      </x:c>
      <x:c r="F209" t="n">
        <x:v>456</x:v>
      </x:c>
      <x:c r="G209" s="32" t="n">
        <x:v>0.0043859649122807017543859649</x:v>
      </x:c>
      <x:c r="H209" s="32" t="n">
        <x:v>0.0285087719298245614035087719</x:v>
      </x:c>
      <x:c r="I209" s="32" t="n">
        <x:v>0.0592105263157894736842105263</x:v>
      </x:c>
      <x:c r="J209" s="32" t="n">
        <x:v>0.0986842105263157894736842105</x:v>
      </x:c>
      <x:c r="K209" s="32" t="n">
        <x:v>0.1184210526315789473684210526</x:v>
      </x:c>
      <x:c r="L209" s="32" t="n">
        <x:v>0.1557017543859649122807017544</x:v>
      </x:c>
      <x:c r="M209" s="32" t="n">
        <x:v>0.1578947368421052631578947368</x:v>
      </x:c>
      <x:c r="N209" s="32" t="n">
        <x:v>0.1710526315789473684210526316</x:v>
      </x:c>
      <x:c r="O209" s="32" t="n">
        <x:v>0.1973684210526315789473684211</x:v>
      </x:c>
      <x:c r="P209" s="32" t="n">
        <x:v>0.2105263157894736842105263158</x:v>
      </x:c>
      <x:c r="Q209" s="32" t="n">
        <x:v>0.2192982456140350877192982456</x:v>
      </x:c>
      <x:c r="R209" s="32" t="n">
        <x:v>0.225877192982456140350877193</x:v>
      </x:c>
      <x:c r="S209" s="32" t="n">
        <x:v>0.2390350877192982456140350877</x:v>
      </x:c>
      <x:c r="T209" s="32" t="n">
        <x:v>0.2368421052631578947368421053</x:v>
      </x:c>
      <x:c r="U209" s="32" t="n">
        <x:v>0.2434210526315789473684210526</x:v>
      </x:c>
      <x:c r="V209" s="32" t="n">
        <x:v>0.2412280701754385964912280702</x:v>
      </x:c>
      <x:c r="W209" s="32" t="n">
        <x:v>0.2478070175438596491228070175</x:v>
      </x:c>
      <x:c r="X209" s="32" t="n">
        <x:v>0.2456140350877192982456140351</x:v>
      </x:c>
      <x:c r="Y209" s="32" t="n">
        <x:v>0.25</x:v>
      </x:c>
      <x:c r="Z209" s="32" t="n">
        <x:v>0.2675438596491228070175438596</x:v>
      </x:c>
      <x:c r="AA209" s="32" t="n">
        <x:v>0.2763157894736842105263157895</x:v>
      </x:c>
      <x:c r="AB209" s="32" t="n">
        <x:v>0.2763157894736842105263157895</x:v>
      </x:c>
      <x:c r="AC209" s="32" t="n">
        <x:v>0.2763157894736842105263157895</x:v>
      </x:c>
      <x:c r="AD209" s="32" t="n">
        <x:v>0.2850877192982456140350877193</x:v>
      </x:c>
      <x:c r="AE209" s="32" t="n">
        <x:v>0.2872807017543859649122807018</x:v>
      </x:c>
      <x:c r="AF209" s="32" t="n">
        <x:v>0.2894736842105263157894736842</x:v>
      </x:c>
      <x:c r="AG209" s="32" t="n">
        <x:v>0.2872807017543859649122807018</x:v>
      </x:c>
      <x:c r="BI209" s="33" t="s"/>
      <x:c r="BJ209" s="11" t="s">
        <x:v>301</x:v>
      </x:c>
      <x:c r="BK209" s="12" t="str">
        <x:f>=BX209</x:f>
      </x:c>
      <x:c r="BL209" s="12" t="n">
        <x:v>0.3092105263157894736842105263</x:v>
      </x:c>
      <x:c r="BM209" s="12" t="n">
        <x:v>0.423245614035087719298245614</x:v>
      </x:c>
      <x:c r="BN209" s="12" t="n">
        <x:v>0.2675438596491228070175438596</x:v>
      </x:c>
      <x:c r="BO209" s="12" t="str">
        <x:f>=BW209</x:f>
      </x:c>
      <x:c r="BP209" s="12" t="str">
        <x:f>=CF209</x:f>
      </x:c>
      <x:c r="BQ209" s="12" t="str"/>
      <x:c r="BR209" s="12" t="str">
        <x:v>AW 2019 EOS</x:v>
      </x:c>
      <x:c r="BS209" s="13" t="str"/>
      <x:c r="BT209" s="30" t="n">
        <x:v>1757.52</x:v>
      </x:c>
      <x:c r="BU209" s="30" t="n">
        <x:v>-3474.2640</x:v>
      </x:c>
      <x:c r="BV209" s="30" t="str">
        <x:f>=BT209+BU209</x:f>
      </x:c>
      <x:c r="BW209" s="66" t="str">
        <x:f>=BV209/BT209</x:f>
      </x:c>
      <x:c r="BX209" s="66" t="n">
        <x:v>0.7324561403508771929824561404</x:v>
      </x:c>
      <x:c r="BY209" s="30" t="n">
        <x:v>3511.20</x:v>
      </x:c>
      <x:c r="BZ209" s="41" t="n">
        <x:v>122</x:v>
      </x:c>
      <x:c r="CA209" s="30" t="n">
        <x:v>939.40</x:v>
      </x:c>
      <x:c r="CC209" s="30" t="n">
        <x:v>1757.8072807017543859649122807</x:v>
      </x:c>
      <x:c r="CD209" s="30" t="n">
        <x:v>-3474.2640</x:v>
      </x:c>
      <x:c r="CE209" s="30" t="str">
        <x:f>=CC209+CD209</x:f>
      </x:c>
      <x:c r="CF209" s="66" t="str">
        <x:f>=CE209/CC209</x:f>
      </x:c>
      <x:c r="CH209" s="66" t="str">
        <x:f>=CI209+CJ209</x:f>
      </x:c>
      <x:c r="CI209" s="66" t="str">
        <x:f>=BX209+(0*7)</x:f>
      </x:c>
      <x:c r="CJ209" s="66" t="str">
        <x:f>=(1-CI209)*0.5</x:f>
      </x:c>
      <x:c r="CK209" s="66" t="str">
        <x:f>=1-CH209</x:f>
      </x:c>
      <x:c r="CM209" s="66" t="str">
        <x:f>=CJ209/(1-CI209)</x:f>
      </x:c>
    </x:row>
    <x:row r="210">
      <x:c r="A210" s="31" t="s">
        <x:v>447</x:v>
      </x:c>
      <x:c r="B210" t="s"/>
      <x:c r="C210" t="s">
        <x:v>448</x:v>
      </x:c>
      <x:c r="D210" t="s">
        <x:v>147</x:v>
      </x:c>
      <x:c r="E210" s="67" t="s">
        <x:v>131</x:v>
      </x:c>
      <x:c r="F210" t="n">
        <x:v>863</x:v>
      </x:c>
      <x:c r="G210" s="32" t="n">
        <x:v>0.0150637311703360370799536501</x:v>
      </x:c>
      <x:c r="H210" s="32" t="n">
        <x:v>0.0903823870220162224797219003</x:v>
      </x:c>
      <x:c r="I210" s="32" t="n">
        <x:v>0.1494785631517960602549246813</x:v>
      </x:c>
      <x:c r="J210" s="32" t="n">
        <x:v>0.1935110081112398609501738123</x:v>
      </x:c>
      <x:c r="K210" s="32" t="n">
        <x:v>0.295480880648899188876013905</x:v>
      </x:c>
      <x:c r="L210" s="32" t="n">
        <x:v>0.2896871378910776361529548088</x:v>
      </x:c>
      <x:c r="M210" s="32" t="n">
        <x:v>0.3012746234067207415990730012</x:v>
      </x:c>
      <x:c r="N210" s="32" t="n">
        <x:v>0.2896871378910776361529548088</x:v>
      </x:c>
      <x:c r="O210" s="32" t="n">
        <x:v>0.3035921205098493626882966396</x:v>
      </x:c>
      <x:c r="P210" s="32" t="n">
        <x:v>0.3406720741599073001158748552</x:v>
      </x:c>
      <x:c r="Q210" s="32" t="n">
        <x:v>0.3209733487833140208574739282</x:v>
      </x:c>
      <x:c r="R210" s="32" t="n">
        <x:v>0.3093858632676709154113557358</x:v>
      </x:c>
      <x:c r="S210" s="32" t="n">
        <x:v>0.3174971031286210892236384705</x:v>
      </x:c>
      <x:c r="T210" s="32" t="n">
        <x:v>0.3198146002317497103128621089</x:v>
      </x:c>
      <x:c r="U210" s="32" t="n">
        <x:v>0.3279258400926998841251448436</x:v>
      </x:c>
      <x:c r="V210" s="32" t="n">
        <x:v>0.330243337195828505214368482</x:v>
      </x:c>
      <x:c r="W210" s="32" t="n">
        <x:v>0.330243337195828505214368482</x:v>
      </x:c>
      <x:c r="X210" s="32" t="n">
        <x:v>0.3360370799536500579374275782</x:v>
      </x:c>
      <x:c r="Y210" s="32" t="n">
        <x:v>0.3371958285052143684820393975</x:v>
      </x:c>
      <x:c r="Z210" s="32" t="n">
        <x:v>0.3429895712630359212050984936</x:v>
      </x:c>
      <x:c r="AA210" s="32" t="n">
        <x:v>0.3441483198146002317497103129</x:v>
      </x:c>
      <x:c r="AB210" s="32" t="n">
        <x:v>0.3418308227114716106604866744</x:v>
      </x:c>
      <x:c r="AC210" s="32" t="n">
        <x:v>0.3418308227114716106604866744</x:v>
      </x:c>
      <x:c r="AD210" s="32" t="n">
        <x:v>0.3441483198146002317497103129</x:v>
      </x:c>
      <x:c r="AE210" s="32" t="n">
        <x:v>0.3441483198146002317497103129</x:v>
      </x:c>
      <x:c r="AF210" s="32" t="n">
        <x:v>0.3383545770567786790266512167</x:v>
      </x:c>
      <x:c r="BI210" s="33" t="s"/>
      <x:c r="BJ210" s="11" t="s">
        <x:v>449</x:v>
      </x:c>
      <x:c r="BK210" s="12" t="str">
        <x:f>=BX210</x:f>
      </x:c>
      <x:c r="BL210" s="12" t="n">
        <x:v>0.3789107763615295480880648899</x:v>
      </x:c>
      <x:c r="BM210" s="12" t="n">
        <x:v>0.4183082271147161066048667439</x:v>
      </x:c>
      <x:c r="BN210" s="12" t="n">
        <x:v>0.2027809965237543453070683662</x:v>
      </x:c>
      <x:c r="BO210" s="12" t="str">
        <x:f>=BW210</x:f>
      </x:c>
      <x:c r="BP210" s="12" t="str">
        <x:f>=CF210</x:f>
      </x:c>
      <x:c r="BQ210" s="12" t="str"/>
      <x:c r="BR210" s="12" t="str">
        <x:v>AW 2019 EOS</x:v>
      </x:c>
      <x:c r="BS210" s="13" t="str"/>
      <x:c r="BT210" s="30" t="n">
        <x:v>6962.57</x:v>
      </x:c>
      <x:c r="BU210" s="30" t="n">
        <x:v>-8553.1067</x:v>
      </x:c>
      <x:c r="BV210" s="30" t="str">
        <x:f>=BT210+BU210</x:f>
      </x:c>
      <x:c r="BW210" s="66" t="str">
        <x:f>=BV210/BT210</x:f>
      </x:c>
      <x:c r="BX210" s="66" t="n">
        <x:v>0.7972190034762456546929316338</x:v>
      </x:c>
      <x:c r="BY210" s="30" t="n">
        <x:v>8604.11</x:v>
      </x:c>
      <x:c r="BZ210" s="41" t="n">
        <x:v>175</x:v>
      </x:c>
      <x:c r="CA210" s="30" t="n">
        <x:v>1744.75</x:v>
      </x:c>
      <x:c r="CC210" s="30" t="n">
        <x:v>6962.9083545770567786790266512</x:v>
      </x:c>
      <x:c r="CD210" s="30" t="n">
        <x:v>-8553.1067</x:v>
      </x:c>
      <x:c r="CE210" s="30" t="str">
        <x:f>=CC210+CD210</x:f>
      </x:c>
      <x:c r="CF210" s="66" t="str">
        <x:f>=CE210/CC210</x:f>
      </x:c>
      <x:c r="CH210" s="66" t="str">
        <x:f>=CI210+CJ210</x:f>
      </x:c>
      <x:c r="CI210" s="66" t="str">
        <x:f>=BX210+(0*7)</x:f>
      </x:c>
      <x:c r="CJ210" s="66" t="str">
        <x:f>=(1-CI210)*0.5</x:f>
      </x:c>
      <x:c r="CK210" s="66" t="str">
        <x:f>=1-CH210</x:f>
      </x:c>
      <x:c r="CM210" s="66" t="str">
        <x:f>=CJ210/(1-CI210)</x:f>
      </x:c>
    </x:row>
    <x:row r="211">
      <x:c r="A211" s="31" t="s">
        <x:v>450</x:v>
      </x:c>
      <x:c r="B211" t="s"/>
      <x:c r="C211" t="s">
        <x:v>451</x:v>
      </x:c>
      <x:c r="D211" t="s">
        <x:v>452</x:v>
      </x:c>
      <x:c r="E211" s="67" t="s">
        <x:v>131</x:v>
      </x:c>
      <x:c r="F211" t="n">
        <x:v>615</x:v>
      </x:c>
      <x:c r="G211" s="32" t="n">
        <x:v>0.0276422764227642276422764228</x:v>
      </x:c>
      <x:c r="H211" s="32" t="n">
        <x:v>0.0260162601626016260162601626</x:v>
      </x:c>
      <x:c r="I211" s="32" t="n">
        <x:v>0.0260162601626016260162601626</x:v>
      </x:c>
      <x:c r="J211" s="32" t="n">
        <x:v>0.0292682926829268292682926829</x:v>
      </x:c>
      <x:c r="K211" s="32" t="n">
        <x:v>0.0276422764227642276422764228</x:v>
      </x:c>
      <x:c r="L211" s="32" t="n">
        <x:v>0.0341463414634146341463414634</x:v>
      </x:c>
      <x:c r="BI211" s="33" t="s"/>
      <x:c r="BJ211" s="11" t="s">
        <x:v>453</x:v>
      </x:c>
      <x:c r="BK211" s="12" t="str">
        <x:f>=BX211</x:f>
      </x:c>
      <x:c r="BL211" s="12" t="n">
        <x:v>0.0292682926829268292682926829</x:v>
      </x:c>
      <x:c r="BM211" s="12" t="n">
        <x:v>0.6130081300813008130081300813</x:v>
      </x:c>
      <x:c r="BN211" s="12" t="n">
        <x:v>0.3577235772357723577235772358</x:v>
      </x:c>
      <x:c r="BO211" s="12" t="str">
        <x:f>=BW211</x:f>
      </x:c>
      <x:c r="BP211" s="12" t="str">
        <x:f>=CF211</x:f>
      </x:c>
      <x:c r="BQ211" s="12" t="str"/>
      <x:c r="BR211" s="12" t="str">
        <x:v>AW 2019 EOS</x:v>
      </x:c>
      <x:c r="BS211" s="13" t="str"/>
      <x:c r="BT211" s="30" t="n">
        <x:v>4107.66</x:v>
      </x:c>
      <x:c r="BU211" s="30" t="n">
        <x:v>-11556.4650</x:v>
      </x:c>
      <x:c r="BV211" s="30" t="str">
        <x:f>=BT211+BU211</x:f>
      </x:c>
      <x:c r="BW211" s="66" t="str">
        <x:f>=BV211/BT211</x:f>
      </x:c>
      <x:c r="BX211" s="66" t="n">
        <x:v>0.6422764227642276422764227642</x:v>
      </x:c>
      <x:c r="BY211" s="30" t="n">
        <x:v>10393.50</x:v>
      </x:c>
      <x:c r="BZ211" s="41" t="n">
        <x:v>220</x:v>
      </x:c>
      <x:c r="CA211" s="30" t="n">
        <x:v>3718.00</x:v>
      </x:c>
      <x:c r="CC211" s="30" t="n">
        <x:v>4107.6925203252032520325203252</x:v>
      </x:c>
      <x:c r="CD211" s="30" t="n">
        <x:v>-11556.4650</x:v>
      </x:c>
      <x:c r="CE211" s="30" t="str">
        <x:f>=CC211+CD211</x:f>
      </x:c>
      <x:c r="CF211" s="66" t="str">
        <x:f>=CE211/CC211</x:f>
      </x:c>
      <x:c r="CH211" s="66" t="str">
        <x:f>=CI211+CJ211</x:f>
      </x:c>
      <x:c r="CI211" s="66" t="str">
        <x:f>=BX211+(0*7)</x:f>
      </x:c>
      <x:c r="CJ211" s="66" t="str">
        <x:f>=(1-CI211)*0.5</x:f>
      </x:c>
      <x:c r="CK211" s="66" t="str">
        <x:f>=1-CH211</x:f>
      </x:c>
      <x:c r="CM211" s="66" t="str">
        <x:f>=CJ211/(1-CI211)</x:f>
      </x:c>
    </x:row>
    <x:row r="212">
      <x:c r="A212" s="31" t="s">
        <x:v>454</x:v>
      </x:c>
      <x:c r="B212" t="s"/>
      <x:c r="C212" t="s">
        <x:v>455</x:v>
      </x:c>
      <x:c r="D212" t="s">
        <x:v>147</x:v>
      </x:c>
      <x:c r="E212" s="67" t="s">
        <x:v>131</x:v>
      </x:c>
      <x:c r="F212" t="n">
        <x:v>2529</x:v>
      </x:c>
      <x:c r="G212" s="32" t="n">
        <x:v>0</x:v>
      </x:c>
      <x:c r="H212" s="32" t="n">
        <x:v>0</x:v>
      </x:c>
      <x:c r="I212" s="32" t="n">
        <x:v>0</x:v>
      </x:c>
      <x:c r="J212" s="32" t="n">
        <x:v>0</x:v>
      </x:c>
      <x:c r="K212" s="32" t="n">
        <x:v>0.0007908264136022143139580862</x:v>
      </x:c>
      <x:c r="L212" s="32" t="n">
        <x:v>0.0106761565836298932384341637</x:v>
      </x:c>
      <x:c r="BI212" s="33" t="s"/>
      <x:c r="BJ212" s="11" t="s">
        <x:v>453</x:v>
      </x:c>
      <x:c r="BK212" s="12" t="str">
        <x:f>=BX212</x:f>
      </x:c>
      <x:c r="BL212" s="12" t="n">
        <x:v>0.1213918544879398971925662317</x:v>
      </x:c>
      <x:c r="BM212" s="12" t="n">
        <x:v>0.2380387504942665085013839462</x:v>
      </x:c>
      <x:c r="BN212" s="12" t="n">
        <x:v>0.6405693950177935943060498221</x:v>
      </x:c>
      <x:c r="BO212" s="12" t="str">
        <x:f>=BW212</x:f>
      </x:c>
      <x:c r="BP212" s="12" t="str">
        <x:f>=CF212</x:f>
      </x:c>
      <x:c r="BQ212" s="12" t="str"/>
      <x:c r="BR212" s="12" t="str">
        <x:v>AW 2019 EOS</x:v>
      </x:c>
      <x:c r="BS212" s="13" t="str"/>
      <x:c r="BT212" s="30" t="n">
        <x:v>5468.91</x:v>
      </x:c>
      <x:c r="BU212" s="30" t="n">
        <x:v>-17616.2553</x:v>
      </x:c>
      <x:c r="BV212" s="30" t="str">
        <x:f>=BT212+BU212</x:f>
      </x:c>
      <x:c r="BW212" s="66" t="str">
        <x:f>=BV212/BT212</x:f>
      </x:c>
      <x:c r="BX212" s="66" t="n">
        <x:v>0.3594306049822064056939501779</x:v>
      </x:c>
      <x:c r="BY212" s="30" t="n">
        <x:v>15401.61</x:v>
      </x:c>
      <x:c r="BZ212" s="41" t="n">
        <x:v>1620</x:v>
      </x:c>
      <x:c r="CA212" s="30" t="n">
        <x:v>9865.80</x:v>
      </x:c>
      <x:c r="CC212" s="30" t="n">
        <x:v>10952.976160206583629893238436</x:v>
      </x:c>
      <x:c r="CD212" s="30" t="n">
        <x:v>-17616.2553</x:v>
      </x:c>
      <x:c r="CE212" s="30" t="str">
        <x:f>=CC212+CD212</x:f>
      </x:c>
      <x:c r="CF212" s="66" t="str">
        <x:f>=CE212/CC212</x:f>
      </x:c>
      <x:c r="CH212" s="66" t="str">
        <x:f>=CI212+CJ212</x:f>
      </x:c>
      <x:c r="CI212" s="66" t="str">
        <x:f>=BX212+(0*7)</x:f>
      </x:c>
      <x:c r="CJ212" s="66" t="str">
        <x:f>=(1-CI212)*0.5</x:f>
      </x:c>
      <x:c r="CK212" s="66" t="str">
        <x:f>=1-CH212</x:f>
      </x:c>
      <x:c r="CM212" s="66" t="str">
        <x:f>=CJ212/(1-CI212)</x:f>
      </x:c>
    </x:row>
    <x:row r="213">
      <x:c r="A213" s="34" t="s"/>
      <x:c r="B213" s="6" t="s"/>
      <x:c r="C213" s="6" t="s"/>
      <x:c r="D213" s="6" t="s"/>
      <x:c r="E213" s="6" t="s"/>
      <x:c r="F213" s="6" t="s"/>
      <x:c r="G213" s="6" t="s"/>
      <x:c r="H213" s="6" t="s"/>
      <x:c r="I213" s="6" t="s"/>
      <x:c r="J213" s="6" t="s"/>
      <x:c r="K213" s="6" t="s"/>
      <x:c r="L213" s="6" t="s"/>
      <x:c r="M213" s="6" t="s"/>
      <x:c r="N213" s="6" t="s"/>
      <x:c r="O213" s="6" t="s"/>
      <x:c r="P213" s="6" t="s"/>
      <x:c r="Q213" s="6" t="s"/>
      <x:c r="R213" s="6" t="s"/>
      <x:c r="S213" s="6" t="s"/>
      <x:c r="T213" s="6" t="s"/>
      <x:c r="U213" s="6" t="s"/>
      <x:c r="V213" s="6" t="s"/>
      <x:c r="W213" s="6" t="s"/>
      <x:c r="X213" s="6" t="s"/>
      <x:c r="Y213" s="6" t="s"/>
      <x:c r="Z213" s="6" t="s"/>
      <x:c r="AA213" s="6" t="s"/>
      <x:c r="AB213" s="6" t="s"/>
      <x:c r="AC213" s="6" t="s"/>
      <x:c r="AD213" s="6" t="s"/>
      <x:c r="AE213" s="6" t="s"/>
      <x:c r="AF213" s="6" t="s"/>
      <x:c r="AG213" s="6" t="s"/>
      <x:c r="AH213" s="6" t="s"/>
      <x:c r="AI213" s="6" t="s"/>
      <x:c r="AJ213" s="6" t="s"/>
      <x:c r="AK213" s="6" t="s"/>
      <x:c r="AL213" s="6" t="s"/>
      <x:c r="AM213" s="6" t="s"/>
      <x:c r="AN213" s="6" t="s"/>
      <x:c r="AO213" s="6" t="s"/>
      <x:c r="AP213" s="6" t="s"/>
      <x:c r="AQ213" s="6" t="s"/>
      <x:c r="AR213" s="6" t="s"/>
      <x:c r="AS213" s="6" t="s"/>
      <x:c r="AT213" s="6" t="s"/>
      <x:c r="AU213" s="6" t="s"/>
      <x:c r="AV213" s="6" t="s"/>
      <x:c r="AW213" s="6" t="s"/>
      <x:c r="AX213" s="6" t="s"/>
      <x:c r="AY213" s="6" t="s"/>
      <x:c r="AZ213" s="6" t="s"/>
      <x:c r="BA213" s="6" t="s"/>
      <x:c r="BB213" s="6" t="s"/>
      <x:c r="BC213" s="6" t="s"/>
      <x:c r="BD213" s="6" t="s"/>
      <x:c r="BE213" s="6" t="s"/>
      <x:c r="BF213" s="6" t="s"/>
      <x:c r="BG213" s="6" t="s"/>
      <x:c r="BH213" s="6" t="s"/>
      <x:c r="BI213" s="8" t="s"/>
      <x:c r="BJ213" s="14" t="s">
        <x:v>36</x:v>
      </x:c>
      <x:c r="BK213" s="15" t="s"/>
      <x:c r="BL213" s="15" t="s"/>
      <x:c r="BM213" s="15" t="s"/>
      <x:c r="BN213" s="15" t="s"/>
      <x:c r="BO213" s="37">
        <x:f>=BV214/BT214</x:f>
      </x:c>
      <x:c r="BP213" s="37">
        <x:f>=CF214</x:f>
      </x:c>
      <x:c r="BQ213" s="6" t="s"/>
      <x:c r="BR213" s="6" t="s"/>
      <x:c r="BS213" s="8" t="s"/>
      <x:c r="BT213" s="20" t="n">
        <x:v>243365.59</x:v>
      </x:c>
      <x:c r="BU213" s="20" t="n">
        <x:v>-320955.93825714381787268490</x:v>
      </x:c>
      <x:c r="BV213" s="20" t="str">
        <x:f>=BT213+BU213</x:f>
      </x:c>
      <x:c r="BW213" s="21" t="n">
        <x:v>-0.3188221812999274789533101208</x:v>
      </x:c>
      <x:c r="BY213" s="20" t="n">
        <x:v>-305767.303460973008116170</x:v>
      </x:c>
      <x:c r="BZ213" s="20" t="n">
        <x:v>7858</x:v>
      </x:c>
      <x:c r="CA213" s="20" t="n">
        <x:v>70770.212087900971923562306265</x:v>
      </x:c>
      <x:c r="CC213" s="20" t="n">
        <x:v>256475.35618542791338126016544</x:v>
      </x:c>
      <x:c r="CD213" s="20" t="n">
        <x:v>-320955.93825714381787268490</x:v>
      </x:c>
      <x:c r="CE213" s="20" t="str">
        <x:f>=CC213+CD213</x:f>
      </x:c>
      <x:c r="CF213" s="21" t="n">
        <x:v>-0.2514104397036001823696504717</x:v>
      </x:c>
    </x:row>
    <x:row r="214">
      <x:c r="BT214" s="18" t="n">
        <x:v>704590.12</x:v>
      </x:c>
      <x:c r="BU214" s="18" t="n">
        <x:v>-694007.36604865281787268490</x:v>
      </x:c>
      <x:c r="BV214" s="18" t="str">
        <x:f>=BT214+BU214</x:f>
      </x:c>
      <x:c r="BW214" s="19" t="n">
        <x:v>0.015019730834924540422614924</x:v>
      </x:c>
      <x:c r="BY214" s="18" t="n">
        <x:v>-653153.582400673008116170</x:v>
      </x:c>
      <x:c r="BZ214" s="18" t="n">
        <x:v>13772</x:v>
      </x:c>
      <x:c r="CA214" s="18" t="n">
        <x:v>264947.45771323580064728264969</x:v>
      </x:c>
      <x:c r="CC214" s="18" t="n">
        <x:v>727334.95503842114819368447788</x:v>
      </x:c>
      <x:c r="CD214" s="18" t="n">
        <x:v>-694007.36604865281787268490</x:v>
      </x:c>
      <x:c r="CE214" s="18" t="str">
        <x:f>=CC214+CD214</x:f>
      </x:c>
      <x:c r="CF214" s="19" t="n">
        <x:v>0.0458215142265612892651939779</x:v>
      </x:c>
    </x:row>
    <x:row r="215">
      <x:c r="A215" s="10" t="s">
        <x:v>456</x:v>
      </x:c>
      <x:c r="B215" s="5" t="s"/>
      <x:c r="C215" s="5" t="s"/>
      <x:c r="D215" s="5" t="s"/>
      <x:c r="E215" s="5" t="s"/>
      <x:c r="F215" s="5" t="s"/>
      <x:c r="G215" s="5" t="s"/>
      <x:c r="H215" s="5" t="s"/>
      <x:c r="I215" s="5" t="s"/>
      <x:c r="J215" s="5" t="s"/>
      <x:c r="K215" s="5" t="s"/>
      <x:c r="L215" s="5" t="s"/>
      <x:c r="M215" s="5" t="s"/>
      <x:c r="N215" s="5" t="s"/>
      <x:c r="O215" s="5" t="s"/>
      <x:c r="P215" s="5" t="s"/>
      <x:c r="Q215" s="5" t="s"/>
      <x:c r="R215" s="5" t="s"/>
      <x:c r="S215" s="5" t="s"/>
      <x:c r="T215" s="5" t="s"/>
      <x:c r="U215" s="5" t="s"/>
      <x:c r="V215" s="5" t="s"/>
      <x:c r="W215" s="5" t="s"/>
      <x:c r="X215" s="5" t="s"/>
      <x:c r="Y215" s="5" t="s"/>
      <x:c r="Z215" s="5" t="s"/>
      <x:c r="AA215" s="5" t="s"/>
      <x:c r="AB215" s="5" t="s"/>
      <x:c r="AC215" s="5" t="s"/>
      <x:c r="AD215" s="5" t="s"/>
      <x:c r="AE215" s="5" t="s"/>
      <x:c r="AF215" s="5" t="s"/>
      <x:c r="AG215" s="5" t="s"/>
      <x:c r="AH215" s="5" t="s"/>
      <x:c r="AI215" s="5" t="s"/>
      <x:c r="AJ215" s="5" t="s"/>
      <x:c r="AK215" s="5" t="s"/>
      <x:c r="AL215" s="5" t="s"/>
      <x:c r="AM215" s="5" t="s"/>
      <x:c r="AN215" s="5" t="s"/>
      <x:c r="AO215" s="5" t="s"/>
      <x:c r="AP215" s="5" t="s"/>
      <x:c r="AQ215" s="5" t="s"/>
      <x:c r="AR215" s="5" t="s"/>
      <x:c r="AS215" s="5" t="s"/>
      <x:c r="AT215" s="5" t="s"/>
      <x:c r="AU215" s="5" t="s"/>
      <x:c r="AV215" s="5" t="s"/>
      <x:c r="AW215" s="5" t="s"/>
      <x:c r="AX215" s="5" t="s"/>
      <x:c r="AY215" s="5" t="s"/>
      <x:c r="AZ215" s="5" t="s"/>
      <x:c r="BA215" s="5" t="s"/>
      <x:c r="BB215" s="5" t="s"/>
      <x:c r="BC215" s="5" t="s"/>
      <x:c r="BD215" s="5" t="s"/>
      <x:c r="BE215" s="5" t="s"/>
      <x:c r="BF215" s="5" t="s"/>
      <x:c r="BG215" s="5" t="s"/>
      <x:c r="BH215" s="5" t="s"/>
      <x:c r="BI215" s="7" t="s"/>
      <x:c r="BJ215" s="10" t="s"/>
      <x:c r="BK215" s="5" t="s"/>
      <x:c r="BL215" s="5" t="s"/>
      <x:c r="BM215" s="5" t="s"/>
      <x:c r="BN215" s="5" t="s"/>
      <x:c r="BO215" s="5" t="s"/>
      <x:c r="BP215" s="5" t="s"/>
      <x:c r="BQ215" s="5" t="s"/>
      <x:c r="BR215" s="5" t="s"/>
      <x:c r="BS215" s="7" t="s"/>
      <x:c r="BT215" s="47" t="s">
        <x:v>11</x:v>
      </x:c>
      <x:c r="BU215" s="48"/>
      <x:c r="BV215" s="49"/>
      <x:c r="BW215" s="50"/>
      <x:c r="BX215" s="50"/>
      <x:c r="BY215" s="51"/>
      <x:c r="BZ215" s="52"/>
      <x:c r="CA215" s="51"/>
      <x:c r="CC215" s="57" t="s">
        <x:v>26</x:v>
      </x:c>
      <x:c r="CD215" s="58"/>
      <x:c r="CE215" s="58"/>
      <x:c r="CF215" s="58"/>
      <x:c r="CG215" s="58"/>
      <x:c r="CH215" s="59"/>
      <x:c r="CI215" s="59"/>
      <x:c r="CJ215" s="59"/>
      <x:c r="CK215" s="59"/>
      <x:c r="CL215" s="58"/>
      <x:c r="CM215" s="60"/>
    </x:row>
    <x:row r="216" ht="45.75" customHeight="1">
      <x:c r="A216" s="40" t="s">
        <x:v>43</x:v>
      </x:c>
      <x:c r="B216" s="40" t="s">
        <x:v>44</x:v>
      </x:c>
      <x:c r="C216" s="40" t="s">
        <x:v>45</x:v>
      </x:c>
      <x:c r="D216" s="40" t="s">
        <x:v>46</x:v>
      </x:c>
      <x:c r="E216" s="40" t="s">
        <x:v>47</x:v>
      </x:c>
      <x:c r="F216" s="40" t="s">
        <x:v>102</x:v>
      </x:c>
      <x:c r="G216" s="40" t="s">
        <x:v>48</x:v>
      </x:c>
      <x:c r="H216" s="40" t="s">
        <x:v>49</x:v>
      </x:c>
      <x:c r="I216" s="40" t="s">
        <x:v>50</x:v>
      </x:c>
      <x:c r="J216" s="40" t="s">
        <x:v>51</x:v>
      </x:c>
      <x:c r="K216" s="40" t="s">
        <x:v>52</x:v>
      </x:c>
      <x:c r="L216" s="40" t="s">
        <x:v>53</x:v>
      </x:c>
      <x:c r="M216" s="40" t="s">
        <x:v>54</x:v>
      </x:c>
      <x:c r="N216" s="40" t="s">
        <x:v>55</x:v>
      </x:c>
      <x:c r="O216" s="40" t="s">
        <x:v>56</x:v>
      </x:c>
      <x:c r="P216" s="40" t="s">
        <x:v>57</x:v>
      </x:c>
      <x:c r="Q216" s="40" t="s">
        <x:v>58</x:v>
      </x:c>
      <x:c r="R216" s="40" t="s">
        <x:v>59</x:v>
      </x:c>
      <x:c r="S216" s="40" t="s">
        <x:v>60</x:v>
      </x:c>
      <x:c r="T216" s="40" t="s">
        <x:v>61</x:v>
      </x:c>
      <x:c r="U216" s="40" t="s">
        <x:v>62</x:v>
      </x:c>
      <x:c r="V216" s="40" t="s">
        <x:v>63</x:v>
      </x:c>
      <x:c r="W216" s="40" t="s">
        <x:v>64</x:v>
      </x:c>
      <x:c r="X216" s="40" t="s">
        <x:v>65</x:v>
      </x:c>
      <x:c r="Y216" s="40" t="s">
        <x:v>66</x:v>
      </x:c>
      <x:c r="Z216" s="40" t="s">
        <x:v>67</x:v>
      </x:c>
      <x:c r="AA216" s="40" t="s">
        <x:v>68</x:v>
      </x:c>
      <x:c r="AB216" s="40" t="s">
        <x:v>69</x:v>
      </x:c>
      <x:c r="AC216" s="40" t="s">
        <x:v>70</x:v>
      </x:c>
      <x:c r="AD216" s="40" t="s">
        <x:v>71</x:v>
      </x:c>
      <x:c r="AE216" s="40" t="s">
        <x:v>72</x:v>
      </x:c>
      <x:c r="AF216" s="40" t="s">
        <x:v>73</x:v>
      </x:c>
      <x:c r="AG216" s="40" t="s">
        <x:v>74</x:v>
      </x:c>
      <x:c r="AH216" s="40" t="s">
        <x:v>75</x:v>
      </x:c>
      <x:c r="AI216" s="40" t="s">
        <x:v>76</x:v>
      </x:c>
      <x:c r="AJ216" s="40" t="s">
        <x:v>77</x:v>
      </x:c>
      <x:c r="AK216" s="40" t="s">
        <x:v>78</x:v>
      </x:c>
      <x:c r="AL216" s="40" t="s">
        <x:v>79</x:v>
      </x:c>
      <x:c r="AM216" s="40" t="s">
        <x:v>80</x:v>
      </x:c>
      <x:c r="AN216" s="40" t="s">
        <x:v>81</x:v>
      </x:c>
      <x:c r="AO216" s="40" t="s">
        <x:v>82</x:v>
      </x:c>
      <x:c r="AP216" s="40" t="s">
        <x:v>83</x:v>
      </x:c>
      <x:c r="AQ216" s="40" t="s">
        <x:v>84</x:v>
      </x:c>
      <x:c r="AR216" s="40" t="s">
        <x:v>85</x:v>
      </x:c>
      <x:c r="AS216" s="40" t="s">
        <x:v>86</x:v>
      </x:c>
      <x:c r="AT216" s="40" t="s">
        <x:v>87</x:v>
      </x:c>
      <x:c r="AU216" s="40" t="s">
        <x:v>88</x:v>
      </x:c>
      <x:c r="AV216" s="40" t="s">
        <x:v>89</x:v>
      </x:c>
      <x:c r="AW216" s="40" t="s">
        <x:v>90</x:v>
      </x:c>
      <x:c r="AX216" s="40" t="s">
        <x:v>91</x:v>
      </x:c>
      <x:c r="AY216" s="40" t="s">
        <x:v>92</x:v>
      </x:c>
      <x:c r="AZ216" s="40" t="s">
        <x:v>93</x:v>
      </x:c>
      <x:c r="BA216" s="40" t="s">
        <x:v>94</x:v>
      </x:c>
      <x:c r="BB216" s="40" t="s">
        <x:v>95</x:v>
      </x:c>
      <x:c r="BC216" s="40" t="s">
        <x:v>96</x:v>
      </x:c>
      <x:c r="BD216" s="40" t="s">
        <x:v>97</x:v>
      </x:c>
      <x:c r="BE216" s="40" t="s">
        <x:v>98</x:v>
      </x:c>
      <x:c r="BF216" s="40" t="s">
        <x:v>99</x:v>
      </x:c>
      <x:c r="BG216" s="40" t="s">
        <x:v>100</x:v>
      </x:c>
      <x:c r="BH216" s="40" t="s">
        <x:v>101</x:v>
      </x:c>
      <x:c r="BJ216" s="31" t="s">
        <x:v>103</x:v>
      </x:c>
      <x:c r="BK216" s="32" t="s">
        <x:v>104</x:v>
      </x:c>
      <x:c r="BL216" s="32" t="s">
        <x:v>105</x:v>
      </x:c>
      <x:c r="BM216" s="32" t="s">
        <x:v>106</x:v>
      </x:c>
      <x:c r="BN216" s="32" t="s">
        <x:v>107</x:v>
      </x:c>
      <x:c r="BO216" s="32" t="s">
        <x:v>108</x:v>
      </x:c>
      <x:c r="BP216" s="32" t="s">
        <x:v>109</x:v>
      </x:c>
      <x:c r="BQ216" s="32" t="s">
        <x:v>110</x:v>
      </x:c>
      <x:c r="BR216" s="32" t="s">
        <x:v>111</x:v>
      </x:c>
      <x:c r="BS216" s="33" t="s">
        <x:v>112</x:v>
      </x:c>
      <x:c r="BT216" s="53" t="s">
        <x:v>12</x:v>
      </x:c>
      <x:c r="BU216" s="54" t="s">
        <x:v>13</x:v>
      </x:c>
      <x:c r="BV216" s="54" t="s">
        <x:v>14</x:v>
      </x:c>
      <x:c r="BW216" s="55" t="s">
        <x:v>15</x:v>
      </x:c>
      <x:c r="BX216" s="55" t="s">
        <x:v>27</x:v>
      </x:c>
      <x:c r="BY216" s="56" t="s">
        <x:v>16</x:v>
      </x:c>
      <x:c r="BZ216" s="53" t="s">
        <x:v>17</x:v>
      </x:c>
      <x:c r="CA216" s="56" t="s">
        <x:v>18</x:v>
      </x:c>
      <x:c r="CC216" s="61" t="s">
        <x:v>19</x:v>
      </x:c>
      <x:c r="CD216" s="62" t="s">
        <x:v>20</x:v>
      </x:c>
      <x:c r="CE216" s="62" t="s">
        <x:v>21</x:v>
      </x:c>
      <x:c r="CF216" s="62" t="s">
        <x:v>15</x:v>
      </x:c>
      <x:c r="CG216" s="62"/>
      <x:c r="CH216" s="63" t="s">
        <x:v>22</x:v>
      </x:c>
      <x:c r="CI216" s="63" t="s">
        <x:v>23</x:v>
      </x:c>
      <x:c r="CJ216" s="63" t="s">
        <x:v>25</x:v>
      </x:c>
      <x:c r="CK216" s="63" t="s">
        <x:v>24</x:v>
      </x:c>
      <x:c r="CL216" s="62"/>
      <x:c r="CM216" s="64" t="s">
        <x:v>28</x:v>
      </x:c>
    </x:row>
    <x:row r="217">
      <x:c r="BJ217" s="31" t="s"/>
      <x:c r="BS217" s="33" t="s"/>
    </x:row>
    <x:row r="218">
      <x:c r="A218" s="35" t="s">
        <x:v>150</x:v>
      </x:c>
      <x:c r="BI218" s="33" t="s"/>
      <x:c r="BJ218" s="11" t="s"/>
      <x:c r="BS218" s="13" t="s"/>
    </x:row>
    <x:row r="219">
      <x:c r="A219" s="17" t="s">
        <x:v>127</x:v>
      </x:c>
      <x:c r="BI219" s="33" t="s"/>
      <x:c r="BJ219" s="11" t="s"/>
      <x:c r="BS219" s="13" t="s"/>
    </x:row>
    <x:row r="220">
      <x:c r="A220" s="31" t="s">
        <x:v>457</x:v>
      </x:c>
      <x:c r="B220" t="s"/>
      <x:c r="C220" t="s">
        <x:v>458</x:v>
      </x:c>
      <x:c r="D220" t="s">
        <x:v>118</x:v>
      </x:c>
      <x:c r="E220" s="69" t="s">
        <x:v>153</x:v>
      </x:c>
      <x:c r="F220" t="n">
        <x:v>4824</x:v>
      </x:c>
      <x:c r="G220" s="32" t="n">
        <x:v>0.0091210613598673300165837479</x:v>
      </x:c>
      <x:c r="H220" s="32" t="n">
        <x:v>0.0766998341625207296849087894</x:v>
      </x:c>
      <x:c r="I220" s="32" t="n">
        <x:v>0.125621890547263681592039801</x:v>
      </x:c>
      <x:c r="J220" s="32" t="n">
        <x:v>0.1643864013266998341625207297</x:v>
      </x:c>
      <x:c r="K220" s="32" t="n">
        <x:v>0.2060530679933665008291873964</x:v>
      </x:c>
      <x:c r="L220" s="32" t="n">
        <x:v>0.246890547263681592039800995</x:v>
      </x:c>
      <x:c r="M220" s="32" t="n">
        <x:v>0.2887645107794361525704809287</x:v>
      </x:c>
      <x:c r="N220" s="32" t="n">
        <x:v>0.3206882255389718076285240464</x:v>
      </x:c>
      <x:c r="O220" s="32" t="n">
        <x:v>0.3503316749585406301824212272</x:v>
      </x:c>
      <x:c r="P220" s="32" t="n">
        <x:v>0.377694859038142620232172471</x:v>
      </x:c>
      <x:c r="Q220" s="32" t="n">
        <x:v>0.4056799336650082918739635158</x:v>
      </x:c>
      <x:c r="R220" s="32" t="n">
        <x:v>0.4257877280265339966832504146</x:v>
      </x:c>
      <x:c r="S220" s="32" t="n">
        <x:v>0.4440298507462686567164179104</x:v>
      </x:c>
      <x:c r="T220" s="32" t="n">
        <x:v>0.4736733001658374792703150912</x:v>
      </x:c>
      <x:c r="U220" s="32" t="n">
        <x:v>0.4935737976782752902155887231</x:v>
      </x:c>
      <x:c r="V220" s="32" t="n">
        <x:v>0.5155472636815920398009950249</x:v>
      </x:c>
      <x:c r="W220" s="32" t="n">
        <x:v>0.5398009950248756218905472637</x:v>
      </x:c>
      <x:c r="X220" s="32" t="n">
        <x:v>0.5570066334991708126036484245</x:v>
      </x:c>
      <x:c r="Y220" s="32" t="n">
        <x:v>0.5762852404643449419568822554</x:v>
      </x:c>
      <x:c r="Z220" s="32" t="n">
        <x:v>0.5957711442786069651741293532</x:v>
      </x:c>
      <x:c r="AA220" s="32" t="n">
        <x:v>0.620646766169154228855721393</x:v>
      </x:c>
      <x:c r="AB220" s="32" t="n">
        <x:v>0.6380597014925373134328358209</x:v>
      </x:c>
      <x:c r="AC220" s="32" t="n">
        <x:v>0.6519485903814262023217247098</x:v>
      </x:c>
      <x:c r="AD220" s="32" t="n">
        <x:v>0.6567164179104477611940298507</x:v>
      </x:c>
      <x:c r="AE220" s="32" t="n">
        <x:v>0.6616915422885572139303482587</x:v>
      </x:c>
      <x:c r="AF220" s="32" t="n">
        <x:v>0.6658374792703150912106135987</x:v>
      </x:c>
      <x:c r="AG220" s="32" t="n">
        <x:v>0.6932006633499170812603648425</x:v>
      </x:c>
      <x:c r="AH220" s="32" t="n">
        <x:v>0.6932006633499170812603648425</x:v>
      </x:c>
      <x:c r="AI220" s="23" t="n">
        <x:v>0.7164179104477611940298507463</x:v>
      </x:c>
      <x:c r="AJ220" s="32" t="n">
        <x:v>0.7435737976782752902155887231</x:v>
      </x:c>
      <x:c r="AK220" s="32" t="n">
        <x:v>0.7761194029850746268656716418</x:v>
      </x:c>
      <x:c r="AL220" s="32" t="n">
        <x:v>0.8076285240464344941956882255</x:v>
      </x:c>
      <x:c r="AM220" s="32" t="n">
        <x:v>0.8314676616915422885572139303</x:v>
      </x:c>
      <x:c r="AN220" s="32" t="n">
        <x:v>0.8466003316749585406301824212</x:v>
      </x:c>
      <x:c r="BI220" s="33" t="s"/>
      <x:c r="BJ220" s="11" t="s">
        <x:v>416</x:v>
      </x:c>
      <x:c r="BK220" s="12" t="str">
        <x:f>=BX220</x:f>
      </x:c>
      <x:c r="BL220" s="12" t="n">
        <x:v>0.8658789386401326699834162521</x:v>
      </x:c>
      <x:c r="BM220" s="12" t="n">
        <x:v>0.1071724709784411276948590381</x:v>
      </x:c>
      <x:c r="BN220" s="12" t="n">
        <x:v>0.0269485903814262023217247098</x:v>
      </x:c>
      <x:c r="BO220" s="12" t="str">
        <x:f>=BW220</x:f>
      </x:c>
      <x:c r="BP220" s="12" t="str">
        <x:f>=CF220</x:f>
      </x:c>
      <x:c r="BQ220" s="12" t="str"/>
      <x:c r="BR220" s="12" t="str">
        <x:v>SS 2020 MSS</x:v>
      </x:c>
      <x:c r="BS220" s="13" t="str"/>
      <x:c r="BT220" s="30" t="n">
        <x:v>19294.92</x:v>
      </x:c>
      <x:c r="BU220" s="30" t="n">
        <x:v>-13032.5270</x:v>
      </x:c>
      <x:c r="BV220" s="30" t="str">
        <x:f>=BT220+BU220</x:f>
      </x:c>
      <x:c r="BW220" s="66" t="str">
        <x:f>=BV220/BT220</x:f>
      </x:c>
      <x:c r="BX220" s="66" t="n">
        <x:v>0.9730514096185737976782752902</x:v>
      </x:c>
      <x:c r="BY220" s="30" t="n">
        <x:v>12043.10</x:v>
      </x:c>
      <x:c r="BZ220" s="41" t="n">
        <x:v>130</x:v>
      </x:c>
      <x:c r="CA220" s="30" t="n">
        <x:v>324.54456882255389718076285240</x:v>
      </x:c>
      <x:c r="CC220" s="30" t="n">
        <x:v>19295.766600331674958540630182</x:v>
      </x:c>
      <x:c r="CD220" s="30" t="n">
        <x:v>-13032.5270</x:v>
      </x:c>
      <x:c r="CE220" s="30" t="str">
        <x:f>=CC220+CD220</x:f>
      </x:c>
      <x:c r="CF220" s="66" t="str">
        <x:f>=CE220/CC220</x:f>
      </x:c>
      <x:c r="CH220" s="66" t="str">
        <x:f>=CI220+CJ220</x:f>
      </x:c>
      <x:c r="CI220" s="66" t="str">
        <x:f>=BX220+(0*7)</x:f>
      </x:c>
      <x:c r="CJ220" s="66" t="str">
        <x:f>=(1-CI220)*0.5</x:f>
      </x:c>
      <x:c r="CK220" s="66" t="str">
        <x:f>=1-CH220</x:f>
      </x:c>
      <x:c r="CM220" s="66" t="str">
        <x:f>=CJ220/(1-CI220)</x:f>
      </x:c>
    </x:row>
    <x:row r="221">
      <x:c r="A221" s="31" t="s">
        <x:v>459</x:v>
      </x:c>
      <x:c r="B221" t="s"/>
      <x:c r="C221" t="s">
        <x:v>460</x:v>
      </x:c>
      <x:c r="D221" t="s">
        <x:v>118</x:v>
      </x:c>
      <x:c r="E221" s="69" t="s">
        <x:v>153</x:v>
      </x:c>
      <x:c r="F221" t="n">
        <x:v>3930</x:v>
      </x:c>
      <x:c r="G221" s="32" t="n">
        <x:v>0.0312977099236641221374045802</x:v>
      </x:c>
      <x:c r="H221" s="32" t="n">
        <x:v>0.1020356234096692111959287532</x:v>
      </x:c>
      <x:c r="I221" s="32" t="n">
        <x:v>0.1684478371501272264631043257</x:v>
      </x:c>
      <x:c r="J221" s="32" t="n">
        <x:v>0.2768447837150127226463104326</x:v>
      </x:c>
      <x:c r="K221" s="32" t="n">
        <x:v>0.3819338422391857506361323155</x:v>
      </x:c>
      <x:c r="L221" s="32" t="n">
        <x:v>0.4274809160305343511450381679</x:v>
      </x:c>
      <x:c r="M221" s="32" t="n">
        <x:v>0.437913486005089058524173028</x:v>
      </x:c>
      <x:c r="N221" s="32" t="n">
        <x:v>0.4435114503816793893129770992</x:v>
      </x:c>
      <x:c r="O221" s="32" t="n">
        <x:v>0.4468193384223918575063613232</x:v>
      </x:c>
      <x:c r="P221" s="32" t="n">
        <x:v>0.4508905852417302798982188295</x:v>
      </x:c>
      <x:c r="Q221" s="32" t="n">
        <x:v>0.4536895674300254452926208651</x:v>
      </x:c>
      <x:c r="R221" s="32" t="n">
        <x:v>0.4567430025445292620865139949</x:v>
      </x:c>
      <x:c r="S221" s="32" t="n">
        <x:v>0.4608142493638676844783715013</x:v>
      </x:c>
      <x:c r="T221" s="32" t="n">
        <x:v>0.4628498727735368956743002545</x:v>
      </x:c>
      <x:c r="U221" s="32" t="n">
        <x:v>0.4659033078880407124681933842</x:v>
      </x:c>
      <x:c r="V221" s="32" t="n">
        <x:v>0.4669211195928753180661577608</x:v>
      </x:c>
      <x:c r="W221" s="32" t="n">
        <x:v>0.4679389312977099236641221374</x:v>
      </x:c>
      <x:c r="X221" s="32" t="n">
        <x:v>0.4704834605597964376590330789</x:v>
      </x:c>
      <x:c r="Y221" s="32" t="n">
        <x:v>0.4811704834605597964376590331</x:v>
      </x:c>
      <x:c r="Z221" s="32" t="n">
        <x:v>0.4905852417302798982188295165</x:v>
      </x:c>
      <x:c r="AA221" s="32" t="n">
        <x:v>0.5091603053435114503816793893</x:v>
      </x:c>
      <x:c r="AB221" s="32" t="n">
        <x:v>0.5295165394402035623409669211</x:v>
      </x:c>
      <x:c r="AC221" s="32" t="n">
        <x:v>0.5511450381679389312977099237</x:v>
      </x:c>
      <x:c r="AD221" s="32" t="n">
        <x:v>0.567175572519083969465648855</x:v>
      </x:c>
      <x:c r="AE221" s="32" t="n">
        <x:v>0.567175572519083969465648855</x:v>
      </x:c>
      <x:c r="AF221" s="32" t="n">
        <x:v>0.5885496183206106870229007634</x:v>
      </x:c>
      <x:c r="AG221" s="32" t="n">
        <x:v>0.6089058524173027989821882952</x:v>
      </x:c>
      <x:c r="AH221" s="32" t="n">
        <x:v>0.6290076335877862595419847328</x:v>
      </x:c>
      <x:c r="AI221" s="32" t="n">
        <x:v>0.6511450381679389312977099237</x:v>
      </x:c>
      <x:c r="AJ221" s="32" t="n">
        <x:v>0.6727735368956743002544529262</x:v>
      </x:c>
      <x:c r="AK221" s="23" t="n">
        <x:v>0.7058524173027989821882951654</x:v>
      </x:c>
      <x:c r="BI221" s="33" t="s"/>
      <x:c r="BJ221" s="11" t="s">
        <x:v>202</x:v>
      </x:c>
      <x:c r="BK221" s="12" t="str">
        <x:f>=BX221</x:f>
      </x:c>
      <x:c r="BL221" s="12" t="n">
        <x:v>0.7541984732824427480916030534</x:v>
      </x:c>
      <x:c r="BM221" s="12" t="n">
        <x:v>0.1903307888040712468193384224</x:v>
      </x:c>
      <x:c r="BN221" s="12" t="n">
        <x:v>0.0554707379134860050890585242</x:v>
      </x:c>
      <x:c r="BO221" s="12" t="str">
        <x:f>=BW221</x:f>
      </x:c>
      <x:c r="BP221" s="12" t="str">
        <x:f>=CF221</x:f>
      </x:c>
      <x:c r="BQ221" s="12" t="str"/>
      <x:c r="BR221" s="12" t="str">
        <x:v>SS 2020 MSS</x:v>
      </x:c>
      <x:c r="BS221" s="13" t="str"/>
      <x:c r="BT221" s="30" t="n">
        <x:v>13045.92</x:v>
      </x:c>
      <x:c r="BU221" s="30" t="n">
        <x:v>-8445.2050</x:v>
      </x:c>
      <x:c r="BV221" s="30" t="str">
        <x:f>=BT221+BU221</x:f>
      </x:c>
      <x:c r="BW221" s="66" t="str">
        <x:f>=BV221/BT221</x:f>
      </x:c>
      <x:c r="BX221" s="66" t="n">
        <x:v>0.9445292620865139949109414758</x:v>
      </x:c>
      <x:c r="BY221" s="30" t="n">
        <x:v>8360.80</x:v>
      </x:c>
      <x:c r="BZ221" s="41" t="n">
        <x:v>218</x:v>
      </x:c>
      <x:c r="CA221" s="30" t="n">
        <x:v>463.77974554707379134860050890</x:v>
      </x:c>
      <x:c r="CC221" s="30" t="n">
        <x:v>13046.625852417302798982188295</x:v>
      </x:c>
      <x:c r="CD221" s="30" t="n">
        <x:v>-8445.2050</x:v>
      </x:c>
      <x:c r="CE221" s="30" t="str">
        <x:f>=CC221+CD221</x:f>
      </x:c>
      <x:c r="CF221" s="66" t="str">
        <x:f>=CE221/CC221</x:f>
      </x:c>
      <x:c r="CH221" s="66" t="str">
        <x:f>=CI221+CJ221</x:f>
      </x:c>
      <x:c r="CI221" s="66" t="str">
        <x:f>=BX221+(0*7)</x:f>
      </x:c>
      <x:c r="CJ221" s="66" t="str">
        <x:f>=(1-CI221)*0.5</x:f>
      </x:c>
      <x:c r="CK221" s="66" t="str">
        <x:f>=1-CH221</x:f>
      </x:c>
      <x:c r="CM221" s="66" t="str">
        <x:f>=CJ221/(1-CI221)</x:f>
      </x:c>
    </x:row>
    <x:row r="222">
      <x:c r="A222" s="31" t="s">
        <x:v>461</x:v>
      </x:c>
      <x:c r="B222" t="s"/>
      <x:c r="C222" t="s">
        <x:v>462</x:v>
      </x:c>
      <x:c r="D222" t="s">
        <x:v>193</x:v>
      </x:c>
      <x:c r="E222" s="69" t="s">
        <x:v>153</x:v>
      </x:c>
      <x:c r="F222" t="n">
        <x:v>5263</x:v>
      </x:c>
      <x:c r="G222" s="32" t="n">
        <x:v>0.0053201596047881436443093293</x:v>
      </x:c>
      <x:c r="H222" s="32" t="n">
        <x:v>0.0680220406612198365950978529</x:v>
      </x:c>
      <x:c r="I222" s="32" t="n">
        <x:v>0.1303439103173095192855785674</x:v>
      </x:c>
      <x:c r="J222" s="32" t="n">
        <x:v>0.1797453923617708531255937678</x:v>
      </x:c>
      <x:c r="K222" s="32" t="n">
        <x:v>0.2171765152954588637659129774</x:v>
      </x:c>
      <x:c r="L222" s="32" t="n">
        <x:v>0.2578377351320539616188485655</x:v>
      </x:c>
      <x:c r="M222" s="32" t="n">
        <x:v>0.3144594337830134904047121414</x:v>
      </x:c>
      <x:c r="N222" s="32" t="n">
        <x:v>0.3712711381341440243207296219</x:v>
      </x:c>
      <x:c r="O222" s="32" t="n">
        <x:v>0.4138324149724491734752042561</x:v>
      </x:c>
      <x:c r="P222" s="32" t="n">
        <x:v>0.4596237887136614098422952689</x:v>
      </x:c>
      <x:c r="Q222" s="32" t="n">
        <x:v>0.4845145354360630818924567737</x:v>
      </x:c>
      <x:c r="R222" s="32" t="n">
        <x:v>0.5200456013680410412312369371</x:v>
      </x:c>
      <x:c r="S222" s="32" t="n">
        <x:v>0.5572867186015580467414022421</x:v>
      </x:c>
      <x:c r="T222" s="32" t="n">
        <x:v>0.5797073912217366520995629869</x:v>
      </x:c>
      <x:c r="U222" s="32" t="n">
        <x:v>0.5958578757362720881626448793</x:v>
      </x:c>
      <x:c r="V222" s="32" t="n">
        <x:v>0.6182785483564506935208056242</x:v>
      </x:c>
      <x:c r="W222" s="32" t="n">
        <x:v>0.6513395401862055861675850276</x:v>
      </x:c>
      <x:c r="X222" s="32" t="n">
        <x:v>0.6813604408132243967319019571</x:v>
      </x:c>
      <x:c r="Y222" s="23" t="n">
        <x:v>0.7013110393311799353980619419</x:v>
      </x:c>
      <x:c r="Z222" s="32" t="n">
        <x:v>0.7013110393311799353980619419</x:v>
      </x:c>
      <x:c r="AA222" s="32" t="n">
        <x:v>0.7222116663499904997149914497</x:v>
      </x:c>
      <x:c r="AB222" s="32" t="n">
        <x:v>0.7396921907657229716891506745</x:v>
      </x:c>
      <x:c r="AC222" s="32" t="n">
        <x:v>0.7528025840775223256697700931</x:v>
      </x:c>
      <x:c r="AD222" s="32" t="n">
        <x:v>0.7693330799923997719931597948</x:v>
      </x:c>
      <x:c r="AE222" s="32" t="n">
        <x:v>0.785103553106593197795933878</x:v>
      </x:c>
      <x:c r="AF222" s="32" t="n">
        <x:v>0.8063841915257457723731711951</x:v>
      </x:c>
      <x:c r="BI222" s="33" t="s"/>
      <x:c r="BJ222" s="11" t="s">
        <x:v>449</x:v>
      </x:c>
      <x:c r="BK222" s="12" t="str">
        <x:f>=BX222</x:f>
      </x:c>
      <x:c r="BL222" s="12" t="n">
        <x:v>0.8259547786433593007790233707</x:v>
      </x:c>
      <x:c r="BM222" s="12" t="n">
        <x:v>0.2107163214896446893406802204</x:v>
      </x:c>
      <x:c r="BN222" s="12" t="n">
        <x:v>-0.0366711001330039901197035911</x:v>
      </x:c>
      <x:c r="BO222" s="12" t="str">
        <x:f>=BW222</x:f>
      </x:c>
      <x:c r="BP222" s="12" t="str">
        <x:f>=CF222</x:f>
      </x:c>
      <x:c r="BQ222" s="12" t="str"/>
      <x:c r="BR222" s="12" t="str">
        <x:v>SS 2020 MSS</x:v>
      </x:c>
      <x:c r="BS222" s="13" t="str"/>
      <x:c r="BT222" s="30" t="n">
        <x:v>69405.55</x:v>
      </x:c>
      <x:c r="BU222" s="30" t="n">
        <x:v>-53515.1693</x:v>
      </x:c>
      <x:c r="BV222" s="30" t="str">
        <x:f>=BT222+BU222</x:f>
      </x:c>
      <x:c r="BW222" s="66" t="str">
        <x:f>=BV222/BT222</x:f>
      </x:c>
      <x:c r="BX222" s="66" t="n">
        <x:v>1.0366711001330039901197035911</x:v>
      </x:c>
      <x:c r="BY222" s="30" t="n">
        <x:v>50362.50</x:v>
      </x:c>
      <x:c r="BZ222" s="41" t="n">
        <x:v>-193</x:v>
      </x:c>
      <x:c r="CA222" s="30" t="n">
        <x:v>-1846.8482804484134524035721072</x:v>
      </x:c>
      <x:c r="CC222" s="30" t="n">
        <x:v>69406.356384191525745772373171</x:v>
      </x:c>
      <x:c r="CD222" s="30" t="n">
        <x:v>-53515.1693</x:v>
      </x:c>
      <x:c r="CE222" s="30" t="str">
        <x:f>=CC222+CD222</x:f>
      </x:c>
      <x:c r="CF222" s="66" t="str">
        <x:f>=CE222/CC222</x:f>
      </x:c>
      <x:c r="CH222" s="66" t="str">
        <x:f>=CI222+CJ222</x:f>
      </x:c>
      <x:c r="CI222" s="66" t="str">
        <x:f>=BX222+(0*7)</x:f>
      </x:c>
      <x:c r="CJ222" s="66" t="str">
        <x:f>=(1-CI222)*0.5</x:f>
      </x:c>
      <x:c r="CK222" s="66" t="str">
        <x:f>=1-CH222</x:f>
      </x:c>
      <x:c r="CM222" s="66" t="str">
        <x:f>=CJ222/(1-CI222)</x:f>
      </x:c>
    </x:row>
    <x:row r="223">
      <x:c r="A223" s="31" t="s">
        <x:v>463</x:v>
      </x:c>
      <x:c r="B223" t="s"/>
      <x:c r="C223" t="s">
        <x:v>464</x:v>
      </x:c>
      <x:c r="D223" t="s">
        <x:v>147</x:v>
      </x:c>
      <x:c r="E223" s="69" t="s">
        <x:v>153</x:v>
      </x:c>
      <x:c r="F223" t="n">
        <x:v>5284</x:v>
      </x:c>
      <x:c r="G223" s="32" t="n">
        <x:v>0.0060560181680545041635124905</x:v>
      </x:c>
      <x:c r="H223" s="32" t="n">
        <x:v>0.0270628311884935654806964421</x:v>
      </x:c>
      <x:c r="I223" s="32" t="n">
        <x:v>0.0529901589704769114307342922</x:v>
      </x:c>
      <x:c r="J223" s="32" t="n">
        <x:v>0.0853520060560181680545041635</x:v>
      </x:c>
      <x:c r="K223" s="32" t="n">
        <x:v>0.1262301286903860711582134746</x:v>
      </x:c>
      <x:c r="L223" s="32" t="n">
        <x:v>0.1826267978803936411809235428</x:v>
      </x:c>
      <x:c r="M223" s="32" t="n">
        <x:v>0.2615442846328538985616956851</x:v>
      </x:c>
      <x:c r="N223" s="32" t="n">
        <x:v>0.3118849356548069644208932627</x:v>
      </x:c>
      <x:c r="O223" s="32" t="n">
        <x:v>0.3457607872823618470855412566</x:v>
      </x:c>
      <x:c r="P223" s="32" t="n">
        <x:v>0.3641180923542770628311884936</x:v>
      </x:c>
      <x:c r="Q223" s="32" t="n">
        <x:v>0.3830431491294473883421650265</x:v>
      </x:c>
      <x:c r="R223" s="32" t="n">
        <x:v>0.4000757002271006813020439061</x:v>
      </x:c>
      <x:c r="S223" s="32" t="n">
        <x:v>0.4000757002271006813020439061</x:v>
      </x:c>
      <x:c r="T223" s="32" t="n">
        <x:v>0.4125662376987130961392884179</x:v>
      </x:c>
      <x:c r="U223" s="32" t="n">
        <x:v>0.4208932626797880393641180924</x:v>
      </x:c>
      <x:c r="V223" s="32" t="n">
        <x:v>0.4269492808478425435276305829</x:v>
      </x:c>
      <x:c r="W223" s="32" t="n">
        <x:v>0.4392505677517032551097653293</x:v>
      </x:c>
      <x:c r="X223" s="32" t="n">
        <x:v>0.4468205904617713853141559425</x:v>
      </x:c>
      <x:c r="Y223" s="32" t="n">
        <x:v>0.4526873580620741862225586677</x:v>
      </x:c>
      <x:c r="BI223" s="33" t="s"/>
      <x:c r="BJ223" s="11" t="s">
        <x:v>137</x:v>
      </x:c>
      <x:c r="BK223" s="12" t="str">
        <x:f>=BX223</x:f>
      </x:c>
      <x:c r="BL223" s="12" t="n">
        <x:v>0.4782361847085541256623769871</x:v>
      </x:c>
      <x:c r="BM223" s="12" t="n">
        <x:v>0.468962906888720666161998486</x:v>
      </x:c>
      <x:c r="BN223" s="12" t="n">
        <x:v>0.0528009084027252081756245269</x:v>
      </x:c>
      <x:c r="BO223" s="12" t="str">
        <x:f>=BW223</x:f>
      </x:c>
      <x:c r="BP223" s="12" t="str">
        <x:f>=CF223</x:f>
      </x:c>
      <x:c r="BQ223" s="12" t="str"/>
      <x:c r="BR223" s="12" t="str">
        <x:v>SS 2020 MSS</x:v>
      </x:c>
      <x:c r="BS223" s="13" t="str"/>
      <x:c r="BT223" s="30" t="n">
        <x:v>36107.24</x:v>
      </x:c>
      <x:c r="BU223" s="30" t="n">
        <x:v>-35255.2540</x:v>
      </x:c>
      <x:c r="BV223" s="30" t="str">
        <x:f>=BT223+BU223</x:f>
      </x:c>
      <x:c r="BW223" s="66" t="str">
        <x:f>=BV223/BT223</x:f>
      </x:c>
      <x:c r="BX223" s="66" t="n">
        <x:v>0.9471990915972747918243754731</x:v>
      </x:c>
      <x:c r="BY223" s="30" t="n">
        <x:v>33434.52</x:v>
      </x:c>
      <x:c r="BZ223" s="41" t="n">
        <x:v>279</x:v>
      </x:c>
      <x:c r="CA223" s="30" t="n">
        <x:v>1765.3730280090840272520817563</x:v>
      </x:c>
      <x:c r="CC223" s="30" t="n">
        <x:v>36107.691930355791067373202120</x:v>
      </x:c>
      <x:c r="CD223" s="30" t="n">
        <x:v>-35255.2540</x:v>
      </x:c>
      <x:c r="CE223" s="30" t="str">
        <x:f>=CC223+CD223</x:f>
      </x:c>
      <x:c r="CF223" s="66" t="str">
        <x:f>=CE223/CC223</x:f>
      </x:c>
      <x:c r="CH223" s="66" t="str">
        <x:f>=CI223+CJ223</x:f>
      </x:c>
      <x:c r="CI223" s="66" t="str">
        <x:f>=BX223+(0*7)</x:f>
      </x:c>
      <x:c r="CJ223" s="66" t="str">
        <x:f>=(1-CI223)*0.5</x:f>
      </x:c>
      <x:c r="CK223" s="66" t="str">
        <x:f>=1-CH223</x:f>
      </x:c>
      <x:c r="CM223" s="66" t="str">
        <x:f>=CJ223/(1-CI223)</x:f>
      </x:c>
    </x:row>
    <x:row r="224">
      <x:c r="A224" s="31" t="s">
        <x:v>465</x:v>
      </x:c>
      <x:c r="B224" t="s"/>
      <x:c r="C224" t="s">
        <x:v>466</x:v>
      </x:c>
      <x:c r="D224" t="s">
        <x:v>164</x:v>
      </x:c>
      <x:c r="E224" s="69" t="s">
        <x:v>153</x:v>
      </x:c>
      <x:c r="F224" t="n">
        <x:v>2889</x:v>
      </x:c>
      <x:c r="G224" s="32" t="n">
        <x:v>0.0938040844582900657667012807</x:v>
      </x:c>
      <x:c r="H224" s="32" t="n">
        <x:v>0.1768778123918310834198684666</x:v>
      </x:c>
      <x:c r="I224" s="32" t="n">
        <x:v>0.2554517133956386292834890966</x:v>
      </x:c>
      <x:c r="J224" s="32" t="n">
        <x:v>0.3170647282796815507095880928</x:v>
      </x:c>
      <x:c r="K224" s="32" t="n">
        <x:v>0.3869851159570785739010038075</x:v>
      </x:c>
      <x:c r="L224" s="32" t="n">
        <x:v>0.4461751471097265489788854275</x:v>
      </x:c>
      <x:c r="M224" s="32" t="n">
        <x:v>0.478366216683973693319487712</x:v>
      </x:c>
      <x:c r="N224" s="32" t="n">
        <x:v>0.4804430598823122187608168917</x:v>
      </x:c>
      <x:c r="O224" s="32" t="n">
        <x:v>0.4807892004153686396677050883</x:v>
      </x:c>
      <x:c r="P224" s="32" t="n">
        <x:v>0.4877120110764970578054690204</x:v>
      </x:c>
      <x:c r="Q224" s="32" t="n">
        <x:v>0.5012114918656974731741086881</x:v>
      </x:c>
      <x:c r="R224" s="32" t="n">
        <x:v>0.5012114918656974731741086881</x:v>
      </x:c>
      <x:c r="S224" s="32" t="n">
        <x:v>0.5140186915887850467289719626</x:v>
      </x:c>
      <x:c r="T224" s="32" t="n">
        <x:v>0.5316718587746625129802699896</x:v>
      </x:c>
      <x:c r="U224" s="32" t="n">
        <x:v>0.5597092419522326064382139148</x:v>
      </x:c>
      <x:c r="V224" s="32" t="n">
        <x:v>0.5912080304603669089650398062</x:v>
      </x:c>
      <x:c r="W224" s="32" t="n">
        <x:v>0.6285912080304603669089650398</x:v>
      </x:c>
      <x:c r="X224" s="32" t="n">
        <x:v>0.6683973693319487712011076497</x:v>
      </x:c>
      <x:c r="BI224" s="33" t="s"/>
      <x:c r="BJ224" s="11" t="s">
        <x:v>467</x:v>
      </x:c>
      <x:c r="BK224" s="12" t="str">
        <x:f>=BX224</x:f>
      </x:c>
      <x:c r="BL224" s="12" t="n">
        <x:v>0.7331256490134994807892004154</x:v>
      </x:c>
      <x:c r="BM224" s="12" t="n">
        <x:v>0.2281066112841813776393215646</x:v>
      </x:c>
      <x:c r="BN224" s="12" t="n">
        <x:v>0.0387677397023191415714780201</x:v>
      </x:c>
      <x:c r="BO224" s="12" t="str">
        <x:f>=BW224</x:f>
      </x:c>
      <x:c r="BP224" s="12" t="str">
        <x:f>=CF224</x:f>
      </x:c>
      <x:c r="BQ224" s="12" t="str"/>
      <x:c r="BR224" s="12" t="str">
        <x:v>SS 2020 MSS</x:v>
      </x:c>
      <x:c r="BS224" s="13" t="str"/>
      <x:c r="BT224" s="30" t="n">
        <x:v>13173.45</x:v>
      </x:c>
      <x:c r="BU224" s="30" t="n">
        <x:v>-9444.56190</x:v>
      </x:c>
      <x:c r="BV224" s="30" t="str">
        <x:f>=BT224+BU224</x:f>
      </x:c>
      <x:c r="BW224" s="66" t="str">
        <x:f>=BV224/BT224</x:f>
      </x:c>
      <x:c r="BX224" s="66" t="n">
        <x:v>0.9612322602976808584285219799</x:v>
      </x:c>
      <x:c r="BY224" s="30" t="n">
        <x:v>8361.15</x:v>
      </x:c>
      <x:c r="BZ224" s="41" t="n">
        <x:v>112</x:v>
      </x:c>
      <x:c r="CA224" s="30" t="n">
        <x:v>324.14288681204569055036344756</x:v>
      </x:c>
      <x:c r="CC224" s="30" t="n">
        <x:v>13174.118397369331948771201108</x:v>
      </x:c>
      <x:c r="CD224" s="30" t="n">
        <x:v>-9444.56190</x:v>
      </x:c>
      <x:c r="CE224" s="30" t="str">
        <x:f>=CC224+CD224</x:f>
      </x:c>
      <x:c r="CF224" s="66" t="str">
        <x:f>=CE224/CC224</x:f>
      </x:c>
      <x:c r="CH224" s="66" t="str">
        <x:f>=CI224+CJ224</x:f>
      </x:c>
      <x:c r="CI224" s="66" t="str">
        <x:f>=BX224+(0*7)</x:f>
      </x:c>
      <x:c r="CJ224" s="66" t="str">
        <x:f>=(1-CI224)*0.5</x:f>
      </x:c>
      <x:c r="CK224" s="66" t="str">
        <x:f>=1-CH224</x:f>
      </x:c>
      <x:c r="CM224" s="66" t="str">
        <x:f>=CJ224/(1-CI224)</x:f>
      </x:c>
    </x:row>
    <x:row r="225">
      <x:c r="A225" s="31" t="s">
        <x:v>468</x:v>
      </x:c>
      <x:c r="B225" t="s"/>
      <x:c r="C225" t="s">
        <x:v>469</x:v>
      </x:c>
      <x:c r="D225" t="s">
        <x:v>118</x:v>
      </x:c>
      <x:c r="E225" s="69" t="s">
        <x:v>153</x:v>
      </x:c>
      <x:c r="F225" t="n">
        <x:v>3040</x:v>
      </x:c>
      <x:c r="G225" s="32" t="n">
        <x:v>0.0006578947368421052631578947</x:v>
      </x:c>
      <x:c r="H225" s="32" t="n">
        <x:v>0.0009868421052631578947368421</x:v>
      </x:c>
      <x:c r="I225" s="32" t="n">
        <x:v>0.0019736842105263157894736842</x:v>
      </x:c>
      <x:c r="J225" s="32" t="n">
        <x:v>0.0029605263157894736842105263</x:v>
      </x:c>
      <x:c r="K225" s="32" t="n">
        <x:v>0.0032894736842105263157894737</x:v>
      </x:c>
      <x:c r="L225" s="32" t="n">
        <x:v>0.0032894736842105263157894737</x:v>
      </x:c>
      <x:c r="M225" s="32" t="n">
        <x:v>0.0039473684210526315789473684</x:v>
      </x:c>
      <x:c r="N225" s="32" t="n">
        <x:v>0.6671052631578947368421052632</x:v>
      </x:c>
      <x:c r="O225" s="23" t="n">
        <x:v>0.7246710526315789473684210526</x:v>
      </x:c>
      <x:c r="P225" s="32" t="n">
        <x:v>0.7585526315789473684210526316</x:v>
      </x:c>
      <x:c r="Q225" s="32" t="n">
        <x:v>0.7585526315789473684210526316</x:v>
      </x:c>
      <x:c r="R225" s="32" t="n">
        <x:v>0.7904605263157894736842105263</x:v>
      </x:c>
      <x:c r="S225" s="32" t="n">
        <x:v>0.8194078947368421052631578947</x:v>
      </x:c>
      <x:c r="T225" s="32" t="n">
        <x:v>0.8342105263157894736842105263</x:v>
      </x:c>
      <x:c r="U225" s="32" t="n">
        <x:v>0.8516447368421052631578947368</x:v>
      </x:c>
      <x:c r="V225" s="32" t="n">
        <x:v>0.8641447368421052631578947368</x:v>
      </x:c>
      <x:c r="W225" s="32" t="n">
        <x:v>0.8776315789473684210526315789</x:v>
      </x:c>
      <x:c r="BI225" s="33" t="s"/>
      <x:c r="BJ225" s="11" t="s">
        <x:v>154</x:v>
      </x:c>
      <x:c r="BK225" s="12" t="str">
        <x:f>=BX225</x:f>
      </x:c>
      <x:c r="BL225" s="12" t="n">
        <x:v>0.9138157894736842105263157895</x:v>
      </x:c>
      <x:c r="BM225" s="12" t="n">
        <x:v>0.0769736842105263157894736842</x:v>
      </x:c>
      <x:c r="BN225" s="12" t="n">
        <x:v>0.0092105263157894736842105263</x:v>
      </x:c>
      <x:c r="BO225" s="12" t="str">
        <x:f>=BW225</x:f>
      </x:c>
      <x:c r="BP225" s="12" t="str">
        <x:f>=CF225</x:f>
      </x:c>
      <x:c r="BQ225" s="12" t="str"/>
      <x:c r="BR225" s="12" t="str">
        <x:v>SS 2020 MSS</x:v>
      </x:c>
      <x:c r="BS225" s="13" t="str"/>
      <x:c r="BT225" s="30" t="n">
        <x:v>13610.17</x:v>
      </x:c>
      <x:c r="BU225" s="30" t="n">
        <x:v>-8322.0780</x:v>
      </x:c>
      <x:c r="BV225" s="30" t="str">
        <x:f>=BT225+BU225</x:f>
      </x:c>
      <x:c r="BW225" s="66" t="str">
        <x:f>=BV225/BT225</x:f>
      </x:c>
      <x:c r="BX225" s="66" t="n">
        <x:v>0.9907894736842105263157894737</x:v>
      </x:c>
      <x:c r="BY225" s="30" t="n">
        <x:v>8297.40</x:v>
      </x:c>
      <x:c r="BZ225" s="41" t="n">
        <x:v>28</x:v>
      </x:c>
      <x:c r="CA225" s="30" t="n">
        <x:v>76.423421052631578947368421052</x:v>
      </x:c>
      <x:c r="CC225" s="30" t="n">
        <x:v>13611.047631578947368421052632</x:v>
      </x:c>
      <x:c r="CD225" s="30" t="n">
        <x:v>-8322.0780</x:v>
      </x:c>
      <x:c r="CE225" s="30" t="str">
        <x:f>=CC225+CD225</x:f>
      </x:c>
      <x:c r="CF225" s="66" t="str">
        <x:f>=CE225/CC225</x:f>
      </x:c>
      <x:c r="CH225" s="66" t="str">
        <x:f>=CI225+CJ225</x:f>
      </x:c>
      <x:c r="CI225" s="66" t="str">
        <x:f>=BX225+(0*7)</x:f>
      </x:c>
      <x:c r="CJ225" s="66" t="str">
        <x:f>=(1-CI225)*0.5</x:f>
      </x:c>
      <x:c r="CK225" s="66" t="str">
        <x:f>=1-CH225</x:f>
      </x:c>
      <x:c r="CM225" s="66" t="str">
        <x:f>=CJ225/(1-CI225)</x:f>
      </x:c>
    </x:row>
    <x:row r="226">
      <x:c r="A226" s="31" t="s">
        <x:v>470</x:v>
      </x:c>
      <x:c r="B226" t="s"/>
      <x:c r="C226" t="s">
        <x:v>471</x:v>
      </x:c>
      <x:c r="D226" t="s">
        <x:v>118</x:v>
      </x:c>
      <x:c r="E226" s="69" t="s">
        <x:v>153</x:v>
      </x:c>
      <x:c r="F226" t="n">
        <x:v>3095</x:v>
      </x:c>
      <x:c r="G226" s="32" t="n">
        <x:v>0.030694668820678513731825525</x:v>
      </x:c>
      <x:c r="H226" s="32" t="n">
        <x:v>0.1812600969305331179321486268</x:v>
      </x:c>
      <x:c r="I226" s="32" t="n">
        <x:v>0.4982229402261712439418416801</x:v>
      </x:c>
      <x:c r="J226" s="23" t="n">
        <x:v>0.8584814216478190630048465267</x:v>
      </x:c>
      <x:c r="K226" s="32" t="n">
        <x:v>0.9434571890145395799676898223</x:v>
      </x:c>
      <x:c r="L226" s="32" t="n">
        <x:v>0.9683360258481421647819063005</x:v>
      </x:c>
      <x:c r="M226" s="32" t="n">
        <x:v>0.9667205169628432956381260097</x:v>
      </x:c>
      <x:c r="N226" s="32" t="n">
        <x:v>0.9741518578352180936995153473</x:v>
      </x:c>
      <x:c r="O226" s="32" t="n">
        <x:v>0.9780290791599353796445880452</x:v>
      </x:c>
      <x:c r="P226" s="32" t="n">
        <x:v>0.9838449111470113085621970921</x:v>
      </x:c>
      <x:c r="Q226" s="32" t="n">
        <x:v>0.9838449111470113085621970921</x:v>
      </x:c>
      <x:c r="R226" s="32" t="n">
        <x:v>0.9873990306946688206785137318</x:v>
      </x:c>
      <x:c r="S226" s="32" t="n">
        <x:v>0.9886914378029079159935379645</x:v>
      </x:c>
      <x:c r="T226" s="32" t="n">
        <x:v>0.9915993537964458804523424879</x:v>
      </x:c>
      <x:c r="U226" s="32" t="n">
        <x:v>0.9922455573505654281098546042</x:v>
      </x:c>
      <x:c r="V226" s="32" t="n">
        <x:v>0.991922455573505654281098546</x:v>
      </x:c>
      <x:c r="W226" s="32" t="n">
        <x:v>0.9922455573505654281098546042</x:v>
      </x:c>
      <x:c r="BI226" s="33" t="s"/>
      <x:c r="BJ226" s="11" t="s">
        <x:v>154</x:v>
      </x:c>
      <x:c r="BK226" s="12" t="str">
        <x:f>=BX226</x:f>
      </x:c>
      <x:c r="BL226" s="12" t="n">
        <x:v>0.9928917609046849757673667205</x:v>
      </x:c>
      <x:c r="BM226" s="12" t="n">
        <x:v>0.0025848142164781906300484653</x:v>
      </x:c>
      <x:c r="BN226" s="12" t="n">
        <x:v>0.0045234248788368336025848142</x:v>
      </x:c>
      <x:c r="BO226" s="12" t="str">
        <x:f>=BW226</x:f>
      </x:c>
      <x:c r="BP226" s="12" t="str">
        <x:f>=CF226</x:f>
      </x:c>
      <x:c r="BQ226" s="12" t="str"/>
      <x:c r="BR226" s="12" t="str">
        <x:v>SS 2020 MSS</x:v>
      </x:c>
      <x:c r="BS226" s="13" t="str"/>
      <x:c r="BT226" s="30" t="n">
        <x:v>46445.00</x:v>
      </x:c>
      <x:c r="BU226" s="30" t="n">
        <x:v>-27940.0385</x:v>
      </x:c>
      <x:c r="BV226" s="30" t="str">
        <x:f>=BT226+BU226</x:f>
      </x:c>
      <x:c r="BW226" s="66" t="str">
        <x:f>=BV226/BT226</x:f>
      </x:c>
      <x:c r="BX226" s="66" t="n">
        <x:v>0.9954765751211631663974151858</x:v>
      </x:c>
      <x:c r="BY226" s="30" t="n">
        <x:v>26772.95</x:v>
      </x:c>
      <x:c r="BZ226" s="41" t="n">
        <x:v>14</x:v>
      </x:c>
      <x:c r="CA226" s="30" t="n">
        <x:v>121.10542810985460420032310178</x:v>
      </x:c>
      <x:c r="CC226" s="30" t="n">
        <x:v>46478.016515061071082390953149</x:v>
      </x:c>
      <x:c r="CD226" s="30" t="n">
        <x:v>-27940.0385</x:v>
      </x:c>
      <x:c r="CE226" s="30" t="str">
        <x:f>=CC226+CD226</x:f>
      </x:c>
      <x:c r="CF226" s="66" t="str">
        <x:f>=CE226/CC226</x:f>
      </x:c>
      <x:c r="CH226" s="66" t="str">
        <x:f>=CI226+CJ226</x:f>
      </x:c>
      <x:c r="CI226" s="66" t="str">
        <x:f>=BX226+(0*7)</x:f>
      </x:c>
      <x:c r="CJ226" s="66" t="str">
        <x:f>=(1-CI226)*0.5</x:f>
      </x:c>
      <x:c r="CK226" s="66" t="str">
        <x:f>=1-CH226</x:f>
      </x:c>
      <x:c r="CM226" s="66" t="str">
        <x:f>=CJ226/(1-CI226)</x:f>
      </x:c>
    </x:row>
    <x:row r="227">
      <x:c r="A227" s="31" t="s">
        <x:v>472</x:v>
      </x:c>
      <x:c r="B227" t="s"/>
      <x:c r="C227" t="s">
        <x:v>473</x:v>
      </x:c>
      <x:c r="D227" t="s">
        <x:v>274</x:v>
      </x:c>
      <x:c r="E227" s="69" t="s">
        <x:v>153</x:v>
      </x:c>
      <x:c r="F227" t="n">
        <x:v>4935</x:v>
      </x:c>
      <x:c r="G227" s="32" t="n">
        <x:v>0.0006079027355623100303951368</x:v>
      </x:c>
      <x:c r="H227" s="32" t="n">
        <x:v>0.0004052684903748733535967579</x:v>
      </x:c>
      <x:c r="I227" s="32" t="n">
        <x:v>0.0427558257345491388044579534</x:v>
      </x:c>
      <x:c r="J227" s="32" t="n">
        <x:v>0.1213779128672745694022289767</x:v>
      </x:c>
      <x:c r="K227" s="32" t="n">
        <x:v>0.2194528875379939209726443769</x:v>
      </x:c>
      <x:c r="L227" s="32" t="n">
        <x:v>0.2618034447821681864235055724</x:v>
      </x:c>
      <x:c r="M227" s="32" t="n">
        <x:v>0.2954407294832826747720364742</x:v>
      </x:c>
      <x:c r="N227" s="32" t="n">
        <x:v>0.3229989868287740628166160081</x:v>
      </x:c>
      <x:c r="O227" s="32" t="n">
        <x:v>0.3880445795339412360688956434</x:v>
      </x:c>
      <x:c r="P227" s="32" t="n">
        <x:v>0.419250253292806484295845998</x:v>
      </x:c>
      <x:c r="Q227" s="32" t="n">
        <x:v>0.419250253292806484295845998</x:v>
      </x:c>
      <x:c r="R227" s="32" t="n">
        <x:v>0.4457953394123606889564336373</x:v>
      </x:c>
      <x:c r="S227" s="32" t="n">
        <x:v>0.4682877406281661600810536981</x:v>
      </x:c>
      <x:c r="T227" s="32" t="n">
        <x:v>0.4952380952380952380952380952</x:v>
      </x:c>
      <x:c r="U227" s="32" t="n">
        <x:v>0.5246200607902735562310030395</x:v>
      </x:c>
      <x:c r="V227" s="32" t="n">
        <x:v>0.5446808510638297872340425532</x:v>
      </x:c>
      <x:c r="W227" s="32" t="n">
        <x:v>0.5633232016210739614994934144</x:v>
      </x:c>
      <x:c r="BI227" s="33" t="s"/>
      <x:c r="BJ227" s="11" t="s">
        <x:v>154</x:v>
      </x:c>
      <x:c r="BK227" s="12" t="str">
        <x:f>=BX227</x:f>
      </x:c>
      <x:c r="BL227" s="12" t="n">
        <x:v>0.6196555217831813576494427558</x:v>
      </x:c>
      <x:c r="BM227" s="12" t="n">
        <x:v>0.2729483282674772036474164134</x:v>
      </x:c>
      <x:c r="BN227" s="12" t="n">
        <x:v>0.1073961499493414387031408308</x:v>
      </x:c>
      <x:c r="BO227" s="12" t="str">
        <x:f>=BW227</x:f>
      </x:c>
      <x:c r="BP227" s="12" t="str">
        <x:f>=CF227</x:f>
      </x:c>
      <x:c r="BQ227" s="12" t="str"/>
      <x:c r="BR227" s="12" t="str">
        <x:v>SS 2020 MSS</x:v>
      </x:c>
      <x:c r="BS227" s="13" t="str"/>
      <x:c r="BT227" s="30" t="n">
        <x:v>24617.46</x:v>
      </x:c>
      <x:c r="BU227" s="30" t="n">
        <x:v>-21186.02500</x:v>
      </x:c>
      <x:c r="BV227" s="30" t="str">
        <x:f>=BT227+BU227</x:f>
      </x:c>
      <x:c r="BW227" s="66" t="str">
        <x:f>=BV227/BT227</x:f>
      </x:c>
      <x:c r="BX227" s="66" t="n">
        <x:v>0.8926038500506585612968591692</x:v>
      </x:c>
      <x:c r="BY227" s="30" t="n">
        <x:v>19022.50</x:v>
      </x:c>
      <x:c r="BZ227" s="41" t="n">
        <x:v>530</x:v>
      </x:c>
      <x:c r="CA227" s="30" t="n">
        <x:v>2042.9432624113475177304964539</x:v>
      </x:c>
      <x:c r="CC227" s="30" t="n">
        <x:v>24618.022310030395136778115502</x:v>
      </x:c>
      <x:c r="CD227" s="30" t="n">
        <x:v>-21186.02500</x:v>
      </x:c>
      <x:c r="CE227" s="30" t="str">
        <x:f>=CC227+CD227</x:f>
      </x:c>
      <x:c r="CF227" s="66" t="str">
        <x:f>=CE227/CC227</x:f>
      </x:c>
      <x:c r="CH227" s="66" t="str">
        <x:f>=CI227+CJ227</x:f>
      </x:c>
      <x:c r="CI227" s="66" t="str">
        <x:f>=BX227+(0*7)</x:f>
      </x:c>
      <x:c r="CJ227" s="66" t="str">
        <x:f>=(1-CI227)*0.5</x:f>
      </x:c>
      <x:c r="CK227" s="66" t="str">
        <x:f>=1-CH227</x:f>
      </x:c>
      <x:c r="CM227" s="66" t="str">
        <x:f>=CJ227/(1-CI227)</x:f>
      </x:c>
    </x:row>
    <x:row r="228">
      <x:c r="A228" s="31" t="s">
        <x:v>474</x:v>
      </x:c>
      <x:c r="B228" t="s"/>
      <x:c r="C228" t="s">
        <x:v>475</x:v>
      </x:c>
      <x:c r="D228" t="s">
        <x:v>147</x:v>
      </x:c>
      <x:c r="E228" s="69" t="s">
        <x:v>153</x:v>
      </x:c>
      <x:c r="F228" t="n">
        <x:v>1778</x:v>
      </x:c>
      <x:c r="G228" s="32" t="n">
        <x:v>0.0506186726659167604049493813</x:v>
      </x:c>
      <x:c r="H228" s="32" t="n">
        <x:v>0.1046119235095613048368953881</x:v>
      </x:c>
      <x:c r="I228" s="32" t="n">
        <x:v>0.1535433070866141732283464567</x:v>
      </x:c>
      <x:c r="J228" s="32" t="n">
        <x:v>0.1788526434195725534308211474</x:v>
      </x:c>
      <x:c r="K228" s="32" t="n">
        <x:v>0.1951631046119235095613048369</x:v>
      </x:c>
      <x:c r="L228" s="32" t="n">
        <x:v>0.2109111361079865016872890889</x:v>
      </x:c>
      <x:c r="M228" s="32" t="n">
        <x:v>0.2334083239595050618672665917</x:v>
      </x:c>
      <x:c r="N228" s="32" t="n">
        <x:v>0.2626546681664791901012373453</x:v>
      </x:c>
      <x:c r="O228" s="32" t="n">
        <x:v>0.2868391451068616422947131609</x:v>
      </x:c>
      <x:c r="P228" s="32" t="n">
        <x:v>0.2868391451068616422947131609</x:v>
      </x:c>
      <x:c r="Q228" s="32" t="n">
        <x:v>0.3205849268841394825646794151</x:v>
      </x:c>
      <x:c r="R228" s="32" t="n">
        <x:v>0.3475815523059617547806524184</x:v>
      </x:c>
      <x:c r="S228" s="32" t="n">
        <x:v>0.3852643419572553430821147357</x:v>
      </x:c>
      <x:c r="T228" s="32" t="n">
        <x:v>0.4071991001124859392575928009</x:v>
      </x:c>
      <x:c r="U228" s="32" t="n">
        <x:v>0.4336332958380202474690663667</x:v>
      </x:c>
      <x:c r="V228" s="32" t="n">
        <x:v>0.4578177727784026996625421822</x:v>
      </x:c>
      <x:c r="BI228" s="33" t="s"/>
      <x:c r="BJ228" s="11" t="s">
        <x:v>120</x:v>
      </x:c>
      <x:c r="BK228" s="12" t="str">
        <x:f>=BX228</x:f>
      </x:c>
      <x:c r="BL228" s="12" t="n">
        <x:v>0.5174353205849268841394825647</x:v>
      </x:c>
      <x:c r="BM228" s="12" t="n">
        <x:v>0.3003374578177727784026996625</x:v>
      </x:c>
      <x:c r="BN228" s="12" t="n">
        <x:v>0.1822272215973003374578177728</x:v>
      </x:c>
      <x:c r="BO228" s="12" t="str">
        <x:f>=BW228</x:f>
      </x:c>
      <x:c r="BP228" s="12" t="str">
        <x:f>=CF228</x:f>
      </x:c>
      <x:c r="BQ228" s="12" t="str"/>
      <x:c r="BR228" s="12" t="str">
        <x:v>SS 2020 MSS</x:v>
      </x:c>
      <x:c r="BS228" s="13" t="str"/>
      <x:c r="BT228" s="30" t="n">
        <x:v>4718.63</x:v>
      </x:c>
      <x:c r="BU228" s="30" t="n">
        <x:v>-4156.7112</x:v>
      </x:c>
      <x:c r="BV228" s="30" t="str">
        <x:f>=BT228+BU228</x:f>
      </x:c>
      <x:c r="BW228" s="66" t="str">
        <x:f>=BV228/BT228</x:f>
      </x:c>
      <x:c r="BX228" s="66" t="n">
        <x:v>0.8177727784026996625421822272</x:v>
      </x:c>
      <x:c r="BY228" s="30" t="n">
        <x:v>4156.96</x:v>
      </x:c>
      <x:c r="BZ228" s="41" t="n">
        <x:v>324</x:v>
      </x:c>
      <x:c r="CA228" s="30" t="n">
        <x:v>757.51127109111361079865016871</x:v>
      </x:c>
      <x:c r="CC228" s="30" t="n">
        <x:v>4719.0878177727784026996625422</x:v>
      </x:c>
      <x:c r="CD228" s="30" t="n">
        <x:v>-4156.7112</x:v>
      </x:c>
      <x:c r="CE228" s="30" t="str">
        <x:f>=CC228+CD228</x:f>
      </x:c>
      <x:c r="CF228" s="66" t="str">
        <x:f>=CE228/CC228</x:f>
      </x:c>
      <x:c r="CH228" s="66" t="str">
        <x:f>=CI228+CJ228</x:f>
      </x:c>
      <x:c r="CI228" s="66" t="str">
        <x:f>=BX228+(0*7)</x:f>
      </x:c>
      <x:c r="CJ228" s="66" t="str">
        <x:f>=(1-CI228)*0.5</x:f>
      </x:c>
      <x:c r="CK228" s="66" t="str">
        <x:f>=1-CH228</x:f>
      </x:c>
      <x:c r="CM228" s="66" t="str">
        <x:f>=CJ228/(1-CI228)</x:f>
      </x:c>
    </x:row>
    <x:row r="229">
      <x:c r="A229" s="31" t="s">
        <x:v>476</x:v>
      </x:c>
      <x:c r="B229" t="s"/>
      <x:c r="C229" t="s">
        <x:v>477</x:v>
      </x:c>
      <x:c r="D229" t="s">
        <x:v>118</x:v>
      </x:c>
      <x:c r="E229" s="69" t="s">
        <x:v>153</x:v>
      </x:c>
      <x:c r="F229" t="n">
        <x:v>4202</x:v>
      </x:c>
      <x:c r="G229" s="32" t="n">
        <x:v>0.0045216563541170871013802951</x:v>
      </x:c>
      <x:c r="H229" s="32" t="n">
        <x:v>0.0309376487386958591147072822</x:v>
      </x:c>
      <x:c r="I229" s="32" t="n">
        <x:v>0.0309376487386958591147072822</x:v>
      </x:c>
      <x:c r="J229" s="32" t="n">
        <x:v>0.18491194669205140409328891</x:v>
      </x:c>
      <x:c r="K229" s="32" t="n">
        <x:v>0.2900999524036173250832936697</x:v>
      </x:c>
      <x:c r="L229" s="32" t="n">
        <x:v>0.4459781056639695383150880533</x:v>
      </x:c>
      <x:c r="M229" s="32" t="n">
        <x:v>0.5780580675868633983817229891</x:v>
      </x:c>
      <x:c r="N229" s="32" t="n">
        <x:v>0.5780580675868633983817229891</x:v>
      </x:c>
      <x:c r="O229" s="32" t="n">
        <x:v>0.6746787244169443122322703475</x:v>
      </x:c>
      <x:c r="P229" s="23" t="n">
        <x:v>0.7220371251784864350309376487</x:v>
      </x:c>
      <x:c r="Q229" s="32" t="n">
        <x:v>0.758448357924797715373631604</x:v>
      </x:c>
      <x:c r="R229" s="32" t="n">
        <x:v>0.7836744407425035697287006188</x:v>
      </x:c>
      <x:c r="S229" s="32" t="n">
        <x:v>0.7934316991908614945264159924</x:v>
      </x:c>
      <x:c r="T229" s="32" t="n">
        <x:v>0.797715373631603998096144693</x:v>
      </x:c>
      <x:c r="BI229" s="33" t="s"/>
      <x:c r="BJ229" s="11" t="s">
        <x:v>123</x:v>
      </x:c>
      <x:c r="BK229" s="12" t="str">
        <x:f>=BX229</x:f>
      </x:c>
      <x:c r="BL229" s="12" t="n">
        <x:v>0.8098524512137077582103760114</x:v>
      </x:c>
      <x:c r="BM229" s="12" t="n">
        <x:v>0.106377915278438838648262732</x:v>
      </x:c>
      <x:c r="BN229" s="12" t="n">
        <x:v>0.0837696335078534031413612565</x:v>
      </x:c>
      <x:c r="BO229" s="12" t="str">
        <x:f>=BW229</x:f>
      </x:c>
      <x:c r="BP229" s="12" t="str">
        <x:f>=CF229</x:f>
      </x:c>
      <x:c r="BQ229" s="12" t="str"/>
      <x:c r="BR229" s="12" t="str">
        <x:v>SS 2020 MSS</x:v>
      </x:c>
      <x:c r="BS229" s="13" t="str"/>
      <x:c r="BT229" s="30" t="n">
        <x:v>15121.57</x:v>
      </x:c>
      <x:c r="BU229" s="30" t="n">
        <x:v>-11050.3457</x:v>
      </x:c>
      <x:c r="BV229" s="30" t="str">
        <x:f>=BT229+BU229</x:f>
      </x:c>
      <x:c r="BW229" s="66" t="str">
        <x:f>=BV229/BT229</x:f>
      </x:c>
      <x:c r="BX229" s="66" t="n">
        <x:v>0.9162303664921465968586387435</x:v>
      </x:c>
      <x:c r="BY229" s="30" t="n">
        <x:v>10905.63</x:v>
      </x:c>
      <x:c r="BZ229" s="41" t="n">
        <x:v>352</x:v>
      </x:c>
      <x:c r="CA229" s="30" t="n">
        <x:v>913.5606282722513089005235602</x:v>
      </x:c>
      <x:c r="CC229" s="30" t="n">
        <x:v>15122.367715373631603998096145</x:v>
      </x:c>
      <x:c r="CD229" s="30" t="n">
        <x:v>-11050.3457</x:v>
      </x:c>
      <x:c r="CE229" s="30" t="str">
        <x:f>=CC229+CD229</x:f>
      </x:c>
      <x:c r="CF229" s="66" t="str">
        <x:f>=CE229/CC229</x:f>
      </x:c>
      <x:c r="CH229" s="66" t="str">
        <x:f>=CI229+CJ229</x:f>
      </x:c>
      <x:c r="CI229" s="66" t="str">
        <x:f>=BX229+(0*7)</x:f>
      </x:c>
      <x:c r="CJ229" s="66" t="str">
        <x:f>=(1-CI229)*0.5</x:f>
      </x:c>
      <x:c r="CK229" s="66" t="str">
        <x:f>=1-CH229</x:f>
      </x:c>
      <x:c r="CM229" s="66" t="str">
        <x:f>=CJ229/(1-CI229)</x:f>
      </x:c>
    </x:row>
    <x:row r="230">
      <x:c r="A230" s="31" t="s">
        <x:v>478</x:v>
      </x:c>
      <x:c r="B230" t="s"/>
      <x:c r="C230" t="s">
        <x:v>479</x:v>
      </x:c>
      <x:c r="D230" t="s">
        <x:v>118</x:v>
      </x:c>
      <x:c r="E230" s="69" t="s">
        <x:v>153</x:v>
      </x:c>
      <x:c r="F230" t="n">
        <x:v>4202</x:v>
      </x:c>
      <x:c r="G230" s="32" t="n">
        <x:v>0.0097572584483579247977153736</x:v>
      </x:c>
      <x:c r="H230" s="32" t="n">
        <x:v>0.0097572584483579247977153736</x:v>
      </x:c>
      <x:c r="I230" s="32" t="n">
        <x:v>0.1163731556401713469776297001</x:v>
      </x:c>
      <x:c r="J230" s="32" t="n">
        <x:v>0.202284626368396001903855307</x:v>
      </x:c>
      <x:c r="K230" s="32" t="n">
        <x:v>0.3212755830556877677296525464</x:v>
      </x:c>
      <x:c r="L230" s="32" t="n">
        <x:v>0.4336030461684911946692051404</x:v>
      </x:c>
      <x:c r="M230" s="32" t="n">
        <x:v>0.4336030461684911946692051404</x:v>
      </x:c>
      <x:c r="N230" s="32" t="n">
        <x:v>0.5497382198952879581151832461</x:v>
      </x:c>
      <x:c r="O230" s="32" t="n">
        <x:v>0.6475487862922417896239885769</x:v>
      </x:c>
      <x:c r="P230" s="23" t="n">
        <x:v>0.7084721561161351737267967634</x:v>
      </x:c>
      <x:c r="Q230" s="32" t="n">
        <x:v>0.7505949547834364588291289862</x:v>
      </x:c>
      <x:c r="R230" s="32" t="n">
        <x:v>0.7746311280342693955259400286</x:v>
      </x:c>
      <x:c r="S230" s="32" t="n">
        <x:v>0.7858162779628748215135649691</x:v>
      </x:c>
      <x:c r="BI230" s="33" t="s"/>
      <x:c r="BJ230" s="11" t="s">
        <x:v>140</x:v>
      </x:c>
      <x:c r="BK230" s="12" t="str">
        <x:f>=BX230</x:f>
      </x:c>
      <x:c r="BL230" s="12" t="n">
        <x:v>0.8110423607805806758686339838</x:v>
      </x:c>
      <x:c r="BM230" s="12" t="n">
        <x:v>0.1358876725368871965730604474</x:v>
      </x:c>
      <x:c r="BN230" s="12" t="n">
        <x:v>0.0530699666825321275583055688</x:v>
      </x:c>
      <x:c r="BO230" s="12" t="str">
        <x:f>=BW230</x:f>
      </x:c>
      <x:c r="BP230" s="12" t="str">
        <x:f>=CF230</x:f>
      </x:c>
      <x:c r="BQ230" s="12" t="str"/>
      <x:c r="BR230" s="12" t="str">
        <x:v>SS 2020 MSS</x:v>
      </x:c>
      <x:c r="BS230" s="13" t="str"/>
      <x:c r="BT230" s="30" t="n">
        <x:v>15237.81</x:v>
      </x:c>
      <x:c r="BU230" s="30" t="n">
        <x:v>-11040.9356</x:v>
      </x:c>
      <x:c r="BV230" s="30" t="str">
        <x:f>=BT230+BU230</x:f>
      </x:c>
      <x:c r="BW230" s="66" t="str">
        <x:f>=BV230/BT230</x:f>
      </x:c>
      <x:c r="BX230" s="66" t="n">
        <x:v>0.9469300333174678724416944312</x:v>
      </x:c>
      <x:c r="BY230" s="30" t="n">
        <x:v>10902.86</x:v>
      </x:c>
      <x:c r="BZ230" s="41" t="n">
        <x:v>223</x:v>
      </x:c>
      <x:c r="CA230" s="30" t="n">
        <x:v>578.61441694431223227034745358</x:v>
      </x:c>
      <x:c r="CC230" s="30" t="n">
        <x:v>15238.595816277962874821513565</x:v>
      </x:c>
      <x:c r="CD230" s="30" t="n">
        <x:v>-11040.9356</x:v>
      </x:c>
      <x:c r="CE230" s="30" t="str">
        <x:f>=CC230+CD230</x:f>
      </x:c>
      <x:c r="CF230" s="66" t="str">
        <x:f>=CE230/CC230</x:f>
      </x:c>
      <x:c r="CH230" s="66" t="str">
        <x:f>=CI230+CJ230</x:f>
      </x:c>
      <x:c r="CI230" s="66" t="str">
        <x:f>=BX230+(0*7)</x:f>
      </x:c>
      <x:c r="CJ230" s="66" t="str">
        <x:f>=(1-CI230)*0.5</x:f>
      </x:c>
      <x:c r="CK230" s="66" t="str">
        <x:f>=1-CH230</x:f>
      </x:c>
      <x:c r="CM230" s="66" t="str">
        <x:f>=CJ230/(1-CI230)</x:f>
      </x:c>
    </x:row>
    <x:row r="231">
      <x:c r="A231" s="31" t="s">
        <x:v>480</x:v>
      </x:c>
      <x:c r="B231" t="s"/>
      <x:c r="C231" t="s">
        <x:v>481</x:v>
      </x:c>
      <x:c r="D231" t="s">
        <x:v>118</x:v>
      </x:c>
      <x:c r="E231" s="69" t="s">
        <x:v>153</x:v>
      </x:c>
      <x:c r="F231" t="n">
        <x:v>3019</x:v>
      </x:c>
      <x:c r="G231" s="32" t="n">
        <x:v>0.0003312355084465054653858894</x:v>
      </x:c>
      <x:c r="H231" s="32" t="n">
        <x:v>0.009937065253395163961576681</x:v>
      </x:c>
      <x:c r="I231" s="32" t="n">
        <x:v>0.0490228552500828088771116264</x:v>
      </x:c>
      <x:c r="J231" s="32" t="n">
        <x:v>0.1033454786353097052003974826</x:v>
      </x:c>
      <x:c r="K231" s="32" t="n">
        <x:v>0.1520370983769460086121232196</x:v>
      </x:c>
      <x:c r="L231" s="32" t="n">
        <x:v>0.198410069559456773766147731</x:v>
      </x:c>
      <x:c r="M231" s="32" t="n">
        <x:v>0.198410069559456773766147731</x:v>
      </x:c>
      <x:c r="N231" s="32" t="n">
        <x:v>0.2510765154024511427625041404</x:v>
      </x:c>
      <x:c r="O231" s="32" t="n">
        <x:v>0.3053991387876780390857899967</x:v>
      </x:c>
      <x:c r="P231" s="32" t="n">
        <x:v>0.3557469360715468698244451805</x:v>
      </x:c>
      <x:c r="Q231" s="32" t="n">
        <x:v>0.3945014905597880092745942365</x:v>
      </x:c>
      <x:c r="R231" s="32" t="n">
        <x:v>0.4150380920834713481285193773</x:v>
      </x:c>
      <x:c r="S231" s="32" t="n">
        <x:v>0.4408744617422987744286187479</x:v>
      </x:c>
      <x:c r="BI231" s="33" t="s"/>
      <x:c r="BJ231" s="11" t="s">
        <x:v>140</x:v>
      </x:c>
      <x:c r="BK231" s="12" t="str">
        <x:f>=BX231</x:f>
      </x:c>
      <x:c r="BL231" s="12" t="n">
        <x:v>0.5322954620735342828751242133</x:v>
      </x:c>
      <x:c r="BM231" s="12" t="n">
        <x:v>0.3699900629347466048360384233</x:v>
      </x:c>
      <x:c r="BN231" s="12" t="n">
        <x:v>0.0977144749917191122888373634</x:v>
      </x:c>
      <x:c r="BO231" s="12" t="str">
        <x:f>=BW231</x:f>
      </x:c>
      <x:c r="BP231" s="12" t="str">
        <x:f>=CF231</x:f>
      </x:c>
      <x:c r="BQ231" s="12" t="str"/>
      <x:c r="BR231" s="12" t="str">
        <x:v>SS 2020 MSS</x:v>
      </x:c>
      <x:c r="BS231" s="13" t="str"/>
      <x:c r="BT231" s="30" t="n">
        <x:v>12218.44</x:v>
      </x:c>
      <x:c r="BU231" s="30" t="n">
        <x:v>-9883.8153</x:v>
      </x:c>
      <x:c r="BV231" s="30" t="str">
        <x:f>=BT231+BU231</x:f>
      </x:c>
      <x:c r="BW231" s="66" t="str">
        <x:f>=BV231/BT231</x:f>
      </x:c>
      <x:c r="BX231" s="66" t="n">
        <x:v>0.9022855250082808877111626366</x:v>
      </x:c>
      <x:c r="BY231" s="30" t="n">
        <x:v>8928.99</x:v>
      </x:c>
      <x:c r="BZ231" s="41" t="n">
        <x:v>295</x:v>
      </x:c>
      <x:c r="CA231" s="30" t="n">
        <x:v>872.4915700563100364359059291</x:v>
      </x:c>
      <x:c r="CC231" s="30" t="n">
        <x:v>12218.880874461742298774428619</x:v>
      </x:c>
      <x:c r="CD231" s="30" t="n">
        <x:v>-9883.8153</x:v>
      </x:c>
      <x:c r="CE231" s="30" t="str">
        <x:f>=CC231+CD231</x:f>
      </x:c>
      <x:c r="CF231" s="66" t="str">
        <x:f>=CE231/CC231</x:f>
      </x:c>
      <x:c r="CH231" s="66" t="str">
        <x:f>=CI231+CJ231</x:f>
      </x:c>
      <x:c r="CI231" s="66" t="str">
        <x:f>=BX231+(0*7)</x:f>
      </x:c>
      <x:c r="CJ231" s="66" t="str">
        <x:f>=(1-CI231)*0.5</x:f>
      </x:c>
      <x:c r="CK231" s="66" t="str">
        <x:f>=1-CH231</x:f>
      </x:c>
      <x:c r="CM231" s="66" t="str">
        <x:f>=CJ231/(1-CI231)</x:f>
      </x:c>
    </x:row>
    <x:row r="232">
      <x:c r="A232" s="31" t="s">
        <x:v>482</x:v>
      </x:c>
      <x:c r="B232" t="s"/>
      <x:c r="C232" t="s">
        <x:v>483</x:v>
      </x:c>
      <x:c r="D232" t="s">
        <x:v>118</x:v>
      </x:c>
      <x:c r="E232" s="69" t="s">
        <x:v>153</x:v>
      </x:c>
      <x:c r="F232" t="n">
        <x:v>4231</x:v>
      </x:c>
      <x:c r="G232" s="32" t="n">
        <x:v>0.0158354998818246277475774049</x:v>
      </x:c>
      <x:c r="H232" s="32" t="n">
        <x:v>0.0158354998818246277475774049</x:v>
      </x:c>
      <x:c r="I232" s="32" t="n">
        <x:v>0.1767903568896242023162372961</x:v>
      </x:c>
      <x:c r="J232" s="32" t="n">
        <x:v>0.2869298038288820609784920823</x:v>
      </x:c>
      <x:c r="K232" s="32" t="n">
        <x:v>0.4143228551169936185298983692</x:v>
      </x:c>
      <x:c r="L232" s="32" t="n">
        <x:v>0.5249350035452611675726778539</x:v>
      </x:c>
      <x:c r="M232" s="32" t="n">
        <x:v>0.5249350035452611675726778539</x:v>
      </x:c>
      <x:c r="N232" s="32" t="n">
        <x:v>0.6291656818718978964783739069</x:v>
      </x:c>
      <x:c r="O232" s="23" t="n">
        <x:v>0.7322146064760103994327582132</x:v>
      </x:c>
      <x:c r="P232" s="32" t="n">
        <x:v>0.7785393523989600567241786812</x:v>
      </x:c>
      <x:c r="Q232" s="32" t="n">
        <x:v>0.7998109194043961238477901205</x:v>
      </x:c>
      <x:c r="R232" s="32" t="n">
        <x:v>0.8184826282202788938785157173</x:v>
      </x:c>
      <x:c r="S232" s="32" t="n">
        <x:v>0.8220278893878515717324509572</x:v>
      </x:c>
      <x:c r="BI232" s="33" t="s"/>
      <x:c r="BJ232" s="11" t="s">
        <x:v>140</x:v>
      </x:c>
      <x:c r="BK232" s="12" t="str">
        <x:f>=BX232</x:f>
      </x:c>
      <x:c r="BL232" s="12" t="n">
        <x:v>0.8423540534152682580950129993</x:v>
      </x:c>
      <x:c r="BM232" s="12" t="n">
        <x:v>0.1044670290711415740959584023</x:v>
      </x:c>
      <x:c r="BN232" s="12" t="n">
        <x:v>0.0531789175135901678090285984</x:v>
      </x:c>
      <x:c r="BO232" s="12" t="str">
        <x:f>=BW232</x:f>
      </x:c>
      <x:c r="BP232" s="12" t="str">
        <x:f>=CF232</x:f>
      </x:c>
      <x:c r="BQ232" s="12" t="str"/>
      <x:c r="BR232" s="12" t="str">
        <x:v>SS 2020 MSS</x:v>
      </x:c>
      <x:c r="BS232" s="13" t="str"/>
      <x:c r="BT232" s="30" t="n">
        <x:v>15729.38</x:v>
      </x:c>
      <x:c r="BU232" s="30" t="n">
        <x:v>-11168.5330</x:v>
      </x:c>
      <x:c r="BV232" s="30" t="str">
        <x:f>=BT232+BU232</x:f>
      </x:c>
      <x:c r="BW232" s="66" t="str">
        <x:f>=BV232/BT232</x:f>
      </x:c>
      <x:c r="BX232" s="66" t="n">
        <x:v>0.9468210824864098321909714016</x:v>
      </x:c>
      <x:c r="BY232" s="30" t="n">
        <x:v>10974.39</x:v>
      </x:c>
      <x:c r="BZ232" s="41" t="n">
        <x:v>225</x:v>
      </x:c>
      <x:c r="CA232" s="30" t="n">
        <x:v>583.60618057196880170172536044</x:v>
      </x:c>
      <x:c r="CC232" s="30" t="n">
        <x:v>15730.202027889387851571732451</x:v>
      </x:c>
      <x:c r="CD232" s="30" t="n">
        <x:v>-11168.5330</x:v>
      </x:c>
      <x:c r="CE232" s="30" t="str">
        <x:f>=CC232+CD232</x:f>
      </x:c>
      <x:c r="CF232" s="66" t="str">
        <x:f>=CE232/CC232</x:f>
      </x:c>
      <x:c r="CH232" s="66" t="str">
        <x:f>=CI232+CJ232</x:f>
      </x:c>
      <x:c r="CI232" s="66" t="str">
        <x:f>=BX232+(0*7)</x:f>
      </x:c>
      <x:c r="CJ232" s="66" t="str">
        <x:f>=(1-CI232)*0.5</x:f>
      </x:c>
      <x:c r="CK232" s="66" t="str">
        <x:f>=1-CH232</x:f>
      </x:c>
      <x:c r="CM232" s="66" t="str">
        <x:f>=CJ232/(1-CI232)</x:f>
      </x:c>
    </x:row>
    <x:row r="233">
      <x:c r="A233" s="31" t="s">
        <x:v>484</x:v>
      </x:c>
      <x:c r="B233" t="s"/>
      <x:c r="C233" t="s">
        <x:v>485</x:v>
      </x:c>
      <x:c r="D233" t="s">
        <x:v>118</x:v>
      </x:c>
      <x:c r="E233" s="69" t="s">
        <x:v>153</x:v>
      </x:c>
      <x:c r="F233" t="n">
        <x:v>4030</x:v>
      </x:c>
      <x:c r="G233" s="32" t="n">
        <x:v>0.0089330024813895781637717122</x:v>
      </x:c>
      <x:c r="H233" s="32" t="n">
        <x:v>0.0089330024813895781637717122</x:v>
      </x:c>
      <x:c r="I233" s="32" t="n">
        <x:v>0.1312655086848635235732009926</x:v>
      </x:c>
      <x:c r="J233" s="32" t="n">
        <x:v>0.220843672456575682382133995</x:v>
      </x:c>
      <x:c r="K233" s="32" t="n">
        <x:v>0.3414392059553349875930521092</x:v>
      </x:c>
      <x:c r="L233" s="32" t="n">
        <x:v>0.4540942928039702233250620347</x:v>
      </x:c>
      <x:c r="M233" s="32" t="n">
        <x:v>0.4540942928039702233250620347</x:v>
      </x:c>
      <x:c r="N233" s="32" t="n">
        <x:v>0.562779156327543424317617866</x:v>
      </x:c>
      <x:c r="O233" s="32" t="n">
        <x:v>0.6563275434243176178660049628</x:v>
      </x:c>
      <x:c r="P233" s="23" t="n">
        <x:v>0.7382133995037220843672456576</x:v>
      </x:c>
      <x:c r="Q233" s="32" t="n">
        <x:v>0.7875930521091811414392059553</x:v>
      </x:c>
      <x:c r="R233" s="32" t="n">
        <x:v>0.8106699751861042183622828784</x:v>
      </x:c>
      <x:c r="S233" s="32" t="n">
        <x:v>0.8215880893300248138957816377</x:v>
      </x:c>
      <x:c r="BI233" s="33" t="s"/>
      <x:c r="BJ233" s="11" t="s">
        <x:v>140</x:v>
      </x:c>
      <x:c r="BK233" s="12" t="str">
        <x:f>=BX233</x:f>
      </x:c>
      <x:c r="BL233" s="12" t="n">
        <x:v>0.8486352357320099255583126551</x:v>
      </x:c>
      <x:c r="BM233" s="12" t="n">
        <x:v>0.0918114143920595533498759305</x:v>
      </x:c>
      <x:c r="BN233" s="12" t="n">
        <x:v>0.0595533498759305210918114144</x:v>
      </x:c>
      <x:c r="BO233" s="12" t="str">
        <x:f>=BW233</x:f>
      </x:c>
      <x:c r="BP233" s="12" t="str">
        <x:f>=CF233</x:f>
      </x:c>
      <x:c r="BQ233" s="12" t="str"/>
      <x:c r="BR233" s="12" t="str">
        <x:v>SS 2020 MSS</x:v>
      </x:c>
      <x:c r="BS233" s="13" t="str"/>
      <x:c r="BT233" s="30" t="n">
        <x:v>12942.60</x:v>
      </x:c>
      <x:c r="BU233" s="30" t="n">
        <x:v>-8247.1304</x:v>
      </x:c>
      <x:c r="BV233" s="30" t="str">
        <x:f>=BT233+BU233</x:f>
      </x:c>
      <x:c r="BW233" s="66" t="str">
        <x:f>=BV233/BT233</x:f>
      </x:c>
      <x:c r="BX233" s="66" t="n">
        <x:v>0.9404466501240694789081885856</x:v>
      </x:c>
      <x:c r="BY233" s="30" t="n">
        <x:v>8102.52</x:v>
      </x:c>
      <x:c r="BZ233" s="41" t="n">
        <x:v>240</x:v>
      </x:c>
      <x:c r="CA233" s="30" t="n">
        <x:v>482.53220843672456575682382134</x:v>
      </x:c>
      <x:c r="CC233" s="30" t="n">
        <x:v>12943.421588089330024813895782</x:v>
      </x:c>
      <x:c r="CD233" s="30" t="n">
        <x:v>-8247.1304</x:v>
      </x:c>
      <x:c r="CE233" s="30" t="str">
        <x:f>=CC233+CD233</x:f>
      </x:c>
      <x:c r="CF233" s="66" t="str">
        <x:f>=CE233/CC233</x:f>
      </x:c>
      <x:c r="CH233" s="66" t="str">
        <x:f>=CI233+CJ233</x:f>
      </x:c>
      <x:c r="CI233" s="66" t="str">
        <x:f>=BX233+(0*7)</x:f>
      </x:c>
      <x:c r="CJ233" s="66" t="str">
        <x:f>=(1-CI233)*0.5</x:f>
      </x:c>
      <x:c r="CK233" s="66" t="str">
        <x:f>=1-CH233</x:f>
      </x:c>
      <x:c r="CM233" s="66" t="str">
        <x:f>=CJ233/(1-CI233)</x:f>
      </x:c>
    </x:row>
    <x:row r="234">
      <x:c r="A234" s="31" t="s">
        <x:v>486</x:v>
      </x:c>
      <x:c r="B234" t="s"/>
      <x:c r="C234" t="s">
        <x:v>487</x:v>
      </x:c>
      <x:c r="D234" t="s">
        <x:v>130</x:v>
      </x:c>
      <x:c r="E234" s="69" t="s">
        <x:v>153</x:v>
      </x:c>
      <x:c r="F234" t="n">
        <x:v>574</x:v>
      </x:c>
      <x:c r="G234" s="32" t="n">
        <x:v>0.0662020905923344947735191638</x:v>
      </x:c>
      <x:c r="H234" s="32" t="n">
        <x:v>0.0662020905923344947735191638</x:v>
      </x:c>
      <x:c r="I234" s="32" t="n">
        <x:v>0.15679442508710801393728223</x:v>
      </x:c>
      <x:c r="J234" s="32" t="n">
        <x:v>0.1968641114982578397212543554</x:v>
      </x:c>
      <x:c r="K234" s="32" t="n">
        <x:v>0.2351916376306620209059233449</x:v>
      </x:c>
      <x:c r="L234" s="32" t="n">
        <x:v>0.2752613240418118466898954704</x:v>
      </x:c>
      <x:c r="M234" s="32" t="n">
        <x:v>0.2752613240418118466898954704</x:v>
      </x:c>
      <x:c r="N234" s="32" t="n">
        <x:v>0.3466898954703832752613240418</x:v>
      </x:c>
      <x:c r="O234" s="32" t="n">
        <x:v>0.3797909407665505226480836237</x:v>
      </x:c>
      <x:c r="P234" s="32" t="n">
        <x:v>0.4407665505226480836236933798</x:v>
      </x:c>
      <x:c r="Q234" s="32" t="n">
        <x:v>0.531358885017421602787456446</x:v>
      </x:c>
      <x:c r="R234" s="32" t="n">
        <x:v>0.6167247386759581881533101045</x:v>
      </x:c>
      <x:c r="S234" s="23" t="n">
        <x:v>0.7108013937282229965156794425</x:v>
      </x:c>
      <x:c r="BI234" s="33" t="s"/>
      <x:c r="BJ234" s="11" t="s">
        <x:v>140</x:v>
      </x:c>
      <x:c r="BK234" s="12" t="str">
        <x:f>=BX234</x:f>
      </x:c>
      <x:c r="BL234" s="12" t="n">
        <x:v>0.7996515679442508710801393728</x:v>
      </x:c>
      <x:c r="BM234" s="12" t="n">
        <x:v>0.1341463414634146341463414634</x:v>
      </x:c>
      <x:c r="BN234" s="12" t="n">
        <x:v>0.0662020905923344947735191638</x:v>
      </x:c>
      <x:c r="BO234" s="12" t="str">
        <x:f>=BW234</x:f>
      </x:c>
      <x:c r="BP234" s="12" t="str">
        <x:f>=CF234</x:f>
      </x:c>
      <x:c r="BQ234" s="12" t="str"/>
      <x:c r="BR234" s="12" t="str">
        <x:v>SS 2020 MSS</x:v>
      </x:c>
      <x:c r="BS234" s="13" t="str"/>
      <x:c r="BT234" s="30" t="n">
        <x:v>5204.38</x:v>
      </x:c>
      <x:c r="BU234" s="30" t="n">
        <x:v>-3902.48607031264033643120</x:v>
      </x:c>
      <x:c r="BV234" s="30" t="str">
        <x:f>=BT234+BU234</x:f>
      </x:c>
      <x:c r="BW234" s="66" t="str">
        <x:f>=BV234/BT234</x:f>
      </x:c>
      <x:c r="BX234" s="66" t="n">
        <x:v>0.9337979094076655052264808362</x:v>
      </x:c>
      <x:c r="BY234" s="30" t="n">
        <x:v>3960.041515786227150960</x:v>
      </x:c>
      <x:c r="BZ234" s="41" t="n">
        <x:v>38</x:v>
      </x:c>
      <x:c r="CA234" s="30" t="n">
        <x:v>262.16302717748542114369337979</x:v>
      </x:c>
      <x:c r="CC234" s="30" t="n">
        <x:v>5244.6670082172822299651567947</x:v>
      </x:c>
      <x:c r="CD234" s="30" t="n">
        <x:v>-3902.48607031264033643120</x:v>
      </x:c>
      <x:c r="CE234" s="30" t="str">
        <x:f>=CC234+CD234</x:f>
      </x:c>
      <x:c r="CF234" s="66" t="str">
        <x:f>=CE234/CC234</x:f>
      </x:c>
      <x:c r="CH234" s="66" t="str">
        <x:f>=CI234+CJ234</x:f>
      </x:c>
      <x:c r="CI234" s="66" t="str">
        <x:f>=BX234+(0*7)</x:f>
      </x:c>
      <x:c r="CJ234" s="66" t="str">
        <x:f>=(1-CI234)*0.5</x:f>
      </x:c>
      <x:c r="CK234" s="66" t="str">
        <x:f>=1-CH234</x:f>
      </x:c>
      <x:c r="CM234" s="66" t="str">
        <x:f>=CJ234/(1-CI234)</x:f>
      </x:c>
    </x:row>
    <x:row r="235">
      <x:c r="A235" s="31" t="s">
        <x:v>488</x:v>
      </x:c>
      <x:c r="B235" t="s"/>
      <x:c r="C235" t="s">
        <x:v>489</x:v>
      </x:c>
      <x:c r="D235" t="s">
        <x:v>130</x:v>
      </x:c>
      <x:c r="E235" s="69" t="s">
        <x:v>153</x:v>
      </x:c>
      <x:c r="F235" t="n">
        <x:v>1036</x:v>
      </x:c>
      <x:c r="G235" s="32" t="n">
        <x:v>0.0685328185328185328185328185</x:v>
      </x:c>
      <x:c r="H235" s="32" t="n">
        <x:v>0.0685328185328185328185328185</x:v>
      </x:c>
      <x:c r="I235" s="32" t="n">
        <x:v>0.1650579150579150579150579151</x:v>
      </x:c>
      <x:c r="J235" s="32" t="n">
        <x:v>0.2200772200772200772200772201</x:v>
      </x:c>
      <x:c r="K235" s="32" t="n">
        <x:v>0.2944015444015444015444015444</x:v>
      </x:c>
      <x:c r="L235" s="32" t="n">
        <x:v>0.361969111969111969111969112</x:v>
      </x:c>
      <x:c r="M235" s="32" t="n">
        <x:v>0.361969111969111969111969112</x:v>
      </x:c>
      <x:c r="N235" s="32" t="n">
        <x:v>0.4459459459459459459459459459</x:v>
      </x:c>
      <x:c r="O235" s="32" t="n">
        <x:v>0.5173745173745173745173745174</x:v>
      </x:c>
      <x:c r="P235" s="32" t="n">
        <x:v>0.6061776061776061776061776062</x:v>
      </x:c>
      <x:c r="Q235" s="32" t="n">
        <x:v>0.6747104247104247104247104247</x:v>
      </x:c>
      <x:c r="R235" s="23" t="n">
        <x:v>0.7577220077220077220077220077</x:v>
      </x:c>
      <x:c r="S235" s="32" t="n">
        <x:v>0.8108108108108108108108108108</x:v>
      </x:c>
      <x:c r="BI235" s="33" t="s"/>
      <x:c r="BJ235" s="11" t="s">
        <x:v>140</x:v>
      </x:c>
      <x:c r="BK235" s="12" t="str">
        <x:f>=BX235</x:f>
      </x:c>
      <x:c r="BL235" s="12" t="n">
        <x:v>0.8426640926640926640926640927</x:v>
      </x:c>
      <x:c r="BM235" s="12" t="n">
        <x:v>0.1061776061776061776061776062</x:v>
      </x:c>
      <x:c r="BN235" s="12" t="n">
        <x:v>0.0511583011583011583011583012</x:v>
      </x:c>
      <x:c r="BO235" s="12" t="str">
        <x:f>=BW235</x:f>
      </x:c>
      <x:c r="BP235" s="12" t="str">
        <x:f>=CF235</x:f>
      </x:c>
      <x:c r="BQ235" s="12" t="str"/>
      <x:c r="BR235" s="12" t="str">
        <x:v>SS 2020 MSS</x:v>
      </x:c>
      <x:c r="BS235" s="13" t="str"/>
      <x:c r="BT235" s="30" t="n">
        <x:v>9778.97</x:v>
      </x:c>
      <x:c r="BU235" s="30" t="n">
        <x:v>-7112.85939780264928941360</x:v>
      </x:c>
      <x:c r="BV235" s="30" t="str">
        <x:f>=BT235+BU235</x:f>
      </x:c>
      <x:c r="BW235" s="66" t="str">
        <x:f>=BV235/BT235</x:f>
      </x:c>
      <x:c r="BX235" s="66" t="n">
        <x:v>0.9488416988416988416988416988</x:v>
      </x:c>
      <x:c r="BY235" s="30" t="n">
        <x:v>7168.473193610978648880</x:v>
      </x:c>
      <x:c r="BZ235" s="41" t="n">
        <x:v>53</x:v>
      </x:c>
      <x:c r="CA235" s="30" t="n">
        <x:v>366.72691048395933242339768340</x:v>
      </x:c>
      <x:c r="CC235" s="30" t="n">
        <x:v>9779.783706563706563706563707</x:v>
      </x:c>
      <x:c r="CD235" s="30" t="n">
        <x:v>-7112.85939780264928941360</x:v>
      </x:c>
      <x:c r="CE235" s="30" t="str">
        <x:f>=CC235+CD235</x:f>
      </x:c>
      <x:c r="CF235" s="66" t="str">
        <x:f>=CE235/CC235</x:f>
      </x:c>
      <x:c r="CH235" s="66" t="str">
        <x:f>=CI235+CJ235</x:f>
      </x:c>
      <x:c r="CI235" s="66" t="str">
        <x:f>=BX235+(0*7)</x:f>
      </x:c>
      <x:c r="CJ235" s="66" t="str">
        <x:f>=(1-CI235)*0.5</x:f>
      </x:c>
      <x:c r="CK235" s="66" t="str">
        <x:f>=1-CH235</x:f>
      </x:c>
      <x:c r="CM235" s="66" t="str">
        <x:f>=CJ235/(1-CI235)</x:f>
      </x:c>
    </x:row>
    <x:row r="236">
      <x:c r="A236" s="31" t="s">
        <x:v>490</x:v>
      </x:c>
      <x:c r="B236" t="s"/>
      <x:c r="C236" t="s">
        <x:v>491</x:v>
      </x:c>
      <x:c r="D236" t="s">
        <x:v>274</x:v>
      </x:c>
      <x:c r="E236" s="69" t="s">
        <x:v>153</x:v>
      </x:c>
      <x:c r="F236" t="n">
        <x:v>3029</x:v>
      </x:c>
      <x:c r="G236" s="32" t="n">
        <x:v>0.0006602839220864971937933311</x:v>
      </x:c>
      <x:c r="H236" s="32" t="n">
        <x:v>0.0006602839220864971937933311</x:v>
      </x:c>
      <x:c r="I236" s="32" t="n">
        <x:v>0.0013205678441729943875866623</x:v>
      </x:c>
      <x:c r="J236" s="32" t="n">
        <x:v>0.0016507098052162429844833278</x:v>
      </x:c>
      <x:c r="K236" s="32" t="n">
        <x:v>0.0964014526246285902938263453</x:v>
      </x:c>
      <x:c r="L236" s="32" t="n">
        <x:v>0.1564872895344998349290194784</x:v>
      </x:c>
      <x:c r="M236" s="32" t="n">
        <x:v>0.1564872895344998349290194784</x:v>
      </x:c>
      <x:c r="N236" s="32" t="n">
        <x:v>0.20699900957411687025420931</x:v>
      </x:c>
      <x:c r="O236" s="32" t="n">
        <x:v>0.2674149884450313634862991086</x:v>
      </x:c>
      <x:c r="P236" s="32" t="n">
        <x:v>0.3251898316275998679432155827</x:v>
      </x:c>
      <x:c r="Q236" s="32" t="n">
        <x:v>0.376691977550346649059095411</x:v>
      </x:c>
      <x:c r="R236" s="32" t="n">
        <x:v>0.4090458897325850115549686365</x:v>
      </x:c>
      <x:c r="S236" s="32" t="n">
        <x:v>0.4380983823043908880818752063</x:v>
      </x:c>
      <x:c r="BI236" s="33" t="s"/>
      <x:c r="BJ236" s="11" t="s">
        <x:v>140</x:v>
      </x:c>
      <x:c r="BK236" s="12" t="str">
        <x:f>=BX236</x:f>
      </x:c>
      <x:c r="BL236" s="12" t="n">
        <x:v>0.4968636513700891383294816771</x:v>
      </x:c>
      <x:c r="BM236" s="12" t="n">
        <x:v>0.3869263783426873555628920436</x:v>
      </x:c>
      <x:c r="BN236" s="12" t="n">
        <x:v>0.1162099702872235061076262793</x:v>
      </x:c>
      <x:c r="BO236" s="12" t="str">
        <x:f>=BW236</x:f>
      </x:c>
      <x:c r="BP236" s="12" t="str">
        <x:f>=CF236</x:f>
      </x:c>
      <x:c r="BQ236" s="12" t="str"/>
      <x:c r="BR236" s="12" t="str">
        <x:v>SS 2020 MSS</x:v>
      </x:c>
      <x:c r="BS236" s="13" t="str"/>
      <x:c r="BT236" s="30" t="n">
        <x:v>25339.64</x:v>
      </x:c>
      <x:c r="BU236" s="30" t="n">
        <x:v>-23056.81170</x:v>
      </x:c>
      <x:c r="BV236" s="30" t="str">
        <x:f>=BT236+BU236</x:f>
      </x:c>
      <x:c r="BW236" s="66" t="str">
        <x:f>=BV236/BT236</x:f>
      </x:c>
      <x:c r="BX236" s="66" t="n">
        <x:v>0.8837900297127764938923737207</x:v>
      </x:c>
      <x:c r="BY236" s="30" t="n">
        <x:v>21106.45</x:v>
      </x:c>
      <x:c r="BZ236" s="41" t="n">
        <x:v>352</x:v>
      </x:c>
      <x:c r="CA236" s="30" t="n">
        <x:v>2452.7799273687685704853086827</x:v>
      </x:c>
      <x:c r="CC236" s="30" t="n">
        <x:v>25340.078098382304390888081875</x:v>
      </x:c>
      <x:c r="CD236" s="30" t="n">
        <x:v>-23056.81170</x:v>
      </x:c>
      <x:c r="CE236" s="30" t="str">
        <x:f>=CC236+CD236</x:f>
      </x:c>
      <x:c r="CF236" s="66" t="str">
        <x:f>=CE236/CC236</x:f>
      </x:c>
      <x:c r="CH236" s="66" t="str">
        <x:f>=CI236+CJ236</x:f>
      </x:c>
      <x:c r="CI236" s="66" t="str">
        <x:f>=BX236+(0*7)</x:f>
      </x:c>
      <x:c r="CJ236" s="66" t="str">
        <x:f>=(1-CI236)*0.5</x:f>
      </x:c>
      <x:c r="CK236" s="66" t="str">
        <x:f>=1-CH236</x:f>
      </x:c>
      <x:c r="CM236" s="66" t="str">
        <x:f>=CJ236/(1-CI236)</x:f>
      </x:c>
    </x:row>
    <x:row r="237">
      <x:c r="A237" s="31" t="s">
        <x:v>492</x:v>
      </x:c>
      <x:c r="B237" t="s"/>
      <x:c r="C237" t="s">
        <x:v>493</x:v>
      </x:c>
      <x:c r="D237" t="s">
        <x:v>118</x:v>
      </x:c>
      <x:c r="E237" s="69" t="s">
        <x:v>153</x:v>
      </x:c>
      <x:c r="F237" t="n">
        <x:v>2106</x:v>
      </x:c>
      <x:c r="G237" s="32" t="n">
        <x:v>0.0142450142450142450142450142</x:v>
      </x:c>
      <x:c r="H237" s="32" t="n">
        <x:v>0.0778727445394112060778727445</x:v>
      </x:c>
      <x:c r="I237" s="32" t="n">
        <x:v>0.1571699905033238366571699905</x:v>
      </x:c>
      <x:c r="J237" s="32" t="n">
        <x:v>0.2416904083570750237416904084</x:v>
      </x:c>
      <x:c r="K237" s="32" t="n">
        <x:v>0.2416904083570750237416904084</x:v>
      </x:c>
      <x:c r="L237" s="32" t="n">
        <x:v>0.3238366571699905033238366572</x:v>
      </x:c>
      <x:c r="M237" s="32" t="n">
        <x:v>0.4007597340930674264007597341</x:v>
      </x:c>
      <x:c r="N237" s="32" t="n">
        <x:v>0.4781576448243114909781576448</x:v>
      </x:c>
      <x:c r="O237" s="32" t="n">
        <x:v>0.537037037037037037037037037</x:v>
      </x:c>
      <x:c r="P237" s="32" t="n">
        <x:v>0.5897435897435897435897435897</x:v>
      </x:c>
      <x:c r="Q237" s="32" t="n">
        <x:v>0.6258309591642924976258309592</x:v>
      </x:c>
      <x:c r="BI237" s="33" t="s"/>
      <x:c r="BJ237" s="11" t="s">
        <x:v>294</x:v>
      </x:c>
      <x:c r="BK237" s="12" t="str">
        <x:f>=BX237</x:f>
      </x:c>
      <x:c r="BL237" s="12" t="n">
        <x:v>0.6946818613485280151946818613</x:v>
      </x:c>
      <x:c r="BM237" s="12" t="n">
        <x:v>0.2293447293447293447293447293</x:v>
      </x:c>
      <x:c r="BN237" s="12" t="n">
        <x:v>0.0759734093067426400759734093</x:v>
      </x:c>
      <x:c r="BO237" s="12" t="str">
        <x:f>=BW237</x:f>
      </x:c>
      <x:c r="BP237" s="12" t="str">
        <x:f>=CF237</x:f>
      </x:c>
      <x:c r="BQ237" s="12" t="str"/>
      <x:c r="BR237" s="12" t="str">
        <x:v>SS 2020 MSS</x:v>
      </x:c>
      <x:c r="BS237" s="13" t="str"/>
      <x:c r="BT237" s="30" t="n">
        <x:v>6161.75</x:v>
      </x:c>
      <x:c r="BU237" s="30" t="n">
        <x:v>-4374.0456</x:v>
      </x:c>
      <x:c r="BV237" s="30" t="str">
        <x:f>=BT237+BU237</x:f>
      </x:c>
      <x:c r="BW237" s="66" t="str">
        <x:f>=BV237/BT237</x:f>
      </x:c>
      <x:c r="BX237" s="66" t="n">
        <x:v>0.9240265906932573599240265907</x:v>
      </x:c>
      <x:c r="BY237" s="30" t="n">
        <x:v>4296.12</x:v>
      </x:c>
      <x:c r="BZ237" s="41" t="n">
        <x:v>160</x:v>
      </x:c>
      <x:c r="CA237" s="30" t="n">
        <x:v>326.39088319088319088319088318</x:v>
      </x:c>
      <x:c r="CC237" s="30" t="n">
        <x:v>6162.3758309591642924976258310</x:v>
      </x:c>
      <x:c r="CD237" s="30" t="n">
        <x:v>-4374.0456</x:v>
      </x:c>
      <x:c r="CE237" s="30" t="str">
        <x:f>=CC237+CD237</x:f>
      </x:c>
      <x:c r="CF237" s="66" t="str">
        <x:f>=CE237/CC237</x:f>
      </x:c>
      <x:c r="CH237" s="66" t="str">
        <x:f>=CI237+CJ237</x:f>
      </x:c>
      <x:c r="CI237" s="66" t="str">
        <x:f>=BX237+(0*7)</x:f>
      </x:c>
      <x:c r="CJ237" s="66" t="str">
        <x:f>=(1-CI237)*0.5</x:f>
      </x:c>
      <x:c r="CK237" s="66" t="str">
        <x:f>=1-CH237</x:f>
      </x:c>
      <x:c r="CM237" s="66" t="str">
        <x:f>=CJ237/(1-CI237)</x:f>
      </x:c>
    </x:row>
    <x:row r="238">
      <x:c r="A238" s="31" t="s">
        <x:v>494</x:v>
      </x:c>
      <x:c r="B238" t="s"/>
      <x:c r="C238" t="s">
        <x:v>495</x:v>
      </x:c>
      <x:c r="D238" t="s">
        <x:v>118</x:v>
      </x:c>
      <x:c r="E238" s="69" t="s">
        <x:v>153</x:v>
      </x:c>
      <x:c r="F238" t="n">
        <x:v>1968</x:v>
      </x:c>
      <x:c r="G238" s="32" t="n">
        <x:v>0.0436991869918699186991869919</x:v>
      </x:c>
      <x:c r="H238" s="32" t="n">
        <x:v>0.0762195121951219512195121951</x:v>
      </x:c>
      <x:c r="I238" s="32" t="n">
        <x:v>0.1280487804878048780487804878</x:v>
      </x:c>
      <x:c r="J238" s="32" t="n">
        <x:v>0.202743902439024390243902439</x:v>
      </x:c>
      <x:c r="K238" s="32" t="n">
        <x:v>0.202743902439024390243902439</x:v>
      </x:c>
      <x:c r="L238" s="32" t="n">
        <x:v>0.2759146341463414634146341463</x:v>
      </x:c>
      <x:c r="M238" s="32" t="n">
        <x:v>0.3729674796747967479674796748</x:v>
      </x:c>
      <x:c r="N238" s="32" t="n">
        <x:v>0.4644308943089430894308943089</x:v>
      </x:c>
      <x:c r="O238" s="32" t="n">
        <x:v>0.5635162601626016260162601626</x:v>
      </x:c>
      <x:c r="P238" s="32" t="n">
        <x:v>0.6458333333333333333333333333</x:v>
      </x:c>
      <x:c r="Q238" s="32" t="n">
        <x:v>0.6905487804878048780487804878</x:v>
      </x:c>
      <x:c r="BI238" s="33" t="s"/>
      <x:c r="BJ238" s="11" t="s">
        <x:v>294</x:v>
      </x:c>
      <x:c r="BK238" s="12" t="str">
        <x:f>=BX238</x:f>
      </x:c>
      <x:c r="BL238" s="12" t="n">
        <x:v>0.7677845528455284552845528455</x:v>
      </x:c>
      <x:c r="BM238" s="12" t="n">
        <x:v>0.224593495934959349593495935</x:v>
      </x:c>
      <x:c r="BN238" s="12" t="n">
        <x:v>0.0076219512195121951219512195</x:v>
      </x:c>
      <x:c r="BO238" s="12" t="str">
        <x:f>=BW238</x:f>
      </x:c>
      <x:c r="BP238" s="12" t="str">
        <x:f>=CF238</x:f>
      </x:c>
      <x:c r="BQ238" s="12" t="str"/>
      <x:c r="BR238" s="12" t="str">
        <x:v>SS 2020 MSS</x:v>
      </x:c>
      <x:c r="BS238" s="13" t="str"/>
      <x:c r="BT238" s="30" t="n">
        <x:v>5472.83</x:v>
      </x:c>
      <x:c r="BU238" s="30" t="n">
        <x:v>-3852.4475</x:v>
      </x:c>
      <x:c r="BV238" s="30" t="str">
        <x:f>=BT238+BU238</x:f>
      </x:c>
      <x:c r="BW238" s="66" t="str">
        <x:f>=BV238/BT238</x:f>
      </x:c>
      <x:c r="BX238" s="66" t="n">
        <x:v>0.9923780487804878048780487805</x:v>
      </x:c>
      <x:c r="BY238" s="30" t="n">
        <x:v>3698.51</x:v>
      </x:c>
      <x:c r="BZ238" s="41" t="n">
        <x:v>15</x:v>
      </x:c>
      <x:c r="CA238" s="30" t="n">
        <x:v>28.189862804878048780487804878</x:v>
      </x:c>
      <x:c r="CC238" s="30" t="n">
        <x:v>5473.5190243902439024390243902</x:v>
      </x:c>
      <x:c r="CD238" s="30" t="n">
        <x:v>-3852.4475</x:v>
      </x:c>
      <x:c r="CE238" s="30" t="str">
        <x:f>=CC238+CD238</x:f>
      </x:c>
      <x:c r="CF238" s="66" t="str">
        <x:f>=CE238/CC238</x:f>
      </x:c>
      <x:c r="CH238" s="66" t="str">
        <x:f>=CI238+CJ238</x:f>
      </x:c>
      <x:c r="CI238" s="66" t="str">
        <x:f>=BX238+(0*7)</x:f>
      </x:c>
      <x:c r="CJ238" s="66" t="str">
        <x:f>=(1-CI238)*0.5</x:f>
      </x:c>
      <x:c r="CK238" s="66" t="str">
        <x:f>=1-CH238</x:f>
      </x:c>
      <x:c r="CM238" s="66" t="str">
        <x:f>=CJ238/(1-CI238)</x:f>
      </x:c>
    </x:row>
    <x:row r="239">
      <x:c r="A239" s="31" t="s">
        <x:v>496</x:v>
      </x:c>
      <x:c r="B239" t="s"/>
      <x:c r="C239" t="s">
        <x:v>497</x:v>
      </x:c>
      <x:c r="D239" t="s">
        <x:v>118</x:v>
      </x:c>
      <x:c r="E239" s="69" t="s">
        <x:v>153</x:v>
      </x:c>
      <x:c r="F239" t="n">
        <x:v>999</x:v>
      </x:c>
      <x:c r="G239" s="32" t="n">
        <x:v>0</x:v>
      </x:c>
      <x:c r="H239" s="32" t="n">
        <x:v>0</x:v>
      </x:c>
      <x:c r="I239" s="32" t="n">
        <x:v>0.001001001001001001001001001</x:v>
      </x:c>
      <x:c r="J239" s="32" t="n">
        <x:v>0.001001001001001001001001001</x:v>
      </x:c>
      <x:c r="K239" s="32" t="n">
        <x:v>0.02002002002002002002002002</x:v>
      </x:c>
      <x:c r="L239" s="32" t="n">
        <x:v>0.0800800800800800800800800801</x:v>
      </x:c>
      <x:c r="M239" s="32" t="n">
        <x:v>0.0800800800800800800800800801</x:v>
      </x:c>
      <x:c r="N239" s="32" t="n">
        <x:v>0.1491491491491491491491491491</x:v>
      </x:c>
      <x:c r="O239" s="32" t="n">
        <x:v>0.2292292292292292292292292292</x:v>
      </x:c>
      <x:c r="P239" s="32" t="n">
        <x:v>0.3123123123123123123123123123</x:v>
      </x:c>
      <x:c r="Q239" s="32" t="n">
        <x:v>0.3913913913913913913913913914</x:v>
      </x:c>
      <x:c r="BI239" s="33" t="s"/>
      <x:c r="BJ239" s="11" t="s">
        <x:v>294</x:v>
      </x:c>
      <x:c r="BK239" s="12" t="str">
        <x:f>=BX239</x:f>
      </x:c>
      <x:c r="BL239" s="12" t="n">
        <x:v>0.6266266266266266266266266266</x:v>
      </x:c>
      <x:c r="BM239" s="12" t="n">
        <x:v>0.2722722722722722722722722723</x:v>
      </x:c>
      <x:c r="BN239" s="12" t="n">
        <x:v>0.1011011011011011011011011011</x:v>
      </x:c>
      <x:c r="BO239" s="12" t="str">
        <x:f>=BW239</x:f>
      </x:c>
      <x:c r="BP239" s="12" t="str">
        <x:f>=CF239</x:f>
      </x:c>
      <x:c r="BQ239" s="12" t="str"/>
      <x:c r="BR239" s="12" t="str">
        <x:v>SS 2020 MSS</x:v>
      </x:c>
      <x:c r="BS239" s="13" t="str"/>
      <x:c r="BT239" s="30" t="n">
        <x:v>2609.74</x:v>
      </x:c>
      <x:c r="BU239" s="30" t="n">
        <x:v>-2044.5314</x:v>
      </x:c>
      <x:c r="BV239" s="30" t="str">
        <x:f>=BT239+BU239</x:f>
      </x:c>
      <x:c r="BW239" s="66" t="str">
        <x:f>=BV239/BT239</x:f>
      </x:c>
      <x:c r="BX239" s="66" t="n">
        <x:v>0.8988988988988988988988988989</x:v>
      </x:c>
      <x:c r="BY239" s="30" t="n">
        <x:v>1961.21</x:v>
      </x:c>
      <x:c r="BZ239" s="41" t="n">
        <x:v>101</x:v>
      </x:c>
      <x:c r="CA239" s="30" t="n">
        <x:v>198.28049049049049049049049049</x:v>
      </x:c>
      <x:c r="CC239" s="30" t="n">
        <x:v>2680.1581280847247247247247247</x:v>
      </x:c>
      <x:c r="CD239" s="30" t="n">
        <x:v>-2044.5314</x:v>
      </x:c>
      <x:c r="CE239" s="30" t="str">
        <x:f>=CC239+CD239</x:f>
      </x:c>
      <x:c r="CF239" s="66" t="str">
        <x:f>=CE239/CC239</x:f>
      </x:c>
      <x:c r="CH239" s="66" t="str">
        <x:f>=CI239+CJ239</x:f>
      </x:c>
      <x:c r="CI239" s="66" t="str">
        <x:f>=BX239+(0*7)</x:f>
      </x:c>
      <x:c r="CJ239" s="66" t="str">
        <x:f>=(1-CI239)*0.5</x:f>
      </x:c>
      <x:c r="CK239" s="66" t="str">
        <x:f>=1-CH239</x:f>
      </x:c>
      <x:c r="CM239" s="66" t="str">
        <x:f>=CJ239/(1-CI239)</x:f>
      </x:c>
    </x:row>
    <x:row r="240">
      <x:c r="A240" s="31" t="s">
        <x:v>498</x:v>
      </x:c>
      <x:c r="B240" t="s"/>
      <x:c r="C240" t="s">
        <x:v>499</x:v>
      </x:c>
      <x:c r="D240" t="s">
        <x:v>118</x:v>
      </x:c>
      <x:c r="E240" s="69" t="s">
        <x:v>153</x:v>
      </x:c>
      <x:c r="F240" t="n">
        <x:v>4271</x:v>
      </x:c>
      <x:c r="G240" s="32" t="n">
        <x:v>0.0002341372044017794427534535</x:v>
      </x:c>
      <x:c r="H240" s="32" t="n">
        <x:v>0.0007024116132053383282603606</x:v>
      </x:c>
      <x:c r="I240" s="32" t="n">
        <x:v>0.0220088972137672676188246312</x:v>
      </x:c>
      <x:c r="J240" s="32" t="n">
        <x:v>0.0779676890657925544369000234</x:v>
      </x:c>
      <x:c r="K240" s="32" t="n">
        <x:v>0.0779676890657925544369000234</x:v>
      </x:c>
      <x:c r="L240" s="32" t="n">
        <x:v>0.162725357059236712713650199</x:v>
      </x:c>
      <x:c r="M240" s="32" t="n">
        <x:v>0.2491219854834933270896745493</x:v>
      </x:c>
      <x:c r="N240" s="32" t="n">
        <x:v>0.3334113790681339264809178178</x:v>
      </x:c>
      <x:c r="O240" s="32" t="n">
        <x:v>0.4116132053383282603605712948</x:v>
      </x:c>
      <x:c r="P240" s="32" t="n">
        <x:v>0.4792788574104425193163193631</x:v>
      </x:c>
      <x:c r="Q240" s="32" t="n">
        <x:v>0.5200187309763521423554202763</x:v>
      </x:c>
      <x:c r="BI240" s="33" t="s"/>
      <x:c r="BJ240" s="11" t="s">
        <x:v>294</x:v>
      </x:c>
      <x:c r="BK240" s="12" t="str">
        <x:f>=BX240</x:f>
      </x:c>
      <x:c r="BL240" s="12" t="n">
        <x:v>0.6335752751112151720908452353</x:v>
      </x:c>
      <x:c r="BM240" s="12" t="n">
        <x:v>0.3104659330367595410910793725</x:v>
      </x:c>
      <x:c r="BN240" s="12" t="n">
        <x:v>0.0559587918520252868180753922</x:v>
      </x:c>
      <x:c r="BO240" s="12" t="str">
        <x:f>=BW240</x:f>
      </x:c>
      <x:c r="BP240" s="12" t="str">
        <x:f>=CF240</x:f>
      </x:c>
      <x:c r="BQ240" s="12" t="str"/>
      <x:c r="BR240" s="12" t="str">
        <x:v>SS 2020 MSS</x:v>
      </x:c>
      <x:c r="BS240" s="13" t="str"/>
      <x:c r="BT240" s="30" t="n">
        <x:v>12748.36</x:v>
      </x:c>
      <x:c r="BU240" s="30" t="n">
        <x:v>-11244.2306</x:v>
      </x:c>
      <x:c r="BV240" s="30" t="str">
        <x:f>=BT240+BU240</x:f>
      </x:c>
      <x:c r="BW240" s="66" t="str">
        <x:f>=BV240/BT240</x:f>
      </x:c>
      <x:c r="BX240" s="66" t="n">
        <x:v>0.9440412081479747131819246078</x:v>
      </x:c>
      <x:c r="BY240" s="30" t="n">
        <x:v>11079.03</x:v>
      </x:c>
      <x:c r="BZ240" s="41" t="n">
        <x:v>239</x:v>
      </x:c>
      <x:c r="CA240" s="30" t="n">
        <x:v>619.96913369234371341606181222</x:v>
      </x:c>
      <x:c r="CC240" s="30" t="n">
        <x:v>12748.880018730976352142355420</x:v>
      </x:c>
      <x:c r="CD240" s="30" t="n">
        <x:v>-11244.2306</x:v>
      </x:c>
      <x:c r="CE240" s="30" t="str">
        <x:f>=CC240+CD240</x:f>
      </x:c>
      <x:c r="CF240" s="66" t="str">
        <x:f>=CE240/CC240</x:f>
      </x:c>
      <x:c r="CH240" s="66" t="str">
        <x:f>=CI240+CJ240</x:f>
      </x:c>
      <x:c r="CI240" s="66" t="str">
        <x:f>=BX240+(0*7)</x:f>
      </x:c>
      <x:c r="CJ240" s="66" t="str">
        <x:f>=(1-CI240)*0.5</x:f>
      </x:c>
      <x:c r="CK240" s="66" t="str">
        <x:f>=1-CH240</x:f>
      </x:c>
      <x:c r="CM240" s="66" t="str">
        <x:f>=CJ240/(1-CI240)</x:f>
      </x:c>
    </x:row>
    <x:row r="241">
      <x:c r="A241" s="31" t="s">
        <x:v>500</x:v>
      </x:c>
      <x:c r="B241" t="s"/>
      <x:c r="C241" t="s">
        <x:v>501</x:v>
      </x:c>
      <x:c r="D241" t="s">
        <x:v>118</x:v>
      </x:c>
      <x:c r="E241" s="69" t="s">
        <x:v>153</x:v>
      </x:c>
      <x:c r="F241" t="n">
        <x:v>2023</x:v>
      </x:c>
      <x:c r="G241" s="32" t="n">
        <x:v>0.0019772614928324270884824518</x:v>
      </x:c>
      <x:c r="H241" s="32" t="n">
        <x:v>0.0919426594167078596144340089</x:v>
      </x:c>
      <x:c r="I241" s="32" t="n">
        <x:v>0.222441917943648047454275828</x:v>
      </x:c>
      <x:c r="J241" s="32" t="n">
        <x:v>0.222441917943648047454275828</x:v>
      </x:c>
      <x:c r="K241" s="32" t="n">
        <x:v>0.3771626297577854671280276817</x:v>
      </x:c>
      <x:c r="L241" s="32" t="n">
        <x:v>0.5239742956005931784478497281</x:v>
      </x:c>
      <x:c r="M241" s="32" t="n">
        <x:v>0.6435986159169550173010380623</x:v>
      </x:c>
      <x:c r="N241" s="23" t="n">
        <x:v>0.7142857142857142857142857143</x:v>
      </x:c>
      <x:c r="O241" s="32" t="n">
        <x:v>0.7666831438457736035590706871</x:v>
      </x:c>
      <x:c r="P241" s="32" t="n">
        <x:v>0.7810182896688086999505684627</x:v>
      </x:c>
      <x:c r="BI241" s="33" t="s"/>
      <x:c r="BJ241" s="11" t="s">
        <x:v>148</x:v>
      </x:c>
      <x:c r="BK241" s="12" t="str">
        <x:f>=BX241</x:f>
      </x:c>
      <x:c r="BL241" s="12" t="n">
        <x:v>0.8240237271379139891250617894</x:v>
      </x:c>
      <x:c r="BM241" s="12" t="n">
        <x:v>0.1033119130004943153732081068</x:v>
      </x:c>
      <x:c r="BN241" s="12" t="n">
        <x:v>0.0726643598615916955017301038</x:v>
      </x:c>
      <x:c r="BO241" s="12" t="str">
        <x:f>=BW241</x:f>
      </x:c>
      <x:c r="BP241" s="12" t="str">
        <x:f>=CF241</x:f>
      </x:c>
      <x:c r="BQ241" s="12" t="str"/>
      <x:c r="BR241" s="12" t="str">
        <x:v>SS 2020 MSS</x:v>
      </x:c>
      <x:c r="BS241" s="13" t="str"/>
      <x:c r="BT241" s="30" t="n">
        <x:v>10761.46</x:v>
      </x:c>
      <x:c r="BU241" s="30" t="n">
        <x:v>-8192.6007</x:v>
      </x:c>
      <x:c r="BV241" s="30" t="str">
        <x:f>=BT241+BU241</x:f>
      </x:c>
      <x:c r="BW241" s="66" t="str">
        <x:f>=BV241/BT241</x:f>
      </x:c>
      <x:c r="BX241" s="66" t="n">
        <x:v>0.9273356401384083044982698962</x:v>
      </x:c>
      <x:c r="BY241" s="30" t="n">
        <x:v>8184.45</x:v>
      </x:c>
      <x:c r="BZ241" s="41" t="n">
        <x:v>147</x:v>
      </x:c>
      <x:c r="CA241" s="30" t="n">
        <x:v>594.71782006920415224913494809</x:v>
      </x:c>
      <x:c r="CC241" s="30" t="n">
        <x:v>10809.552422496725160652496292</x:v>
      </x:c>
      <x:c r="CD241" s="30" t="n">
        <x:v>-8192.6007</x:v>
      </x:c>
      <x:c r="CE241" s="30" t="str">
        <x:f>=CC241+CD241</x:f>
      </x:c>
      <x:c r="CF241" s="66" t="str">
        <x:f>=CE241/CC241</x:f>
      </x:c>
      <x:c r="CH241" s="66" t="str">
        <x:f>=CI241+CJ241</x:f>
      </x:c>
      <x:c r="CI241" s="66" t="str">
        <x:f>=BX241+(0*7)</x:f>
      </x:c>
      <x:c r="CJ241" s="66" t="str">
        <x:f>=(1-CI241)*0.5</x:f>
      </x:c>
      <x:c r="CK241" s="66" t="str">
        <x:f>=1-CH241</x:f>
      </x:c>
      <x:c r="CM241" s="66" t="str">
        <x:f>=CJ241/(1-CI241)</x:f>
      </x:c>
    </x:row>
    <x:row r="242">
      <x:c r="A242" s="31" t="s">
        <x:v>502</x:v>
      </x:c>
      <x:c r="B242" t="s"/>
      <x:c r="C242" t="s">
        <x:v>503</x:v>
      </x:c>
      <x:c r="D242" t="s">
        <x:v>118</x:v>
      </x:c>
      <x:c r="E242" s="69" t="s">
        <x:v>153</x:v>
      </x:c>
      <x:c r="F242" t="n">
        <x:v>1000</x:v>
      </x:c>
      <x:c r="G242" s="32" t="n">
        <x:v>0.034</x:v>
      </x:c>
      <x:c r="H242" s="32" t="n">
        <x:v>0.119</x:v>
      </x:c>
      <x:c r="I242" s="32" t="n">
        <x:v>0.119</x:v>
      </x:c>
      <x:c r="J242" s="32" t="n">
        <x:v>0.205</x:v>
      </x:c>
      <x:c r="K242" s="32" t="n">
        <x:v>0.315</x:v>
      </x:c>
      <x:c r="L242" s="32" t="n">
        <x:v>0.42</x:v>
      </x:c>
      <x:c r="M242" s="32" t="n">
        <x:v>0.528</x:v>
      </x:c>
      <x:c r="N242" s="32" t="n">
        <x:v>0.667</x:v>
      </x:c>
      <x:c r="O242" s="23" t="n">
        <x:v>0.802</x:v>
      </x:c>
      <x:c r="BI242" s="33" t="s"/>
      <x:c r="BJ242" s="11" t="s">
        <x:v>161</x:v>
      </x:c>
      <x:c r="BK242" s="12" t="str">
        <x:f>=BX242</x:f>
      </x:c>
      <x:c r="BL242" s="12" t="n">
        <x:v>0.866</x:v>
      </x:c>
      <x:c r="BM242" s="12" t="n">
        <x:v>0.124</x:v>
      </x:c>
      <x:c r="BN242" s="12" t="n">
        <x:v>0.01</x:v>
      </x:c>
      <x:c r="BO242" s="12" t="str">
        <x:f>=BW242</x:f>
      </x:c>
      <x:c r="BP242" s="12" t="str">
        <x:f>=CF242</x:f>
      </x:c>
      <x:c r="BQ242" s="12" t="str"/>
      <x:c r="BR242" s="12" t="str">
        <x:v>SS 2020 MSS</x:v>
      </x:c>
      <x:c r="BS242" s="13" t="str"/>
      <x:c r="BT242" s="30" t="n">
        <x:v>3268.61</x:v>
      </x:c>
      <x:c r="BU242" s="30" t="n">
        <x:v>-2022.2239</x:v>
      </x:c>
      <x:c r="BV242" s="30" t="str">
        <x:f>=BT242+BU242</x:f>
      </x:c>
      <x:c r="BW242" s="66" t="str">
        <x:f>=BV242/BT242</x:f>
      </x:c>
      <x:c r="BX242" s="66" t="n">
        <x:v>0.99</x:v>
      </x:c>
      <x:c r="BY242" s="30" t="n">
        <x:v>1944.87</x:v>
      </x:c>
      <x:c r="BZ242" s="41" t="n">
        <x:v>10</x:v>
      </x:c>
      <x:c r="CA242" s="30" t="n">
        <x:v>19.44870</x:v>
      </x:c>
      <x:c r="CC242" s="30" t="n">
        <x:v>3269.412</x:v>
      </x:c>
      <x:c r="CD242" s="30" t="n">
        <x:v>-2022.2239</x:v>
      </x:c>
      <x:c r="CE242" s="30" t="str">
        <x:f>=CC242+CD242</x:f>
      </x:c>
      <x:c r="CF242" s="66" t="str">
        <x:f>=CE242/CC242</x:f>
      </x:c>
      <x:c r="CH242" s="66" t="str">
        <x:f>=CI242+CJ242</x:f>
      </x:c>
      <x:c r="CI242" s="66" t="str">
        <x:f>=BX242+(0*7)</x:f>
      </x:c>
      <x:c r="CJ242" s="66" t="str">
        <x:f>=(1-CI242)*0.5</x:f>
      </x:c>
      <x:c r="CK242" s="66" t="str">
        <x:f>=1-CH242</x:f>
      </x:c>
      <x:c r="CM242" s="66" t="str">
        <x:f>=CJ242/(1-CI242)</x:f>
      </x:c>
    </x:row>
    <x:row r="243">
      <x:c r="A243" s="31" t="s">
        <x:v>504</x:v>
      </x:c>
      <x:c r="B243" t="s"/>
      <x:c r="C243" t="s">
        <x:v>505</x:v>
      </x:c>
      <x:c r="D243" t="s">
        <x:v>147</x:v>
      </x:c>
      <x:c r="E243" s="69" t="s">
        <x:v>153</x:v>
      </x:c>
      <x:c r="F243" t="n">
        <x:v>2194</x:v>
      </x:c>
      <x:c r="G243" s="32" t="n">
        <x:v>0.0227894257064721969006381039</x:v>
      </x:c>
      <x:c r="H243" s="32" t="n">
        <x:v>0.0948040109389243391066545123</x:v>
      </x:c>
      <x:c r="I243" s="32" t="n">
        <x:v>0.0948040109389243391066545123</x:v>
      </x:c>
      <x:c r="J243" s="32" t="n">
        <x:v>0.1900638103919781221513217867</x:v>
      </x:c>
      <x:c r="K243" s="32" t="n">
        <x:v>0.2926162260711030082041932543</x:v>
      </x:c>
      <x:c r="L243" s="32" t="n">
        <x:v>0.4284412032816773017319963537</x:v>
      </x:c>
      <x:c r="M243" s="32" t="n">
        <x:v>0.5560619872379216043755697356</x:v>
      </x:c>
      <x:c r="N243" s="32" t="n">
        <x:v>0.6791248860528714676390154968</x:v>
      </x:c>
      <x:c r="O243" s="23" t="n">
        <x:v>0.7757520510483135824977210574</x:v>
      </x:c>
      <x:c r="BI243" s="33" t="s"/>
      <x:c r="BJ243" s="11" t="s">
        <x:v>161</x:v>
      </x:c>
      <x:c r="BK243" s="12" t="str">
        <x:f>=BX243</x:f>
      </x:c>
      <x:c r="BL243" s="12" t="n">
        <x:v>0.9079307201458523245214220602</x:v>
      </x:c>
      <x:c r="BM243" s="12" t="n">
        <x:v>0.0633546034639927073837739289</x:v>
      </x:c>
      <x:c r="BN243" s="12" t="n">
        <x:v>0.0287146763901549680948040109</x:v>
      </x:c>
      <x:c r="BO243" s="12" t="str">
        <x:f>=BW243</x:f>
      </x:c>
      <x:c r="BP243" s="12" t="str">
        <x:f>=CF243</x:f>
      </x:c>
      <x:c r="BQ243" s="12" t="str"/>
      <x:c r="BR243" s="12" t="str">
        <x:v>SS 2020 MSS</x:v>
      </x:c>
      <x:c r="BS243" s="13" t="str"/>
      <x:c r="BT243" s="30" t="n">
        <x:v>7149.81</x:v>
      </x:c>
      <x:c r="BU243" s="30" t="n">
        <x:v>-5298.0916</x:v>
      </x:c>
      <x:c r="BV243" s="30" t="str">
        <x:f>=BT243+BU243</x:f>
      </x:c>
      <x:c r="BW243" s="66" t="str">
        <x:f>=BV243/BT243</x:f>
      </x:c>
      <x:c r="BX243" s="66" t="n">
        <x:v>0.9712853236098450319051959891</x:v>
      </x:c>
      <x:c r="BY243" s="30" t="n">
        <x:v>4922.04</x:v>
      </x:c>
      <x:c r="BZ243" s="41" t="n">
        <x:v>63</x:v>
      </x:c>
      <x:c r="CA243" s="30" t="n">
        <x:v>141.33478577939835916134913400</x:v>
      </x:c>
      <x:c r="CC243" s="30" t="n">
        <x:v>7376.1257861596809480401093893</x:v>
      </x:c>
      <x:c r="CD243" s="30" t="n">
        <x:v>-5298.0916</x:v>
      </x:c>
      <x:c r="CE243" s="30" t="str">
        <x:f>=CC243+CD243</x:f>
      </x:c>
      <x:c r="CF243" s="66" t="str">
        <x:f>=CE243/CC243</x:f>
      </x:c>
      <x:c r="CH243" s="66" t="str">
        <x:f>=CI243+CJ243</x:f>
      </x:c>
      <x:c r="CI243" s="66" t="str">
        <x:f>=BX243+(0*7)</x:f>
      </x:c>
      <x:c r="CJ243" s="66" t="str">
        <x:f>=(1-CI243)*0.5</x:f>
      </x:c>
      <x:c r="CK243" s="66" t="str">
        <x:f>=1-CH243</x:f>
      </x:c>
      <x:c r="CM243" s="66" t="str">
        <x:f>=CJ243/(1-CI243)</x:f>
      </x:c>
    </x:row>
    <x:row r="244">
      <x:c r="A244" s="31" t="s"/>
      <x:c r="BI244" s="33" t="s"/>
      <x:c r="BJ244" s="11" t="s"/>
      <x:c r="BS244" s="13" t="s"/>
    </x:row>
    <x:row r="245">
      <x:c r="A245" s="17" t="s">
        <x:v>114</x:v>
      </x:c>
      <x:c r="BI245" s="33" t="s"/>
      <x:c r="BJ245" s="11" t="s"/>
      <x:c r="BS245" s="13" t="s"/>
    </x:row>
    <x:row r="246">
      <x:c r="A246" s="31" t="s">
        <x:v>506</x:v>
      </x:c>
      <x:c r="B246" t="s"/>
      <x:c r="C246" t="s">
        <x:v>507</x:v>
      </x:c>
      <x:c r="D246" t="s">
        <x:v>118</x:v>
      </x:c>
      <x:c r="E246" s="69" t="s">
        <x:v>153</x:v>
      </x:c>
      <x:c r="F246" t="n">
        <x:v>4213</x:v>
      </x:c>
      <x:c r="G246" s="32" t="n">
        <x:v>0.0014241633040588654165677664</x:v>
      </x:c>
      <x:c r="H246" s="32" t="n">
        <x:v>0.0180394018514122952765250415</x:v>
      </x:c>
      <x:c r="I246" s="32" t="n">
        <x:v>0.0351293615001186802753382388</x:v>
      </x:c>
      <x:c r="J246" s="32" t="n">
        <x:v>0.0505577972940897222881557085</x:v>
      </x:c>
      <x:c r="K246" s="32" t="n">
        <x:v>0.0629005459292665558984096843</x:v>
      </x:c>
      <x:c r="L246" s="32" t="n">
        <x:v>0.071682886304296225967244244</x:v>
      </x:c>
      <x:c r="M246" s="32" t="n">
        <x:v>0.0871113220982672679800617137</x:v>
      </x:c>
      <x:c r="N246" s="32" t="n">
        <x:v>0.0968431046760028483266081177</x:v>
      </x:c>
      <x:c r="O246" s="32" t="n">
        <x:v>0.1061001661523854735342985996</x:v>
      </x:c>
      <x:c r="P246" s="32" t="n">
        <x:v>0.1125089010206503679088535485</x:v>
      </x:c>
      <x:c r="Q246" s="32" t="n">
        <x:v>0.1222406835983859482553999525</x:v>
      </x:c>
      <x:c r="R246" s="32" t="n">
        <x:v>0.1305483028720626631853785901</x:v>
      </x:c>
      <x:c r="S246" s="32" t="n">
        <x:v>0.1419416093045335865179207216</x:v>
      </x:c>
      <x:c r="T246" s="32" t="n">
        <x:v>0.1502492285782103014478993591</x:v>
      </x:c>
      <x:c r="U246" s="32" t="n">
        <x:v>0.1559458817944457631141704249</x:v>
      </x:c>
      <x:c r="V246" s="32" t="n">
        <x:v>0.1618798955613577023498694517</x:v>
      </x:c>
      <x:c r="W246" s="32" t="n">
        <x:v>0.1668644671255637313078566342</x:v>
      </x:c>
      <x:c r="X246" s="32" t="n">
        <x:v>0.1713743175884168051269878946</x:v>
      </x:c>
      <x:c r="Y246" s="32" t="n">
        <x:v>0.1739852836458580583906954664</x:v>
      </x:c>
      <x:c r="Z246" s="32" t="n">
        <x:v>0.1739852836458580583906954664</x:v>
      </x:c>
      <x:c r="AA246" s="32" t="n">
        <x:v>0.1768336102539757892238309993</x:v>
      </x:c>
      <x:c r="AB246" s="32" t="n">
        <x:v>0.1815808212675053406123902207</x:v>
      </x:c>
      <x:c r="AC246" s="32" t="n">
        <x:v>0.1998575836695941134583432234</x:v>
      </x:c>
      <x:c r="AD246" s="32" t="n">
        <x:v>0.2038927130310942321386185616</x:v>
      </x:c>
      <x:c r="AE246" s="32" t="n">
        <x:v>0.2062663185378590078328981723</x:v>
      </x:c>
      <x:c r="AF246" s="32" t="n">
        <x:v>0.2100640873486826489437455495</x:v>
      </x:c>
      <x:c r="BI246" s="33" t="s"/>
      <x:c r="BJ246" s="11" t="s">
        <x:v>449</x:v>
      </x:c>
      <x:c r="BK246" s="12" t="str">
        <x:f>=BX246</x:f>
      </x:c>
      <x:c r="BL246" s="12" t="n">
        <x:v>0.2478044149062425824827913601</x:v>
      </x:c>
      <x:c r="BM246" s="12" t="n">
        <x:v>0.6275812959886066935675290767</x:v>
      </x:c>
      <x:c r="BN246" s="12" t="n">
        <x:v>0.1246142891051507239496795633</x:v>
      </x:c>
      <x:c r="BO246" s="12" t="str">
        <x:f>=BW246</x:f>
      </x:c>
      <x:c r="BP246" s="12" t="str">
        <x:f>=CF246</x:f>
      </x:c>
      <x:c r="BQ246" s="12" t="str"/>
      <x:c r="BR246" s="12" t="str">
        <x:v>SS 2020 MSS</x:v>
      </x:c>
      <x:c r="BS246" s="13" t="str"/>
      <x:c r="BT246" s="30" t="n">
        <x:v>11137.90</x:v>
      </x:c>
      <x:c r="BU246" s="30" t="n">
        <x:v>-11993.2377</x:v>
      </x:c>
      <x:c r="BV246" s="30" t="str">
        <x:f>=BT246+BU246</x:f>
      </x:c>
      <x:c r="BW246" s="66" t="str">
        <x:f>=BV246/BT246</x:f>
      </x:c>
      <x:c r="BX246" s="66" t="n">
        <x:v>0.8753857108948492760503204367</x:v>
      </x:c>
      <x:c r="BY246" s="30" t="n">
        <x:v>11763.05</x:v>
      </x:c>
      <x:c r="BZ246" s="41" t="n">
        <x:v>525</x:v>
      </x:c>
      <x:c r="CA246" s="30" t="n">
        <x:v>1465.8441134583432233562781866</x:v>
      </x:c>
      <x:c r="CC246" s="30" t="n">
        <x:v>11138.110064087348682648943746</x:v>
      </x:c>
      <x:c r="CD246" s="30" t="n">
        <x:v>-11993.2377</x:v>
      </x:c>
      <x:c r="CE246" s="30" t="str">
        <x:f>=CC246+CD246</x:f>
      </x:c>
      <x:c r="CF246" s="66" t="str">
        <x:f>=CE246/CC246</x:f>
      </x:c>
      <x:c r="CH246" s="66" t="str">
        <x:f>=CI246+CJ246</x:f>
      </x:c>
      <x:c r="CI246" s="66" t="str">
        <x:f>=BX246+(0*7)</x:f>
      </x:c>
      <x:c r="CJ246" s="66" t="str">
        <x:f>=(1-CI246)*0.5</x:f>
      </x:c>
      <x:c r="CK246" s="66" t="str">
        <x:f>=1-CH246</x:f>
      </x:c>
      <x:c r="CM246" s="66" t="str">
        <x:f>=CJ246/(1-CI246)</x:f>
      </x:c>
    </x:row>
    <x:row r="247">
      <x:c r="A247" s="31" t="s">
        <x:v>508</x:v>
      </x:c>
      <x:c r="B247" t="s"/>
      <x:c r="C247" t="s">
        <x:v>509</x:v>
      </x:c>
      <x:c r="D247" t="s">
        <x:v>147</x:v>
      </x:c>
      <x:c r="E247" s="69" t="s">
        <x:v>153</x:v>
      </x:c>
      <x:c r="F247" t="n">
        <x:v>2074</x:v>
      </x:c>
      <x:c r="G247" s="32" t="n">
        <x:v>0.0028929604628736740597878496</x:v>
      </x:c>
      <x:c r="H247" s="32" t="n">
        <x:v>0.0236258437801350048216007715</x:v>
      </x:c>
      <x:c r="I247" s="32" t="n">
        <x:v>0.0568948891031822565091610415</x:v>
      </x:c>
      <x:c r="J247" s="32" t="n">
        <x:v>0.093056894889103182256509161</x:v>
      </x:c>
      <x:c r="K247" s="32" t="n">
        <x:v>0.1282545805207328833172613308</x:v>
      </x:c>
      <x:c r="L247" s="32" t="n">
        <x:v>0.1494696239151398264223722276</x:v>
      </x:c>
      <x:c r="M247" s="32" t="n">
        <x:v>0.1711668273866923818707810993</x:v>
      </x:c>
      <x:c r="N247" s="32" t="n">
        <x:v>0.1885245901639344262295081967</x:v>
      </x:c>
      <x:c r="O247" s="32" t="n">
        <x:v>0.2015429122468659594985535198</x:v>
      </x:c>
      <x:c r="P247" s="32" t="n">
        <x:v>0.2150433944069431051108968177</x:v>
      </x:c>
      <x:c r="Q247" s="32" t="n">
        <x:v>0.2246865959498553519768563163</x:v>
      </x:c>
      <x:c r="R247" s="32" t="n">
        <x:v>0.2290260366441658630665380906</x:v>
      </x:c>
      <x:c r="S247" s="32" t="n">
        <x:v>0.2270973963355834136933461909</x:v>
      </x:c>
      <x:c r="T247" s="32" t="n">
        <x:v>0.2256509161041465766634522662</x:v>
      </x:c>
      <x:c r="U247" s="32" t="n">
        <x:v>0.2324011571841851494696239151</x:v>
      </x:c>
      <x:c r="V247" s="32" t="n">
        <x:v>0.2396335583413693346190935391</x:v>
      </x:c>
      <x:c r="W247" s="32" t="n">
        <x:v>0.2396335583413693346190935391</x:v>
      </x:c>
      <x:c r="X247" s="32" t="n">
        <x:v>0.2492767598842815814850530376</x:v>
      </x:c>
      <x:c r="Y247" s="32" t="n">
        <x:v>0.2632594021215043394406943105</x:v>
      </x:c>
      <x:c r="Z247" s="32" t="n">
        <x:v>0.2709739633558341369334619094</x:v>
      </x:c>
      <x:c r="AA247" s="32" t="n">
        <x:v>0.2830279652844744455159112825</x:v>
      </x:c>
      <x:c r="AB247" s="32" t="n">
        <x:v>0.2878495660559305689488910318</x:v>
      </x:c>
      <x:c r="AC247" s="32" t="n">
        <x:v>0.2926711668273866923818707811</x:v>
      </x:c>
      <x:c r="BI247" s="33" t="s"/>
      <x:c r="BJ247" s="11" t="s">
        <x:v>211</x:v>
      </x:c>
      <x:c r="BK247" s="12" t="str">
        <x:f>=BX247</x:f>
      </x:c>
      <x:c r="BL247" s="12" t="n">
        <x:v>0.3273866923818707810993249759</x:v>
      </x:c>
      <x:c r="BM247" s="12" t="n">
        <x:v>0.5916104146576663452266152363</x:v>
      </x:c>
      <x:c r="BN247" s="12" t="n">
        <x:v>0.0810028929604628736740597878</x:v>
      </x:c>
      <x:c r="BO247" s="12" t="str">
        <x:f>=BW247</x:f>
      </x:c>
      <x:c r="BP247" s="12" t="str">
        <x:f>=CF247</x:f>
      </x:c>
      <x:c r="BQ247" s="12" t="str"/>
      <x:c r="BR247" s="12" t="str">
        <x:v>SS 2020 MSS</x:v>
      </x:c>
      <x:c r="BS247" s="13" t="str"/>
      <x:c r="BT247" s="30" t="n">
        <x:v>4409.24</x:v>
      </x:c>
      <x:c r="BU247" s="30" t="n">
        <x:v>-4835.2367</x:v>
      </x:c>
      <x:c r="BV247" s="30" t="str">
        <x:f>=BT247+BU247</x:f>
      </x:c>
      <x:c r="BW247" s="66" t="str">
        <x:f>=BV247/BT247</x:f>
      </x:c>
      <x:c r="BX247" s="66" t="n">
        <x:v>0.9189971070395371263259402122</x:v>
      </x:c>
      <x:c r="BY247" s="30" t="n">
        <x:v>4835.11</x:v>
      </x:c>
      <x:c r="BZ247" s="41" t="n">
        <x:v>168</x:v>
      </x:c>
      <x:c r="CA247" s="30" t="n">
        <x:v>391.65789778206364513018322084</x:v>
      </x:c>
      <x:c r="CC247" s="30" t="n">
        <x:v>4409.5326711668273866923818708</x:v>
      </x:c>
      <x:c r="CD247" s="30" t="n">
        <x:v>-4835.2367</x:v>
      </x:c>
      <x:c r="CE247" s="30" t="str">
        <x:f>=CC247+CD247</x:f>
      </x:c>
      <x:c r="CF247" s="66" t="str">
        <x:f>=CE247/CC247</x:f>
      </x:c>
      <x:c r="CH247" s="66" t="str">
        <x:f>=CI247+CJ247</x:f>
      </x:c>
      <x:c r="CI247" s="66" t="str">
        <x:f>=BX247+(0*7)</x:f>
      </x:c>
      <x:c r="CJ247" s="66" t="str">
        <x:f>=(1-CI247)*0.5</x:f>
      </x:c>
      <x:c r="CK247" s="66" t="str">
        <x:f>=1-CH247</x:f>
      </x:c>
      <x:c r="CM247" s="66" t="str">
        <x:f>=CJ247/(1-CI247)</x:f>
      </x:c>
    </x:row>
    <x:row r="248">
      <x:c r="A248" s="31" t="s">
        <x:v>510</x:v>
      </x:c>
      <x:c r="B248" t="s"/>
      <x:c r="C248" t="s">
        <x:v>511</x:v>
      </x:c>
      <x:c r="D248" t="s">
        <x:v>118</x:v>
      </x:c>
      <x:c r="E248" s="69" t="s">
        <x:v>153</x:v>
      </x:c>
      <x:c r="F248" t="n">
        <x:v>4199</x:v>
      </x:c>
      <x:c r="G248" s="32" t="n">
        <x:v>0.0061919504643962848297213622</x:v>
      </x:c>
      <x:c r="H248" s="32" t="n">
        <x:v>0.0245296499166468206715884734</x:v>
      </x:c>
      <x:c r="I248" s="32" t="n">
        <x:v>0.0454870207192188616337223148</x:v>
      </x:c>
      <x:c r="J248" s="32" t="n">
        <x:v>0.0588235294117647058823529412</x:v>
      </x:c>
      <x:c r="K248" s="32" t="n">
        <x:v>0.0707311264586806382472017147</x:v>
      </x:c>
      <x:c r="L248" s="32" t="n">
        <x:v>0.080019052155275065491783758</x:v>
      </x:c>
      <x:c r="M248" s="32" t="n">
        <x:v>0.0912121933793760419147416051</x:v>
      </x:c>
      <x:c r="N248" s="32" t="n">
        <x:v>0.1021671826625386996904024768</x:v>
      </x:c>
      <x:c r="O248" s="32" t="n">
        <x:v>0.1150273874732079066444391522</x:v>
      </x:c>
      <x:c r="P248" s="32" t="n">
        <x:v>0.1331269349845201238390092879</x:v>
      </x:c>
      <x:c r="Q248" s="32" t="n">
        <x:v>0.1433674684448678256727792332</x:v>
      </x:c>
      <x:c r="R248" s="32" t="n">
        <x:v>0.1531316980233388902119552274</x:v>
      </x:c>
      <x:c r="S248" s="32" t="n">
        <x:v>0.160514408192426768278161467</x:v>
      </x:c>
      <x:c r="T248" s="32" t="n">
        <x:v>0.1659919028340080971659919028</x:v>
      </x:c>
      <x:c r="U248" s="32" t="n">
        <x:v>0.1714693974755894260538223387</x:v>
      </x:c>
      <x:c r="V248" s="32" t="n">
        <x:v>0.1714693974755894260538223387</x:v>
      </x:c>
      <x:c r="W248" s="32" t="n">
        <x:v>0.1771850440581090735889497499</x:v>
      </x:c>
      <x:c r="X248" s="32" t="n">
        <x:v>0.1809954751131221719457013575</x:v>
      </x:c>
      <x:c r="Y248" s="32" t="n">
        <x:v>0.2048106692069540366753989045</x:v>
      </x:c>
      <x:c r="Z248" s="32" t="n">
        <x:v>0.2083829483210288163848535366</x:v>
      </x:c>
      <x:c r="AA248" s="32" t="n">
        <x:v>0.2110026196713503215051202667</x:v>
      </x:c>
      <x:c r="AB248" s="32" t="n">
        <x:v>0.2129078351988568706834960705</x:v>
      </x:c>
      <x:c r="BI248" s="33" t="s"/>
      <x:c r="BJ248" s="11" t="s">
        <x:v>330</x:v>
      </x:c>
      <x:c r="BK248" s="12" t="str">
        <x:f>=BX248</x:f>
      </x:c>
      <x:c r="BL248" s="12" t="n">
        <x:v>0.2614908311502738747320790664</x:v>
      </x:c>
      <x:c r="BM248" s="12" t="n">
        <x:v>0.6339604667778042391045487021</x:v>
      </x:c>
      <x:c r="BN248" s="12" t="n">
        <x:v>0.1045487020719218861633722315</x:v>
      </x:c>
      <x:c r="BO248" s="12" t="str">
        <x:f>=BW248</x:f>
      </x:c>
      <x:c r="BP248" s="12" t="str">
        <x:f>=CF248</x:f>
      </x:c>
      <x:c r="BQ248" s="12" t="str"/>
      <x:c r="BR248" s="12" t="str">
        <x:v>SS 2020 MSS</x:v>
      </x:c>
      <x:c r="BS248" s="13" t="str"/>
      <x:c r="BT248" s="30" t="n">
        <x:v>12264.75</x:v>
      </x:c>
      <x:c r="BU248" s="30" t="n">
        <x:v>-13727.1442</x:v>
      </x:c>
      <x:c r="BV248" s="30" t="str">
        <x:f>=BT248+BU248</x:f>
      </x:c>
      <x:c r="BW248" s="66" t="str">
        <x:f>=BV248/BT248</x:f>
      </x:c>
      <x:c r="BX248" s="66" t="n">
        <x:v>0.8954512979280781138366277685</x:v>
      </x:c>
      <x:c r="BY248" s="30" t="n">
        <x:v>13678.55</x:v>
      </x:c>
      <x:c r="BZ248" s="41" t="n">
        <x:v>439</x:v>
      </x:c>
      <x:c r="CA248" s="30" t="n">
        <x:v>1430.0746487258871159799952370</x:v>
      </x:c>
      <x:c r="CC248" s="30" t="n">
        <x:v>12264.962907835198856870683496</x:v>
      </x:c>
      <x:c r="CD248" s="30" t="n">
        <x:v>-13727.1442</x:v>
      </x:c>
      <x:c r="CE248" s="30" t="str">
        <x:f>=CC248+CD248</x:f>
      </x:c>
      <x:c r="CF248" s="66" t="str">
        <x:f>=CE248/CC248</x:f>
      </x:c>
      <x:c r="CH248" s="66" t="str">
        <x:f>=CI248+CJ248</x:f>
      </x:c>
      <x:c r="CI248" s="66" t="str">
        <x:f>=BX248+(0*7)</x:f>
      </x:c>
      <x:c r="CJ248" s="66" t="str">
        <x:f>=(1-CI248)*0.5</x:f>
      </x:c>
      <x:c r="CK248" s="66" t="str">
        <x:f>=1-CH248</x:f>
      </x:c>
      <x:c r="CM248" s="66" t="str">
        <x:f>=CJ248/(1-CI248)</x:f>
      </x:c>
    </x:row>
    <x:row r="249">
      <x:c r="A249" s="31" t="s">
        <x:v>512</x:v>
      </x:c>
      <x:c r="B249" t="s"/>
      <x:c r="C249" t="s">
        <x:v>513</x:v>
      </x:c>
      <x:c r="D249" t="s">
        <x:v>118</x:v>
      </x:c>
      <x:c r="E249" s="69" t="s">
        <x:v>153</x:v>
      </x:c>
      <x:c r="F249" t="n">
        <x:v>3037</x:v>
      </x:c>
      <x:c r="G249" s="32" t="n">
        <x:v>0.0009878169245966414224563714</x:v>
      </x:c>
      <x:c r="H249" s="32" t="n">
        <x:v>0.0148172538689496213368455713</x:v>
      </x:c>
      <x:c r="I249" s="32" t="n">
        <x:v>0.0335857754362858083635166283</x:v>
      </x:c>
      <x:c r="J249" s="32" t="n">
        <x:v>0.0335857754362858083635166283</x:v>
      </x:c>
      <x:c r="K249" s="32" t="n">
        <x:v>0.0582811985512018439249259137</x:v>
      </x:c>
      <x:c r="L249" s="32" t="n">
        <x:v>0.0750740862693447481066842279</x:v>
      </x:c>
      <x:c r="M249" s="32" t="n">
        <x:v>0.0977938755350675008231807705</x:v>
      </x:c>
      <x:c r="N249" s="32" t="n">
        <x:v>0.1205136648007902535396773131</x:v>
      </x:c>
      <x:c r="O249" s="32" t="n">
        <x:v>0.1379650971353309186697398749</x:v>
      </x:c>
      <x:c r="P249" s="32" t="n">
        <x:v>0.163319064866644715179453408</x:v>
      </x:c>
      <x:c r="BI249" s="33" t="s"/>
      <x:c r="BJ249" s="11" t="s">
        <x:v>148</x:v>
      </x:c>
      <x:c r="BK249" s="12" t="str">
        <x:f>=BX249</x:f>
      </x:c>
      <x:c r="BL249" s="12" t="n">
        <x:v>0.2940401712216002634178465591</x:v>
      </x:c>
      <x:c r="BM249" s="12" t="n">
        <x:v>0.5907145209087915706289101087</x:v>
      </x:c>
      <x:c r="BN249" s="12" t="n">
        <x:v>0.1152453078696081659532433322</x:v>
      </x:c>
      <x:c r="BO249" s="12" t="str">
        <x:f>=BW249</x:f>
      </x:c>
      <x:c r="BP249" s="12" t="str">
        <x:f>=CF249</x:f>
      </x:c>
      <x:c r="BQ249" s="12" t="str"/>
      <x:c r="BR249" s="12" t="str">
        <x:v>SS 2020 MSS</x:v>
      </x:c>
      <x:c r="BS249" s="13" t="str"/>
      <x:c r="BT249" s="30" t="n">
        <x:v>8734.31</x:v>
      </x:c>
      <x:c r="BU249" s="30" t="n">
        <x:v>-10198.6576</x:v>
      </x:c>
      <x:c r="BV249" s="30" t="str">
        <x:f>=BT249+BU249</x:f>
      </x:c>
      <x:c r="BW249" s="66" t="str">
        <x:f>=BV249/BT249</x:f>
      </x:c>
      <x:c r="BX249" s="66" t="n">
        <x:v>0.8847546921303918340467566678</x:v>
      </x:c>
      <x:c r="BY249" s="30" t="n">
        <x:v>10514.08</x:v>
      </x:c>
      <x:c r="BZ249" s="41" t="n">
        <x:v>350</x:v>
      </x:c>
      <x:c r="CA249" s="30" t="n">
        <x:v>1211.6983865656898254856766546</x:v>
      </x:c>
      <x:c r="CC249" s="30" t="n">
        <x:v>8734.473319064866644715179453</x:v>
      </x:c>
      <x:c r="CD249" s="30" t="n">
        <x:v>-10198.6576</x:v>
      </x:c>
      <x:c r="CE249" s="30" t="str">
        <x:f>=CC249+CD249</x:f>
      </x:c>
      <x:c r="CF249" s="66" t="str">
        <x:f>=CE249/CC249</x:f>
      </x:c>
      <x:c r="CH249" s="66" t="str">
        <x:f>=CI249+CJ249</x:f>
      </x:c>
      <x:c r="CI249" s="66" t="str">
        <x:f>=BX249+(0*7)</x:f>
      </x:c>
      <x:c r="CJ249" s="66" t="str">
        <x:f>=(1-CI249)*0.5</x:f>
      </x:c>
      <x:c r="CK249" s="66" t="str">
        <x:f>=1-CH249</x:f>
      </x:c>
      <x:c r="CM249" s="66" t="str">
        <x:f>=CJ249/(1-CI249)</x:f>
      </x:c>
    </x:row>
    <x:row r="250">
      <x:c r="BI250" s="33" t="s"/>
      <x:c r="BJ250" s="11" t="s"/>
      <x:c r="BS250" s="13" t="s"/>
      <x:c r="BT250" s="20" t="n">
        <x:v>436709.89</x:v>
      </x:c>
      <x:c r="BU250" s="20" t="n">
        <x:v>-344542.93456811528962584480</x:v>
      </x:c>
      <x:c r="BV250" s="20" t="str">
        <x:f>=BT250+BU250</x:f>
      </x:c>
      <x:c r="BW250" s="21" t="n">
        <x:v>0.2110484730077551263475054343</x:v>
      </x:c>
      <x:c r="BY250" s="20" t="n">
        <x:v>-329738.254709397205799840</x:v>
      </x:c>
      <x:c r="BZ250" s="20" t="n">
        <x:v>5437</x:v>
      </x:c>
      <x:c r="CA250" s="20" t="n">
        <x:v>20501.879934301476447295215049</x:v>
      </x:c>
      <x:c r="CC250" s="20" t="n">
        <x:v>437141.83244733992329969237223</x:v>
      </x:c>
      <x:c r="CD250" s="20" t="n">
        <x:v>-344542.93456811528962584480</x:v>
      </x:c>
      <x:c r="CE250" s="20" t="str">
        <x:f>=CC250+CD250</x:f>
      </x:c>
      <x:c r="CF250" s="21" t="n">
        <x:v>0.2118280407089145707528571979</x:v>
      </x:c>
    </x:row>
    <x:row r="251">
      <x:c r="A251" s="35" t="s">
        <x:v>126</x:v>
      </x:c>
      <x:c r="BI251" s="33" t="s"/>
      <x:c r="BJ251" s="11" t="s"/>
      <x:c r="BS251" s="13" t="s"/>
    </x:row>
    <x:row r="252">
      <x:c r="A252" s="17" t="s">
        <x:v>127</x:v>
      </x:c>
      <x:c r="BI252" s="33" t="s"/>
      <x:c r="BJ252" s="11" t="s"/>
      <x:c r="BS252" s="13" t="s"/>
    </x:row>
    <x:row r="253">
      <x:c r="A253" s="31" t="s">
        <x:v>514</x:v>
      </x:c>
      <x:c r="B253" t="s"/>
      <x:c r="C253" t="s">
        <x:v>515</x:v>
      </x:c>
      <x:c r="D253" t="s">
        <x:v>147</x:v>
      </x:c>
      <x:c r="E253" s="67" t="s">
        <x:v>131</x:v>
      </x:c>
      <x:c r="F253" t="n">
        <x:v>926</x:v>
      </x:c>
      <x:c r="G253" s="32" t="n">
        <x:v>0</x:v>
      </x:c>
      <x:c r="H253" s="32" t="n">
        <x:v>0.0010799136069114470842332613</x:v>
      </x:c>
      <x:c r="I253" s="32" t="n">
        <x:v>0</x:v>
      </x:c>
      <x:c r="J253" s="32" t="n">
        <x:v>0.0021598272138228941684665227</x:v>
      </x:c>
      <x:c r="K253" s="32" t="n">
        <x:v>0</x:v>
      </x:c>
      <x:c r="L253" s="32" t="n">
        <x:v>0.130669546436285097192224622</x:v>
      </x:c>
      <x:c r="M253" s="32" t="n">
        <x:v>0.1976241900647948164146868251</x:v>
      </x:c>
      <x:c r="N253" s="32" t="n">
        <x:v>0.2224622030237580993520518359</x:v>
      </x:c>
      <x:c r="O253" s="32" t="n">
        <x:v>0.2570194384449244060475161987</x:v>
      </x:c>
      <x:c r="P253" s="32" t="n">
        <x:v>0.2840172786177105831533477322</x:v>
      </x:c>
      <x:c r="Q253" s="32" t="n">
        <x:v>0.3207343412526997840172786177</x:v>
      </x:c>
      <x:c r="R253" s="32" t="n">
        <x:v>0.3488120950323974082073434125</x:v>
      </x:c>
      <x:c r="S253" s="32" t="n">
        <x:v>0.375809935205183585313174946</x:v>
      </x:c>
      <x:c r="T253" s="32" t="n">
        <x:v>0.3876889848812095032397408207</x:v>
      </x:c>
      <x:c r="U253" s="32" t="n">
        <x:v>0.4082073434125269978401727862</x:v>
      </x:c>
      <x:c r="V253" s="32" t="n">
        <x:v>0.4146868250539956803455723542</x:v>
      </x:c>
      <x:c r="W253" s="32" t="n">
        <x:v>0.4017278617710583153347732181</x:v>
      </x:c>
      <x:c r="X253" s="32" t="n">
        <x:v>0.4049676025917926565874730022</x:v>
      </x:c>
      <x:c r="Y253" s="32" t="n">
        <x:v>0.4157667386609071274298056156</x:v>
      </x:c>
      <x:c r="Z253" s="32" t="n">
        <x:v>0.4265658747300215982721382289</x:v>
      </x:c>
      <x:c r="AA253" s="32" t="n">
        <x:v>0.429805615550755939524838013</x:v>
      </x:c>
      <x:c r="AB253" s="32" t="n">
        <x:v>0.4406047516198704103671706263</x:v>
      </x:c>
      <x:c r="AC253" s="32" t="n">
        <x:v>0.4600431965442764578833693305</x:v>
      </x:c>
      <x:c r="AD253" s="32" t="n">
        <x:v>0.4762419006479481641468682505</x:v>
      </x:c>
      <x:c r="AE253" s="32" t="n">
        <x:v>0.5107991360691144708423326134</x:v>
      </x:c>
      <x:c r="AF253" s="32" t="n">
        <x:v>0.5377969762419006479481641469</x:v>
      </x:c>
      <x:c r="AG253" s="32" t="n">
        <x:v>0.557235421166306695464362851</x:v>
      </x:c>
      <x:c r="AH253" s="32" t="n">
        <x:v>0.5734341252699784017278617711</x:v>
      </x:c>
      <x:c r="AI253" s="32" t="n">
        <x:v>0.5647948164146868250539956803</x:v>
      </x:c>
      <x:c r="AJ253" s="32" t="n">
        <x:v>0.5745140388768898488120950324</x:v>
      </x:c>
      <x:c r="AK253" s="32" t="n">
        <x:v>0.5799136069114470842332613391</x:v>
      </x:c>
      <x:c r="AL253" s="32" t="n">
        <x:v>0.5863930885529157667386609071</x:v>
      </x:c>
      <x:c r="AM253" s="32" t="n">
        <x:v>0.6101511879049676025917926566</x:v>
      </x:c>
      <x:c r="AN253" s="32" t="n">
        <x:v>0.6101511879049676025917926566</x:v>
      </x:c>
      <x:c r="AO253" s="32" t="n">
        <x:v>0.6285097192224622030237580994</x:v>
      </x:c>
      <x:c r="AP253" s="32" t="n">
        <x:v>0.6511879049676025917926565875</x:v>
      </x:c>
      <x:c r="AQ253" s="32" t="n">
        <x:v>0.6749460043196544276457883369</x:v>
      </x:c>
      <x:c r="AR253" s="32" t="n">
        <x:v>0.6749460043196544276457883369</x:v>
      </x:c>
      <x:c r="AS253" s="32" t="n">
        <x:v>0.694384449244060475161987041</x:v>
      </x:c>
      <x:c r="BI253" s="33" t="s"/>
      <x:c r="BJ253" s="11" t="s">
        <x:v>375</x:v>
      </x:c>
      <x:c r="BK253" s="12" t="str">
        <x:f>=BX253</x:f>
      </x:c>
      <x:c r="BL253" s="12" t="n">
        <x:v>0.6857451403887688984881209503</x:v>
      </x:c>
      <x:c r="BM253" s="12" t="n">
        <x:v>0.1987041036717062634989200864</x:v>
      </x:c>
      <x:c r="BN253" s="12" t="n">
        <x:v>0.1155507559395248380129589633</x:v>
      </x:c>
      <x:c r="BO253" s="12" t="str">
        <x:f>=BW253</x:f>
      </x:c>
      <x:c r="BP253" s="12" t="str">
        <x:f>=CF253</x:f>
      </x:c>
      <x:c r="BQ253" s="12" t="str"/>
      <x:c r="BR253" s="12" t="str">
        <x:v>SS 2020 MSS</x:v>
      </x:c>
      <x:c r="BS253" s="13" t="str"/>
      <x:c r="BT253" s="30" t="n">
        <x:v>7571.05</x:v>
      </x:c>
      <x:c r="BU253" s="30" t="n">
        <x:v>-6331.2472</x:v>
      </x:c>
      <x:c r="BV253" s="30" t="str">
        <x:f>=BT253+BU253</x:f>
      </x:c>
      <x:c r="BW253" s="66" t="str">
        <x:f>=BV253/BT253</x:f>
      </x:c>
      <x:c r="BX253" s="66" t="n">
        <x:v>0.8844492440604751619870410367</x:v>
      </x:c>
      <x:c r="BY253" s="30" t="n">
        <x:v>5630.08</x:v>
      </x:c>
      <x:c r="BZ253" s="41" t="n">
        <x:v>107</x:v>
      </x:c>
      <x:c r="CA253" s="30" t="n">
        <x:v>650.56</x:v>
      </x:c>
      <x:c r="CC253" s="30" t="n">
        <x:v>7571.7443844492440604751619870</x:v>
      </x:c>
      <x:c r="CD253" s="30" t="n">
        <x:v>-6331.2472</x:v>
      </x:c>
      <x:c r="CE253" s="30" t="str">
        <x:f>=CC253+CD253</x:f>
      </x:c>
      <x:c r="CF253" s="66" t="str">
        <x:f>=CE253/CC253</x:f>
      </x:c>
      <x:c r="CH253" s="66" t="str">
        <x:f>=CI253+CJ253</x:f>
      </x:c>
      <x:c r="CI253" s="66" t="str">
        <x:f>=BX253+(0*7)</x:f>
      </x:c>
      <x:c r="CJ253" s="66" t="str">
        <x:f>=(1-CI253)*0.5</x:f>
      </x:c>
      <x:c r="CK253" s="66" t="str">
        <x:f>=1-CH253</x:f>
      </x:c>
      <x:c r="CM253" s="66" t="str">
        <x:f>=CJ253/(1-CI253)</x:f>
      </x:c>
    </x:row>
    <x:row r="254">
      <x:c r="A254" s="31" t="s">
        <x:v>516</x:v>
      </x:c>
      <x:c r="B254" t="s"/>
      <x:c r="C254" t="s">
        <x:v>517</x:v>
      </x:c>
      <x:c r="D254" t="s">
        <x:v>147</x:v>
      </x:c>
      <x:c r="E254" s="67" t="s">
        <x:v>131</x:v>
      </x:c>
      <x:c r="F254" t="n">
        <x:v>504</x:v>
      </x:c>
      <x:c r="G254" s="32" t="n">
        <x:v>0.001984126984126984126984127</x:v>
      </x:c>
      <x:c r="H254" s="32" t="n">
        <x:v>0</x:v>
      </x:c>
      <x:c r="I254" s="32" t="n">
        <x:v>0.001984126984126984126984127</x:v>
      </x:c>
      <x:c r="J254" s="32" t="n">
        <x:v>0.001984126984126984126984127</x:v>
      </x:c>
      <x:c r="K254" s="32" t="n">
        <x:v>0.380952380952380952380952381</x:v>
      </x:c>
      <x:c r="L254" s="32" t="n">
        <x:v>0.5912698412698412698412698413</x:v>
      </x:c>
      <x:c r="M254" s="32" t="n">
        <x:v>0.5674603174603174603174603175</x:v>
      </x:c>
      <x:c r="N254" s="32" t="n">
        <x:v>0.5396825396825396825396825397</x:v>
      </x:c>
      <x:c r="O254" s="32" t="n">
        <x:v>0.5218253968253968253968253968</x:v>
      </x:c>
      <x:c r="P254" s="32" t="n">
        <x:v>0.5436507936507936507936507937</x:v>
      </x:c>
      <x:c r="Q254" s="32" t="n">
        <x:v>0.5615079365079365079365079365</x:v>
      </x:c>
      <x:c r="R254" s="32" t="n">
        <x:v>0.6111111111111111111111111111</x:v>
      </x:c>
      <x:c r="S254" s="32" t="n">
        <x:v>0.6170634920634920634920634921</x:v>
      </x:c>
      <x:c r="T254" s="32" t="n">
        <x:v>0.623015873015873015873015873</x:v>
      </x:c>
      <x:c r="U254" s="32" t="n">
        <x:v>0.6567460317460317460317460317</x:v>
      </x:c>
      <x:c r="V254" s="32" t="n">
        <x:v>0.6904761904761904761904761905</x:v>
      </x:c>
      <x:c r="W254" s="32" t="n">
        <x:v>0.6924603174603174603174603175</x:v>
      </x:c>
      <x:c r="X254" s="23" t="n">
        <x:v>0.7023809523809523809523809524</x:v>
      </x:c>
      <x:c r="Y254" s="32" t="n">
        <x:v>0.7182539682539682539682539683</x:v>
      </x:c>
      <x:c r="Z254" s="32" t="n">
        <x:v>0.7361111111111111111111111111</x:v>
      </x:c>
      <x:c r="AA254" s="32" t="n">
        <x:v>0.744047619047619047619047619</x:v>
      </x:c>
      <x:c r="AB254" s="32" t="n">
        <x:v>0.744047619047619047619047619</x:v>
      </x:c>
      <x:c r="AC254" s="32" t="n">
        <x:v>0.7619047619047619047619047619</x:v>
      </x:c>
      <x:c r="AD254" s="32" t="n">
        <x:v>0.7837301587301587301587301587</x:v>
      </x:c>
      <x:c r="AE254" s="32" t="n">
        <x:v>0.7757936507936507936507936508</x:v>
      </x:c>
      <x:c r="AF254" s="32" t="n">
        <x:v>0.7658730158730158730158730159</x:v>
      </x:c>
      <x:c r="AG254" s="32" t="n">
        <x:v>0.7757936507936507936507936508</x:v>
      </x:c>
      <x:c r="AH254" s="32" t="n">
        <x:v>0.7916666666666666666666666667</x:v>
      </x:c>
      <x:c r="BI254" s="33" t="s"/>
      <x:c r="BJ254" s="11" t="s">
        <x:v>265</x:v>
      </x:c>
      <x:c r="BK254" s="12" t="str">
        <x:f>=BX254</x:f>
      </x:c>
      <x:c r="BL254" s="12" t="n">
        <x:v>0.7896825396825396825396825397</x:v>
      </x:c>
      <x:c r="BM254" s="12" t="n">
        <x:v>0.125</x:v>
      </x:c>
      <x:c r="BN254" s="12" t="n">
        <x:v>0.0853174603174603174603174603</x:v>
      </x:c>
      <x:c r="BO254" s="12" t="str">
        <x:f>=BW254</x:f>
      </x:c>
      <x:c r="BP254" s="12" t="str">
        <x:f>=CF254</x:f>
      </x:c>
      <x:c r="BQ254" s="12" t="str"/>
      <x:c r="BR254" s="12" t="str">
        <x:v>SS 2020 MSS</x:v>
      </x:c>
      <x:c r="BS254" s="13" t="str"/>
      <x:c r="BT254" s="30" t="n">
        <x:v>5840.10</x:v>
      </x:c>
      <x:c r="BU254" s="30" t="n">
        <x:v>-4466.4984</x:v>
      </x:c>
      <x:c r="BV254" s="30" t="str">
        <x:f>=BT254+BU254</x:f>
      </x:c>
      <x:c r="BW254" s="66" t="str">
        <x:f>=BV254/BT254</x:f>
      </x:c>
      <x:c r="BX254" s="66" t="n">
        <x:v>0.9146825396825396825396825397</x:v>
      </x:c>
      <x:c r="BY254" s="30" t="n">
        <x:v>4500.72</x:v>
      </x:c>
      <x:c r="BZ254" s="41" t="n">
        <x:v>43</x:v>
      </x:c>
      <x:c r="CA254" s="30" t="n">
        <x:v>383.99</x:v>
      </x:c>
      <x:c r="CC254" s="30" t="n">
        <x:v>5840.8916666666666666666666667</x:v>
      </x:c>
      <x:c r="CD254" s="30" t="n">
        <x:v>-4466.4984</x:v>
      </x:c>
      <x:c r="CE254" s="30" t="str">
        <x:f>=CC254+CD254</x:f>
      </x:c>
      <x:c r="CF254" s="66" t="str">
        <x:f>=CE254/CC254</x:f>
      </x:c>
      <x:c r="CH254" s="66" t="str">
        <x:f>=CI254+CJ254</x:f>
      </x:c>
      <x:c r="CI254" s="66" t="str">
        <x:f>=BX254+(0*7)</x:f>
      </x:c>
      <x:c r="CJ254" s="66" t="str">
        <x:f>=(1-CI254)*0.5</x:f>
      </x:c>
      <x:c r="CK254" s="66" t="str">
        <x:f>=1-CH254</x:f>
      </x:c>
      <x:c r="CM254" s="66" t="str">
        <x:f>=CJ254/(1-CI254)</x:f>
      </x:c>
    </x:row>
    <x:row r="255">
      <x:c r="A255" s="31" t="s">
        <x:v>518</x:v>
      </x:c>
      <x:c r="B255" t="s"/>
      <x:c r="C255" t="s">
        <x:v>519</x:v>
      </x:c>
      <x:c r="D255" t="s">
        <x:v>193</x:v>
      </x:c>
      <x:c r="E255" s="67" t="s">
        <x:v>131</x:v>
      </x:c>
      <x:c r="F255" t="n">
        <x:v>502</x:v>
      </x:c>
      <x:c r="G255" s="32" t="n">
        <x:v>0.0039840637450199203187250996</x:v>
      </x:c>
      <x:c r="H255" s="32" t="n">
        <x:v>0.0079681274900398406374501992</x:v>
      </x:c>
      <x:c r="I255" s="32" t="n">
        <x:v>0.0378486055776892430278884462</x:v>
      </x:c>
      <x:c r="J255" s="32" t="n">
        <x:v>0.0916334661354581673306772908</x:v>
      </x:c>
      <x:c r="K255" s="32" t="n">
        <x:v>0.1115537848605577689243027888</x:v>
      </x:c>
      <x:c r="L255" s="32" t="n">
        <x:v>0.1135458167330677290836653386</x:v>
      </x:c>
      <x:c r="M255" s="32" t="n">
        <x:v>0.1494023904382470119521912351</x:v>
      </x:c>
      <x:c r="N255" s="32" t="n">
        <x:v>0.1553784860557768924302788845</x:v>
      </x:c>
      <x:c r="O255" s="32" t="n">
        <x:v>0.1912350597609561752988047809</x:v>
      </x:c>
      <x:c r="P255" s="32" t="n">
        <x:v>0.2250996015936254980079681275</x:v>
      </x:c>
      <x:c r="Q255" s="32" t="n">
        <x:v>0.2549800796812749003984063745</x:v>
      </x:c>
      <x:c r="R255" s="32" t="n">
        <x:v>0.2848605577689243027888446215</x:v>
      </x:c>
      <x:c r="S255" s="32" t="n">
        <x:v>0.3466135458167330677290836653</x:v>
      </x:c>
      <x:c r="T255" s="32" t="n">
        <x:v>0.4023904382470119521912350598</x:v>
      </x:c>
      <x:c r="U255" s="32" t="n">
        <x:v>0.4282868525896414342629482072</x:v>
      </x:c>
      <x:c r="V255" s="32" t="n">
        <x:v>0.4282868525896414342629482072</x:v>
      </x:c>
      <x:c r="W255" s="32" t="n">
        <x:v>0.4462151394422310756972111554</x:v>
      </x:c>
      <x:c r="X255" s="32" t="n">
        <x:v>0.5039840637450199203187250996</x:v>
      </x:c>
      <x:c r="Y255" s="32" t="n">
        <x:v>0.5278884462151394422310756972</x:v>
      </x:c>
      <x:c r="Z255" s="32" t="n">
        <x:v>0.5737051792828685258964143426</x:v>
      </x:c>
      <x:c r="AA255" s="32" t="n">
        <x:v>0.5936254980079681274900398406</x:v>
      </x:c>
      <x:c r="AB255" s="32" t="n">
        <x:v>0.6115537848605577689243027888</x:v>
      </x:c>
      <x:c r="BI255" s="33" t="s"/>
      <x:c r="BJ255" s="11" t="s">
        <x:v>330</x:v>
      </x:c>
      <x:c r="BK255" s="12" t="str">
        <x:f>=BX255</x:f>
      </x:c>
      <x:c r="BL255" s="12" t="n">
        <x:v>0.6135458167330677290836653386</x:v>
      </x:c>
      <x:c r="BM255" s="12" t="n">
        <x:v>0.2808764940239043824701195219</x:v>
      </x:c>
      <x:c r="BN255" s="12" t="n">
        <x:v>0.1055776892430278884462151394</x:v>
      </x:c>
      <x:c r="BO255" s="12" t="str">
        <x:f>=BW255</x:f>
      </x:c>
      <x:c r="BP255" s="12" t="str">
        <x:f>=CF255</x:f>
      </x:c>
      <x:c r="BQ255" s="12" t="str"/>
      <x:c r="BR255" s="12" t="str">
        <x:v>SS 2020 MSS</x:v>
      </x:c>
      <x:c r="BS255" s="13" t="str"/>
      <x:c r="BT255" s="30" t="n">
        <x:v>5450.57</x:v>
      </x:c>
      <x:c r="BU255" s="30" t="n">
        <x:v>-4550.2786</x:v>
      </x:c>
      <x:c r="BV255" s="30" t="str">
        <x:f>=BT255+BU255</x:f>
      </x:c>
      <x:c r="BW255" s="66" t="str">
        <x:f>=BV255/BT255</x:f>
      </x:c>
      <x:c r="BX255" s="66" t="n">
        <x:v>0.8944223107569721115537848606</x:v>
      </x:c>
      <x:c r="BY255" s="30" t="n">
        <x:v>3965.80</x:v>
      </x:c>
      <x:c r="BZ255" s="41" t="n">
        <x:v>53</x:v>
      </x:c>
      <x:c r="CA255" s="30" t="n">
        <x:v>418.70</x:v>
      </x:c>
      <x:c r="CC255" s="30" t="n">
        <x:v>5451.1815537848605577689243028</x:v>
      </x:c>
      <x:c r="CD255" s="30" t="n">
        <x:v>-4550.2786</x:v>
      </x:c>
      <x:c r="CE255" s="30" t="str">
        <x:f>=CC255+CD255</x:f>
      </x:c>
      <x:c r="CF255" s="66" t="str">
        <x:f>=CE255/CC255</x:f>
      </x:c>
      <x:c r="CH255" s="66" t="str">
        <x:f>=CI255+CJ255</x:f>
      </x:c>
      <x:c r="CI255" s="66" t="str">
        <x:f>=BX255+(0*7)</x:f>
      </x:c>
      <x:c r="CJ255" s="66" t="str">
        <x:f>=(1-CI255)*0.5</x:f>
      </x:c>
      <x:c r="CK255" s="66" t="str">
        <x:f>=1-CH255</x:f>
      </x:c>
      <x:c r="CM255" s="66" t="str">
        <x:f>=CJ255/(1-CI255)</x:f>
      </x:c>
    </x:row>
    <x:row r="256">
      <x:c r="A256" s="31" t="s">
        <x:v>520</x:v>
      </x:c>
      <x:c r="B256" t="s">
        <x:v>116</x:v>
      </x:c>
      <x:c r="C256" t="s">
        <x:v>521</x:v>
      </x:c>
      <x:c r="D256" t="s">
        <x:v>118</x:v>
      </x:c>
      <x:c r="E256" s="67" t="s">
        <x:v>131</x:v>
      </x:c>
      <x:c r="F256" t="n">
        <x:v>5252</x:v>
      </x:c>
      <x:c r="G256" s="32" t="n">
        <x:v>0.0015232292460015232292460015</x:v>
      </x:c>
      <x:c r="H256" s="32" t="n">
        <x:v>0.0074257425742574257425742574</x:v>
      </x:c>
      <x:c r="I256" s="32" t="n">
        <x:v>0.0365575019040365575019040366</x:v>
      </x:c>
      <x:c r="J256" s="32" t="n">
        <x:v>0.1041507996953541507996953542</x:v>
      </x:c>
      <x:c r="K256" s="32" t="n">
        <x:v>0.1626047220106626047220106626</x:v>
      </x:c>
      <x:c r="L256" s="32" t="n">
        <x:v>0.2448591012947448591012947449</x:v>
      </x:c>
      <x:c r="M256" s="32" t="n">
        <x:v>0.2694211728865194211728865194</x:v>
      </x:c>
      <x:c r="N256" s="32" t="n">
        <x:v>0.2694211728865194211728865194</x:v>
      </x:c>
      <x:c r="O256" s="32" t="n">
        <x:v>0.2916984006092916984006092917</x:v>
      </x:c>
      <x:c r="P256" s="32" t="n">
        <x:v>0.3132140137090632140137090632</x:v>
      </x:c>
      <x:c r="Q256" s="32" t="n">
        <x:v>0.3307311500380807311500380807</x:v>
      </x:c>
      <x:c r="R256" s="32" t="n">
        <x:v>0.3669078446306169078446306169</x:v>
      </x:c>
      <x:c r="S256" s="32" t="n">
        <x:v>0.3914699162223914699162223915</x:v>
      </x:c>
      <x:c r="T256" s="32" t="n">
        <x:v>0.4204112718964204112718964204</x:v>
      </x:c>
      <x:c r="BI256" s="33" t="s"/>
      <x:c r="BJ256" s="11" t="s">
        <x:v>123</x:v>
      </x:c>
      <x:c r="BK256" s="12" t="str">
        <x:f>=BX256</x:f>
      </x:c>
      <x:c r="BL256" s="12" t="n">
        <x:v>0.5445544554455445544554455446</x:v>
      </x:c>
      <x:c r="BM256" s="12" t="n">
        <x:v>0.3916603198781416603198781417</x:v>
      </x:c>
      <x:c r="BN256" s="12" t="n">
        <x:v>0.0637852246763137852246763138</x:v>
      </x:c>
      <x:c r="BO256" s="12" t="str">
        <x:f>=BW256</x:f>
      </x:c>
      <x:c r="BP256" s="12" t="str">
        <x:f>=CF256</x:f>
      </x:c>
      <x:c r="BQ256" s="12" t="str"/>
      <x:c r="BR256" s="12" t="str">
        <x:v>SS 2020 MSS</x:v>
      </x:c>
      <x:c r="BS256" s="13" t="str"/>
      <x:c r="BT256" s="30" t="n">
        <x:v>102745.50</x:v>
      </x:c>
      <x:c r="BU256" s="30" t="n">
        <x:v>-83132.8576</x:v>
      </x:c>
      <x:c r="BV256" s="30" t="str">
        <x:f>=BT256+BU256</x:f>
      </x:c>
      <x:c r="BW256" s="66" t="str">
        <x:f>=BV256/BT256</x:f>
      </x:c>
      <x:c r="BX256" s="66" t="n">
        <x:v>0.9362147753236862147753236862</x:v>
      </x:c>
      <x:c r="BY256" s="30" t="n">
        <x:v>77939.68</x:v>
      </x:c>
      <x:c r="BZ256" s="41" t="n">
        <x:v>335</x:v>
      </x:c>
      <x:c r="CA256" s="30" t="n">
        <x:v>4971.40</x:v>
      </x:c>
      <x:c r="CC256" s="30" t="n">
        <x:v>102745.91945925361766945925362</x:v>
      </x:c>
      <x:c r="CD256" s="30" t="n">
        <x:v>-83132.8576</x:v>
      </x:c>
      <x:c r="CE256" s="30" t="str">
        <x:f>=CC256+CD256</x:f>
      </x:c>
      <x:c r="CF256" s="66" t="str">
        <x:f>=CE256/CC256</x:f>
      </x:c>
      <x:c r="CH256" s="66" t="str">
        <x:f>=CI256+CJ256</x:f>
      </x:c>
      <x:c r="CI256" s="66" t="str">
        <x:f>=BX256+(0*7)</x:f>
      </x:c>
      <x:c r="CJ256" s="66" t="str">
        <x:f>=(1-CI256)*0.5</x:f>
      </x:c>
      <x:c r="CK256" s="66" t="str">
        <x:f>=1-CH256</x:f>
      </x:c>
      <x:c r="CM256" s="66" t="str">
        <x:f>=CJ256/(1-CI256)</x:f>
      </x:c>
    </x:row>
    <x:row r="257">
      <x:c r="A257" s="31" t="s">
        <x:v>522</x:v>
      </x:c>
      <x:c r="B257" t="s"/>
      <x:c r="C257" t="s">
        <x:v>523</x:v>
      </x:c>
      <x:c r="D257" t="s">
        <x:v>147</x:v>
      </x:c>
      <x:c r="E257" s="67" t="s">
        <x:v>131</x:v>
      </x:c>
      <x:c r="F257" t="n">
        <x:v>919</x:v>
      </x:c>
      <x:c r="G257" s="32" t="n">
        <x:v>0.0184983677910772578890097933</x:v>
      </x:c>
      <x:c r="H257" s="32" t="n">
        <x:v>0.1501632208922742110990206746</x:v>
      </x:c>
      <x:c r="I257" s="32" t="n">
        <x:v>0.3307943416757344940152339499</x:v>
      </x:c>
      <x:c r="J257" s="32" t="n">
        <x:v>0.5136017410228509249183895539</x:v>
      </x:c>
      <x:c r="K257" s="32" t="n">
        <x:v>0.6496191512513601741022850925</x:v>
      </x:c>
      <x:c r="L257" s="32" t="n">
        <x:v>0.6931447225244831338411316649</x:v>
      </x:c>
      <x:c r="M257" s="32" t="n">
        <x:v>0.6931447225244831338411316649</x:v>
      </x:c>
      <x:c r="N257" s="32" t="n">
        <x:v>0.6996735582154515778019586507</x:v>
      </x:c>
      <x:c r="O257" s="23" t="n">
        <x:v>0.7421109902067464635473340588</x:v>
      </x:c>
      <x:c r="P257" s="32" t="n">
        <x:v>0.7693144722524483133841131665</x:v>
      </x:c>
      <x:c r="Q257" s="32" t="n">
        <x:v>0.7801958650707290533188248096</x:v>
      </x:c>
      <x:c r="R257" s="32" t="n">
        <x:v>0.7856365614798694232861806311</x:v>
      </x:c>
      <x:c r="S257" s="32" t="n">
        <x:v>0.7725788900979325353645266594</x:v>
      </x:c>
      <x:c r="BI257" s="33" t="s"/>
      <x:c r="BJ257" s="11" t="s">
        <x:v>140</x:v>
      </x:c>
      <x:c r="BK257" s="12" t="str">
        <x:f>=BX257</x:f>
      </x:c>
      <x:c r="BL257" s="12" t="n">
        <x:v>0.7279651795429815016322089227</x:v>
      </x:c>
      <x:c r="BM257" s="12" t="n">
        <x:v>0.1523394994559303590859630033</x:v>
      </x:c>
      <x:c r="BN257" s="12" t="n">
        <x:v>0.119695321001088139281828074</x:v>
      </x:c>
      <x:c r="BO257" s="12" t="str">
        <x:f>=BW257</x:f>
      </x:c>
      <x:c r="BP257" s="12" t="str">
        <x:f>=CF257</x:f>
      </x:c>
      <x:c r="BQ257" s="12" t="str"/>
      <x:c r="BR257" s="12" t="str">
        <x:v>SS 2020 MSS</x:v>
      </x:c>
      <x:c r="BS257" s="13" t="str"/>
      <x:c r="BT257" s="30" t="n">
        <x:v>13908.20</x:v>
      </x:c>
      <x:c r="BU257" s="30" t="n">
        <x:v>-11577.1944</x:v>
      </x:c>
      <x:c r="BV257" s="30" t="str">
        <x:f>=BT257+BU257</x:f>
      </x:c>
      <x:c r="BW257" s="66" t="str">
        <x:f>=BV257/BT257</x:f>
      </x:c>
      <x:c r="BX257" s="66" t="n">
        <x:v>0.880304678998911860718171926</x:v>
      </x:c>
      <x:c r="BY257" s="30" t="n">
        <x:v>11303.70</x:v>
      </x:c>
      <x:c r="BZ257" s="41" t="n">
        <x:v>110</x:v>
      </x:c>
      <x:c r="CA257" s="30" t="n">
        <x:v>1353.00</x:v>
      </x:c>
      <x:c r="CC257" s="30" t="n">
        <x:v>13908.975843307943416757344940</x:v>
      </x:c>
      <x:c r="CD257" s="30" t="n">
        <x:v>-11577.1944</x:v>
      </x:c>
      <x:c r="CE257" s="30" t="str">
        <x:f>=CC257+CD257</x:f>
      </x:c>
      <x:c r="CF257" s="66" t="str">
        <x:f>=CE257/CC257</x:f>
      </x:c>
      <x:c r="CH257" s="66" t="str">
        <x:f>=CI257+CJ257</x:f>
      </x:c>
      <x:c r="CI257" s="66" t="str">
        <x:f>=BX257+(0*7)</x:f>
      </x:c>
      <x:c r="CJ257" s="66" t="str">
        <x:f>=(1-CI257)*0.5</x:f>
      </x:c>
      <x:c r="CK257" s="66" t="str">
        <x:f>=1-CH257</x:f>
      </x:c>
      <x:c r="CM257" s="66" t="str">
        <x:f>=CJ257/(1-CI257)</x:f>
      </x:c>
    </x:row>
    <x:row r="258">
      <x:c r="A258" s="31" t="s">
        <x:v>524</x:v>
      </x:c>
      <x:c r="B258" t="s"/>
      <x:c r="C258" t="s">
        <x:v>525</x:v>
      </x:c>
      <x:c r="D258" t="s">
        <x:v>118</x:v>
      </x:c>
      <x:c r="E258" s="67" t="s">
        <x:v>131</x:v>
      </x:c>
      <x:c r="F258" t="n">
        <x:v>3101</x:v>
      </x:c>
      <x:c r="G258" s="32" t="n">
        <x:v>0.0003224766204450177362141245</x:v>
      </x:c>
      <x:c r="H258" s="32" t="n">
        <x:v>0.0222508868107062237987745888</x:v>
      </x:c>
      <x:c r="I258" s="32" t="n">
        <x:v>0.0635278942276684940341825218</x:v>
      </x:c>
      <x:c r="BI258" s="33" t="s"/>
      <x:c r="BJ258" s="11" t="s">
        <x:v>526</x:v>
      </x:c>
      <x:c r="BK258" s="12" t="str">
        <x:f>=BX258</x:f>
      </x:c>
      <x:c r="BL258" s="12" t="n">
        <x:v>0.2721702676555949693647210577</x:v>
      </x:c>
      <x:c r="BM258" s="12" t="n">
        <x:v>0.6584972589487262173492421799</x:v>
      </x:c>
      <x:c r="BN258" s="12" t="n">
        <x:v>0.0693324733956788132860367623</x:v>
      </x:c>
      <x:c r="BO258" s="12" t="str">
        <x:f>=BW258</x:f>
      </x:c>
      <x:c r="BP258" s="12" t="str">
        <x:f>=CF258</x:f>
      </x:c>
      <x:c r="BQ258" s="12" t="str"/>
      <x:c r="BR258" s="12" t="str">
        <x:v>SS 2020 MSS</x:v>
      </x:c>
      <x:c r="BS258" s="13" t="str"/>
      <x:c r="BT258" s="30" t="n">
        <x:v>32551.34</x:v>
      </x:c>
      <x:c r="BU258" s="30" t="n">
        <x:v>-30573.9994</x:v>
      </x:c>
      <x:c r="BV258" s="30" t="str">
        <x:f>=BT258+BU258</x:f>
      </x:c>
      <x:c r="BW258" s="66" t="str">
        <x:f>=BV258/BT258</x:f>
      </x:c>
      <x:c r="BX258" s="66" t="n">
        <x:v>0.9306675266043211867139632377</x:v>
      </x:c>
      <x:c r="BY258" s="30" t="n">
        <x:v>30389.80</x:v>
      </x:c>
      <x:c r="BZ258" s="41" t="n">
        <x:v>215</x:v>
      </x:c>
      <x:c r="CA258" s="30" t="n">
        <x:v>2107.00</x:v>
      </x:c>
      <x:c r="CC258" s="30" t="n">
        <x:v>32551.396433408577878103837472</x:v>
      </x:c>
      <x:c r="CD258" s="30" t="n">
        <x:v>-30573.9994</x:v>
      </x:c>
      <x:c r="CE258" s="30" t="str">
        <x:f>=CC258+CD258</x:f>
      </x:c>
      <x:c r="CF258" s="66" t="str">
        <x:f>=CE258/CC258</x:f>
      </x:c>
      <x:c r="CH258" s="66" t="str">
        <x:f>=CI258+CJ258</x:f>
      </x:c>
      <x:c r="CI258" s="66" t="str">
        <x:f>=BX258+(0*7)</x:f>
      </x:c>
      <x:c r="CJ258" s="66" t="str">
        <x:f>=(1-CI258)*0.5</x:f>
      </x:c>
      <x:c r="CK258" s="66" t="str">
        <x:f>=1-CH258</x:f>
      </x:c>
      <x:c r="CM258" s="66" t="str">
        <x:f>=CJ258/(1-CI258)</x:f>
      </x:c>
    </x:row>
    <x:row r="259">
      <x:c r="A259" s="31" t="s"/>
      <x:c r="BI259" s="33" t="s"/>
      <x:c r="BJ259" s="11" t="s"/>
      <x:c r="BS259" s="13" t="s"/>
    </x:row>
    <x:row r="260">
      <x:c r="A260" s="17" t="s">
        <x:v>114</x:v>
      </x:c>
      <x:c r="BI260" s="33" t="s"/>
      <x:c r="BJ260" s="11" t="s"/>
      <x:c r="BS260" s="13" t="s"/>
    </x:row>
    <x:row r="261">
      <x:c r="A261" s="31" t="s">
        <x:v>527</x:v>
      </x:c>
      <x:c r="B261" t="s"/>
      <x:c r="C261" t="s">
        <x:v>528</x:v>
      </x:c>
      <x:c r="D261" t="s">
        <x:v>130</x:v>
      </x:c>
      <x:c r="E261" s="67" t="s">
        <x:v>131</x:v>
      </x:c>
      <x:c r="F261" t="n">
        <x:v>537</x:v>
      </x:c>
      <x:c r="G261" s="32" t="n">
        <x:v>0.0111731843575418994413407821</x:v>
      </x:c>
      <x:c r="H261" s="32" t="n">
        <x:v>0.0204841713221601489757914339</x:v>
      </x:c>
      <x:c r="I261" s="32" t="n">
        <x:v>0.0242085661080074487895716946</x:v>
      </x:c>
      <x:c r="J261" s="32" t="n">
        <x:v>0.0409683426443202979515828678</x:v>
      </x:c>
      <x:c r="K261" s="32" t="n">
        <x:v>0.0521415270018621973929236499</x:v>
      </x:c>
      <x:c r="L261" s="32" t="n">
        <x:v>0.0744878957169459962756052142</x:v>
      </x:c>
      <x:c r="M261" s="32" t="n">
        <x:v>0.0800744878957169459962756052</x:v>
      </x:c>
      <x:c r="N261" s="32" t="n">
        <x:v>0.094972067039106145251396648</x:v>
      </x:c>
      <x:c r="O261" s="32" t="n">
        <x:v>0.1042830540037243947858472998</x:v>
      </x:c>
      <x:c r="P261" s="32" t="n">
        <x:v>0.1098696461824953445065176909</x:v>
      </x:c>
      <x:c r="Q261" s="32" t="n">
        <x:v>0.1340782122905027932960893855</x:v>
      </x:c>
      <x:c r="R261" s="32" t="n">
        <x:v>0.1489757914338919925512104283</x:v>
      </x:c>
      <x:c r="S261" s="32" t="n">
        <x:v>0.1657355679702048417132216015</x:v>
      </x:c>
      <x:c r="T261" s="32" t="n">
        <x:v>0.1657355679702048417132216015</x:v>
      </x:c>
      <x:c r="U261" s="32" t="n">
        <x:v>0.1657355679702048417132216015</x:v>
      </x:c>
      <x:c r="V261" s="32" t="n">
        <x:v>0.1694599627560521415270018622</x:v>
      </x:c>
      <x:c r="W261" s="32" t="n">
        <x:v>0.1769087523277467411545623836</x:v>
      </x:c>
      <x:c r="X261" s="32" t="n">
        <x:v>0.178770949720670391061452514</x:v>
      </x:c>
      <x:c r="Y261" s="32" t="n">
        <x:v>0.1806331471135940409683426443</x:v>
      </x:c>
      <x:c r="Z261" s="32" t="n">
        <x:v>0.184357541899441340782122905</x:v>
      </x:c>
      <x:c r="AA261" s="32" t="n">
        <x:v>0.184357541899441340782122905</x:v>
      </x:c>
      <x:c r="AB261" s="32" t="n">
        <x:v>0.2048417132216014897579143389</x:v>
      </x:c>
      <x:c r="AC261" s="32" t="n">
        <x:v>0.2290502793296089385474860335</x:v>
      </x:c>
      <x:c r="AD261" s="32" t="n">
        <x:v>0.2607076350093109869646182495</x:v>
      </x:c>
      <x:c r="AE261" s="32" t="n">
        <x:v>0.2849162011173184357541899441</x:v>
      </x:c>
      <x:c r="AF261" s="32" t="n">
        <x:v>0.2849162011173184357541899441</x:v>
      </x:c>
      <x:c r="AG261" s="32" t="n">
        <x:v>0.305400372439478584729981378</x:v>
      </x:c>
      <x:c r="AH261" s="32" t="n">
        <x:v>0.3165735567970204841713221601</x:v>
      </x:c>
      <x:c r="AI261" s="32" t="n">
        <x:v>0.3519553072625698324022346369</x:v>
      </x:c>
      <x:c r="AJ261" s="32" t="n">
        <x:v>0.3743016759776536312849162011</x:v>
      </x:c>
      <x:c r="AK261" s="32" t="n">
        <x:v>0.3780260707635009310986964618</x:v>
      </x:c>
      <x:c r="AL261" s="32" t="n">
        <x:v>0.3985102420856610800744878957</x:v>
      </x:c>
      <x:c r="BI261" s="33" t="s"/>
      <x:c r="BJ261" s="11" t="s">
        <x:v>197</x:v>
      </x:c>
      <x:c r="BK261" s="12" t="str">
        <x:f>=BX261</x:f>
      </x:c>
      <x:c r="BL261" s="12" t="n">
        <x:v>0.4022346368715083798882681564</x:v>
      </x:c>
      <x:c r="BM261" s="12" t="n">
        <x:v>0.4040968342644320297951582868</x:v>
      </x:c>
      <x:c r="BN261" s="12" t="n">
        <x:v>0.1936685288640595903165735568</x:v>
      </x:c>
      <x:c r="BO261" s="12" t="str">
        <x:f>=BW261</x:f>
      </x:c>
      <x:c r="BP261" s="12" t="str">
        <x:f>=CF261</x:f>
      </x:c>
      <x:c r="BQ261" s="12" t="str"/>
      <x:c r="BR261" s="12" t="str">
        <x:v>SS 2020 MSS</x:v>
      </x:c>
      <x:c r="BS261" s="13" t="str"/>
      <x:c r="BT261" s="30" t="n">
        <x:v>4437.29</x:v>
      </x:c>
      <x:c r="BU261" s="30" t="n">
        <x:v>-5156.74880830310808745620</x:v>
      </x:c>
      <x:c r="BV261" s="30" t="str">
        <x:f>=BT261+BU261</x:f>
      </x:c>
      <x:c r="BW261" s="66" t="str">
        <x:f>=BV261/BT261</x:f>
      </x:c>
      <x:c r="BX261" s="66" t="n">
        <x:v>0.8063314711359404096834264432</x:v>
      </x:c>
      <x:c r="BY261" s="30" t="n">
        <x:v>5266.355781755781533460</x:v>
      </x:c>
      <x:c r="BZ261" s="41" t="n">
        <x:v>104</x:v>
      </x:c>
      <x:c r="CA261" s="30" t="n">
        <x:v>1019.927376727376684320</x:v>
      </x:c>
      <x:c r="CC261" s="30" t="n">
        <x:v>4437.6885102420856610800744879</x:v>
      </x:c>
      <x:c r="CD261" s="30" t="n">
        <x:v>-5156.74880830310808745620</x:v>
      </x:c>
      <x:c r="CE261" s="30" t="str">
        <x:f>=CC261+CD261</x:f>
      </x:c>
      <x:c r="CF261" s="66" t="str">
        <x:f>=CE261/CC261</x:f>
      </x:c>
      <x:c r="CH261" s="66" t="str">
        <x:f>=CI261+CJ261</x:f>
      </x:c>
      <x:c r="CI261" s="66" t="str">
        <x:f>=BX261+(0*7)</x:f>
      </x:c>
      <x:c r="CJ261" s="66" t="str">
        <x:f>=(1-CI261)*0.5</x:f>
      </x:c>
      <x:c r="CK261" s="66" t="str">
        <x:f>=1-CH261</x:f>
      </x:c>
      <x:c r="CM261" s="66" t="str">
        <x:f>=CJ261/(1-CI261)</x:f>
      </x:c>
    </x:row>
    <x:row r="262">
      <x:c r="A262" s="31" t="s">
        <x:v>529</x:v>
      </x:c>
      <x:c r="B262" t="s"/>
      <x:c r="C262" t="s">
        <x:v>530</x:v>
      </x:c>
      <x:c r="D262" t="s">
        <x:v>147</x:v>
      </x:c>
      <x:c r="E262" s="67" t="s">
        <x:v>131</x:v>
      </x:c>
      <x:c r="F262" t="n">
        <x:v>898</x:v>
      </x:c>
      <x:c r="G262" s="32" t="n">
        <x:v>0.0111358574610244988864142539</x:v>
      </x:c>
      <x:c r="H262" s="32" t="n">
        <x:v>0.1247216035634743875278396437</x:v>
      </x:c>
      <x:c r="I262" s="32" t="n">
        <x:v>0.1648106904231625835189309577</x:v>
      </x:c>
      <x:c r="J262" s="32" t="n">
        <x:v>0.2037861915367483296213808463</x:v>
      </x:c>
      <x:c r="K262" s="32" t="n">
        <x:v>0.2405345211581291759465478842</x:v>
      </x:c>
      <x:c r="L262" s="32" t="n">
        <x:v>0.2561247216035634743875278396</x:v>
      </x:c>
      <x:c r="M262" s="32" t="n">
        <x:v>0.2728285077951002227171492205</x:v>
      </x:c>
      <x:c r="N262" s="32" t="n">
        <x:v>0.2873051224944320712694877506</x:v>
      </x:c>
      <x:c r="O262" s="32" t="n">
        <x:v>0.2839643652561247216035634744</x:v>
      </x:c>
      <x:c r="P262" s="32" t="n">
        <x:v>0.2817371937639198218262806236</x:v>
      </x:c>
      <x:c r="Q262" s="32" t="n">
        <x:v>0.2917594654788418708240534521</x:v>
      </x:c>
      <x:c r="R262" s="32" t="n">
        <x:v>0.2928730512249443207126948775</x:v>
      </x:c>
      <x:c r="S262" s="32" t="n">
        <x:v>0.2906458797327394209354120267</x:v>
      </x:c>
      <x:c r="T262" s="32" t="n">
        <x:v>0.2906458797327394209354120267</x:v>
      </x:c>
      <x:c r="U262" s="32" t="n">
        <x:v>0.2917594654788418708240534521</x:v>
      </x:c>
      <x:c r="V262" s="32" t="n">
        <x:v>0.2917594654788418708240534521</x:v>
      </x:c>
      <x:c r="W262" s="32" t="n">
        <x:v>0.2962138084632516703786191537</x:v>
      </x:c>
      <x:c r="X262" s="32" t="n">
        <x:v>0.2995545657015590200445434298</x:v>
      </x:c>
      <x:c r="Y262" s="32" t="n">
        <x:v>0.302895322939866369710467706</x:v>
      </x:c>
      <x:c r="Z262" s="32" t="n">
        <x:v>0.3118040089086859688195991091</x:v>
      </x:c>
      <x:c r="AA262" s="32" t="n">
        <x:v>0.3173719376391982182628062361</x:v>
      </x:c>
      <x:c r="AB262" s="32" t="n">
        <x:v>0.3240534521158129175946547884</x:v>
      </x:c>
      <x:c r="AC262" s="32" t="n">
        <x:v>0.3262806236080178173719376392</x:v>
      </x:c>
      <x:c r="AD262" s="32" t="n">
        <x:v>0.3296213808463251670378619154</x:v>
      </x:c>
      <x:c r="AE262" s="32" t="n">
        <x:v>0.34298440979955456570155902</x:v>
      </x:c>
      <x:c r="AF262" s="32" t="n">
        <x:v>0.34298440979955456570155902</x:v>
      </x:c>
      <x:c r="AG262" s="32" t="n">
        <x:v>0.3541202672605790645879732739</x:v>
      </x:c>
      <x:c r="AH262" s="32" t="n">
        <x:v>0.3630289532293986636971046771</x:v>
      </x:c>
      <x:c r="AI262" s="32" t="n">
        <x:v>0.3719376391982182628062360802</x:v>
      </x:c>
      <x:c r="AJ262" s="32" t="n">
        <x:v>0.3797327394209354120267260579</x:v>
      </x:c>
      <x:c r="AK262" s="32" t="n">
        <x:v>0.3819599109131403118040089087</x:v>
      </x:c>
      <x:c r="AL262" s="32" t="n">
        <x:v>0.3908685968819599109131403118</x:v>
      </x:c>
      <x:c r="BI262" s="33" t="s"/>
      <x:c r="BJ262" s="11" t="s">
        <x:v>197</x:v>
      </x:c>
      <x:c r="BK262" s="12" t="str">
        <x:f>=BX262</x:f>
      </x:c>
      <x:c r="BL262" s="12" t="n">
        <x:v>0.3997772828507795100222717149</x:v>
      </x:c>
      <x:c r="BM262" s="12" t="n">
        <x:v>0.4120267260579064587973273942</x:v>
      </x:c>
      <x:c r="BN262" s="12" t="n">
        <x:v>0.1881959910913140311804008909</x:v>
      </x:c>
      <x:c r="BO262" s="12" t="str">
        <x:f>=BW262</x:f>
      </x:c>
      <x:c r="BP262" s="12" t="str">
        <x:f>=CF262</x:f>
      </x:c>
      <x:c r="BQ262" s="12" t="str"/>
      <x:c r="BR262" s="12" t="str">
        <x:v>SS 2020 MSS</x:v>
      </x:c>
      <x:c r="BS262" s="13" t="str"/>
      <x:c r="BT262" s="30" t="n">
        <x:v>6354.50</x:v>
      </x:c>
      <x:c r="BU262" s="30" t="n">
        <x:v>-7350.1300</x:v>
      </x:c>
      <x:c r="BV262" s="30" t="str">
        <x:f>=BT262+BU262</x:f>
      </x:c>
      <x:c r="BW262" s="66" t="str">
        <x:f>=BV262/BT262</x:f>
      </x:c>
      <x:c r="BX262" s="66" t="n">
        <x:v>0.8118040089086859688195991091</x:v>
      </x:c>
      <x:c r="BY262" s="30" t="n">
        <x:v>7273.80</x:v>
      </x:c>
      <x:c r="BZ262" s="41" t="n">
        <x:v>169</x:v>
      </x:c>
      <x:c r="CA262" s="30" t="n">
        <x:v>1368.90</x:v>
      </x:c>
      <x:c r="CC262" s="30" t="n">
        <x:v>6354.8919821826280623608017817</x:v>
      </x:c>
      <x:c r="CD262" s="30" t="n">
        <x:v>-7350.1300</x:v>
      </x:c>
      <x:c r="CE262" s="30" t="str">
        <x:f>=CC262+CD262</x:f>
      </x:c>
      <x:c r="CF262" s="66" t="str">
        <x:f>=CE262/CC262</x:f>
      </x:c>
      <x:c r="CH262" s="66" t="str">
        <x:f>=CI262+CJ262</x:f>
      </x:c>
      <x:c r="CI262" s="66" t="str">
        <x:f>=BX262+(0*7)</x:f>
      </x:c>
      <x:c r="CJ262" s="66" t="str">
        <x:f>=(1-CI262)*0.5</x:f>
      </x:c>
      <x:c r="CK262" s="66" t="str">
        <x:f>=1-CH262</x:f>
      </x:c>
      <x:c r="CM262" s="66" t="str">
        <x:f>=CJ262/(1-CI262)</x:f>
      </x:c>
    </x:row>
    <x:row r="263">
      <x:c r="A263" s="31" t="s">
        <x:v>531</x:v>
      </x:c>
      <x:c r="B263" t="s"/>
      <x:c r="C263" t="s">
        <x:v>532</x:v>
      </x:c>
      <x:c r="D263" t="s">
        <x:v>147</x:v>
      </x:c>
      <x:c r="E263" s="67" t="s">
        <x:v>131</x:v>
      </x:c>
      <x:c r="F263" t="n">
        <x:v>460</x:v>
      </x:c>
      <x:c r="G263" s="32" t="n">
        <x:v>0.0065217391304347826086956522</x:v>
      </x:c>
      <x:c r="H263" s="32" t="n">
        <x:v>0.1043478260869565217391304348</x:v>
      </x:c>
      <x:c r="I263" s="32" t="n">
        <x:v>0.1673913043478260869565217391</x:v>
      </x:c>
      <x:c r="J263" s="32" t="n">
        <x:v>0.1695652173913043478260869565</x:v>
      </x:c>
      <x:c r="K263" s="32" t="n">
        <x:v>0.189130434782608695652173913</x:v>
      </x:c>
      <x:c r="L263" s="32" t="n">
        <x:v>0.1869565217391304347826086957</x:v>
      </x:c>
      <x:c r="M263" s="32" t="n">
        <x:v>0.2130434782608695652173913043</x:v>
      </x:c>
      <x:c r="N263" s="32" t="n">
        <x:v>0.2326086956521739130434782609</x:v>
      </x:c>
      <x:c r="O263" s="32" t="n">
        <x:v>0.260869565217391304347826087</x:v>
      </x:c>
      <x:c r="P263" s="32" t="n">
        <x:v>0.2695652173913043478260869565</x:v>
      </x:c>
      <x:c r="Q263" s="32" t="n">
        <x:v>0.2760869565217391304347826087</x:v>
      </x:c>
      <x:c r="R263" s="32" t="n">
        <x:v>0.2695652173913043478260869565</x:v>
      </x:c>
      <x:c r="S263" s="32" t="n">
        <x:v>0.2739130434782608695652173913</x:v>
      </x:c>
      <x:c r="T263" s="32" t="n">
        <x:v>0.2739130434782608695652173913</x:v>
      </x:c>
      <x:c r="U263" s="32" t="n">
        <x:v>0.2826086956521739130434782609</x:v>
      </x:c>
      <x:c r="V263" s="32" t="n">
        <x:v>0.2804347826086956521739130435</x:v>
      </x:c>
      <x:c r="W263" s="32" t="n">
        <x:v>0.2782608695652173913043478261</x:v>
      </x:c>
      <x:c r="X263" s="32" t="n">
        <x:v>0.2847826086956521739130434783</x:v>
      </x:c>
      <x:c r="Y263" s="32" t="n">
        <x:v>0.289130434782608695652173913</x:v>
      </x:c>
      <x:c r="Z263" s="32" t="n">
        <x:v>0.2869565217391304347826086957</x:v>
      </x:c>
      <x:c r="AA263" s="32" t="n">
        <x:v>0.3021739130434782608695652174</x:v>
      </x:c>
      <x:c r="AB263" s="32" t="n">
        <x:v>0.3326086956521739130434782609</x:v>
      </x:c>
      <x:c r="AC263" s="32" t="n">
        <x:v>0.3456521739130434782608695652</x:v>
      </x:c>
      <x:c r="AD263" s="32" t="n">
        <x:v>0.3652173913043478260869565217</x:v>
      </x:c>
      <x:c r="AE263" s="32" t="n">
        <x:v>0.389130434782608695652173913</x:v>
      </x:c>
      <x:c r="AF263" s="32" t="n">
        <x:v>0.389130434782608695652173913</x:v>
      </x:c>
      <x:c r="AG263" s="32" t="n">
        <x:v>0.4086956521739130434782608696</x:v>
      </x:c>
      <x:c r="AH263" s="32" t="n">
        <x:v>0.4239130434782608695652173913</x:v>
      </x:c>
      <x:c r="AI263" s="32" t="n">
        <x:v>0.4369565217391304347826086957</x:v>
      </x:c>
      <x:c r="AJ263" s="32" t="n">
        <x:v>0.4413043478260869565217391304</x:v>
      </x:c>
      <x:c r="AK263" s="32" t="n">
        <x:v>0.4413043478260869565217391304</x:v>
      </x:c>
      <x:c r="AL263" s="32" t="n">
        <x:v>0.4521739130434782608695652174</x:v>
      </x:c>
      <x:c r="BI263" s="33" t="s"/>
      <x:c r="BJ263" s="11" t="s">
        <x:v>197</x:v>
      </x:c>
      <x:c r="BK263" s="12" t="str">
        <x:f>=BX263</x:f>
      </x:c>
      <x:c r="BL263" s="12" t="n">
        <x:v>0.4804347826086956521739130435</x:v>
      </x:c>
      <x:c r="BM263" s="12" t="n">
        <x:v>0.3478260869565217391304347826</x:v>
      </x:c>
      <x:c r="BN263" s="12" t="n">
        <x:v>0.1717391304347826086956521739</x:v>
      </x:c>
      <x:c r="BO263" s="12" t="str">
        <x:f>=BW263</x:f>
      </x:c>
      <x:c r="BP263" s="12" t="str">
        <x:f>=CF263</x:f>
      </x:c>
      <x:c r="BQ263" s="12" t="str"/>
      <x:c r="BR263" s="12" t="str">
        <x:v>SS 2020 MSS</x:v>
      </x:c>
      <x:c r="BS263" s="13" t="str"/>
      <x:c r="BT263" s="30" t="n">
        <x:v>2628.80</x:v>
      </x:c>
      <x:c r="BU263" s="30" t="n">
        <x:v>-2792.3840</x:v>
      </x:c>
      <x:c r="BV263" s="30" t="str">
        <x:f>=BT263+BU263</x:f>
      </x:c>
      <x:c r="BW263" s="66" t="str">
        <x:f>=BV263/BT263</x:f>
      </x:c>
      <x:c r="BX263" s="66" t="n">
        <x:v>0.8282608695652173913043478261</x:v>
      </x:c>
      <x:c r="BY263" s="30" t="n">
        <x:v>2723.20</x:v>
      </x:c>
      <x:c r="BZ263" s="41" t="n">
        <x:v>79</x:v>
      </x:c>
      <x:c r="CA263" s="30" t="n">
        <x:v>467.68</x:v>
      </x:c>
      <x:c r="CC263" s="30" t="n">
        <x:v>2629.2543478260869565217391304</x:v>
      </x:c>
      <x:c r="CD263" s="30" t="n">
        <x:v>-2792.3840</x:v>
      </x:c>
      <x:c r="CE263" s="30" t="str">
        <x:f>=CC263+CD263</x:f>
      </x:c>
      <x:c r="CF263" s="66" t="str">
        <x:f>=CE263/CC263</x:f>
      </x:c>
      <x:c r="CH263" s="66" t="str">
        <x:f>=CI263+CJ263</x:f>
      </x:c>
      <x:c r="CI263" s="66" t="str">
        <x:f>=BX263+(0*7)</x:f>
      </x:c>
      <x:c r="CJ263" s="66" t="str">
        <x:f>=(1-CI263)*0.5</x:f>
      </x:c>
      <x:c r="CK263" s="66" t="str">
        <x:f>=1-CH263</x:f>
      </x:c>
      <x:c r="CM263" s="66" t="str">
        <x:f>=CJ263/(1-CI263)</x:f>
      </x:c>
    </x:row>
    <x:row r="264">
      <x:c r="A264" s="31" t="s">
        <x:v>533</x:v>
      </x:c>
      <x:c r="B264" t="s"/>
      <x:c r="C264" t="s">
        <x:v>534</x:v>
      </x:c>
      <x:c r="D264" t="s">
        <x:v>130</x:v>
      </x:c>
      <x:c r="E264" s="67" t="s">
        <x:v>131</x:v>
      </x:c>
      <x:c r="F264" t="n">
        <x:v>474</x:v>
      </x:c>
      <x:c r="G264" s="32" t="n">
        <x:v>0.0126582278481012658227848101</x:v>
      </x:c>
      <x:c r="H264" s="32" t="n">
        <x:v>0.0822784810126582278481012658</x:v>
      </x:c>
      <x:c r="I264" s="32" t="n">
        <x:v>0.1118143459915611814345991561</x:v>
      </x:c>
      <x:c r="J264" s="32" t="n">
        <x:v>0.099156118143459915611814346</x:v>
      </x:c>
      <x:c r="K264" s="32" t="n">
        <x:v>0.1118143459915611814345991561</x:v>
      </x:c>
      <x:c r="L264" s="32" t="n">
        <x:v>0.1160337552742616033755274262</x:v>
      </x:c>
      <x:c r="M264" s="32" t="n">
        <x:v>0.1244725738396624472573839662</x:v>
      </x:c>
      <x:c r="N264" s="32" t="n">
        <x:v>0.1329113924050632911392405063</x:v>
      </x:c>
      <x:c r="O264" s="32" t="n">
        <x:v>0.1476793248945147679324894515</x:v>
      </x:c>
      <x:c r="P264" s="32" t="n">
        <x:v>0.1561181434599156118143459916</x:v>
      </x:c>
      <x:c r="Q264" s="32" t="n">
        <x:v>0.1772151898734177215189873418</x:v>
      </x:c>
      <x:c r="R264" s="32" t="n">
        <x:v>0.1919831223628691983122362869</x:v>
      </x:c>
      <x:c r="S264" s="32" t="n">
        <x:v>0.1940928270042194092827004219</x:v>
      </x:c>
      <x:c r="T264" s="32" t="n">
        <x:v>0.200421940928270042194092827</x:v>
      </x:c>
      <x:c r="U264" s="32" t="n">
        <x:v>0.202531645569620253164556962</x:v>
      </x:c>
      <x:c r="V264" s="32" t="n">
        <x:v>0.2067510548523206751054852321</x:v>
      </x:c>
      <x:c r="W264" s="32" t="n">
        <x:v>0.2130801687763713080168776371</x:v>
      </x:c>
      <x:c r="X264" s="32" t="n">
        <x:v>0.2215189873417721518987341772</x:v>
      </x:c>
      <x:c r="Y264" s="32" t="n">
        <x:v>0.2257383966244725738396624473</x:v>
      </x:c>
      <x:c r="Z264" s="32" t="n">
        <x:v>0.2257383966244725738396624473</x:v>
      </x:c>
      <x:c r="AA264" s="32" t="n">
        <x:v>0.2489451476793248945147679325</x:v>
      </x:c>
      <x:c r="AB264" s="32" t="n">
        <x:v>0.2594936708860759493670886076</x:v>
      </x:c>
      <x:c r="AC264" s="32" t="n">
        <x:v>0.2742616033755274261603375527</x:v>
      </x:c>
      <x:c r="AD264" s="32" t="n">
        <x:v>0.2700421940928270042194092827</x:v>
      </x:c>
      <x:c r="AE264" s="32" t="n">
        <x:v>0.2700421940928270042194092827</x:v>
      </x:c>
      <x:c r="AF264" s="32" t="n">
        <x:v>0.297468354430379746835443038</x:v>
      </x:c>
      <x:c r="AG264" s="32" t="n">
        <x:v>0.3333333333333333333333333333</x:v>
      </x:c>
      <x:c r="AH264" s="32" t="n">
        <x:v>0.3375527426160337552742616034</x:v>
      </x:c>
      <x:c r="AI264" s="32" t="n">
        <x:v>0.3523206751054852320675105485</x:v>
      </x:c>
      <x:c r="AJ264" s="32" t="n">
        <x:v>0.3691983122362869198312236287</x:v>
      </x:c>
      <x:c r="AK264" s="32" t="n">
        <x:v>0.3797468354430379746835443038</x:v>
      </x:c>
      <x:c r="BI264" s="33" t="s"/>
      <x:c r="BJ264" s="11" t="s">
        <x:v>202</x:v>
      </x:c>
      <x:c r="BK264" s="12" t="str">
        <x:f>=BX264</x:f>
      </x:c>
      <x:c r="BL264" s="12" t="n">
        <x:v>0.3797468354430379746835443038</x:v>
      </x:c>
      <x:c r="BM264" s="12" t="n">
        <x:v>0.3797468354430379746835443038</x:v>
      </x:c>
      <x:c r="BN264" s="12" t="n">
        <x:v>0.2405063291139240506329113924</x:v>
      </x:c>
      <x:c r="BO264" s="12" t="str">
        <x:f>=BW264</x:f>
      </x:c>
      <x:c r="BP264" s="12" t="str">
        <x:f>=CF264</x:f>
      </x:c>
      <x:c r="BQ264" s="12" t="str"/>
      <x:c r="BR264" s="12" t="str">
        <x:v>SS 2020 MSS</x:v>
      </x:c>
      <x:c r="BS264" s="13" t="str"/>
      <x:c r="BT264" s="30" t="n">
        <x:v>3428.84</x:v>
      </x:c>
      <x:c r="BU264" s="30" t="n">
        <x:v>-4176.77359434090000000000</x:v>
      </x:c>
      <x:c r="BV264" s="30" t="str">
        <x:f>=BT264+BU264</x:f>
      </x:c>
      <x:c r="BW264" s="66" t="str">
        <x:f>=BV264/BT264</x:f>
      </x:c>
      <x:c r="BX264" s="66" t="n">
        <x:v>0.7594936708860759493670886076</x:v>
      </x:c>
      <x:c r="BY264" s="30" t="n">
        <x:v>4220.974220970000000000</x:v>
      </x:c>
      <x:c r="BZ264" s="41" t="n">
        <x:v>114</x:v>
      </x:c>
      <x:c r="CA264" s="30" t="n">
        <x:v>1015.171015170000000000</x:v>
      </x:c>
      <x:c r="CC264" s="30" t="n">
        <x:v>3429.2197468354430379746835443</x:v>
      </x:c>
      <x:c r="CD264" s="30" t="n">
        <x:v>-4176.77359434090000000000</x:v>
      </x:c>
      <x:c r="CE264" s="30" t="str">
        <x:f>=CC264+CD264</x:f>
      </x:c>
      <x:c r="CF264" s="66" t="str">
        <x:f>=CE264/CC264</x:f>
      </x:c>
      <x:c r="CH264" s="66" t="str">
        <x:f>=CI264+CJ264</x:f>
      </x:c>
      <x:c r="CI264" s="66" t="str">
        <x:f>=BX264+(0*7)</x:f>
      </x:c>
      <x:c r="CJ264" s="66" t="str">
        <x:f>=(1-CI264)*0.5</x:f>
      </x:c>
      <x:c r="CK264" s="66" t="str">
        <x:f>=1-CH264</x:f>
      </x:c>
      <x:c r="CM264" s="66" t="str">
        <x:f>=CJ264/(1-CI264)</x:f>
      </x:c>
    </x:row>
    <x:row r="265">
      <x:c r="A265" s="31" t="s">
        <x:v>535</x:v>
      </x:c>
      <x:c r="B265" t="s"/>
      <x:c r="C265" t="s">
        <x:v>536</x:v>
      </x:c>
      <x:c r="D265" t="s">
        <x:v>147</x:v>
      </x:c>
      <x:c r="E265" s="67" t="s">
        <x:v>131</x:v>
      </x:c>
      <x:c r="F265" t="n">
        <x:v>803</x:v>
      </x:c>
      <x:c r="G265" s="32" t="n">
        <x:v>0.0012453300124533001245330012</x:v>
      </x:c>
      <x:c r="H265" s="32" t="n">
        <x:v>0.0024906600249066002490660025</x:v>
      </x:c>
      <x:c r="I265" s="32" t="n">
        <x:v>0.0398505603985056039850560399</x:v>
      </x:c>
      <x:c r="J265" s="32" t="n">
        <x:v>0.0635118306351183063511830635</x:v>
      </x:c>
      <x:c r="K265" s="32" t="n">
        <x:v>0.0684931506849315068493150685</x:v>
      </x:c>
      <x:c r="L265" s="32" t="n">
        <x:v>0.0747198007471980074719800747</x:v>
      </x:c>
      <x:c r="M265" s="32" t="n">
        <x:v>0.0859277708592777085927770859</x:v>
      </x:c>
      <x:c r="N265" s="32" t="n">
        <x:v>0.0834371108343711083437110834</x:v>
      </x:c>
      <x:c r="O265" s="32" t="n">
        <x:v>0.0859277708592777085927770859</x:v>
      </x:c>
      <x:c r="P265" s="32" t="n">
        <x:v>0.0821917808219178082191780822</x:v>
      </x:c>
      <x:c r="Q265" s="32" t="n">
        <x:v>0.0821917808219178082191780822</x:v>
      </x:c>
      <x:c r="R265" s="32" t="n">
        <x:v>0.0896637608966376089663760897</x:v>
      </x:c>
      <x:c r="S265" s="32" t="n">
        <x:v>0.0971357409713574097135740971</x:v>
      </x:c>
      <x:c r="T265" s="32" t="n">
        <x:v>0.0958904109589041095890410959</x:v>
      </x:c>
      <x:c r="U265" s="32" t="n">
        <x:v>0.0909090909090909090909090909</x:v>
      </x:c>
      <x:c r="V265" s="32" t="n">
        <x:v>0.0921544209215442092154420922</x:v>
      </x:c>
      <x:c r="W265" s="32" t="n">
        <x:v>0.0921544209215442092154420922</x:v>
      </x:c>
      <x:c r="X265" s="32" t="n">
        <x:v>0.0933997509339975093399750934</x:v>
      </x:c>
      <x:c r="Y265" s="32" t="n">
        <x:v>0.0909090909090909090909090909</x:v>
      </x:c>
      <x:c r="Z265" s="32" t="n">
        <x:v>0.0933997509339975093399750934</x:v>
      </x:c>
      <x:c r="AA265" s="32" t="n">
        <x:v>0.0996264009962640099626400996</x:v>
      </x:c>
      <x:c r="AB265" s="32" t="n">
        <x:v>0.1021170610211706102117061021</x:v>
      </x:c>
      <x:c r="AC265" s="32" t="n">
        <x:v>0.1046077210460772104607721046</x:v>
      </x:c>
      <x:c r="AD265" s="32" t="n">
        <x:v>0.1108343711083437110834371108</x:v>
      </x:c>
      <x:c r="AE265" s="32" t="n">
        <x:v>0.1108343711083437110834371108</x:v>
      </x:c>
      <x:c r="AF265" s="32" t="n">
        <x:v>0.1183063511830635118306351183</x:v>
      </x:c>
      <x:c r="AG265" s="32" t="n">
        <x:v>0.1195516811955168119551681196</x:v>
      </x:c>
      <x:c r="AH265" s="32" t="n">
        <x:v>0.1195516811955168119551681196</x:v>
      </x:c>
      <x:c r="AI265" s="32" t="n">
        <x:v>0.127023661270236612702366127</x:v>
      </x:c>
      <x:c r="AJ265" s="32" t="n">
        <x:v>0.1332503113325031133250311333</x:v>
      </x:c>
      <x:c r="AK265" s="32" t="n">
        <x:v>0.132004981320049813200498132</x:v>
      </x:c>
      <x:c r="BI265" s="33" t="s"/>
      <x:c r="BJ265" s="11" t="s">
        <x:v>202</x:v>
      </x:c>
      <x:c r="BK265" s="12" t="str">
        <x:f>=BX265</x:f>
      </x:c>
      <x:c r="BL265" s="12" t="n">
        <x:v>0.1718555417185554171855541719</x:v>
      </x:c>
      <x:c r="BM265" s="12" t="n">
        <x:v>0.5180572851805728518057285181</x:v>
      </x:c>
      <x:c r="BN265" s="12" t="n">
        <x:v>0.3100871731008717310087173101</x:v>
      </x:c>
      <x:c r="BO265" s="12" t="str">
        <x:f>=BW265</x:f>
      </x:c>
      <x:c r="BP265" s="12" t="str">
        <x:f>=CF265</x:f>
      </x:c>
      <x:c r="BQ265" s="12" t="str"/>
      <x:c r="BR265" s="12" t="str">
        <x:v>SS 2020 MSS</x:v>
      </x:c>
      <x:c r="BS265" s="13" t="str"/>
      <x:c r="BT265" s="30" t="n">
        <x:v>3089.52</x:v>
      </x:c>
      <x:c r="BU265" s="30" t="n">
        <x:v>-4150.1449</x:v>
      </x:c>
      <x:c r="BV265" s="30" t="str">
        <x:f>=BT265+BU265</x:f>
      </x:c>
      <x:c r="BW265" s="66" t="str">
        <x:f>=BV265/BT265</x:f>
      </x:c>
      <x:c r="BX265" s="66" t="n">
        <x:v>0.6899128268991282689912826899</x:v>
      </x:c>
      <x:c r="BY265" s="30" t="n">
        <x:v>4006.97</x:v>
      </x:c>
      <x:c r="BZ265" s="41" t="n">
        <x:v>249</x:v>
      </x:c>
      <x:c r="CA265" s="30" t="n">
        <x:v>1242.51</x:v>
      </x:c>
      <x:c r="CC265" s="30" t="n">
        <x:v>3089.6520049813200498132004981</x:v>
      </x:c>
      <x:c r="CD265" s="30" t="n">
        <x:v>-4150.1449</x:v>
      </x:c>
      <x:c r="CE265" s="30" t="str">
        <x:f>=CC265+CD265</x:f>
      </x:c>
      <x:c r="CF265" s="66" t="str">
        <x:f>=CE265/CC265</x:f>
      </x:c>
      <x:c r="CH265" s="66" t="str">
        <x:f>=CI265+CJ265</x:f>
      </x:c>
      <x:c r="CI265" s="66" t="str">
        <x:f>=BX265+(0*7)</x:f>
      </x:c>
      <x:c r="CJ265" s="66" t="str">
        <x:f>=(1-CI265)*0.5</x:f>
      </x:c>
      <x:c r="CK265" s="66" t="str">
        <x:f>=1-CH265</x:f>
      </x:c>
      <x:c r="CM265" s="66" t="str">
        <x:f>=CJ265/(1-CI265)</x:f>
      </x:c>
    </x:row>
    <x:row r="266">
      <x:c r="A266" s="31" t="s">
        <x:v>537</x:v>
      </x:c>
      <x:c r="B266" t="s"/>
      <x:c r="C266" t="s">
        <x:v>538</x:v>
      </x:c>
      <x:c r="D266" t="s">
        <x:v>147</x:v>
      </x:c>
      <x:c r="E266" s="67" t="s">
        <x:v>131</x:v>
      </x:c>
      <x:c r="F266" t="n">
        <x:v>1003</x:v>
      </x:c>
      <x:c r="G266" s="32" t="n">
        <x:v>0.0139581256231306081754735793</x:v>
      </x:c>
      <x:c r="H266" s="32" t="n">
        <x:v>0.055832502492522432701894317</x:v>
      </x:c>
      <x:c r="I266" s="32" t="n">
        <x:v>0.1146560319042871385842472582</x:v>
      </x:c>
      <x:c r="J266" s="32" t="n">
        <x:v>0.140578265204386839481555334</x:v>
      </x:c>
      <x:c r="K266" s="32" t="n">
        <x:v>0.1545363908275174476570289133</x:v>
      </x:c>
      <x:c r="L266" s="32" t="n">
        <x:v>0.1784646061814556331006979063</x:v>
      </x:c>
      <x:c r="M266" s="32" t="n">
        <x:v>0.1904287138584247258225324028</x:v>
      </x:c>
      <x:c r="N266" s="32" t="n">
        <x:v>0.1794616151545363908275174477</x:v>
      </x:c>
      <x:c r="O266" s="32" t="n">
        <x:v>0.1854436689930209371884346959</x:v>
      </x:c>
      <x:c r="P266" s="32" t="n">
        <x:v>0.1824526420737786640079760718</x:v>
      </x:c>
      <x:c r="Q266" s="32" t="n">
        <x:v>0.18843469591226321036889332</x:v>
      </x:c>
      <x:c r="R266" s="32" t="n">
        <x:v>0.1914257228315054835493519442</x:v>
      </x:c>
      <x:c r="S266" s="32" t="n">
        <x:v>0.1904287138584247258225324028</x:v>
      </x:c>
      <x:c r="T266" s="32" t="n">
        <x:v>0.1974077766699900299102691924</x:v>
      </x:c>
      <x:c r="U266" s="32" t="n">
        <x:v>0.1934197407776669990029910269</x:v>
      </x:c>
      <x:c r="V266" s="32" t="n">
        <x:v>0.1984047856430707876370887338</x:v>
      </x:c>
      <x:c r="W266" s="32" t="n">
        <x:v>0.1974077766699900299102691924</x:v>
      </x:c>
      <x:c r="X266" s="32" t="n">
        <x:v>0.2013958125623130608175473579</x:v>
      </x:c>
      <x:c r="Y266" s="32" t="n">
        <x:v>0.2063808574277168494516450648</x:v>
      </x:c>
      <x:c r="Z266" s="32" t="n">
        <x:v>0.2083748753738783649052841476</x:v>
      </x:c>
      <x:c r="AA266" s="32" t="n">
        <x:v>0.2113659022931206380857427717</x:v>
      </x:c>
      <x:c r="AB266" s="32" t="n">
        <x:v>0.2103688933200398803589232303</x:v>
      </x:c>
      <x:c r="AC266" s="32" t="n">
        <x:v>0.2103688933200398803589232303</x:v>
      </x:c>
      <x:c r="AD266" s="32" t="n">
        <x:v>0.2213359920239282153539381854</x:v>
      </x:c>
      <x:c r="AE266" s="32" t="n">
        <x:v>0.2233300099700897308075772682</x:v>
      </x:c>
      <x:c r="AF266" s="32" t="n">
        <x:v>0.2293120638085742771684945165</x:v>
      </x:c>
      <x:c r="AG266" s="32" t="n">
        <x:v>0.2342971086739780658025922233</x:v>
      </x:c>
      <x:c r="AH266" s="32" t="n">
        <x:v>0.2313060817547357926221335992</x:v>
      </x:c>
      <x:c r="AI266" s="32" t="n">
        <x:v>0.233300099700897308075772682</x:v>
      </x:c>
      <x:c r="BI266" s="33" t="s"/>
      <x:c r="BJ266" s="11" t="s">
        <x:v>205</x:v>
      </x:c>
      <x:c r="BK266" s="12" t="str">
        <x:f>=BX266</x:f>
      </x:c>
      <x:c r="BL266" s="12" t="n">
        <x:v>0.2592223330009970089730807577</x:v>
      </x:c>
      <x:c r="BM266" s="12" t="n">
        <x:v>0.51445663010967098703888335</x:v>
      </x:c>
      <x:c r="BN266" s="12" t="n">
        <x:v>0.2263210368893320039880358923</x:v>
      </x:c>
      <x:c r="BO266" s="12" t="str">
        <x:f>=BW266</x:f>
      </x:c>
      <x:c r="BP266" s="12" t="str">
        <x:f>=CF266</x:f>
      </x:c>
      <x:c r="BQ266" s="12" t="str"/>
      <x:c r="BR266" s="12" t="str">
        <x:v>SS 2020 MSS</x:v>
      </x:c>
      <x:c r="BS266" s="13" t="str"/>
      <x:c r="BT266" s="30" t="n">
        <x:v>4784.95</x:v>
      </x:c>
      <x:c r="BU266" s="30" t="n">
        <x:v>-6069.1530</x:v>
      </x:c>
      <x:c r="BV266" s="30" t="str">
        <x:f>=BT266+BU266</x:f>
      </x:c>
      <x:c r="BW266" s="66" t="str">
        <x:f>=BV266/BT266</x:f>
      </x:c>
      <x:c r="BX266" s="66" t="n">
        <x:v>0.7736789631106679960119641077</x:v>
      </x:c>
      <x:c r="BY266" s="30" t="n">
        <x:v>5917.70</x:v>
      </x:c>
      <x:c r="BZ266" s="41" t="n">
        <x:v>227</x:v>
      </x:c>
      <x:c r="CA266" s="30" t="n">
        <x:v>1339.30</x:v>
      </x:c>
      <x:c r="CC266" s="30" t="n">
        <x:v>4785.1842971086739780658025922</x:v>
      </x:c>
      <x:c r="CD266" s="30" t="n">
        <x:v>-6069.1530</x:v>
      </x:c>
      <x:c r="CE266" s="30" t="str">
        <x:f>=CC266+CD266</x:f>
      </x:c>
      <x:c r="CF266" s="66" t="str">
        <x:f>=CE266/CC266</x:f>
      </x:c>
      <x:c r="CH266" s="66" t="str">
        <x:f>=CI266+CJ266</x:f>
      </x:c>
      <x:c r="CI266" s="66" t="str">
        <x:f>=BX266+(0*7)</x:f>
      </x:c>
      <x:c r="CJ266" s="66" t="str">
        <x:f>=(1-CI266)*0.5</x:f>
      </x:c>
      <x:c r="CK266" s="66" t="str">
        <x:f>=1-CH266</x:f>
      </x:c>
      <x:c r="CM266" s="66" t="str">
        <x:f>=CJ266/(1-CI266)</x:f>
      </x:c>
    </x:row>
    <x:row r="267">
      <x:c r="A267" s="31" t="s">
        <x:v>539</x:v>
      </x:c>
      <x:c r="B267" t="s"/>
      <x:c r="C267" t="s">
        <x:v>540</x:v>
      </x:c>
      <x:c r="D267" t="s">
        <x:v>147</x:v>
      </x:c>
      <x:c r="E267" s="67" t="s">
        <x:v>131</x:v>
      </x:c>
      <x:c r="F267" t="n">
        <x:v>372</x:v>
      </x:c>
      <x:c r="G267" s="32" t="n">
        <x:v>0.002688172043010752688172043</x:v>
      </x:c>
      <x:c r="H267" s="32" t="n">
        <x:v>0</x:v>
      </x:c>
      <x:c r="I267" s="32" t="n">
        <x:v>0</x:v>
      </x:c>
      <x:c r="J267" s="32" t="n">
        <x:v>0.0268817204301075268817204301</x:v>
      </x:c>
      <x:c r="K267" s="32" t="n">
        <x:v>0.0698924731182795698924731183</x:v>
      </x:c>
      <x:c r="L267" s="32" t="n">
        <x:v>0.0698924731182795698924731183</x:v>
      </x:c>
      <x:c r="M267" s="32" t="n">
        <x:v>0.0672043010752688172043010753</x:v>
      </x:c>
      <x:c r="N267" s="32" t="n">
        <x:v>0.0698924731182795698924731183</x:v>
      </x:c>
      <x:c r="O267" s="32" t="n">
        <x:v>0.0591397849462365591397849462</x:v>
      </x:c>
      <x:c r="P267" s="32" t="n">
        <x:v>0.0618279569892473118279569892</x:v>
      </x:c>
      <x:c r="Q267" s="32" t="n">
        <x:v>0.0698924731182795698924731183</x:v>
      </x:c>
      <x:c r="R267" s="32" t="n">
        <x:v>0.0618279569892473118279569892</x:v>
      </x:c>
      <x:c r="S267" s="32" t="n">
        <x:v>0.0618279569892473118279569892</x:v>
      </x:c>
      <x:c r="T267" s="32" t="n">
        <x:v>0.0591397849462365591397849462</x:v>
      </x:c>
      <x:c r="U267" s="32" t="n">
        <x:v>0.0645161290322580645161290323</x:v>
      </x:c>
      <x:c r="V267" s="32" t="n">
        <x:v>0.0645161290322580645161290323</x:v>
      </x:c>
      <x:c r="W267" s="32" t="n">
        <x:v>0.0698924731182795698924731183</x:v>
      </x:c>
      <x:c r="X267" s="32" t="n">
        <x:v>0.0672043010752688172043010753</x:v>
      </x:c>
      <x:c r="Y267" s="32" t="n">
        <x:v>0.0779569892473118279569892473</x:v>
      </x:c>
      <x:c r="Z267" s="32" t="n">
        <x:v>0.0779569892473118279569892473</x:v>
      </x:c>
      <x:c r="AA267" s="32" t="n">
        <x:v>0.0779569892473118279569892473</x:v>
      </x:c>
      <x:c r="AB267" s="32" t="n">
        <x:v>0.0860215053763440860215053763</x:v>
      </x:c>
      <x:c r="AC267" s="32" t="n">
        <x:v>0.0887096774193548387096774194</x:v>
      </x:c>
      <x:c r="AD267" s="32" t="n">
        <x:v>0.0913978494623655913978494624</x:v>
      </x:c>
      <x:c r="AE267" s="32" t="n">
        <x:v>0.0994623655913978494623655914</x:v>
      </x:c>
      <x:c r="AF267" s="32" t="n">
        <x:v>0.1075268817204301075268817204</x:v>
      </x:c>
      <x:c r="AG267" s="32" t="n">
        <x:v>0.1021505376344086021505376344</x:v>
      </x:c>
      <x:c r="BI267" s="33" t="s"/>
      <x:c r="BJ267" s="11" t="s">
        <x:v>301</x:v>
      </x:c>
      <x:c r="BK267" s="12" t="str">
        <x:f>=BX267</x:f>
      </x:c>
      <x:c r="BL267" s="12" t="n">
        <x:v>0.1317204301075268817204301075</x:v>
      </x:c>
      <x:c r="BM267" s="12" t="n">
        <x:v>0.5430107526881720430107526882</x:v>
      </x:c>
      <x:c r="BN267" s="12" t="n">
        <x:v>0.3252688172043010752688172043</x:v>
      </x:c>
      <x:c r="BO267" s="12" t="str">
        <x:f>=BW267</x:f>
      </x:c>
      <x:c r="BP267" s="12" t="str">
        <x:f>=CF267</x:f>
      </x:c>
      <x:c r="BQ267" s="12" t="str"/>
      <x:c r="BR267" s="12" t="str">
        <x:v>SS 2020 MSS</x:v>
      </x:c>
      <x:c r="BS267" s="13" t="str"/>
      <x:c r="BT267" s="30" t="n">
        <x:v>1278.80</x:v>
      </x:c>
      <x:c r="BU267" s="30" t="n">
        <x:v>-2572.1196</x:v>
      </x:c>
      <x:c r="BV267" s="30" t="str">
        <x:f>=BT267+BU267</x:f>
      </x:c>
      <x:c r="BW267" s="66" t="str">
        <x:f>=BV267/BT267</x:f>
      </x:c>
      <x:c r="BX267" s="66" t="n">
        <x:v>0.6747311827956989247311827957</x:v>
      </x:c>
      <x:c r="BY267" s="30" t="n">
        <x:v>2525.88</x:v>
      </x:c>
      <x:c r="BZ267" s="41" t="n">
        <x:v>121</x:v>
      </x:c>
      <x:c r="CA267" s="30" t="n">
        <x:v>821.59</x:v>
      </x:c>
      <x:c r="CC267" s="30" t="n">
        <x:v>1278.9021505376344086021505376</x:v>
      </x:c>
      <x:c r="CD267" s="30" t="n">
        <x:v>-2572.1196</x:v>
      </x:c>
      <x:c r="CE267" s="30" t="str">
        <x:f>=CC267+CD267</x:f>
      </x:c>
      <x:c r="CF267" s="66" t="str">
        <x:f>=CE267/CC267</x:f>
      </x:c>
      <x:c r="CH267" s="66" t="str">
        <x:f>=CI267+CJ267</x:f>
      </x:c>
      <x:c r="CI267" s="66" t="str">
        <x:f>=BX267+(0*7)</x:f>
      </x:c>
      <x:c r="CJ267" s="66" t="str">
        <x:f>=(1-CI267)*0.5</x:f>
      </x:c>
      <x:c r="CK267" s="66" t="str">
        <x:f>=1-CH267</x:f>
      </x:c>
      <x:c r="CM267" s="66" t="str">
        <x:f>=CJ267/(1-CI267)</x:f>
      </x:c>
    </x:row>
    <x:row r="268">
      <x:c r="A268" s="31" t="s">
        <x:v>541</x:v>
      </x:c>
      <x:c r="B268" t="s"/>
      <x:c r="C268" t="s">
        <x:v>542</x:v>
      </x:c>
      <x:c r="D268" t="s">
        <x:v>193</x:v>
      </x:c>
      <x:c r="E268" s="67" t="s">
        <x:v>131</x:v>
      </x:c>
      <x:c r="F268" t="n">
        <x:v>501</x:v>
      </x:c>
      <x:c r="G268" s="32" t="n">
        <x:v>0.0099800399201596806387225549</x:v>
      </x:c>
      <x:c r="H268" s="32" t="n">
        <x:v>0.0339321357285429141716566866</x:v>
      </x:c>
      <x:c r="I268" s="32" t="n">
        <x:v>0.0578842315369261477045908184</x:v>
      </x:c>
      <x:c r="J268" s="32" t="n">
        <x:v>0.0678642714570858283433133733</x:v>
      </x:c>
      <x:c r="K268" s="32" t="n">
        <x:v>0.0638722554890219560878243513</x:v>
      </x:c>
      <x:c r="L268" s="32" t="n">
        <x:v>0.0678642714570858283433133733</x:v>
      </x:c>
      <x:c r="M268" s="32" t="n">
        <x:v>0.0838323353293413173652694611</x:v>
      </x:c>
      <x:c r="N268" s="32" t="n">
        <x:v>0.0978043912175648702594810379</x:v>
      </x:c>
      <x:c r="O268" s="32" t="n">
        <x:v>0.1097804391217564870259481038</x:v>
      </x:c>
      <x:c r="P268" s="32" t="n">
        <x:v>0.1257485029940119760479041916</x:v>
      </x:c>
      <x:c r="Q268" s="32" t="n">
        <x:v>0.1377245508982035928143712575</x:v>
      </x:c>
      <x:c r="R268" s="32" t="n">
        <x:v>0.1437125748502994011976047904</x:v>
      </x:c>
      <x:c r="S268" s="32" t="n">
        <x:v>0.1457085828343313373253493014</x:v>
      </x:c>
      <x:c r="T268" s="32" t="n">
        <x:v>0.1477045908183632734530938124</x:v>
      </x:c>
      <x:c r="U268" s="32" t="n">
        <x:v>0.1696606786427145708582834331</x:v>
      </x:c>
      <x:c r="V268" s="32" t="n">
        <x:v>0.1696606786427145708582834331</x:v>
      </x:c>
      <x:c r="W268" s="32" t="n">
        <x:v>0.1996007984031936127744510978</x:v>
      </x:c>
      <x:c r="X268" s="32" t="n">
        <x:v>0.2035928143712574850299401198</x:v>
      </x:c>
      <x:c r="Y268" s="32" t="n">
        <x:v>0.1976047904191616766467065868</x:v>
      </x:c>
      <x:c r="Z268" s="32" t="n">
        <x:v>0.2035928143712574850299401198</x:v>
      </x:c>
      <x:c r="AA268" s="32" t="n">
        <x:v>0.2115768463073852295409181637</x:v>
      </x:c>
      <x:c r="AB268" s="32" t="n">
        <x:v>0.2175648702594810379241516966</x:v>
      </x:c>
      <x:c r="BI268" s="33" t="s"/>
      <x:c r="BJ268" s="11" t="s">
        <x:v>330</x:v>
      </x:c>
      <x:c r="BK268" s="12" t="str">
        <x:f>=BX268</x:f>
      </x:c>
      <x:c r="BL268" s="12" t="n">
        <x:v>0.2315369261477045908183632735</x:v>
      </x:c>
      <x:c r="BM268" s="12" t="n">
        <x:v>0.6007984031936127744510978044</x:v>
      </x:c>
      <x:c r="BN268" s="12" t="n">
        <x:v>0.1676646706586826347305389222</x:v>
      </x:c>
      <x:c r="BO268" s="12" t="str">
        <x:f>=BW268</x:f>
      </x:c>
      <x:c r="BP268" s="12" t="str">
        <x:f>=CF268</x:f>
      </x:c>
      <x:c r="BQ268" s="12" t="str"/>
      <x:c r="BR268" s="12" t="str">
        <x:v>SS 2020 MSS</x:v>
      </x:c>
      <x:c r="BS268" s="13" t="str"/>
      <x:c r="BT268" s="30" t="n">
        <x:v>3213.23</x:v>
      </x:c>
      <x:c r="BU268" s="30" t="n">
        <x:v>-3982.7997</x:v>
      </x:c>
      <x:c r="BV268" s="30" t="str">
        <x:f>=BT268+BU268</x:f>
      </x:c>
      <x:c r="BW268" s="66" t="str">
        <x:f>=BV268/BT268</x:f>
      </x:c>
      <x:c r="BX268" s="66" t="n">
        <x:v>0.8323353293413173652694610778</x:v>
      </x:c>
      <x:c r="BY268" s="30" t="n">
        <x:v>3507.00</x:v>
      </x:c>
      <x:c r="BZ268" s="41" t="n">
        <x:v>84</x:v>
      </x:c>
      <x:c r="CA268" s="30" t="n">
        <x:v>588.00</x:v>
      </x:c>
      <x:c r="CC268" s="30" t="n">
        <x:v>3213.4475648702594810379241517</x:v>
      </x:c>
      <x:c r="CD268" s="30" t="n">
        <x:v>-3982.7997</x:v>
      </x:c>
      <x:c r="CE268" s="30" t="str">
        <x:f>=CC268+CD268</x:f>
      </x:c>
      <x:c r="CF268" s="66" t="str">
        <x:f>=CE268/CC268</x:f>
      </x:c>
      <x:c r="CH268" s="66" t="str">
        <x:f>=CI268+CJ268</x:f>
      </x:c>
      <x:c r="CI268" s="66" t="str">
        <x:f>=BX268+(0*7)</x:f>
      </x:c>
      <x:c r="CJ268" s="66" t="str">
        <x:f>=(1-CI268)*0.5</x:f>
      </x:c>
      <x:c r="CK268" s="66" t="str">
        <x:f>=1-CH268</x:f>
      </x:c>
      <x:c r="CM268" s="66" t="str">
        <x:f>=CJ268/(1-CI268)</x:f>
      </x:c>
    </x:row>
    <x:row r="269">
      <x:c r="A269" s="31" t="s">
        <x:v>543</x:v>
      </x:c>
      <x:c r="B269" t="s"/>
      <x:c r="C269" t="s">
        <x:v>544</x:v>
      </x:c>
      <x:c r="D269" t="s">
        <x:v>193</x:v>
      </x:c>
      <x:c r="E269" s="67" t="s">
        <x:v>131</x:v>
      </x:c>
      <x:c r="F269" t="n">
        <x:v>470</x:v>
      </x:c>
      <x:c r="G269" s="32" t="n">
        <x:v>0.0063829787234042553191489362</x:v>
      </x:c>
      <x:c r="H269" s="32" t="n">
        <x:v>0.0276595744680851063829787234</x:v>
      </x:c>
      <x:c r="I269" s="32" t="n">
        <x:v>0.0425531914893617021276595745</x:v>
      </x:c>
      <x:c r="J269" s="32" t="n">
        <x:v>0.0595744680851063829787234043</x:v>
      </x:c>
      <x:c r="K269" s="32" t="n">
        <x:v>0.0638297872340425531914893617</x:v>
      </x:c>
      <x:c r="L269" s="32" t="n">
        <x:v>0.0638297872340425531914893617</x:v>
      </x:c>
      <x:c r="M269" s="32" t="n">
        <x:v>0.0702127659574468085106382979</x:v>
      </x:c>
      <x:c r="N269" s="32" t="n">
        <x:v>0.0872340425531914893617021277</x:v>
      </x:c>
      <x:c r="O269" s="32" t="n">
        <x:v>0.0851063829787234042553191489</x:v>
      </x:c>
      <x:c r="P269" s="32" t="n">
        <x:v>0.0957446808510638297872340426</x:v>
      </x:c>
      <x:c r="Q269" s="32" t="n">
        <x:v>0.1042553191489361702127659574</x:v>
      </x:c>
      <x:c r="R269" s="32" t="n">
        <x:v>0.1085106382978723404255319149</x:v>
      </x:c>
      <x:c r="S269" s="32" t="n">
        <x:v>0.1148936170212765957446808511</x:v>
      </x:c>
      <x:c r="T269" s="32" t="n">
        <x:v>0.1212765957446808510638297872</x:v>
      </x:c>
      <x:c r="U269" s="32" t="n">
        <x:v>0.1297872340425531914893617021</x:v>
      </x:c>
      <x:c r="V269" s="32" t="n">
        <x:v>0.1297872340425531914893617021</x:v>
      </x:c>
      <x:c r="W269" s="32" t="n">
        <x:v>0.1340425531914893617021276596</x:v>
      </x:c>
      <x:c r="X269" s="32" t="n">
        <x:v>0.1446808510638297872340425532</x:v>
      </x:c>
      <x:c r="Y269" s="32" t="n">
        <x:v>0.1425531914893617021276595745</x:v>
      </x:c>
      <x:c r="Z269" s="32" t="n">
        <x:v>0.1595744680851063829787234043</x:v>
      </x:c>
      <x:c r="AA269" s="32" t="n">
        <x:v>0.161702127659574468085106383</x:v>
      </x:c>
      <x:c r="AB269" s="32" t="n">
        <x:v>0.1638297872340425531914893617</x:v>
      </x:c>
      <x:c r="BI269" s="33" t="s"/>
      <x:c r="BJ269" s="11" t="s">
        <x:v>330</x:v>
      </x:c>
      <x:c r="BK269" s="12" t="str">
        <x:f>=BX269</x:f>
      </x:c>
      <x:c r="BL269" s="12" t="n">
        <x:v>0.1851063829787234042553191489</x:v>
      </x:c>
      <x:c r="BM269" s="12" t="n">
        <x:v>0.7127659574468085106382978723</x:v>
      </x:c>
      <x:c r="BN269" s="12" t="n">
        <x:v>0.1021276595744680851063829787</x:v>
      </x:c>
      <x:c r="BO269" s="12" t="str">
        <x:f>=BW269</x:f>
      </x:c>
      <x:c r="BP269" s="12" t="str">
        <x:f>=CF269</x:f>
      </x:c>
      <x:c r="BQ269" s="12" t="str"/>
      <x:c r="BR269" s="12" t="str">
        <x:v>SS 2020 MSS</x:v>
      </x:c>
      <x:c r="BS269" s="13" t="str"/>
      <x:c r="BT269" s="30" t="n">
        <x:v>2204.06</x:v>
      </x:c>
      <x:c r="BU269" s="30" t="n">
        <x:v>-3083.4350</x:v>
      </x:c>
      <x:c r="BV269" s="30" t="str">
        <x:f>=BT269+BU269</x:f>
      </x:c>
      <x:c r="BW269" s="66" t="str">
        <x:f>=BV269/BT269</x:f>
      </x:c>
      <x:c r="BX269" s="66" t="n">
        <x:v>0.8978723404255319148936170213</x:v>
      </x:c>
      <x:c r="BY269" s="30" t="n">
        <x:v>2726.00</x:v>
      </x:c>
      <x:c r="BZ269" s="41" t="n">
        <x:v>48</x:v>
      </x:c>
      <x:c r="CA269" s="30" t="n">
        <x:v>278.40</x:v>
      </x:c>
      <x:c r="CC269" s="30" t="n">
        <x:v>2204.2238297872340425531914894</x:v>
      </x:c>
      <x:c r="CD269" s="30" t="n">
        <x:v>-3083.4350</x:v>
      </x:c>
      <x:c r="CE269" s="30" t="str">
        <x:f>=CC269+CD269</x:f>
      </x:c>
      <x:c r="CF269" s="66" t="str">
        <x:f>=CE269/CC269</x:f>
      </x:c>
      <x:c r="CH269" s="66" t="str">
        <x:f>=CI269+CJ269</x:f>
      </x:c>
      <x:c r="CI269" s="66" t="str">
        <x:f>=BX269+(0*7)</x:f>
      </x:c>
      <x:c r="CJ269" s="66" t="str">
        <x:f>=(1-CI269)*0.5</x:f>
      </x:c>
      <x:c r="CK269" s="66" t="str">
        <x:f>=1-CH269</x:f>
      </x:c>
      <x:c r="CM269" s="66" t="str">
        <x:f>=CJ269/(1-CI269)</x:f>
      </x:c>
    </x:row>
    <x:row r="270">
      <x:c r="A270" s="31" t="s">
        <x:v>545</x:v>
      </x:c>
      <x:c r="B270" t="s"/>
      <x:c r="C270" t="s">
        <x:v>546</x:v>
      </x:c>
      <x:c r="D270" t="s">
        <x:v>193</x:v>
      </x:c>
      <x:c r="E270" s="67" t="s">
        <x:v>131</x:v>
      </x:c>
      <x:c r="F270" t="n">
        <x:v>499</x:v>
      </x:c>
      <x:c r="G270" s="32" t="n">
        <x:v>0.002004008016032064128256513</x:v>
      </x:c>
      <x:c r="H270" s="32" t="n">
        <x:v>0.0260521042084168336673346693</x:v>
      </x:c>
      <x:c r="I270" s="32" t="n">
        <x:v>0.0380761523046092184368737475</x:v>
      </x:c>
      <x:c r="J270" s="32" t="n">
        <x:v>0.0561122244488977955911823647</x:v>
      </x:c>
      <x:c r="K270" s="32" t="n">
        <x:v>0.0641282565130260521042084168</x:v>
      </x:c>
      <x:c r="L270" s="32" t="n">
        <x:v>0.0641282565130260521042084168</x:v>
      </x:c>
      <x:c r="M270" s="32" t="n">
        <x:v>0.0621242484969939879759519038</x:v>
      </x:c>
      <x:c r="N270" s="32" t="n">
        <x:v>0.074148296593186372745490982</x:v>
      </x:c>
      <x:c r="O270" s="32" t="n">
        <x:v>0.074148296593186372745490982</x:v>
      </x:c>
      <x:c r="P270" s="32" t="n">
        <x:v>0.0821643286573146292585170341</x:v>
      </x:c>
      <x:c r="Q270" s="32" t="n">
        <x:v>0.0841683366733466933867735471</x:v>
      </x:c>
      <x:c r="R270" s="32" t="n">
        <x:v>0.0921843687374749498997995992</x:v>
      </x:c>
      <x:c r="S270" s="32" t="n">
        <x:v>0.1042084168336673346693386774</x:v>
      </x:c>
      <x:c r="T270" s="32" t="n">
        <x:v>0.1162324649298597194388777555</x:v>
      </x:c>
      <x:c r="U270" s="32" t="n">
        <x:v>0.1182364729458917835671342685</x:v>
      </x:c>
      <x:c r="V270" s="32" t="n">
        <x:v>0.1182364729458917835671342685</x:v>
      </x:c>
      <x:c r="W270" s="32" t="n">
        <x:v>0.1282565130260521042084168337</x:v>
      </x:c>
      <x:c r="X270" s="32" t="n">
        <x:v>0.1322645290581162324649298597</x:v>
      </x:c>
      <x:c r="Y270" s="32" t="n">
        <x:v>0.1382765531062124248496993988</x:v>
      </x:c>
      <x:c r="Z270" s="32" t="n">
        <x:v>0.1482965931863727454909819639</x:v>
      </x:c>
      <x:c r="AA270" s="32" t="n">
        <x:v>0.1462925851703406813627254509</x:v>
      </x:c>
      <x:c r="AB270" s="32" t="n">
        <x:v>0.150300601202404809619238477</x:v>
      </x:c>
      <x:c r="BI270" s="33" t="s"/>
      <x:c r="BJ270" s="11" t="s">
        <x:v>330</x:v>
      </x:c>
      <x:c r="BK270" s="12" t="str">
        <x:f>=BX270</x:f>
      </x:c>
      <x:c r="BL270" s="12" t="n">
        <x:v>0.1723446893787575150300601202</x:v>
      </x:c>
      <x:c r="BM270" s="12" t="n">
        <x:v>0.6753507014028056112224448898</x:v>
      </x:c>
      <x:c r="BN270" s="12" t="n">
        <x:v>0.15230460921843687374749499</x:v>
      </x:c>
      <x:c r="BO270" s="12" t="str">
        <x:f>=BW270</x:f>
      </x:c>
      <x:c r="BP270" s="12" t="str">
        <x:f>=CF270</x:f>
      </x:c>
      <x:c r="BQ270" s="12" t="str"/>
      <x:c r="BR270" s="12" t="str">
        <x:v>SS 2020 MSS</x:v>
      </x:c>
      <x:c r="BS270" s="13" t="str"/>
      <x:c r="BT270" s="30" t="n">
        <x:v>2321.87</x:v>
      </x:c>
      <x:c r="BU270" s="30" t="n">
        <x:v>-3587.7102</x:v>
      </x:c>
      <x:c r="BV270" s="30" t="str">
        <x:f>=BT270+BU270</x:f>
      </x:c>
      <x:c r="BW270" s="66" t="str">
        <x:f>=BV270/BT270</x:f>
      </x:c>
      <x:c r="BX270" s="66" t="n">
        <x:v>0.84769539078156312625250501</x:v>
      </x:c>
      <x:c r="BY270" s="30" t="n">
        <x:v>3188.61</x:v>
      </x:c>
      <x:c r="BZ270" s="41" t="n">
        <x:v>76</x:v>
      </x:c>
      <x:c r="CA270" s="30" t="n">
        <x:v>485.64</x:v>
      </x:c>
      <x:c r="CC270" s="30" t="n">
        <x:v>2322.0203006012024048096192385</x:v>
      </x:c>
      <x:c r="CD270" s="30" t="n">
        <x:v>-3587.7102</x:v>
      </x:c>
      <x:c r="CE270" s="30" t="str">
        <x:f>=CC270+CD270</x:f>
      </x:c>
      <x:c r="CF270" s="66" t="str">
        <x:f>=CE270/CC270</x:f>
      </x:c>
      <x:c r="CH270" s="66" t="str">
        <x:f>=CI270+CJ270</x:f>
      </x:c>
      <x:c r="CI270" s="66" t="str">
        <x:f>=BX270+(0*7)</x:f>
      </x:c>
      <x:c r="CJ270" s="66" t="str">
        <x:f>=(1-CI270)*0.5</x:f>
      </x:c>
      <x:c r="CK270" s="66" t="str">
        <x:f>=1-CH270</x:f>
      </x:c>
      <x:c r="CM270" s="66" t="str">
        <x:f>=CJ270/(1-CI270)</x:f>
      </x:c>
    </x:row>
    <x:row r="271">
      <x:c r="A271" s="31" t="s">
        <x:v>547</x:v>
      </x:c>
      <x:c r="B271" t="s"/>
      <x:c r="C271" t="s">
        <x:v>548</x:v>
      </x:c>
      <x:c r="D271" t="s">
        <x:v>147</x:v>
      </x:c>
      <x:c r="E271" s="67" t="s">
        <x:v>131</x:v>
      </x:c>
      <x:c r="F271" t="n">
        <x:v>907</x:v>
      </x:c>
      <x:c r="G271" s="32" t="n">
        <x:v>0.1080485115766262403528114664</x:v>
      </x:c>
      <x:c r="H271" s="32" t="n">
        <x:v>0.2249173098125689084895259096</x:v>
      </x:c>
      <x:c r="I271" s="32" t="n">
        <x:v>0.3318632855567805953693495039</x:v>
      </x:c>
      <x:c r="J271" s="32" t="n">
        <x:v>0.4454244762954796030871003308</x:v>
      </x:c>
      <x:c r="K271" s="32" t="n">
        <x:v>0.4454244762954796030871003308</x:v>
      </x:c>
      <x:c r="L271" s="32" t="n">
        <x:v>0.4917309812568908489525909592</x:v>
      </x:c>
      <x:c r="M271" s="32" t="n">
        <x:v>0.447629547960308710033076075</x:v>
      </x:c>
      <x:c r="N271" s="32" t="n">
        <x:v>0.4090407938257993384785005513</x:v>
      </x:c>
      <x:c r="O271" s="32" t="n">
        <x:v>0.3836824696802646085997794928</x:v>
      </x:c>
      <x:c r="P271" s="32" t="n">
        <x:v>0.405733186328555678059536935</x:v>
      </x:c>
      <x:c r="Q271" s="32" t="n">
        <x:v>0.4355016538037486218302094818</x:v>
      </x:c>
      <x:c r="BI271" s="33" t="s"/>
      <x:c r="BJ271" s="11" t="s">
        <x:v>294</x:v>
      </x:c>
      <x:c r="BK271" s="12" t="str">
        <x:f>=BX271</x:f>
      </x:c>
      <x:c r="BL271" s="12" t="n">
        <x:v>0.4619625137816979051819184123</x:v>
      </x:c>
      <x:c r="BM271" s="12" t="n">
        <x:v>0.2745314222712238147739801544</x:v>
      </x:c>
      <x:c r="BN271" s="12" t="n">
        <x:v>0.2635060639470782800441014333</x:v>
      </x:c>
      <x:c r="BO271" s="12" t="str">
        <x:f>=BW271</x:f>
      </x:c>
      <x:c r="BP271" s="12" t="str">
        <x:f>=CF271</x:f>
      </x:c>
      <x:c r="BQ271" s="12" t="str"/>
      <x:c r="BR271" s="12" t="str">
        <x:v>SS 2020 MSS</x:v>
      </x:c>
      <x:c r="BS271" s="13" t="str"/>
      <x:c r="BT271" s="30" t="n">
        <x:v>11072.55</x:v>
      </x:c>
      <x:c r="BU271" s="30" t="n">
        <x:v>-13557.4732</x:v>
      </x:c>
      <x:c r="BV271" s="30" t="str">
        <x:f>=BT271+BU271</x:f>
      </x:c>
      <x:c r="BW271" s="66" t="str">
        <x:f>=BV271/BT271</x:f>
      </x:c>
      <x:c r="BX271" s="66" t="n">
        <x:v>0.7364939360529217199558985667</x:v>
      </x:c>
      <x:c r="BY271" s="30" t="n">
        <x:v>13287.55</x:v>
      </x:c>
      <x:c r="BZ271" s="41" t="n">
        <x:v>239</x:v>
      </x:c>
      <x:c r="CA271" s="30" t="n">
        <x:v>3501.35</x:v>
      </x:c>
      <x:c r="CC271" s="30" t="n">
        <x:v>11161.711692914636163175303196</x:v>
      </x:c>
      <x:c r="CD271" s="30" t="n">
        <x:v>-13557.4732</x:v>
      </x:c>
      <x:c r="CE271" s="30" t="str">
        <x:f>=CC271+CD271</x:f>
      </x:c>
      <x:c r="CF271" s="66" t="str">
        <x:f>=CE271/CC271</x:f>
      </x:c>
      <x:c r="CH271" s="66" t="str">
        <x:f>=CI271+CJ271</x:f>
      </x:c>
      <x:c r="CI271" s="66" t="str">
        <x:f>=BX271+(0*7)</x:f>
      </x:c>
      <x:c r="CJ271" s="66" t="str">
        <x:f>=(1-CI271)*0.5</x:f>
      </x:c>
      <x:c r="CK271" s="66" t="str">
        <x:f>=1-CH271</x:f>
      </x:c>
      <x:c r="CM271" s="66" t="str">
        <x:f>=CJ271/(1-CI271)</x:f>
      </x:c>
    </x:row>
    <x:row r="272">
      <x:c r="A272" s="31" t="s">
        <x:v>549</x:v>
      </x:c>
      <x:c r="B272" t="s"/>
      <x:c r="C272" t="s">
        <x:v>550</x:v>
      </x:c>
      <x:c r="D272" t="s">
        <x:v>147</x:v>
      </x:c>
      <x:c r="E272" s="67" t="s">
        <x:v>131</x:v>
      </x:c>
      <x:c r="F272" t="n">
        <x:v>1046</x:v>
      </x:c>
      <x:c r="G272" s="32" t="n">
        <x:v>0.0057361376673040152963671128</x:v>
      </x:c>
      <x:c r="H272" s="32" t="n">
        <x:v>0.0191204588910133843212237094</x:v>
      </x:c>
      <x:c r="I272" s="32" t="n">
        <x:v>0.0344168260038240917782026769</x:v>
      </x:c>
      <x:c r="J272" s="32" t="n">
        <x:v>0.0487571701720841300191204589</x:v>
      </x:c>
      <x:c r="K272" s="32" t="n">
        <x:v>0.0850860420650095602294455067</x:v>
      </x:c>
      <x:c r="L272" s="32" t="n">
        <x:v>0.091778202676864244741873805</x:v>
      </x:c>
      <x:c r="M272" s="32" t="n">
        <x:v>0.1252390057361376673040152964</x:v>
      </x:c>
      <x:c r="BI272" s="33" t="s"/>
      <x:c r="BJ272" s="11" t="s">
        <x:v>400</x:v>
      </x:c>
      <x:c r="BK272" s="12" t="str">
        <x:f>=BX272</x:f>
      </x:c>
      <x:c r="BL272" s="12" t="n">
        <x:v>0.2304015296367112810707456979</x:v>
      </x:c>
      <x:c r="BM272" s="12" t="n">
        <x:v>0.591778202676864244741873805</x:v>
      </x:c>
      <x:c r="BN272" s="12" t="n">
        <x:v>0.1778202676864244741873804971</x:v>
      </x:c>
      <x:c r="BO272" s="12" t="str">
        <x:f>=BW272</x:f>
      </x:c>
      <x:c r="BP272" s="12" t="str">
        <x:f>=CF272</x:f>
      </x:c>
      <x:c r="BQ272" s="12" t="str"/>
      <x:c r="BR272" s="12" t="str">
        <x:v>SS 2020 MSS</x:v>
      </x:c>
      <x:c r="BS272" s="13" t="str"/>
      <x:c r="BT272" s="30" t="n">
        <x:v>11475.51</x:v>
      </x:c>
      <x:c r="BU272" s="30" t="n">
        <x:v>-14838.1376</x:v>
      </x:c>
      <x:c r="BV272" s="30" t="str">
        <x:f>=BT272+BU272</x:f>
      </x:c>
      <x:c r="BW272" s="66" t="str">
        <x:f>=BV272/BT272</x:f>
      </x:c>
      <x:c r="BX272" s="66" t="n">
        <x:v>0.8221797323135755258126195029</x:v>
      </x:c>
      <x:c r="BY272" s="30" t="n">
        <x:v>12970.40</x:v>
      </x:c>
      <x:c r="BZ272" s="41" t="n">
        <x:v>186</x:v>
      </x:c>
      <x:c r="CA272" s="30" t="n">
        <x:v>2306.40</x:v>
      </x:c>
      <x:c r="CC272" s="30" t="n">
        <x:v>11475.635239005736137667304015</x:v>
      </x:c>
      <x:c r="CD272" s="30" t="n">
        <x:v>-14838.1376</x:v>
      </x:c>
      <x:c r="CE272" s="30" t="str">
        <x:f>=CC272+CD272</x:f>
      </x:c>
      <x:c r="CF272" s="66" t="str">
        <x:f>=CE272/CC272</x:f>
      </x:c>
      <x:c r="CH272" s="66" t="str">
        <x:f>=CI272+CJ272</x:f>
      </x:c>
      <x:c r="CI272" s="66" t="str">
        <x:f>=BX272+(0*7)</x:f>
      </x:c>
      <x:c r="CJ272" s="66" t="str">
        <x:f>=(1-CI272)*0.5</x:f>
      </x:c>
      <x:c r="CK272" s="66" t="str">
        <x:f>=1-CH272</x:f>
      </x:c>
      <x:c r="CM272" s="66" t="str">
        <x:f>=CJ272/(1-CI272)</x:f>
      </x:c>
    </x:row>
    <x:row r="273">
      <x:c r="A273" s="31" t="s">
        <x:v>551</x:v>
      </x:c>
      <x:c r="B273" t="s"/>
      <x:c r="C273" t="s">
        <x:v>552</x:v>
      </x:c>
      <x:c r="D273" t="s">
        <x:v>130</x:v>
      </x:c>
      <x:c r="E273" s="67" t="s">
        <x:v>131</x:v>
      </x:c>
      <x:c r="F273" t="n">
        <x:v>1028</x:v>
      </x:c>
      <x:c r="G273" s="32" t="n">
        <x:v>0.0097276264591439688715953307</x:v>
      </x:c>
      <x:c r="H273" s="32" t="n">
        <x:v>0.0671206225680933852140077821</x:v>
      </x:c>
      <x:c r="I273" s="32" t="n">
        <x:v>0.1274319066147859922178988327</x:v>
      </x:c>
      <x:c r="J273" s="32" t="n">
        <x:v>0.1867704280155642023346303502</x:v>
      </x:c>
      <x:c r="K273" s="32" t="n">
        <x:v>0.1877431906614785992217898833</x:v>
      </x:c>
      <x:c r="L273" s="32" t="n">
        <x:v>0.1867704280155642023346303502</x:v>
      </x:c>
      <x:c r="BI273" s="33" t="s"/>
      <x:c r="BJ273" s="11" t="s">
        <x:v>453</x:v>
      </x:c>
      <x:c r="BK273" s="12" t="str">
        <x:f>=BX273</x:f>
      </x:c>
      <x:c r="BL273" s="12" t="n">
        <x:v>0.3103112840466926070038910506</x:v>
      </x:c>
      <x:c r="BM273" s="12" t="n">
        <x:v>0.5894941634241245136186770428</x:v>
      </x:c>
      <x:c r="BN273" s="12" t="n">
        <x:v>0.1001945525291828793774319066</x:v>
      </x:c>
      <x:c r="BO273" s="12" t="str">
        <x:f>=BW273</x:f>
      </x:c>
      <x:c r="BP273" s="12" t="str">
        <x:f>=CF273</x:f>
      </x:c>
      <x:c r="BQ273" s="12" t="str"/>
      <x:c r="BR273" s="12" t="str">
        <x:v>SS 2020 MSS</x:v>
      </x:c>
      <x:c r="BS273" s="13" t="str"/>
      <x:c r="BT273" s="30" t="n">
        <x:v>18045.63</x:v>
      </x:c>
      <x:c r="BU273" s="30" t="n">
        <x:v>-21082.78908626720179461280</x:v>
      </x:c>
      <x:c r="BV273" s="30" t="str">
        <x:f>=BT273+BU273</x:f>
      </x:c>
      <x:c r="BW273" s="66" t="str">
        <x:f>=BV273/BT273</x:f>
      </x:c>
      <x:c r="BX273" s="66" t="n">
        <x:v>0.8998054474708171206225680934</x:v>
      </x:c>
      <x:c r="BY273" s="30" t="n">
        <x:v>21552.761532234228654240</x:v>
      </x:c>
      <x:c r="BZ273" s="41" t="n">
        <x:v>103</x:v>
      </x:c>
      <x:c r="CA273" s="30" t="n">
        <x:v>2159.469297490394505240</x:v>
      </x:c>
      <x:c r="CC273" s="30" t="n">
        <x:v>18045.810933852140077821011673</x:v>
      </x:c>
      <x:c r="CD273" s="30" t="n">
        <x:v>-21082.78908626720179461280</x:v>
      </x:c>
      <x:c r="CE273" s="30" t="str">
        <x:f>=CC273+CD273</x:f>
      </x:c>
      <x:c r="CF273" s="66" t="str">
        <x:f>=CE273/CC273</x:f>
      </x:c>
      <x:c r="CH273" s="66" t="str">
        <x:f>=CI273+CJ273</x:f>
      </x:c>
      <x:c r="CI273" s="66" t="str">
        <x:f>=BX273+(0*7)</x:f>
      </x:c>
      <x:c r="CJ273" s="66" t="str">
        <x:f>=(1-CI273)*0.5</x:f>
      </x:c>
      <x:c r="CK273" s="66" t="str">
        <x:f>=1-CH273</x:f>
      </x:c>
      <x:c r="CM273" s="66" t="str">
        <x:f>=CJ273/(1-CI273)</x:f>
      </x:c>
    </x:row>
    <x:row r="274">
      <x:c r="A274" s="34" t="s"/>
      <x:c r="B274" s="6" t="s"/>
      <x:c r="C274" s="6" t="s"/>
      <x:c r="D274" s="6" t="s"/>
      <x:c r="E274" s="6" t="s"/>
      <x:c r="F274" s="6" t="s"/>
      <x:c r="G274" s="6" t="s"/>
      <x:c r="H274" s="6" t="s"/>
      <x:c r="I274" s="6" t="s"/>
      <x:c r="J274" s="6" t="s"/>
      <x:c r="K274" s="6" t="s"/>
      <x:c r="L274" s="6" t="s"/>
      <x:c r="M274" s="6" t="s"/>
      <x:c r="N274" s="6" t="s"/>
      <x:c r="O274" s="6" t="s"/>
      <x:c r="P274" s="6" t="s"/>
      <x:c r="Q274" s="6" t="s"/>
      <x:c r="R274" s="6" t="s"/>
      <x:c r="S274" s="6" t="s"/>
      <x:c r="T274" s="6" t="s"/>
      <x:c r="U274" s="6" t="s"/>
      <x:c r="V274" s="6" t="s"/>
      <x:c r="W274" s="6" t="s"/>
      <x:c r="X274" s="6" t="s"/>
      <x:c r="Y274" s="6" t="s"/>
      <x:c r="Z274" s="6" t="s"/>
      <x:c r="AA274" s="6" t="s"/>
      <x:c r="AB274" s="6" t="s"/>
      <x:c r="AC274" s="6" t="s"/>
      <x:c r="AD274" s="6" t="s"/>
      <x:c r="AE274" s="6" t="s"/>
      <x:c r="AF274" s="6" t="s"/>
      <x:c r="AG274" s="6" t="s"/>
      <x:c r="AH274" s="6" t="s"/>
      <x:c r="AI274" s="6" t="s"/>
      <x:c r="AJ274" s="6" t="s"/>
      <x:c r="AK274" s="6" t="s"/>
      <x:c r="AL274" s="6" t="s"/>
      <x:c r="AM274" s="6" t="s"/>
      <x:c r="AN274" s="6" t="s"/>
      <x:c r="AO274" s="6" t="s"/>
      <x:c r="AP274" s="6" t="s"/>
      <x:c r="AQ274" s="6" t="s"/>
      <x:c r="AR274" s="6" t="s"/>
      <x:c r="AS274" s="6" t="s"/>
      <x:c r="AT274" s="6" t="s"/>
      <x:c r="AU274" s="6" t="s"/>
      <x:c r="AV274" s="6" t="s"/>
      <x:c r="AW274" s="6" t="s"/>
      <x:c r="AX274" s="6" t="s"/>
      <x:c r="AY274" s="6" t="s"/>
      <x:c r="AZ274" s="6" t="s"/>
      <x:c r="BA274" s="6" t="s"/>
      <x:c r="BB274" s="6" t="s"/>
      <x:c r="BC274" s="6" t="s"/>
      <x:c r="BD274" s="6" t="s"/>
      <x:c r="BE274" s="6" t="s"/>
      <x:c r="BF274" s="6" t="s"/>
      <x:c r="BG274" s="6" t="s"/>
      <x:c r="BH274" s="6" t="s"/>
      <x:c r="BI274" s="8" t="s"/>
      <x:c r="BJ274" s="14" t="s">
        <x:v>36</x:v>
      </x:c>
      <x:c r="BK274" s="15" t="s"/>
      <x:c r="BL274" s="15" t="s"/>
      <x:c r="BM274" s="15" t="s"/>
      <x:c r="BN274" s="15" t="s"/>
      <x:c r="BO274" s="37">
        <x:f>=BV275/BT275</x:f>
      </x:c>
      <x:c r="BP274" s="37">
        <x:f>=CF275</x:f>
      </x:c>
      <x:c r="BQ274" s="6" t="s"/>
      <x:c r="BR274" s="6" t="s"/>
      <x:c r="BS274" s="8" t="s"/>
      <x:c r="BT274" s="20" t="n">
        <x:v>242402.31</x:v>
      </x:c>
      <x:c r="BU274" s="20" t="n">
        <x:v>-233031.87428891120988206900</x:v>
      </x:c>
      <x:c r="BV274" s="20" t="str">
        <x:f>=BT274+BU274</x:f>
      </x:c>
      <x:c r="BW274" s="21" t="n">
        <x:v>0.0386565446141531824425724326</x:v>
      </x:c>
      <x:c r="BY274" s="20" t="n">
        <x:v>-222896.981534960010187700</x:v>
      </x:c>
      <x:c r="BZ274" s="20" t="n">
        <x:v>2662</x:v>
      </x:c>
      <x:c r="CA274" s="20" t="n">
        <x:v>29370.941730821876404299445599</x:v>
      </x:c>
      <x:c r="CC274" s="20" t="n">
        <x:v>242497.75194161599071071399533</x:v>
      </x:c>
      <x:c r="CD274" s="20" t="n">
        <x:v>-233031.87428891120988206900</x:v>
      </x:c>
      <x:c r="CE274" s="20" t="str">
        <x:f>=CC274+CD274</x:f>
      </x:c>
      <x:c r="CF274" s="21" t="n">
        <x:v>0.0390349088884906253143207069</x:v>
      </x:c>
    </x:row>
    <x:row r="275">
      <x:c r="BT275" s="18" t="n">
        <x:v>679112.20</x:v>
      </x:c>
      <x:c r="BU275" s="18" t="n">
        <x:v>-577574.80885702649950791380</x:v>
      </x:c>
      <x:c r="BV275" s="18" t="str">
        <x:f>=BT275+BU275</x:f>
      </x:c>
      <x:c r="BW275" s="19" t="n">
        <x:v>0.1495148977488160284737723752</x:v>
      </x:c>
      <x:c r="BY275" s="18" t="n">
        <x:v>-552635.236244357215987540</x:v>
      </x:c>
      <x:c r="BZ275" s="18" t="n">
        <x:v>8099</x:v>
      </x:c>
      <x:c r="CA275" s="18" t="n">
        <x:v>221551.96407994501001302279279</x:v>
      </x:c>
      <x:c r="CC275" s="18" t="n">
        <x:v>679639.58438895591401040636756</x:v>
      </x:c>
      <x:c r="CD275" s="18" t="n">
        <x:v>-577574.80885702649950791380</x:v>
      </x:c>
      <x:c r="CE275" s="18" t="str">
        <x:f>=CC275+CD275</x:f>
      </x:c>
      <x:c r="CF275" s="19" t="n">
        <x:v>0.1501748542555726371643131783</x:v>
      </x:c>
    </x:row>
    <x:row r="276">
      <x:c r="A276" s="10" t="s">
        <x:v>553</x:v>
      </x:c>
      <x:c r="B276" s="5" t="s"/>
      <x:c r="C276" s="5" t="s"/>
      <x:c r="D276" s="5" t="s"/>
      <x:c r="E276" s="5" t="s"/>
      <x:c r="F276" s="5" t="s"/>
      <x:c r="G276" s="5" t="s"/>
      <x:c r="H276" s="5" t="s"/>
      <x:c r="I276" s="5" t="s"/>
      <x:c r="J276" s="5" t="s"/>
      <x:c r="K276" s="5" t="s"/>
      <x:c r="L276" s="5" t="s"/>
      <x:c r="M276" s="5" t="s"/>
      <x:c r="N276" s="5" t="s"/>
      <x:c r="O276" s="5" t="s"/>
      <x:c r="P276" s="5" t="s"/>
      <x:c r="Q276" s="5" t="s"/>
      <x:c r="R276" s="5" t="s"/>
      <x:c r="S276" s="5" t="s"/>
      <x:c r="T276" s="5" t="s"/>
      <x:c r="U276" s="5" t="s"/>
      <x:c r="V276" s="5" t="s"/>
      <x:c r="W276" s="5" t="s"/>
      <x:c r="X276" s="5" t="s"/>
      <x:c r="Y276" s="5" t="s"/>
      <x:c r="Z276" s="5" t="s"/>
      <x:c r="AA276" s="5" t="s"/>
      <x:c r="AB276" s="5" t="s"/>
      <x:c r="AC276" s="5" t="s"/>
      <x:c r="AD276" s="5" t="s"/>
      <x:c r="AE276" s="5" t="s"/>
      <x:c r="AF276" s="5" t="s"/>
      <x:c r="AG276" s="5" t="s"/>
      <x:c r="AH276" s="5" t="s"/>
      <x:c r="AI276" s="5" t="s"/>
      <x:c r="AJ276" s="5" t="s"/>
      <x:c r="AK276" s="5" t="s"/>
      <x:c r="AL276" s="5" t="s"/>
      <x:c r="AM276" s="5" t="s"/>
      <x:c r="AN276" s="5" t="s"/>
      <x:c r="AO276" s="5" t="s"/>
      <x:c r="AP276" s="5" t="s"/>
      <x:c r="AQ276" s="5" t="s"/>
      <x:c r="AR276" s="5" t="s"/>
      <x:c r="AS276" s="5" t="s"/>
      <x:c r="AT276" s="5" t="s"/>
      <x:c r="AU276" s="5" t="s"/>
      <x:c r="AV276" s="5" t="s"/>
      <x:c r="AW276" s="5" t="s"/>
      <x:c r="AX276" s="5" t="s"/>
      <x:c r="AY276" s="5" t="s"/>
      <x:c r="AZ276" s="5" t="s"/>
      <x:c r="BA276" s="5" t="s"/>
      <x:c r="BB276" s="5" t="s"/>
      <x:c r="BC276" s="5" t="s"/>
      <x:c r="BD276" s="5" t="s"/>
      <x:c r="BE276" s="5" t="s"/>
      <x:c r="BF276" s="5" t="s"/>
      <x:c r="BG276" s="5" t="s"/>
      <x:c r="BH276" s="5" t="s"/>
      <x:c r="BI276" s="7" t="s"/>
      <x:c r="BJ276" s="10" t="s"/>
      <x:c r="BK276" s="5" t="s"/>
      <x:c r="BL276" s="5" t="s"/>
      <x:c r="BM276" s="5" t="s"/>
      <x:c r="BN276" s="5" t="s"/>
      <x:c r="BO276" s="5" t="s"/>
      <x:c r="BP276" s="5" t="s"/>
      <x:c r="BQ276" s="5" t="s"/>
      <x:c r="BR276" s="5" t="s"/>
      <x:c r="BS276" s="7" t="s"/>
      <x:c r="BT276" s="47" t="s">
        <x:v>11</x:v>
      </x:c>
      <x:c r="BU276" s="48"/>
      <x:c r="BV276" s="49"/>
      <x:c r="BW276" s="50"/>
      <x:c r="BX276" s="50"/>
      <x:c r="BY276" s="51"/>
      <x:c r="BZ276" s="52"/>
      <x:c r="CA276" s="51"/>
      <x:c r="CC276" s="57" t="s">
        <x:v>26</x:v>
      </x:c>
      <x:c r="CD276" s="58"/>
      <x:c r="CE276" s="58"/>
      <x:c r="CF276" s="58"/>
      <x:c r="CG276" s="58"/>
      <x:c r="CH276" s="59"/>
      <x:c r="CI276" s="59"/>
      <x:c r="CJ276" s="59"/>
      <x:c r="CK276" s="59"/>
      <x:c r="CL276" s="58"/>
      <x:c r="CM276" s="60"/>
    </x:row>
    <x:row r="277" ht="45.75" customHeight="1">
      <x:c r="A277" s="40" t="s">
        <x:v>43</x:v>
      </x:c>
      <x:c r="B277" s="40" t="s">
        <x:v>44</x:v>
      </x:c>
      <x:c r="C277" s="40" t="s">
        <x:v>45</x:v>
      </x:c>
      <x:c r="D277" s="40" t="s">
        <x:v>46</x:v>
      </x:c>
      <x:c r="E277" s="40" t="s">
        <x:v>47</x:v>
      </x:c>
      <x:c r="F277" s="40" t="s">
        <x:v>102</x:v>
      </x:c>
      <x:c r="G277" s="40" t="s">
        <x:v>48</x:v>
      </x:c>
      <x:c r="H277" s="40" t="s">
        <x:v>49</x:v>
      </x:c>
      <x:c r="I277" s="40" t="s">
        <x:v>50</x:v>
      </x:c>
      <x:c r="J277" s="40" t="s">
        <x:v>51</x:v>
      </x:c>
      <x:c r="K277" s="40" t="s">
        <x:v>52</x:v>
      </x:c>
      <x:c r="L277" s="40" t="s">
        <x:v>53</x:v>
      </x:c>
      <x:c r="M277" s="40" t="s">
        <x:v>54</x:v>
      </x:c>
      <x:c r="N277" s="40" t="s">
        <x:v>55</x:v>
      </x:c>
      <x:c r="O277" s="40" t="s">
        <x:v>56</x:v>
      </x:c>
      <x:c r="P277" s="40" t="s">
        <x:v>57</x:v>
      </x:c>
      <x:c r="Q277" s="40" t="s">
        <x:v>58</x:v>
      </x:c>
      <x:c r="R277" s="40" t="s">
        <x:v>59</x:v>
      </x:c>
      <x:c r="S277" s="40" t="s">
        <x:v>60</x:v>
      </x:c>
      <x:c r="T277" s="40" t="s">
        <x:v>61</x:v>
      </x:c>
      <x:c r="U277" s="40" t="s">
        <x:v>62</x:v>
      </x:c>
      <x:c r="V277" s="40" t="s">
        <x:v>63</x:v>
      </x:c>
      <x:c r="W277" s="40" t="s">
        <x:v>64</x:v>
      </x:c>
      <x:c r="X277" s="40" t="s">
        <x:v>65</x:v>
      </x:c>
      <x:c r="Y277" s="40" t="s">
        <x:v>66</x:v>
      </x:c>
      <x:c r="Z277" s="40" t="s">
        <x:v>67</x:v>
      </x:c>
      <x:c r="AA277" s="40" t="s">
        <x:v>68</x:v>
      </x:c>
      <x:c r="AB277" s="40" t="s">
        <x:v>69</x:v>
      </x:c>
      <x:c r="AC277" s="40" t="s">
        <x:v>70</x:v>
      </x:c>
      <x:c r="AD277" s="40" t="s">
        <x:v>71</x:v>
      </x:c>
      <x:c r="AE277" s="40" t="s">
        <x:v>72</x:v>
      </x:c>
      <x:c r="AF277" s="40" t="s">
        <x:v>73</x:v>
      </x:c>
      <x:c r="AG277" s="40" t="s">
        <x:v>74</x:v>
      </x:c>
      <x:c r="AH277" s="40" t="s">
        <x:v>75</x:v>
      </x:c>
      <x:c r="AI277" s="40" t="s">
        <x:v>76</x:v>
      </x:c>
      <x:c r="AJ277" s="40" t="s">
        <x:v>77</x:v>
      </x:c>
      <x:c r="AK277" s="40" t="s">
        <x:v>78</x:v>
      </x:c>
      <x:c r="AL277" s="40" t="s">
        <x:v>79</x:v>
      </x:c>
      <x:c r="AM277" s="40" t="s">
        <x:v>80</x:v>
      </x:c>
      <x:c r="AN277" s="40" t="s">
        <x:v>81</x:v>
      </x:c>
      <x:c r="AO277" s="40" t="s">
        <x:v>82</x:v>
      </x:c>
      <x:c r="AP277" s="40" t="s">
        <x:v>83</x:v>
      </x:c>
      <x:c r="AQ277" s="40" t="s">
        <x:v>84</x:v>
      </x:c>
      <x:c r="AR277" s="40" t="s">
        <x:v>85</x:v>
      </x:c>
      <x:c r="AS277" s="40" t="s">
        <x:v>86</x:v>
      </x:c>
      <x:c r="AT277" s="40" t="s">
        <x:v>87</x:v>
      </x:c>
      <x:c r="AU277" s="40" t="s">
        <x:v>88</x:v>
      </x:c>
      <x:c r="AV277" s="40" t="s">
        <x:v>89</x:v>
      </x:c>
      <x:c r="AW277" s="40" t="s">
        <x:v>90</x:v>
      </x:c>
      <x:c r="AX277" s="40" t="s">
        <x:v>91</x:v>
      </x:c>
      <x:c r="AY277" s="40" t="s">
        <x:v>92</x:v>
      </x:c>
      <x:c r="AZ277" s="40" t="s">
        <x:v>93</x:v>
      </x:c>
      <x:c r="BA277" s="40" t="s">
        <x:v>94</x:v>
      </x:c>
      <x:c r="BB277" s="40" t="s">
        <x:v>95</x:v>
      </x:c>
      <x:c r="BC277" s="40" t="s">
        <x:v>96</x:v>
      </x:c>
      <x:c r="BD277" s="40" t="s">
        <x:v>97</x:v>
      </x:c>
      <x:c r="BE277" s="40" t="s">
        <x:v>98</x:v>
      </x:c>
      <x:c r="BF277" s="40" t="s">
        <x:v>99</x:v>
      </x:c>
      <x:c r="BG277" s="40" t="s">
        <x:v>100</x:v>
      </x:c>
      <x:c r="BH277" s="40" t="s">
        <x:v>101</x:v>
      </x:c>
      <x:c r="BJ277" s="31" t="s">
        <x:v>103</x:v>
      </x:c>
      <x:c r="BK277" s="32" t="s">
        <x:v>104</x:v>
      </x:c>
      <x:c r="BL277" s="32" t="s">
        <x:v>105</x:v>
      </x:c>
      <x:c r="BM277" s="32" t="s">
        <x:v>106</x:v>
      </x:c>
      <x:c r="BN277" s="32" t="s">
        <x:v>107</x:v>
      </x:c>
      <x:c r="BO277" s="32" t="s">
        <x:v>108</x:v>
      </x:c>
      <x:c r="BP277" s="32" t="s">
        <x:v>109</x:v>
      </x:c>
      <x:c r="BQ277" s="32" t="s">
        <x:v>110</x:v>
      </x:c>
      <x:c r="BR277" s="32" t="s">
        <x:v>111</x:v>
      </x:c>
      <x:c r="BS277" s="33" t="s">
        <x:v>112</x:v>
      </x:c>
      <x:c r="BT277" s="53" t="s">
        <x:v>12</x:v>
      </x:c>
      <x:c r="BU277" s="54" t="s">
        <x:v>13</x:v>
      </x:c>
      <x:c r="BV277" s="54" t="s">
        <x:v>14</x:v>
      </x:c>
      <x:c r="BW277" s="55" t="s">
        <x:v>15</x:v>
      </x:c>
      <x:c r="BX277" s="55" t="s">
        <x:v>27</x:v>
      </x:c>
      <x:c r="BY277" s="56" t="s">
        <x:v>16</x:v>
      </x:c>
      <x:c r="BZ277" s="53" t="s">
        <x:v>17</x:v>
      </x:c>
      <x:c r="CA277" s="56" t="s">
        <x:v>18</x:v>
      </x:c>
      <x:c r="CC277" s="61" t="s">
        <x:v>19</x:v>
      </x:c>
      <x:c r="CD277" s="62" t="s">
        <x:v>20</x:v>
      </x:c>
      <x:c r="CE277" s="62" t="s">
        <x:v>21</x:v>
      </x:c>
      <x:c r="CF277" s="62" t="s">
        <x:v>15</x:v>
      </x:c>
      <x:c r="CG277" s="62"/>
      <x:c r="CH277" s="63" t="s">
        <x:v>22</x:v>
      </x:c>
      <x:c r="CI277" s="63" t="s">
        <x:v>23</x:v>
      </x:c>
      <x:c r="CJ277" s="63" t="s">
        <x:v>25</x:v>
      </x:c>
      <x:c r="CK277" s="63" t="s">
        <x:v>24</x:v>
      </x:c>
      <x:c r="CL277" s="62"/>
      <x:c r="CM277" s="64" t="s">
        <x:v>28</x:v>
      </x:c>
    </x:row>
    <x:row r="278">
      <x:c r="BJ278" s="31" t="s"/>
      <x:c r="BS278" s="33" t="s"/>
    </x:row>
    <x:row r="279">
      <x:c r="A279" s="35" t="s">
        <x:v>150</x:v>
      </x:c>
      <x:c r="BI279" s="33" t="s"/>
      <x:c r="BJ279" s="11" t="s"/>
      <x:c r="BS279" s="13" t="s"/>
    </x:row>
    <x:row r="280">
      <x:c r="A280" s="17" t="s">
        <x:v>127</x:v>
      </x:c>
      <x:c r="BI280" s="33" t="s"/>
      <x:c r="BJ280" s="11" t="s"/>
      <x:c r="BS280" s="13" t="s"/>
    </x:row>
    <x:row r="281">
      <x:c r="A281" s="31" t="s">
        <x:v>554</x:v>
      </x:c>
      <x:c r="B281" t="s"/>
      <x:c r="C281" t="s">
        <x:v>555</x:v>
      </x:c>
      <x:c r="D281" t="s">
        <x:v>118</x:v>
      </x:c>
      <x:c r="E281" s="69" t="s">
        <x:v>153</x:v>
      </x:c>
      <x:c r="F281" t="n">
        <x:v>2103</x:v>
      </x:c>
      <x:c r="G281" s="32" t="n">
        <x:v>0.0014265335235378031383737518</x:v>
      </x:c>
      <x:c r="H281" s="32" t="n">
        <x:v>0.0237755587256300523062291964</x:v>
      </x:c>
      <x:c r="I281" s="32" t="n">
        <x:v>0.0446980504041844983357108892</x:v>
      </x:c>
      <x:c r="J281" s="32" t="n">
        <x:v>0.0665715644317641464574417499</x:v>
      </x:c>
      <x:c r="K281" s="32" t="n">
        <x:v>0.0794103661436043747028055159</x:v>
      </x:c>
      <x:c r="L281" s="32" t="n">
        <x:v>0.0955777460770328102710413695</x:v>
      </x:c>
      <x:c r="M281" s="32" t="n">
        <x:v>0.1041369472182596291012838802</x:v>
      </x:c>
      <x:c r="N281" s="32" t="n">
        <x:v>0.1093675701378982406086543034</x:v>
      </x:c>
      <x:c r="O281" s="32" t="n">
        <x:v>0.1193533048026628625772705659</x:v>
      </x:c>
      <x:c r="P281" s="32" t="n">
        <x:v>0.1293390394674274845458868283</x:v>
      </x:c>
      <x:c r="Q281" s="32" t="n">
        <x:v>0.1426533523537803138373751783</x:v>
      </x:c>
      <x:c r="R281" s="32" t="n">
        <x:v>0.1502615311459819305753685212</x:v>
      </x:c>
      <x:c r="S281" s="32" t="n">
        <x:v>0.1564431764146457441749881122</x:v>
      </x:c>
      <x:c r="T281" s="32" t="n">
        <x:v>0.1688064669519733713742272943</x:v>
      </x:c>
      <x:c r="U281" s="32" t="n">
        <x:v>0.1859248692344270090347123157</x:v>
      </x:c>
      <x:c r="V281" s="32" t="n">
        <x:v>0.1935330480266286257727056586</x:v>
      </x:c>
      <x:c r="W281" s="32" t="n">
        <x:v>0.2116024726581074655254398478</x:v>
      </x:c>
      <x:c r="X281" s="32" t="n">
        <x:v>0.2116024726581074655254398478</x:v>
      </x:c>
      <x:c r="Y281" s="32" t="n">
        <x:v>0.2272943414170233000475511175</x:v>
      </x:c>
      <x:c r="Z281" s="32" t="n">
        <x:v>0.243461721350451735615786971</x:v>
      </x:c>
      <x:c r="AA281" s="32" t="n">
        <x:v>0.2872087494056110318592486923</x:v>
      </x:c>
      <x:c r="AB281" s="32" t="n">
        <x:v>0.3043271516880646695197337137</x:v>
      </x:c>
      <x:c r="AC281" s="32" t="n">
        <x:v>0.3171659533999048977650974798</x:v>
      </x:c>
      <x:c r="AD281" s="32" t="n">
        <x:v>0.3328578221588207322872087494</x:v>
      </x:c>
      <x:c r="AE281" s="32" t="n">
        <x:v>0.3561578697099381835473133619</x:v>
      </x:c>
      <x:c r="AF281" s="32" t="n">
        <x:v>0.3632905373276271992391821208</x:v>
      </x:c>
      <x:c r="AG281" s="32" t="n">
        <x:v>0.3723252496433666191155492154</x:v>
      </x:c>
      <x:c r="AH281" s="32" t="n">
        <x:v>0.3704232049453162149310508797</x:v>
      </x:c>
      <x:c r="AI281" s="32" t="n">
        <x:v>0.3766048502139800285306704708</x:v>
      </x:c>
      <x:c r="AJ281" s="32" t="n">
        <x:v>0.3832620066571564431764146457</x:v>
      </x:c>
      <x:c r="AK281" s="32" t="n">
        <x:v>0.3932477413219210651450309082</x:v>
      </x:c>
      <x:c r="AL281" s="32" t="n">
        <x:v>0.4008559201141226818830242511</x:v>
      </x:c>
      <x:c r="AM281" s="32" t="n">
        <x:v>0.4070375653827864954826438421</x:v>
      </x:c>
      <x:c r="AN281" s="32" t="n">
        <x:v>0.4365192582025677603423680456</x:v>
      </x:c>
      <x:c r="AO281" s="32" t="n">
        <x:v>0.4560152163575844032334759867</x:v>
      </x:c>
      <x:c r="AP281" s="32" t="n">
        <x:v>0.4650499286733238231098430813</x:v>
      </x:c>
      <x:c r="AQ281" s="32" t="n">
        <x:v>0.4873989538754160722776985259</x:v>
      </x:c>
      <x:c r="AR281" s="32" t="n">
        <x:v>0.5106990014265335235378031384</x:v>
      </x:c>
      <x:c r="AS281" s="32" t="n">
        <x:v>0.5449358059914407988587731812</x:v>
      </x:c>
      <x:c r="BI281" s="33" t="s"/>
      <x:c r="BJ281" s="11" t="s">
        <x:v>375</x:v>
      </x:c>
      <x:c r="BK281" s="12" t="str">
        <x:f>=BX281</x:f>
      </x:c>
      <x:c r="BL281" s="12" t="n">
        <x:v>0.598668568711364717070851165</x:v>
      </x:c>
      <x:c r="BM281" s="12" t="n">
        <x:v>0.3875416072277698525915359011</x:v>
      </x:c>
      <x:c r="BN281" s="12" t="n">
        <x:v>0.0137898240608654303376129339</x:v>
      </x:c>
      <x:c r="BO281" s="12" t="str">
        <x:f>=BW281</x:f>
      </x:c>
      <x:c r="BP281" s="12" t="str">
        <x:f>=CF281</x:f>
      </x:c>
      <x:c r="BQ281" s="12" t="str"/>
      <x:c r="BR281" s="12" t="str">
        <x:v>SS 2020 EOS</x:v>
      </x:c>
      <x:c r="BS281" s="13" t="str"/>
      <x:c r="BT281" s="30" t="n">
        <x:v>8266.16</x:v>
      </x:c>
      <x:c r="BU281" s="30" t="n">
        <x:v>-4475.1638</x:v>
      </x:c>
      <x:c r="BV281" s="30" t="str">
        <x:f>=BT281+BU281</x:f>
      </x:c>
      <x:c r="BW281" s="66" t="str">
        <x:f>=BV281/BT281</x:f>
      </x:c>
      <x:c r="BX281" s="66" t="n">
        <x:v>0.9862101759391345696623870661</x:v>
      </x:c>
      <x:c r="BY281" s="30" t="n">
        <x:v>4375.52</x:v>
      </x:c>
      <x:c r="BZ281" s="41" t="n">
        <x:v>29</x:v>
      </x:c>
      <x:c r="CA281" s="30" t="n">
        <x:v>60.337650974797907750832144555</x:v>
      </x:c>
      <x:c r="CC281" s="30" t="n">
        <x:v>8266.704935805991440798858773</x:v>
      </x:c>
      <x:c r="CD281" s="30" t="n">
        <x:v>-4475.1638</x:v>
      </x:c>
      <x:c r="CE281" s="30" t="str">
        <x:f>=CC281+CD281</x:f>
      </x:c>
      <x:c r="CF281" s="66" t="str">
        <x:f>=CE281/CC281</x:f>
      </x:c>
      <x:c r="CH281" s="66" t="str">
        <x:f>=CI281+CJ281</x:f>
      </x:c>
      <x:c r="CI281" s="66" t="str">
        <x:f>=BX281+(0*7)</x:f>
      </x:c>
      <x:c r="CJ281" s="66" t="str">
        <x:f>=(1-CI281)*0.5</x:f>
      </x:c>
      <x:c r="CK281" s="66" t="str">
        <x:f>=1-CH281</x:f>
      </x:c>
      <x:c r="CM281" s="66" t="str">
        <x:f>=CJ281/(1-CI281)</x:f>
      </x:c>
    </x:row>
    <x:row r="282">
      <x:c r="A282" s="31" t="s">
        <x:v>556</x:v>
      </x:c>
      <x:c r="B282" t="s"/>
      <x:c r="C282" t="s">
        <x:v>557</x:v>
      </x:c>
      <x:c r="D282" t="s">
        <x:v>118</x:v>
      </x:c>
      <x:c r="E282" s="69" t="s">
        <x:v>153</x:v>
      </x:c>
      <x:c r="F282" t="n">
        <x:v>2101</x:v>
      </x:c>
      <x:c r="G282" s="32" t="n">
        <x:v>0.0019038553069966682532127558</x:v>
      </x:c>
      <x:c r="H282" s="32" t="n">
        <x:v>0.0257020466444550214183722037</x:v>
      </x:c>
      <x:c r="I282" s="32" t="n">
        <x:v>0.0490242741551642075202284626</x:v>
      </x:c>
      <x:c r="J282" s="32" t="n">
        <x:v>0.0699666825321275583055687768</x:v>
      </x:c>
      <x:c r="K282" s="32" t="n">
        <x:v>0.1085197524988100904331270823</x:v>
      </x:c>
      <x:c r="L282" s="32" t="n">
        <x:v>0.1261304140885292717753450738</x:v>
      </x:c>
      <x:c r="M282" s="32" t="n">
        <x:v>0.1565920990004759638267491671</x:v>
      </x:c>
      <x:c r="N282" s="32" t="n">
        <x:v>0.1746787244169443122322703475</x:v>
      </x:c>
      <x:c r="O282" s="32" t="n">
        <x:v>0.2065683008091385054735840076</x:v>
      </x:c>
      <x:c r="P282" s="32" t="n">
        <x:v>0.2322703474535935268919562113</x:v>
      </x:c>
      <x:c r="Q282" s="32" t="n">
        <x:v>0.2665397429795335554497858163</x:v>
      </x:c>
      <x:c r="R282" s="32" t="n">
        <x:v>0.2931937172774869109947643979</x:v>
      </x:c>
      <x:c r="S282" s="32" t="n">
        <x:v>0.3055687767729652546406473108</x:v>
      </x:c>
      <x:c r="T282" s="32" t="n">
        <x:v>0.3241313660161827701094716802</x:v>
      </x:c>
      <x:c r="U282" s="32" t="n">
        <x:v>0.3498334126606377915278438839</x:v>
      </x:c>
      <x:c r="V282" s="32" t="n">
        <x:v>0.3750594954783436458829128986</x:v>
      </x:c>
      <x:c r="W282" s="32" t="n">
        <x:v>0.3979057591623036649214659686</x:v>
      </x:c>
      <x:c r="X282" s="32" t="n">
        <x:v>0.3979057591623036649214659686</x:v>
      </x:c>
      <x:c r="Y282" s="32" t="n">
        <x:v>0.4340790099952403617325083294</x:v>
      </x:c>
      <x:c r="Z282" s="32" t="n">
        <x:v>0.460257020466444550214183722</x:v>
      </x:c>
      <x:c r="AA282" s="32" t="n">
        <x:v>0.4911946692051404093288910043</x:v>
      </x:c>
      <x:c r="AB282" s="32" t="n">
        <x:v>0.5235602094240837696335078534</x:v>
      </x:c>
      <x:c r="AC282" s="32" t="n">
        <x:v>0.5473584007615421227986673013</x:v>
      </x:c>
      <x:c r="AD282" s="32" t="n">
        <x:v>0.5663969538315088053307948596</x:v>
      </x:c>
      <x:c r="AE282" s="32" t="n">
        <x:v>0.5811518324607329842931937173</x:v>
      </x:c>
      <x:c r="AF282" s="32" t="n">
        <x:v>0.5930509281294621608757734412</x:v>
      </x:c>
      <x:c r="AG282" s="32" t="n">
        <x:v>0.6049500237981913374583531652</x:v>
      </x:c>
      <x:c r="AH282" s="32" t="n">
        <x:v>0.6044740599714421703950499762</x:v>
      </x:c>
      <x:c r="AI282" s="32" t="n">
        <x:v>0.6144693003331746787244169443</x:v>
      </x:c>
      <x:c r="AJ282" s="32" t="n">
        <x:v>0.6187529747739171822941456449</x:v>
      </x:c>
      <x:c r="AK282" s="32" t="n">
        <x:v>0.6187529747739171822941456449</x:v>
      </x:c>
      <x:c r="AL282" s="32" t="n">
        <x:v>0.6263683960019038553069966683</x:v>
      </x:c>
      <x:c r="AM282" s="32" t="n">
        <x:v>0.6335078534031413612565445026</x:v>
      </x:c>
      <x:c r="AN282" s="32" t="n">
        <x:v>0.6606377915278438838648262732</x:v>
      </x:c>
      <x:c r="AO282" s="32" t="n">
        <x:v>0.6787244169443122322703474536</x:v>
      </x:c>
      <x:c r="AP282" s="32" t="n">
        <x:v>0.6868158019990480723465016659</x:v>
      </x:c>
      <x:c r="AQ282" s="23" t="n">
        <x:v>0.7091861018562589243217515469</x:v>
      </x:c>
      <x:c r="AR282" s="32" t="n">
        <x:v>0.7248929081389814374107567825</x:v>
      </x:c>
      <x:c r="AS282" s="32" t="n">
        <x:v>0.7386958591147072822465492623</x:v>
      </x:c>
      <x:c r="BI282" s="33" t="s"/>
      <x:c r="BJ282" s="11" t="s">
        <x:v>375</x:v>
      </x:c>
      <x:c r="BK282" s="12" t="str">
        <x:f>=BX282</x:f>
      </x:c>
      <x:c r="BL282" s="12" t="n">
        <x:v>0.7786768205616373155640171347</x:v>
      </x:c>
      <x:c r="BM282" s="12" t="n">
        <x:v>0.2099000475963826749167063303</x:v>
      </x:c>
      <x:c r="BN282" s="12" t="n">
        <x:v>0.011423131841980009519276535</x:v>
      </x:c>
      <x:c r="BO282" s="12" t="str">
        <x:f>=BW282</x:f>
      </x:c>
      <x:c r="BP282" s="12" t="str">
        <x:f>=CF282</x:f>
      </x:c>
      <x:c r="BQ282" s="12" t="str"/>
      <x:c r="BR282" s="12" t="str">
        <x:v>SS 2020 EOS</x:v>
      </x:c>
      <x:c r="BS282" s="13" t="str"/>
      <x:c r="BT282" s="30" t="n">
        <x:v>8539.58</x:v>
      </x:c>
      <x:c r="BU282" s="30" t="n">
        <x:v>-4401.0430</x:v>
      </x:c>
      <x:c r="BV282" s="30" t="str">
        <x:f>=BT282+BU282</x:f>
      </x:c>
      <x:c r="BW282" s="66" t="str">
        <x:f>=BV282/BT282</x:f>
      </x:c>
      <x:c r="BX282" s="66" t="n">
        <x:v>0.988576868158019990480723465</x:v>
      </x:c>
      <x:c r="BY282" s="30" t="n">
        <x:v>4298.90</x:v>
      </x:c>
      <x:c r="BZ282" s="41" t="n">
        <x:v>24</x:v>
      </x:c>
      <x:c r="CA282" s="30" t="n">
        <x:v>49.10690147548786292241789624</x:v>
      </x:c>
      <x:c r="CC282" s="30" t="n">
        <x:v>8540.318695859114707282246549</x:v>
      </x:c>
      <x:c r="CD282" s="30" t="n">
        <x:v>-4401.0430</x:v>
      </x:c>
      <x:c r="CE282" s="30" t="str">
        <x:f>=CC282+CD282</x:f>
      </x:c>
      <x:c r="CF282" s="66" t="str">
        <x:f>=CE282/CC282</x:f>
      </x:c>
      <x:c r="CH282" s="66" t="str">
        <x:f>=CI282+CJ282</x:f>
      </x:c>
      <x:c r="CI282" s="66" t="str">
        <x:f>=BX282+(0*7)</x:f>
      </x:c>
      <x:c r="CJ282" s="66" t="str">
        <x:f>=(1-CI282)*0.5</x:f>
      </x:c>
      <x:c r="CK282" s="66" t="str">
        <x:f>=1-CH282</x:f>
      </x:c>
      <x:c r="CM282" s="66" t="str">
        <x:f>=CJ282/(1-CI282)</x:f>
      </x:c>
    </x:row>
    <x:row r="283">
      <x:c r="A283" s="31" t="s">
        <x:v>558</x:v>
      </x:c>
      <x:c r="B283" t="s"/>
      <x:c r="C283" t="s">
        <x:v>559</x:v>
      </x:c>
      <x:c r="D283" t="s">
        <x:v>193</x:v>
      </x:c>
      <x:c r="E283" s="69" t="s">
        <x:v>153</x:v>
      </x:c>
      <x:c r="F283" t="n">
        <x:v>2078</x:v>
      </x:c>
      <x:c r="G283" s="32" t="n">
        <x:v>0.028392685274302213666987488</x:v>
      </x:c>
      <x:c r="H283" s="32" t="n">
        <x:v>0.0837343599615014436958614052</x:v>
      </x:c>
      <x:c r="I283" s="32" t="n">
        <x:v>0.1669874879692011549566891242</x:v>
      </x:c>
      <x:c r="J283" s="32" t="n">
        <x:v>0.2151106833493743984600577478</x:v>
      </x:c>
      <x:c r="K283" s="32" t="n">
        <x:v>0.2752646775745909528392685274</x:v>
      </x:c>
      <x:c r="L283" s="32" t="n">
        <x:v>0.3306063522617901828681424447</x:v>
      </x:c>
      <x:c r="M283" s="32" t="n">
        <x:v>0.3710298363811357074109720885</x:v>
      </x:c>
      <x:c r="N283" s="32" t="n">
        <x:v>0.4254090471607314725697786333</x:v>
      </x:c>
      <x:c r="O283" s="32" t="n">
        <x:v>0.4903753609239653512993262753</x:v>
      </x:c>
      <x:c r="P283" s="32" t="n">
        <x:v>0.5519730510105871029836381136</x:v>
      </x:c>
      <x:c r="Q283" s="32" t="n">
        <x:v>0.5899903753609239653512993263</x:v>
      </x:c>
      <x:c r="R283" s="32" t="n">
        <x:v>0.6342637151106833493743984601</x:v>
      </x:c>
      <x:c r="S283" s="32" t="n">
        <x:v>0.6549566891241578440808469682</x:v>
      </x:c>
      <x:c r="T283" s="32" t="n">
        <x:v>0.6746871992300288739172281039</x:v>
      </x:c>
      <x:c r="U283" s="32" t="n">
        <x:v>0.6819056785370548604427333975</x:v>
      </x:c>
      <x:c r="V283" s="32" t="n">
        <x:v>0.6819056785370548604427333975</x:v>
      </x:c>
      <x:c r="W283" s="32" t="n">
        <x:v>0.6973051010587102983638113571</x:v>
      </x:c>
      <x:c r="X283" s="23" t="n">
        <x:v>0.7179980750721847930702598653</x:v>
      </x:c>
      <x:c r="Y283" s="32" t="n">
        <x:v>0.7261790182868142444658325313</x:v>
      </x:c>
      <x:c r="Z283" s="32" t="n">
        <x:v>0.7338787295476419634263715111</x:v>
      </x:c>
      <x:c r="AA283" s="32" t="n">
        <x:v>0.7425409047160731472569778633</x:v>
      </x:c>
      <x:c r="AB283" s="32" t="n">
        <x:v>0.7468719923002887391722810395</x:v>
      </x:c>
      <x:c r="AC283" s="32" t="n">
        <x:v>0.754090471607314725697786333</x:v>
      </x:c>
      <x:c r="AD283" s="32" t="n">
        <x:v>0.7550529355149181905678537055</x:v>
      </x:c>
      <x:c r="AE283" s="32" t="n">
        <x:v>0.7589027911453320500481231954</x:v>
      </x:c>
      <x:c r="AF283" s="32" t="n">
        <x:v>0.7584215591915303176130895091</x:v>
      </x:c>
      <x:c r="AG283" s="32" t="n">
        <x:v>0.7579403272377285851780558229</x:v>
      </x:c>
      <x:c r="AH283" s="32" t="n">
        <x:v>0.7579403272377285851780558229</x:v>
      </x:c>
      <x:c r="AI283" s="32" t="n">
        <x:v>0.7579403272377285851780558229</x:v>
      </x:c>
      <x:c r="AJ283" s="32" t="n">
        <x:v>0.7584215591915303176130895091</x:v>
      </x:c>
      <x:c r="AK283" s="32" t="n">
        <x:v>0.7593840230991337824831568816</x:v>
      </x:c>
      <x:c r="AL283" s="32" t="n">
        <x:v>0.7603464870067372473532242541</x:v>
      </x:c>
      <x:c r="AM283" s="32" t="n">
        <x:v>0.762271414821944177093358999</x:v>
      </x:c>
      <x:c r="AN283" s="32" t="n">
        <x:v>0.762271414821944177093358999</x:v>
      </x:c>
      <x:c r="AO283" s="32" t="n">
        <x:v>0.762271414821944177093358999</x:v>
      </x:c>
      <x:c r="AP283" s="32" t="n">
        <x:v>0.7617901828681424446583253128</x:v>
      </x:c>
      <x:c r="AQ283" s="32" t="n">
        <x:v>0.7882579403272377285851780558</x:v>
      </x:c>
      <x:c r="BI283" s="33" t="s"/>
      <x:c r="BJ283" s="11" t="s">
        <x:v>413</x:v>
      </x:c>
      <x:c r="BK283" s="12" t="str">
        <x:f>=BX283</x:f>
      </x:c>
      <x:c r="BL283" s="12" t="n">
        <x:v>0.764196342637151106833493744</x:v>
      </x:c>
      <x:c r="BM283" s="12" t="n">
        <x:v>0.1732435033686236766121270452</x:v>
      </x:c>
      <x:c r="BN283" s="12" t="n">
        <x:v>0.0625601539942252165543792108</x:v>
      </x:c>
      <x:c r="BO283" s="12" t="str">
        <x:f>=BW283</x:f>
      </x:c>
      <x:c r="BP283" s="12" t="str">
        <x:f>=CF283</x:f>
      </x:c>
      <x:c r="BQ283" s="12" t="str"/>
      <x:c r="BR283" s="12" t="str">
        <x:v>SS 2020 EOS</x:v>
      </x:c>
      <x:c r="BS283" s="13" t="str"/>
      <x:c r="BT283" s="30" t="n">
        <x:v>31255.09</x:v>
      </x:c>
      <x:c r="BU283" s="30" t="n">
        <x:v>-23702.7216</x:v>
      </x:c>
      <x:c r="BV283" s="30" t="str">
        <x:f>=BT283+BU283</x:f>
      </x:c>
      <x:c r="BW283" s="66" t="str">
        <x:f>=BV283/BT283</x:f>
      </x:c>
      <x:c r="BX283" s="66" t="n">
        <x:v>0.9374398460057747834456207892</x:v>
      </x:c>
      <x:c r="BY283" s="30" t="n">
        <x:v>23172.50</x:v>
      </x:c>
      <x:c r="BZ283" s="41" t="n">
        <x:v>130</x:v>
      </x:c>
      <x:c r="CA283" s="30" t="n">
        <x:v>1449.6751684311838306063522617</x:v>
      </x:c>
      <x:c r="CC283" s="30" t="n">
        <x:v>31255.851308950914340712223292</x:v>
      </x:c>
      <x:c r="CD283" s="30" t="n">
        <x:v>-23702.7216</x:v>
      </x:c>
      <x:c r="CE283" s="30" t="str">
        <x:f>=CC283+CD283</x:f>
      </x:c>
      <x:c r="CF283" s="66" t="str">
        <x:f>=CE283/CC283</x:f>
      </x:c>
      <x:c r="CH283" s="66" t="str">
        <x:f>=CI283+CJ283</x:f>
      </x:c>
      <x:c r="CI283" s="66" t="str">
        <x:f>=BX283+(0*7)</x:f>
      </x:c>
      <x:c r="CJ283" s="66" t="str">
        <x:f>=(1-CI283)*0.5</x:f>
      </x:c>
      <x:c r="CK283" s="66" t="str">
        <x:f>=1-CH283</x:f>
      </x:c>
      <x:c r="CM283" s="66" t="str">
        <x:f>=CJ283/(1-CI283)</x:f>
      </x:c>
    </x:row>
    <x:row r="284">
      <x:c r="A284" s="31" t="s">
        <x:v>560</x:v>
      </x:c>
      <x:c r="B284" t="s"/>
      <x:c r="C284" t="s">
        <x:v>561</x:v>
      </x:c>
      <x:c r="D284" t="s">
        <x:v>130</x:v>
      </x:c>
      <x:c r="E284" s="69" t="s">
        <x:v>153</x:v>
      </x:c>
      <x:c r="F284" t="n">
        <x:v>2053</x:v>
      </x:c>
      <x:c r="G284" s="32" t="n">
        <x:v>0.075012177301509985387238188</x:v>
      </x:c>
      <x:c r="H284" s="32" t="n">
        <x:v>0.075012177301509985387238188</x:v>
      </x:c>
      <x:c r="I284" s="32" t="n">
        <x:v>0.1758402338041889917194349732</x:v>
      </x:c>
      <x:c r="J284" s="32" t="n">
        <x:v>0.2474427666829030686799805163</x:v>
      </x:c>
      <x:c r="K284" s="32" t="n">
        <x:v>0.3122260107160253287871407696</x:v>
      </x:c>
      <x:c r="L284" s="32" t="n">
        <x:v>0.3799318071115440818314661471</x:v>
      </x:c>
      <x:c r="M284" s="32" t="n">
        <x:v>0.3799318071115440818314661471</x:v>
      </x:c>
      <x:c r="N284" s="32" t="n">
        <x:v>0.4320506575742815392109108622</x:v>
      </x:c>
      <x:c r="O284" s="32" t="n">
        <x:v>0.4939113492450073063809059912</x:v>
      </x:c>
      <x:c r="P284" s="32" t="n">
        <x:v>0.5372625426205552849488553337</x:v>
      </x:c>
      <x:c r="Q284" s="32" t="n">
        <x:v>0.5728202630297126156843643449</x:v>
      </x:c>
      <x:c r="R284" s="32" t="n">
        <x:v>0.6103263516804676083779834389</x:v>
      </x:c>
      <x:c r="S284" s="32" t="n">
        <x:v>0.654164637116415002435460302</x:v>
      </x:c>
      <x:c r="T284" s="32" t="n">
        <x:v>0.6950803701899659035557720409</x:v>
      </x:c>
      <x:c r="U284" s="23" t="n">
        <x:v>0.7082318558207501217730150999</x:v>
      </x:c>
      <x:c r="V284" s="32" t="n">
        <x:v>0.72917681441792498782269849</x:v>
      </x:c>
      <x:c r="W284" s="32" t="n">
        <x:v>0.7286897223575255723331709693</x:v>
      </x:c>
      <x:c r="X284" s="32" t="n">
        <x:v>0.7413541159279103750608865075</x:v>
      </x:c>
      <x:c r="Y284" s="32" t="n">
        <x:v>0.7525572333170969313200194837</x:v>
      </x:c>
      <x:c r="Z284" s="32" t="n">
        <x:v>0.7730150998538723818801753531</x:v>
      </x:c>
      <x:c r="AA284" s="32" t="n">
        <x:v>0.7959084266926449098879688261</x:v>
      </x:c>
      <x:c r="AB284" s="32" t="n">
        <x:v>0.8168533852898197759376522163</x:v>
      </x:c>
      <x:c r="AC284" s="32" t="n">
        <x:v>0.8377983438869946419873356064</x:v>
      </x:c>
      <x:c r="AD284" s="32" t="n">
        <x:v>0.854846566000974184120798831</x:v>
      </x:c>
      <x:c r="AE284" s="32" t="n">
        <x:v>0.8767657087189478811495372625</x:v>
      </x:c>
      <x:c r="AF284" s="32" t="n">
        <x:v>0.8981977593765221626887481734</x:v>
      </x:c>
      <x:c r="AG284" s="32" t="n">
        <x:v>0.9157330735509011203117389187</x:v>
      </x:c>
      <x:c r="AH284" s="32" t="n">
        <x:v>0.9279103750608865075499269362</x:v>
      </x:c>
      <x:c r="BI284" s="33" t="s"/>
      <x:c r="BJ284" s="11" t="s">
        <x:v>265</x:v>
      </x:c>
      <x:c r="BK284" s="12" t="str">
        <x:f>=BX284</x:f>
      </x:c>
      <x:c r="BL284" s="12" t="n">
        <x:v>0.934729663906478324403312226</x:v>
      </x:c>
      <x:c r="BM284" s="12" t="n">
        <x:v>0.0530930345835362883584997565</x:v>
      </x:c>
      <x:c r="BN284" s="12" t="n">
        <x:v>0.0121773015099853872381880175</x:v>
      </x:c>
      <x:c r="BO284" s="12" t="str">
        <x:f>=BW284</x:f>
      </x:c>
      <x:c r="BP284" s="12" t="str">
        <x:f>=CF284</x:f>
      </x:c>
      <x:c r="BQ284" s="12" t="str"/>
      <x:c r="BR284" s="12" t="str">
        <x:v>SS 2020 EOS</x:v>
      </x:c>
      <x:c r="BS284" s="13" t="str"/>
      <x:c r="BT284" s="30" t="n">
        <x:v>13428.65</x:v>
      </x:c>
      <x:c r="BU284" s="30" t="n">
        <x:v>-8670.46619408880612500000</x:v>
      </x:c>
      <x:c r="BV284" s="30" t="str">
        <x:f>=BT284+BU284</x:f>
      </x:c>
      <x:c r="BW284" s="66" t="str">
        <x:f>=BV284/BT284</x:f>
      </x:c>
      <x:c r="BX284" s="66" t="n">
        <x:v>0.9878226984900146127618119825</x:v>
      </x:c>
      <x:c r="BY284" s="30" t="n">
        <x:v>8842.536076380212500000</x:v>
      </x:c>
      <x:c r="BZ284" s="41" t="n">
        <x:v>25</x:v>
      </x:c>
      <x:c r="CA284" s="30" t="n">
        <x:v>107.67822791500502313687286897</x:v>
      </x:c>
      <x:c r="CC284" s="30" t="n">
        <x:v>13429.577910375060886507549927</x:v>
      </x:c>
      <x:c r="CD284" s="30" t="n">
        <x:v>-8670.46619408880612500000</x:v>
      </x:c>
      <x:c r="CE284" s="30" t="str">
        <x:f>=CC284+CD284</x:f>
      </x:c>
      <x:c r="CF284" s="66" t="str">
        <x:f>=CE284/CC284</x:f>
      </x:c>
      <x:c r="CH284" s="66" t="str">
        <x:f>=CI284+CJ284</x:f>
      </x:c>
      <x:c r="CI284" s="66" t="str">
        <x:f>=BX284+(0*7)</x:f>
      </x:c>
      <x:c r="CJ284" s="66" t="str">
        <x:f>=(1-CI284)*0.5</x:f>
      </x:c>
      <x:c r="CK284" s="66" t="str">
        <x:f>=1-CH284</x:f>
      </x:c>
      <x:c r="CM284" s="66" t="str">
        <x:f>=CJ284/(1-CI284)</x:f>
      </x:c>
    </x:row>
    <x:row r="285">
      <x:c r="A285" s="31" t="s">
        <x:v>562</x:v>
      </x:c>
      <x:c r="B285" t="s"/>
      <x:c r="C285" t="s">
        <x:v>563</x:v>
      </x:c>
      <x:c r="D285" t="s">
        <x:v>274</x:v>
      </x:c>
      <x:c r="E285" s="69" t="s">
        <x:v>153</x:v>
      </x:c>
      <x:c r="F285" t="n">
        <x:v>3145</x:v>
      </x:c>
      <x:c r="G285" s="32" t="n">
        <x:v>0.0060413354531001589825119237</x:v>
      </x:c>
      <x:c r="H285" s="32" t="n">
        <x:v>0.0327503974562798092209856916</x:v>
      </x:c>
      <x:c r="I285" s="32" t="n">
        <x:v>0.0327503974562798092209856916</x:v>
      </x:c>
      <x:c r="J285" s="32" t="n">
        <x:v>0.092209856915739268680445151</x:v>
      </x:c>
      <x:c r="K285" s="32" t="n">
        <x:v>0.1688394276629570747217806041</x:v>
      </x:c>
      <x:c r="L285" s="32" t="n">
        <x:v>0.2483306836248012718600953895</x:v>
      </x:c>
      <x:c r="M285" s="32" t="n">
        <x:v>0.3386327503974562798092209857</x:v>
      </x:c>
      <x:c r="N285" s="32" t="n">
        <x:v>0.4387917329093799682034976153</x:v>
      </x:c>
      <x:c r="O285" s="32" t="n">
        <x:v>0.5249602543720190779014308426</x:v>
      </x:c>
      <x:c r="P285" s="32" t="n">
        <x:v>0.5949125596184419713831478537</x:v>
      </x:c>
      <x:c r="Q285" s="32" t="n">
        <x:v>0.6410174880763116057233704293</x:v>
      </x:c>
      <x:c r="R285" s="32" t="n">
        <x:v>0.6537360890302066772655007949</x:v>
      </x:c>
      <x:c r="S285" s="32" t="n">
        <x:v>0.6531001589825119236883942766</x:v>
      </x:c>
      <x:c r="T285" s="32" t="n">
        <x:v>0.6565977742448330683624801272</x:v>
      </x:c>
      <x:c r="U285" s="32" t="n">
        <x:v>0.6591414944356120826709062003</x:v>
      </x:c>
      <x:c r="V285" s="32" t="n">
        <x:v>0.6594594594594594594594594595</x:v>
      </x:c>
      <x:c r="W285" s="32" t="n">
        <x:v>0.660731319554848966613672496</x:v>
      </x:c>
      <x:c r="X285" s="32" t="n">
        <x:v>0.6604133545310015898251192369</x:v>
      </x:c>
      <x:c r="Y285" s="32" t="n">
        <x:v>0.6632750397456279809220985692</x:v>
      </x:c>
      <x:c r="Z285" s="32" t="n">
        <x:v>0.6737678855325914149443561208</x:v>
      </x:c>
      <x:c r="AA285" s="32" t="n">
        <x:v>0.6753577106518282988871224165</x:v>
      </x:c>
      <x:c r="AB285" s="32" t="n">
        <x:v>0.6826709062003179650238473768</x:v>
      </x:c>
      <x:c r="AC285" s="32" t="n">
        <x:v>0.6890302066772655007949125596</x:v>
      </x:c>
      <x:c r="AD285" s="23" t="n">
        <x:v>0.7007949125596184419713831479</x:v>
      </x:c>
      <x:c r="BI285" s="33" t="s"/>
      <x:c r="BJ285" s="11" t="s">
        <x:v>208</x:v>
      </x:c>
      <x:c r="BK285" s="12" t="str">
        <x:f>=BX285</x:f>
      </x:c>
      <x:c r="BL285" s="12" t="n">
        <x:v>0.7087440381558028616852146264</x:v>
      </x:c>
      <x:c r="BM285" s="12" t="n">
        <x:v>0.2791732909379968203497615262</x:v>
      </x:c>
      <x:c r="BN285" s="12" t="n">
        <x:v>0.0120826709062003179650238474</x:v>
      </x:c>
      <x:c r="BO285" s="12" t="str">
        <x:f>=BW285</x:f>
      </x:c>
      <x:c r="BP285" s="12" t="str">
        <x:f>=CF285</x:f>
      </x:c>
      <x:c r="BQ285" s="12" t="str"/>
      <x:c r="BR285" s="12" t="str">
        <x:v>SS 2020 EOS</x:v>
      </x:c>
      <x:c r="BS285" s="13" t="str"/>
      <x:c r="BT285" s="30" t="n">
        <x:v>28052.64</x:v>
      </x:c>
      <x:c r="BU285" s="30" t="n">
        <x:v>-20775.27590</x:v>
      </x:c>
      <x:c r="BV285" s="30" t="str">
        <x:f>=BT285+BU285</x:f>
      </x:c>
      <x:c r="BW285" s="66" t="str">
        <x:f>=BV285/BT285</x:f>
      </x:c>
      <x:c r="BX285" s="66" t="n">
        <x:v>0.9879173290937996820349761526</x:v>
      </x:c>
      <x:c r="BY285" s="30" t="n">
        <x:v>18946.15</x:v>
      </x:c>
      <x:c r="BZ285" s="41" t="n">
        <x:v>38</x:v>
      </x:c>
      <x:c r="CA285" s="30" t="n">
        <x:v>228.92009538950715421303656598</x:v>
      </x:c>
      <x:c r="CC285" s="30" t="n">
        <x:v>28053.339523052464228934817170</x:v>
      </x:c>
      <x:c r="CD285" s="30" t="n">
        <x:v>-20775.27590</x:v>
      </x:c>
      <x:c r="CE285" s="30" t="str">
        <x:f>=CC285+CD285</x:f>
      </x:c>
      <x:c r="CF285" s="66" t="str">
        <x:f>=CE285/CC285</x:f>
      </x:c>
      <x:c r="CH285" s="66" t="str">
        <x:f>=CI285+CJ285</x:f>
      </x:c>
      <x:c r="CI285" s="66" t="str">
        <x:f>=BX285+(0*7)</x:f>
      </x:c>
      <x:c r="CJ285" s="66" t="str">
        <x:f>=(1-CI285)*0.5</x:f>
      </x:c>
      <x:c r="CK285" s="66" t="str">
        <x:f>=1-CH285</x:f>
      </x:c>
      <x:c r="CM285" s="66" t="str">
        <x:f>=CJ285/(1-CI285)</x:f>
      </x:c>
    </x:row>
    <x:row r="286">
      <x:c r="A286" s="31" t="s">
        <x:v>564</x:v>
      </x:c>
      <x:c r="B286" t="s"/>
      <x:c r="C286" t="s">
        <x:v>565</x:v>
      </x:c>
      <x:c r="D286" t="s">
        <x:v>118</x:v>
      </x:c>
      <x:c r="E286" s="69" t="s">
        <x:v>153</x:v>
      </x:c>
      <x:c r="F286" t="n">
        <x:v>5505</x:v>
      </x:c>
      <x:c r="G286" s="32" t="n">
        <x:v>0.0058128973660308810172570391</x:v>
      </x:c>
      <x:c r="H286" s="32" t="n">
        <x:v>0.0297910990009082652134423252</x:v>
      </x:c>
      <x:c r="I286" s="32" t="n">
        <x:v>0.0733878292461398728428701181</x:v>
      </x:c>
      <x:c r="J286" s="32" t="n">
        <x:v>0.1322434150772025431425976385</x:v>
      </x:c>
      <x:c r="K286" s="32" t="n">
        <x:v>0.1952770208900999091734786558</x:v>
      </x:c>
      <x:c r="L286" s="32" t="n">
        <x:v>0.2557674841053587647593097184</x:v>
      </x:c>
      <x:c r="M286" s="32" t="n">
        <x:v>0.3080835603996366939146230699</x:v>
      </x:c>
      <x:c r="N286" s="32" t="n">
        <x:v>0.3491371480472297910990009083</x:v>
      </x:c>
      <x:c r="O286" s="32" t="n">
        <x:v>0.3878292461398728428701180745</x:v>
      </x:c>
      <x:c r="P286" s="32" t="n">
        <x:v>0.3878292461398728428701180745</x:v>
      </x:c>
      <x:c r="Q286" s="32" t="n">
        <x:v>0.3998183469573115349682107175</x:v>
      </x:c>
      <x:c r="R286" s="32" t="n">
        <x:v>0.4096276112624886466848319709</x:v>
      </x:c>
      <x:c r="S286" s="32" t="n">
        <x:v>0.4138056312443233424159854678</x:v>
      </x:c>
      <x:c r="T286" s="32" t="n">
        <x:v>0.4196185286103542234332425068</x:v>
      </x:c>
      <x:c r="U286" s="32" t="n">
        <x:v>0.4341507720254314259763851045</x:v>
      </x:c>
      <x:c r="V286" s="32" t="n">
        <x:v>0.4857402361489554950045413261</x:v>
      </x:c>
      <x:c r="W286" s="32" t="n">
        <x:v>0.5318801089918256130790190736</x:v>
      </x:c>
      <x:c r="X286" s="32" t="n">
        <x:v>0.5424159854677565849227974569</x:v>
      </x:c>
      <x:c r="Y286" s="32" t="n">
        <x:v>0.5682107175295186194368755677</x:v>
      </x:c>
      <x:c r="Z286" s="32" t="n">
        <x:v>0.5983651226158038147138964578</x:v>
      </x:c>
      <x:c r="AA286" s="32" t="n">
        <x:v>0.6334241598546775658492279746</x:v>
      </x:c>
      <x:c r="AB286" s="23" t="n">
        <x:v>0.824341507720254314259763851</x:v>
      </x:c>
      <x:c r="BI286" s="33" t="s"/>
      <x:c r="BJ286" s="11" t="s">
        <x:v>330</x:v>
      </x:c>
      <x:c r="BK286" s="12" t="str">
        <x:f>=BX286</x:f>
      </x:c>
      <x:c r="BL286" s="12" t="n">
        <x:v>0.8287011807447774750227066303</x:v>
      </x:c>
      <x:c r="BM286" s="12" t="n">
        <x:v>0.1649409627611262488646684832</x:v>
      </x:c>
      <x:c r="BN286" s="12" t="n">
        <x:v>0.0063578564940962761126248865</x:v>
      </x:c>
      <x:c r="BO286" s="12" t="str">
        <x:f>=BW286</x:f>
      </x:c>
      <x:c r="BP286" s="12" t="str">
        <x:f>=CF286</x:f>
      </x:c>
      <x:c r="BQ286" s="12" t="str"/>
      <x:c r="BR286" s="12" t="str">
        <x:v>SS 2020 EOS</x:v>
      </x:c>
      <x:c r="BS286" s="13" t="str"/>
      <x:c r="BT286" s="30" t="n">
        <x:v>20140.51</x:v>
      </x:c>
      <x:c r="BU286" s="30" t="n">
        <x:v>-14852.0515</x:v>
      </x:c>
      <x:c r="BV286" s="30" t="str">
        <x:f>=BT286+BU286</x:f>
      </x:c>
      <x:c r="BW286" s="66" t="str">
        <x:f>=BV286/BT286</x:f>
      </x:c>
      <x:c r="BX286" s="66" t="n">
        <x:v>0.9936421435059037238873751135</x:v>
      </x:c>
      <x:c r="BY286" s="30" t="n">
        <x:v>14357.95</x:v>
      </x:c>
      <x:c r="BZ286" s="41" t="n">
        <x:v>35</x:v>
      </x:c>
      <x:c r="CA286" s="30" t="n">
        <x:v>91.28578564940962761126248864</x:v>
      </x:c>
      <x:c r="CC286" s="30" t="n">
        <x:v>20141.333978201634877384196185</x:v>
      </x:c>
      <x:c r="CD286" s="30" t="n">
        <x:v>-14852.0515</x:v>
      </x:c>
      <x:c r="CE286" s="30" t="str">
        <x:f>=CC286+CD286</x:f>
      </x:c>
      <x:c r="CF286" s="66" t="str">
        <x:f>=CE286/CC286</x:f>
      </x:c>
      <x:c r="CH286" s="66" t="str">
        <x:f>=CI286+CJ286</x:f>
      </x:c>
      <x:c r="CI286" s="66" t="str">
        <x:f>=BX286+(0*7)</x:f>
      </x:c>
      <x:c r="CJ286" s="66" t="str">
        <x:f>=(1-CI286)*0.5</x:f>
      </x:c>
      <x:c r="CK286" s="66" t="str">
        <x:f>=1-CH286</x:f>
      </x:c>
      <x:c r="CM286" s="66" t="str">
        <x:f>=CJ286/(1-CI286)</x:f>
      </x:c>
    </x:row>
    <x:row r="287">
      <x:c r="A287" s="31" t="s">
        <x:v>566</x:v>
      </x:c>
      <x:c r="B287" t="s"/>
      <x:c r="C287" t="s">
        <x:v>567</x:v>
      </x:c>
      <x:c r="D287" t="s">
        <x:v>118</x:v>
      </x:c>
      <x:c r="E287" s="69" t="s">
        <x:v>153</x:v>
      </x:c>
      <x:c r="F287" t="n">
        <x:v>1013</x:v>
      </x:c>
      <x:c r="G287" s="32" t="n">
        <x:v>0.0157946692991115498519249753</x:v>
      </x:c>
      <x:c r="H287" s="32" t="n">
        <x:v>0.0404738400789733464955577493</x:v>
      </x:c>
      <x:c r="I287" s="32" t="n">
        <x:v>0.0839091806515301085883514314</x:v>
      </x:c>
      <x:c r="J287" s="32" t="n">
        <x:v>0.1431391905231984205330700888</x:v>
      </x:c>
      <x:c r="K287" s="32" t="n">
        <x:v>0.208292201382033563672260612</x:v>
      </x:c>
      <x:c r="L287" s="32" t="n">
        <x:v>0.255676209279368213228035538</x:v>
      </x:c>
      <x:c r="M287" s="32" t="n">
        <x:v>0.2951628825271470878578479763</x:v>
      </x:c>
      <x:c r="N287" s="32" t="n">
        <x:v>0.3524185587364264560710760118</x:v>
      </x:c>
      <x:c r="O287" s="32" t="n">
        <x:v>0.3593287265547877591312931885</x:v>
      </x:c>
      <x:c r="P287" s="32" t="n">
        <x:v>0.4076999012833168805528134255</x:v>
      </x:c>
      <x:c r="Q287" s="32" t="n">
        <x:v>0.4067127344521224086870681145</x:v>
      </x:c>
      <x:c r="R287" s="32" t="n">
        <x:v>0.4136229022704837117472852912</x:v>
      </x:c>
      <x:c r="S287" s="32" t="n">
        <x:v>0.4313919052319842053307008885</x:v>
      </x:c>
      <x:c r="T287" s="32" t="n">
        <x:v>0.4491609081934846989141164857</x:v>
      </x:c>
      <x:c r="U287" s="32" t="n">
        <x:v>0.5182625863770977295162882527</x:v>
      </x:c>
      <x:c r="V287" s="32" t="n">
        <x:v>0.5952615992102665350444225074</x:v>
      </x:c>
      <x:c r="W287" s="32" t="n">
        <x:v>0.6130306021717670286278381046</x:v>
      </x:c>
      <x:c r="X287" s="32" t="n">
        <x:v>0.627838104639684106614017769</x:v>
      </x:c>
      <x:c r="Y287" s="32" t="n">
        <x:v>0.6692991115498519249753208292</x:v>
      </x:c>
      <x:c r="Z287" s="23" t="n">
        <x:v>0.7423494570582428430404738401</x:v>
      </x:c>
      <x:c r="AA287" s="32" t="n">
        <x:v>0.8084896347482724580454096742</x:v>
      </x:c>
      <x:c r="BI287" s="33" t="s"/>
      <x:c r="BJ287" s="11" t="s">
        <x:v>216</x:v>
      </x:c>
      <x:c r="BK287" s="12" t="str">
        <x:f>=BX287</x:f>
      </x:c>
      <x:c r="BL287" s="12" t="n">
        <x:v>0.8351431391905231984205330701</x:v>
      </x:c>
      <x:c r="BM287" s="12" t="n">
        <x:v>0.1530108588351431391905231984</x:v>
      </x:c>
      <x:c r="BN287" s="12" t="n">
        <x:v>0.0118460019743336623889437315</x:v>
      </x:c>
      <x:c r="BO287" s="12" t="str">
        <x:f>=BW287</x:f>
      </x:c>
      <x:c r="BP287" s="12" t="str">
        <x:f>=CF287</x:f>
      </x:c>
      <x:c r="BQ287" s="12" t="str"/>
      <x:c r="BR287" s="12" t="str">
        <x:v>SS 2020 EOS</x:v>
      </x:c>
      <x:c r="BS287" s="13" t="str"/>
      <x:c r="BT287" s="30" t="n">
        <x:v>2998.02</x:v>
      </x:c>
      <x:c r="BU287" s="30" t="n">
        <x:v>-1700.3569</x:v>
      </x:c>
      <x:c r="BV287" s="30" t="str">
        <x:f>=BT287+BU287</x:f>
      </x:c>
      <x:c r="BW287" s="66" t="str">
        <x:f>=BV287/BT287</x:f>
      </x:c>
      <x:c r="BX287" s="66" t="n">
        <x:v>0.9881539980256663376110562685</x:v>
      </x:c>
      <x:c r="BY287" s="30" t="n">
        <x:v>1659.06</x:v>
      </x:c>
      <x:c r="BZ287" s="41" t="n">
        <x:v>12</x:v>
      </x:c>
      <x:c r="CA287" s="30" t="n">
        <x:v>19.653228035538005923000987166</x:v>
      </x:c>
      <x:c r="CC287" s="30" t="n">
        <x:v>2998.8284896347482724580454097</x:v>
      </x:c>
      <x:c r="CD287" s="30" t="n">
        <x:v>-1700.3569</x:v>
      </x:c>
      <x:c r="CE287" s="30" t="str">
        <x:f>=CC287+CD287</x:f>
      </x:c>
      <x:c r="CF287" s="66" t="str">
        <x:f>=CE287/CC287</x:f>
      </x:c>
      <x:c r="CH287" s="66" t="str">
        <x:f>=CI287+CJ287</x:f>
      </x:c>
      <x:c r="CI287" s="66" t="str">
        <x:f>=BX287+(0*7)</x:f>
      </x:c>
      <x:c r="CJ287" s="66" t="str">
        <x:f>=(1-CI287)*0.5</x:f>
      </x:c>
      <x:c r="CK287" s="66" t="str">
        <x:f>=1-CH287</x:f>
      </x:c>
      <x:c r="CM287" s="66" t="str">
        <x:f>=CJ287/(1-CI287)</x:f>
      </x:c>
    </x:row>
    <x:row r="288">
      <x:c r="A288" s="31" t="s">
        <x:v>568</x:v>
      </x:c>
      <x:c r="B288" t="s"/>
      <x:c r="C288" t="s">
        <x:v>569</x:v>
      </x:c>
      <x:c r="D288" t="s">
        <x:v>118</x:v>
      </x:c>
      <x:c r="E288" s="69" t="s">
        <x:v>153</x:v>
      </x:c>
      <x:c r="F288" t="n">
        <x:v>4189</x:v>
      </x:c>
      <x:c r="G288" s="32" t="n">
        <x:v>0.0420148006684172833611840535</x:v>
      </x:c>
      <x:c r="H288" s="32" t="n">
        <x:v>0.1269992838386249701599427071</x:v>
      </x:c>
      <x:c r="I288" s="32" t="n">
        <x:v>0.2585342563857722606827405109</x:v>
      </x:c>
      <x:c r="J288" s="32" t="n">
        <x:v>0.3747911195989496299832895679</x:v>
      </x:c>
      <x:c r="K288" s="32" t="n">
        <x:v>0.5142038672714251611363093817</x:v>
      </x:c>
      <x:c r="L288" s="32" t="n">
        <x:v>0.6194795894008116495583671521</x:v>
      </x:c>
      <x:c r="M288" s="32" t="n">
        <x:v>0.6679398424444974934351873956</x:v>
      </x:c>
      <x:c r="N288" s="23" t="n">
        <x:v>0.7080448794461685366435903557</x:v>
      </x:c>
      <x:c r="O288" s="32" t="n">
        <x:v>0.7080448794461685366435903557</x:v>
      </x:c>
      <x:c r="P288" s="32" t="n">
        <x:v>0.7233229887801384578658391024</x:v>
      </x:c>
      <x:c r="Q288" s="32" t="n">
        <x:v>0.7276199570303174982095965624</x:v>
      </x:c>
      <x:c r="R288" s="32" t="n">
        <x:v>0.7333492480305562186679398424</x:v>
      </x:c>
      <x:c r="S288" s="32" t="n">
        <x:v>0.7397947004058247791835760325</x:v>
      </x:c>
      <x:c r="T288" s="32" t="n">
        <x:v>0.7457627118644067796610169492</x:v>
      </x:c>
      <x:c r="U288" s="32" t="n">
        <x:v>0.7715445213654810217235617092</x:v>
      </x:c>
      <x:c r="V288" s="32" t="n">
        <x:v>0.7908808784912867032704702793</x:v>
      </x:c>
      <x:c r="W288" s="32" t="n">
        <x:v>0.794700405824779183576032466</x:v>
      </x:c>
      <x:c r="X288" s="32" t="n">
        <x:v>0.801862019575077584148961566</x:v>
      </x:c>
      <x:c r="Y288" s="32" t="n">
        <x:v>0.812604440200525185008355216</x:v>
      </x:c>
      <x:c r="Z288" s="32" t="n">
        <x:v>0.8684650274528527094772021962</x:v>
      </x:c>
      <x:c r="AA288" s="32" t="n">
        <x:v>0.9353067557889711148245404631</x:v>
      </x:c>
      <x:c r="BI288" s="33" t="s"/>
      <x:c r="BJ288" s="11" t="s">
        <x:v>216</x:v>
      </x:c>
      <x:c r="BK288" s="12" t="str">
        <x:f>=BX288</x:f>
      </x:c>
      <x:c r="BL288" s="12" t="n">
        <x:v>0.890188589162091191215087133</x:v>
      </x:c>
      <x:c r="BM288" s="12" t="n">
        <x:v>0.097636667462401527810933397</x:v>
      </x:c>
      <x:c r="BN288" s="12" t="n">
        <x:v>0.01217474337550728097397947</x:v>
      </x:c>
      <x:c r="BO288" s="12" t="str">
        <x:f>=BW288</x:f>
      </x:c>
      <x:c r="BP288" s="12" t="str">
        <x:f>=CF288</x:f>
      </x:c>
      <x:c r="BQ288" s="12" t="str"/>
      <x:c r="BR288" s="12" t="str">
        <x:v>SS 2020 EOS</x:v>
      </x:c>
      <x:c r="BS288" s="13" t="str"/>
      <x:c r="BT288" s="30" t="n">
        <x:v>11655.98</x:v>
      </x:c>
      <x:c r="BU288" s="30" t="n">
        <x:v>-6860.7323</x:v>
      </x:c>
      <x:c r="BV288" s="30" t="str">
        <x:f>=BT288+BU288</x:f>
      </x:c>
      <x:c r="BW288" s="66" t="str">
        <x:f>=BV288/BT288</x:f>
      </x:c>
      <x:c r="BX288" s="66" t="n">
        <x:v>0.98782525662449271902602053</x:v>
      </x:c>
      <x:c r="BY288" s="30" t="n">
        <x:v>6791.35</x:v>
      </x:c>
      <x:c r="BZ288" s="41" t="n">
        <x:v>51</x:v>
      </x:c>
      <x:c r="CA288" s="30" t="n">
        <x:v>82.68294342325137264263547386</x:v>
      </x:c>
      <x:c r="CC288" s="30" t="n">
        <x:v>11656.869949868703747911195989</x:v>
      </x:c>
      <x:c r="CD288" s="30" t="n">
        <x:v>-6860.7323</x:v>
      </x:c>
      <x:c r="CE288" s="30" t="str">
        <x:f>=CC288+CD288</x:f>
      </x:c>
      <x:c r="CF288" s="66" t="str">
        <x:f>=CE288/CC288</x:f>
      </x:c>
      <x:c r="CH288" s="66" t="str">
        <x:f>=CI288+CJ288</x:f>
      </x:c>
      <x:c r="CI288" s="66" t="str">
        <x:f>=BX288+(0*7)</x:f>
      </x:c>
      <x:c r="CJ288" s="66" t="str">
        <x:f>=(1-CI288)*0.5</x:f>
      </x:c>
      <x:c r="CK288" s="66" t="str">
        <x:f>=1-CH288</x:f>
      </x:c>
      <x:c r="CM288" s="66" t="str">
        <x:f>=CJ288/(1-CI288)</x:f>
      </x:c>
    </x:row>
    <x:row r="289">
      <x:c r="A289" s="31" t="s">
        <x:v>570</x:v>
      </x:c>
      <x:c r="B289" t="s"/>
      <x:c r="C289" t="s">
        <x:v>571</x:v>
      </x:c>
      <x:c r="D289" t="s">
        <x:v>118</x:v>
      </x:c>
      <x:c r="E289" s="69" t="s">
        <x:v>153</x:v>
      </x:c>
      <x:c r="F289" t="n">
        <x:v>1038</x:v>
      </x:c>
      <x:c r="G289" s="32" t="n">
        <x:v>0.0173410404624277456647398844</x:v>
      </x:c>
      <x:c r="H289" s="32" t="n">
        <x:v>0.1377649325626204238921001927</x:v>
      </x:c>
      <x:c r="I289" s="32" t="n">
        <x:v>0.272639691714836223506743738</x:v>
      </x:c>
      <x:c r="J289" s="32" t="n">
        <x:v>0.444123314065510597302504817</x:v>
      </x:c>
      <x:c r="K289" s="32" t="n">
        <x:v>0.6416184971098265895953757225</x:v>
      </x:c>
      <x:c r="L289" s="23" t="n">
        <x:v>0.7485549132947976878612716763</x:v>
      </x:c>
      <x:c r="M289" s="32" t="n">
        <x:v>0.7947976878612716763005780347</x:v>
      </x:c>
      <x:c r="N289" s="32" t="n">
        <x:v>0.8554913294797687861271676301</x:v>
      </x:c>
      <x:c r="O289" s="32" t="n">
        <x:v>0.8545279383429672447013487476</x:v>
      </x:c>
      <x:c r="P289" s="32" t="n">
        <x:v>0.886319845857418111753371869</x:v>
      </x:c>
      <x:c r="Q289" s="32" t="n">
        <x:v>0.8911368015414258188824662813</x:v>
      </x:c>
      <x:c r="R289" s="32" t="n">
        <x:v>0.8959537572254335260115606936</x:v>
      </x:c>
      <x:c r="S289" s="32" t="n">
        <x:v>0.913294797687861271676300578</x:v>
      </x:c>
      <x:c r="T289" s="32" t="n">
        <x:v>0.9335260115606936416184971098</x:v>
      </x:c>
      <x:c r="U289" s="32" t="n">
        <x:v>0.9537572254335260115606936416</x:v>
      </x:c>
      <x:c r="V289" s="32" t="n">
        <x:v>0.9643545279383429672447013487</x:v>
      </x:c>
      <x:c r="W289" s="32" t="n">
        <x:v>0.9662813102119460500963391137</x:v>
      </x:c>
      <x:c r="X289" s="32" t="n">
        <x:v>0.9730250481695568400770712909</x:v>
      </x:c>
      <x:c r="Y289" s="32" t="n">
        <x:v>0.9730250481695568400770712909</x:v>
      </x:c>
      <x:c r="Z289" s="32" t="n">
        <x:v>0.9730250481695568400770712909</x:v>
      </x:c>
      <x:c r="AA289" s="32" t="n">
        <x:v>0.9816955684007707129094412331</x:v>
      </x:c>
      <x:c r="BI289" s="33" t="s"/>
      <x:c r="BJ289" s="11" t="s">
        <x:v>216</x:v>
      </x:c>
      <x:c r="BK289" s="12" t="str">
        <x:f>=BX289</x:f>
      </x:c>
      <x:c r="BL289" s="12" t="n">
        <x:v>0.9826589595375722543352601156</x:v>
      </x:c>
      <x:c r="BM289" s="12" t="n">
        <x:v>0.0134874759152215799614643545</x:v>
      </x:c>
      <x:c r="BN289" s="12" t="n">
        <x:v>0.0038535645472061657032755299</x:v>
      </x:c>
      <x:c r="BO289" s="12" t="str">
        <x:f>=BW289</x:f>
      </x:c>
      <x:c r="BP289" s="12" t="str">
        <x:f>=CF289</x:f>
      </x:c>
      <x:c r="BQ289" s="12" t="str"/>
      <x:c r="BR289" s="12" t="str">
        <x:v>SS 2020 EOS</x:v>
      </x:c>
      <x:c r="BS289" s="13" t="str"/>
      <x:c r="BT289" s="30" t="n">
        <x:v>3171.88</x:v>
      </x:c>
      <x:c r="BU289" s="30" t="n">
        <x:v>-1784.1647</x:v>
      </x:c>
      <x:c r="BV289" s="30" t="str">
        <x:f>=BT289+BU289</x:f>
      </x:c>
      <x:c r="BW289" s="66" t="str">
        <x:f>=BV289/BT289</x:f>
      </x:c>
      <x:c r="BX289" s="66" t="n">
        <x:v>0.9961464354527938342967244701</x:v>
      </x:c>
      <x:c r="BY289" s="30" t="n">
        <x:v>1745.39</x:v>
      </x:c>
      <x:c r="BZ289" s="41" t="n">
        <x:v>4</x:v>
      </x:c>
      <x:c r="CA289" s="30" t="n">
        <x:v>6.7259730250481695568400770712</x:v>
      </x:c>
      <x:c r="CC289" s="30" t="n">
        <x:v>3172.8616955684007707129094412</x:v>
      </x:c>
      <x:c r="CD289" s="30" t="n">
        <x:v>-1784.1647</x:v>
      </x:c>
      <x:c r="CE289" s="30" t="str">
        <x:f>=CC289+CD289</x:f>
      </x:c>
      <x:c r="CF289" s="66" t="str">
        <x:f>=CE289/CC289</x:f>
      </x:c>
      <x:c r="CH289" s="66" t="str">
        <x:f>=CI289+CJ289</x:f>
      </x:c>
      <x:c r="CI289" s="66" t="str">
        <x:f>=BX289+(0*7)</x:f>
      </x:c>
      <x:c r="CJ289" s="66" t="str">
        <x:f>=(1-CI289)*0.5</x:f>
      </x:c>
      <x:c r="CK289" s="66" t="str">
        <x:f>=1-CH289</x:f>
      </x:c>
      <x:c r="CM289" s="66" t="str">
        <x:f>=CJ289/(1-CI289)</x:f>
      </x:c>
    </x:row>
    <x:row r="290">
      <x:c r="A290" s="31" t="s">
        <x:v>572</x:v>
      </x:c>
      <x:c r="B290" t="s">
        <x:v>116</x:v>
      </x:c>
      <x:c r="C290" t="s">
        <x:v>573</x:v>
      </x:c>
      <x:c r="D290" t="s">
        <x:v>274</x:v>
      </x:c>
      <x:c r="E290" s="69" t="s">
        <x:v>153</x:v>
      </x:c>
      <x:c r="F290" t="n">
        <x:v>2120</x:v>
      </x:c>
      <x:c r="G290" s="32" t="n">
        <x:v>0.0009433962264150943396226415</x:v>
      </x:c>
      <x:c r="H290" s="32" t="n">
        <x:v>0.0797169811320754716981132075</x:v>
      </x:c>
      <x:c r="I290" s="32" t="n">
        <x:v>0.2193396226415094339622641509</x:v>
      </x:c>
      <x:c r="J290" s="32" t="n">
        <x:v>0.4047169811320754716981132075</x:v>
      </x:c>
      <x:c r="K290" s="32" t="n">
        <x:v>0.5872641509433962264150943396</x:v>
      </x:c>
      <x:c r="L290" s="32" t="n">
        <x:v>0.6297169811320754716981132075</x:v>
      </x:c>
      <x:c r="M290" s="32" t="n">
        <x:v>0.6471698113207547169811320755</x:v>
      </x:c>
      <x:c r="N290" s="32" t="n">
        <x:v>0.6650943396226415094339622642</x:v>
      </x:c>
      <x:c r="O290" s="32" t="n">
        <x:v>0.6632075471698113207547169811</x:v>
      </x:c>
      <x:c r="P290" s="32" t="n">
        <x:v>0.6655660377358490566037735849</x:v>
      </x:c>
      <x:c r="Q290" s="32" t="n">
        <x:v>0.6641509433962264150943396226</x:v>
      </x:c>
      <x:c r="R290" s="32" t="n">
        <x:v>0.6726415094339622641509433962</x:v>
      </x:c>
      <x:c r="S290" s="32" t="n">
        <x:v>0.6797169811320754716981132075</x:v>
      </x:c>
      <x:c r="T290" s="32" t="n">
        <x:v>0.6834905660377358490566037736</x:v>
      </x:c>
      <x:c r="U290" s="32" t="n">
        <x:v>0.6825471698113207547169811321</x:v>
      </x:c>
      <x:c r="V290" s="32" t="n">
        <x:v>0.6891509433962264150943396226</x:v>
      </x:c>
      <x:c r="W290" s="23" t="n">
        <x:v>0.7014150943396226415094339623</x:v>
      </x:c>
      <x:c r="X290" s="32" t="n">
        <x:v>0.7254716981132075471698113208</x:v>
      </x:c>
      <x:c r="Y290" s="32" t="n">
        <x:v>0.7358490566037735849056603774</x:v>
      </x:c>
      <x:c r="Z290" s="32" t="n">
        <x:v>0.8141509433962264150943396226</x:v>
      </x:c>
      <x:c r="AA290" s="32" t="n">
        <x:v>0.8919811320754716981132075472</x:v>
      </x:c>
      <x:c r="BI290" s="33" t="s"/>
      <x:c r="BJ290" s="11" t="s">
        <x:v>216</x:v>
      </x:c>
      <x:c r="BK290" s="12" t="str">
        <x:f>=BX290</x:f>
      </x:c>
      <x:c r="BL290" s="12" t="n">
        <x:v>0.7415094339622641509433962264</x:v>
      </x:c>
      <x:c r="BM290" s="12" t="n">
        <x:v>0.246226415094339622641509434</x:v>
      </x:c>
      <x:c r="BN290" s="12" t="n">
        <x:v>0.0122641509433962264150943396</x:v>
      </x:c>
      <x:c r="BO290" s="12" t="str">
        <x:f>=BW290</x:f>
      </x:c>
      <x:c r="BP290" s="12" t="str">
        <x:f>=CF290</x:f>
      </x:c>
      <x:c r="BQ290" s="12" t="str"/>
      <x:c r="BR290" s="12" t="str">
        <x:v>SS 2020 EOS</x:v>
      </x:c>
      <x:c r="BS290" s="13" t="str"/>
      <x:c r="BT290" s="30" t="n">
        <x:v>17067.05</x:v>
      </x:c>
      <x:c r="BU290" s="30" t="n">
        <x:v>-12257.00520</x:v>
      </x:c>
      <x:c r="BV290" s="30" t="str">
        <x:f>=BT290+BU290</x:f>
      </x:c>
      <x:c r="BW290" s="66" t="str">
        <x:f>=BV290/BT290</x:f>
      </x:c>
      <x:c r="BX290" s="66" t="n">
        <x:v>0.9877358490566037735849056604</x:v>
      </x:c>
      <x:c r="BY290" s="30" t="n">
        <x:v>11132.20</x:v>
      </x:c>
      <x:c r="BZ290" s="41" t="n">
        <x:v>26</x:v>
      </x:c>
      <x:c r="CA290" s="30" t="n">
        <x:v>136.52698113207547169811320755</x:v>
      </x:c>
      <x:c r="CC290" s="30" t="n">
        <x:v>17067.792452830188679245283019</x:v>
      </x:c>
      <x:c r="CD290" s="30" t="n">
        <x:v>-12257.00520</x:v>
      </x:c>
      <x:c r="CE290" s="30" t="str">
        <x:f>=CC290+CD290</x:f>
      </x:c>
      <x:c r="CF290" s="66" t="str">
        <x:f>=CE290/CC290</x:f>
      </x:c>
      <x:c r="CH290" s="66" t="str">
        <x:f>=CI290+CJ290</x:f>
      </x:c>
      <x:c r="CI290" s="66" t="str">
        <x:f>=BX290+(0*7)</x:f>
      </x:c>
      <x:c r="CJ290" s="66" t="str">
        <x:f>=(1-CI290)*0.5</x:f>
      </x:c>
      <x:c r="CK290" s="66" t="str">
        <x:f>=1-CH290</x:f>
      </x:c>
      <x:c r="CM290" s="66" t="str">
        <x:f>=CJ290/(1-CI290)</x:f>
      </x:c>
    </x:row>
    <x:row r="291">
      <x:c r="A291" s="31" t="s">
        <x:v>574</x:v>
      </x:c>
      <x:c r="B291" t="s"/>
      <x:c r="C291" t="s">
        <x:v>575</x:v>
      </x:c>
      <x:c r="D291" t="s">
        <x:v>118</x:v>
      </x:c>
      <x:c r="E291" s="69" t="s">
        <x:v>153</x:v>
      </x:c>
      <x:c r="F291" t="n">
        <x:v>785</x:v>
      </x:c>
      <x:c r="G291" s="32" t="n">
        <x:v>0.0675159235668789808917197452</x:v>
      </x:c>
      <x:c r="H291" s="32" t="n">
        <x:v>0.1286624203821656050955414013</x:v>
      </x:c>
      <x:c r="I291" s="32" t="n">
        <x:v>0.2038216560509554140127388535</x:v>
      </x:c>
      <x:c r="J291" s="32" t="n">
        <x:v>0.2662420382165605095541401274</x:v>
      </x:c>
      <x:c r="K291" s="32" t="n">
        <x:v>0.3031847133757961783439490446</x:v>
      </x:c>
      <x:c r="L291" s="32" t="n">
        <x:v>0.377070063694267515923566879</x:v>
      </x:c>
      <x:c r="M291" s="32" t="n">
        <x:v>0.3859872611464968152866242038</x:v>
      </x:c>
      <x:c r="N291" s="32" t="n">
        <x:v>0.4216560509554140127388535032</x:v>
      </x:c>
      <x:c r="O291" s="32" t="n">
        <x:v>0.4343949044585987261146496815</x:v>
      </x:c>
      <x:c r="P291" s="32" t="n">
        <x:v>0.445859872611464968152866242</x:v>
      </x:c>
      <x:c r="Q291" s="32" t="n">
        <x:v>0.4611464968152866242038216561</x:v>
      </x:c>
      <x:c r="R291" s="32" t="n">
        <x:v>0.4866242038216560509554140127</x:v>
      </x:c>
      <x:c r="S291" s="32" t="n">
        <x:v>0.5745222929936305732484076433</x:v>
      </x:c>
      <x:c r="T291" s="32" t="n">
        <x:v>0.6929936305732484076433121019</x:v>
      </x:c>
      <x:c r="U291" s="23" t="n">
        <x:v>0.7146496815286624203821656051</x:v>
      </x:c>
      <x:c r="V291" s="32" t="n">
        <x:v>0.7222929936305732484076433121</x:v>
      </x:c>
      <x:c r="W291" s="32" t="n">
        <x:v>0.7668789808917197452229299363</x:v>
      </x:c>
      <x:c r="X291" s="32" t="n">
        <x:v>0.8420382165605095541401273885</x:v>
      </x:c>
      <x:c r="Y291" s="32" t="n">
        <x:v>0.9044585987261146496815286624</x:v>
      </x:c>
      <x:c r="BI291" s="33" t="s"/>
      <x:c r="BJ291" s="11" t="s">
        <x:v>137</x:v>
      </x:c>
      <x:c r="BK291" s="12" t="str">
        <x:f>=BX291</x:f>
      </x:c>
      <x:c r="BL291" s="12" t="n">
        <x:v>0.9286624203821656050955414013</x:v>
      </x:c>
      <x:c r="BM291" s="12" t="n">
        <x:v>0.0598726114649681528662420382</x:v>
      </x:c>
      <x:c r="BN291" s="12" t="n">
        <x:v>0.0114649681528662420382165605</x:v>
      </x:c>
      <x:c r="BO291" s="12" t="str">
        <x:f>=BW291</x:f>
      </x:c>
      <x:c r="BP291" s="12" t="str">
        <x:f>=CF291</x:f>
      </x:c>
      <x:c r="BQ291" s="12" t="str"/>
      <x:c r="BR291" s="12" t="str">
        <x:v>SS 2020 EOS</x:v>
      </x:c>
      <x:c r="BS291" s="13" t="str"/>
      <x:c r="BT291" s="30" t="n">
        <x:v>2142.38</x:v>
      </x:c>
      <x:c r="BU291" s="30" t="n">
        <x:v>-1158.8360</x:v>
      </x:c>
      <x:c r="BV291" s="30" t="str">
        <x:f>=BT291+BU291</x:f>
      </x:c>
      <x:c r="BW291" s="66" t="str">
        <x:f>=BV291/BT291</x:f>
      </x:c>
      <x:c r="BX291" s="66" t="n">
        <x:v>0.9885350318471337579617834395</x:v>
      </x:c>
      <x:c r="BY291" s="30" t="n">
        <x:v>1100.80</x:v>
      </x:c>
      <x:c r="BZ291" s="41" t="n">
        <x:v>9</x:v>
      </x:c>
      <x:c r="CA291" s="30" t="n">
        <x:v>12.620636942675159235668789809</x:v>
      </x:c>
      <x:c r="CC291" s="30" t="n">
        <x:v>2143.2844585987261146496815287</x:v>
      </x:c>
      <x:c r="CD291" s="30" t="n">
        <x:v>-1158.8360</x:v>
      </x:c>
      <x:c r="CE291" s="30" t="str">
        <x:f>=CC291+CD291</x:f>
      </x:c>
      <x:c r="CF291" s="66" t="str">
        <x:f>=CE291/CC291</x:f>
      </x:c>
      <x:c r="CH291" s="66" t="str">
        <x:f>=CI291+CJ291</x:f>
      </x:c>
      <x:c r="CI291" s="66" t="str">
        <x:f>=BX291+(0*7)</x:f>
      </x:c>
      <x:c r="CJ291" s="66" t="str">
        <x:f>=(1-CI291)*0.5</x:f>
      </x:c>
      <x:c r="CK291" s="66" t="str">
        <x:f>=1-CH291</x:f>
      </x:c>
      <x:c r="CM291" s="66" t="str">
        <x:f>=CJ291/(1-CI291)</x:f>
      </x:c>
    </x:row>
    <x:row r="292">
      <x:c r="A292" s="31" t="s">
        <x:v>576</x:v>
      </x:c>
      <x:c r="B292" t="s"/>
      <x:c r="C292" t="s">
        <x:v>577</x:v>
      </x:c>
      <x:c r="D292" t="s">
        <x:v>274</x:v>
      </x:c>
      <x:c r="E292" s="69" t="s">
        <x:v>153</x:v>
      </x:c>
      <x:c r="F292" t="n">
        <x:v>1256</x:v>
      </x:c>
      <x:c r="G292" s="32" t="n">
        <x:v>0.0023885350318471337579617834</x:v>
      </x:c>
      <x:c r="H292" s="32" t="n">
        <x:v>0.0788216560509554140127388535</x:v>
      </x:c>
      <x:c r="I292" s="32" t="n">
        <x:v>0.1767515923566878980891719745</x:v>
      </x:c>
      <x:c r="J292" s="32" t="n">
        <x:v>0.2547770700636942675159235669</x:v>
      </x:c>
      <x:c r="K292" s="32" t="n">
        <x:v>0.3224522292993630573248407643</x:v>
      </x:c>
      <x:c r="L292" s="32" t="n">
        <x:v>0.3678343949044585987261146497</x:v>
      </x:c>
      <x:c r="M292" s="32" t="n">
        <x:v>0.3566878980891719745222929936</x:v>
      </x:c>
      <x:c r="N292" s="32" t="n">
        <x:v>0.4012738853503184713375796178</x:v>
      </x:c>
      <x:c r="O292" s="32" t="n">
        <x:v>0.4713375796178343949044585987</x:v>
      </x:c>
      <x:c r="P292" s="32" t="n">
        <x:v>0.5437898089171974522292993631</x:v>
      </x:c>
      <x:c r="Q292" s="32" t="n">
        <x:v>0.6234076433121019108280254777</x:v>
      </x:c>
      <x:c r="R292" s="32" t="n">
        <x:v>0.6552547770700636942675159236</x:v>
      </x:c>
      <x:c r="S292" s="32" t="n">
        <x:v>0.6839171974522292993630573248</x:v>
      </x:c>
      <x:c r="T292" s="23" t="n">
        <x:v>0.7078025477707006369426751592</x:v>
      </x:c>
      <x:c r="U292" s="32" t="n">
        <x:v>0.7579617834394904458598726115</x:v>
      </x:c>
      <x:c r="V292" s="32" t="n">
        <x:v>0.8184713375796178343949044586</x:v>
      </x:c>
      <x:c r="W292" s="32" t="n">
        <x:v>0.8550955414012738853503184713</x:v>
      </x:c>
      <x:c r="X292" s="32" t="n">
        <x:v>0.8742038216560509554140127389</x:v>
      </x:c>
      <x:c r="Y292" s="32" t="n">
        <x:v>0.9004777070063694267515923567</x:v>
      </x:c>
      <x:c r="BI292" s="33" t="s"/>
      <x:c r="BJ292" s="11" t="s">
        <x:v>137</x:v>
      </x:c>
      <x:c r="BK292" s="12" t="str">
        <x:f>=BX292</x:f>
      </x:c>
      <x:c r="BL292" s="12" t="n">
        <x:v>0.8718152866242038216560509554</x:v>
      </x:c>
      <x:c r="BM292" s="12" t="n">
        <x:v>0.0947452229299363057324840764</x:v>
      </x:c>
      <x:c r="BN292" s="12" t="n">
        <x:v>0.0334394904458598726114649682</x:v>
      </x:c>
      <x:c r="BO292" s="12" t="str">
        <x:f>=BW292</x:f>
      </x:c>
      <x:c r="BP292" s="12" t="str">
        <x:f>=CF292</x:f>
      </x:c>
      <x:c r="BQ292" s="12" t="str"/>
      <x:c r="BR292" s="12" t="str">
        <x:v>SS 2020 EOS</x:v>
      </x:c>
      <x:c r="BS292" s="13" t="str"/>
      <x:c r="BT292" s="30" t="n">
        <x:v>10008.97</x:v>
      </x:c>
      <x:c r="BU292" s="30" t="n">
        <x:v>-6520.23750</x:v>
      </x:c>
      <x:c r="BV292" s="30" t="str">
        <x:f>=BT292+BU292</x:f>
      </x:c>
      <x:c r="BW292" s="66" t="str">
        <x:f>=BV292/BT292</x:f>
      </x:c>
      <x:c r="BX292" s="66" t="n">
        <x:v>0.9665605095541401273885350318</x:v>
      </x:c>
      <x:c r="BY292" s="30" t="n">
        <x:v>5899.75</x:v>
      </x:c>
      <x:c r="BZ292" s="41" t="n">
        <x:v>42</x:v>
      </x:c>
      <x:c r="CA292" s="30" t="n">
        <x:v>197.28463375796178343949044586</x:v>
      </x:c>
      <x:c r="CC292" s="30" t="n">
        <x:v>10009.870477707006369426751592</x:v>
      </x:c>
      <x:c r="CD292" s="30" t="n">
        <x:v>-6520.23750</x:v>
      </x:c>
      <x:c r="CE292" s="30" t="str">
        <x:f>=CC292+CD292</x:f>
      </x:c>
      <x:c r="CF292" s="66" t="str">
        <x:f>=CE292/CC292</x:f>
      </x:c>
      <x:c r="CH292" s="66" t="str">
        <x:f>=CI292+CJ292</x:f>
      </x:c>
      <x:c r="CI292" s="66" t="str">
        <x:f>=BX292+(0*7)</x:f>
      </x:c>
      <x:c r="CJ292" s="66" t="str">
        <x:f>=(1-CI292)*0.5</x:f>
      </x:c>
      <x:c r="CK292" s="66" t="str">
        <x:f>=1-CH292</x:f>
      </x:c>
      <x:c r="CM292" s="66" t="str">
        <x:f>=CJ292/(1-CI292)</x:f>
      </x:c>
    </x:row>
    <x:row r="293">
      <x:c r="A293" s="31" t="s">
        <x:v>578</x:v>
      </x:c>
      <x:c r="B293" t="s"/>
      <x:c r="C293" t="s">
        <x:v>579</x:v>
      </x:c>
      <x:c r="D293" t="s">
        <x:v>130</x:v>
      </x:c>
      <x:c r="E293" s="69" t="s">
        <x:v>153</x:v>
      </x:c>
      <x:c r="F293" t="n">
        <x:v>1092</x:v>
      </x:c>
      <x:c r="G293" s="32" t="n">
        <x:v>0.0256410256410256410256410256</x:v>
      </x:c>
      <x:c r="H293" s="32" t="n">
        <x:v>0.0888278388278388278388278388</x:v>
      </x:c>
      <x:c r="I293" s="32" t="n">
        <x:v>0.1730769230769230769230769231</x:v>
      </x:c>
      <x:c r="J293" s="32" t="n">
        <x:v>0.2445054945054945054945054945</x:v>
      </x:c>
      <x:c r="K293" s="32" t="n">
        <x:v>0.3177655677655677655677655678</x:v>
      </x:c>
      <x:c r="L293" s="32" t="n">
        <x:v>0.3131868131868131868131868132</x:v>
      </x:c>
      <x:c r="M293" s="32" t="n">
        <x:v>0.3278388278388278388278388278</x:v>
      </x:c>
      <x:c r="N293" s="32" t="n">
        <x:v>0.4267399267399267399267399267</x:v>
      </x:c>
      <x:c r="O293" s="23" t="n">
        <x:v>0.728021978021978021978021978</x:v>
      </x:c>
      <x:c r="P293" s="32" t="n">
        <x:v>0.9194139194139194139194139194</x:v>
      </x:c>
      <x:c r="Q293" s="32" t="n">
        <x:v>0.9276556776556776556776556777</x:v>
      </x:c>
      <x:c r="R293" s="32" t="n">
        <x:v>0.9404761904761904761904761905</x:v>
      </x:c>
      <x:c r="S293" s="32" t="n">
        <x:v>0.9532967032967032967032967033</x:v>
      </x:c>
      <x:c r="T293" s="32" t="n">
        <x:v>0.9587912087912087912087912088</x:v>
      </x:c>
      <x:c r="U293" s="32" t="n">
        <x:v>0.9615384615384615384615384615</x:v>
      </x:c>
      <x:c r="V293" s="32" t="n">
        <x:v>0.9679487179487179487179487179</x:v>
      </x:c>
      <x:c r="W293" s="32" t="n">
        <x:v>0.9725274725274725274725274725</x:v>
      </x:c>
      <x:c r="X293" s="32" t="n">
        <x:v>0.9716117216117216117216117216</x:v>
      </x:c>
      <x:c r="BI293" s="33" t="s"/>
      <x:c r="BJ293" s="11" t="s">
        <x:v>467</x:v>
      </x:c>
      <x:c r="BK293" s="12" t="str">
        <x:f>=BX293</x:f>
      </x:c>
      <x:c r="BL293" s="12" t="n">
        <x:v>0.9743589743589743589743589744</x:v>
      </x:c>
      <x:c r="BM293" s="12" t="n">
        <x:v>0.0256410256410256410256410256</x:v>
      </x:c>
      <x:c r="BN293" s="12" t="n">
        <x:v>0</x:v>
      </x:c>
      <x:c r="BO293" s="12" t="str">
        <x:f>=BW293</x:f>
      </x:c>
      <x:c r="BP293" s="12" t="str">
        <x:f>=CF293</x:f>
      </x:c>
      <x:c r="BQ293" s="12" t="str"/>
      <x:c r="BR293" s="12" t="str">
        <x:v>SS 2020 EOS</x:v>
      </x:c>
      <x:c r="BS293" s="13" t="str"/>
      <x:c r="BT293" s="30" t="n">
        <x:v>7734.09</x:v>
      </x:c>
      <x:c r="BU293" s="30" t="n">
        <x:v>-5112.01846341940000000000</x:v>
      </x:c>
      <x:c r="BV293" s="30" t="str">
        <x:f>=BT293+BU293</x:f>
      </x:c>
      <x:c r="BW293" s="66" t="str">
        <x:f>=BV293/BT293</x:f>
      </x:c>
      <x:c r="BX293" s="66" t="n">
        <x:v>1</x:v>
      </x:c>
      <x:c r="BY293" s="30" t="n">
        <x:v>5220.025220020000000000</x:v>
      </x:c>
      <x:c r="BZ293" s="41" t="n">
        <x:v>0</x:v>
      </x:c>
      <x:c r="CA293" s="30" t="n">
        <x:v>0</x:v>
      </x:c>
      <x:c r="CC293" s="30" t="n">
        <x:v>7735.0616117216117216117216117</x:v>
      </x:c>
      <x:c r="CD293" s="30" t="n">
        <x:v>-5112.01846341940000000000</x:v>
      </x:c>
      <x:c r="CE293" s="30" t="str">
        <x:f>=CC293+CD293</x:f>
      </x:c>
      <x:c r="CF293" s="66" t="str">
        <x:f>=CE293/CC293</x:f>
      </x:c>
      <x:c r="CH293" s="66" t="str">
        <x:f>=CI293+CJ293</x:f>
      </x:c>
      <x:c r="CI293" s="66" t="str">
        <x:f>=BX293+(0*7)</x:f>
      </x:c>
      <x:c r="CJ293" s="66" t="str">
        <x:f>=(1-CI293)*0.5</x:f>
      </x:c>
      <x:c r="CK293" s="66" t="str">
        <x:f>=1-CH293</x:f>
      </x:c>
      <x:c r="CM293" s="66" t="str">
        <x:f>=CJ293/(1-CI293)</x:f>
      </x:c>
    </x:row>
    <x:row r="294">
      <x:c r="A294" s="31" t="s">
        <x:v>580</x:v>
      </x:c>
      <x:c r="B294" t="s"/>
      <x:c r="C294" t="s">
        <x:v>581</x:v>
      </x:c>
      <x:c r="D294" t="s">
        <x:v>118</x:v>
      </x:c>
      <x:c r="E294" s="69" t="s">
        <x:v>153</x:v>
      </x:c>
      <x:c r="F294" t="n">
        <x:v>1999</x:v>
      </x:c>
      <x:c r="G294" s="32" t="n">
        <x:v>0.0180090045022511255627813907</x:v>
      </x:c>
      <x:c r="H294" s="32" t="n">
        <x:v>0.0475237618809404702351175588</x:v>
      </x:c>
      <x:c r="I294" s="32" t="n">
        <x:v>0.0770385192596298149074537269</x:v>
      </x:c>
      <x:c r="J294" s="32" t="n">
        <x:v>0.1065532766383191595797898949</x:v>
      </x:c>
      <x:c r="K294" s="32" t="n">
        <x:v>0.1050525262631315657828914457</x:v>
      </x:c>
      <x:c r="L294" s="32" t="n">
        <x:v>0.1100550275137568784392196098</x:v>
      </x:c>
      <x:c r="M294" s="32" t="n">
        <x:v>0.1770885442721360680340170085</x:v>
      </x:c>
      <x:c r="N294" s="32" t="n">
        <x:v>0.3066533266633316658329164582</x:v>
      </x:c>
      <x:c r="O294" s="32" t="n">
        <x:v>0.4257128564282141070535267634</x:v>
      </x:c>
      <x:c r="P294" s="32" t="n">
        <x:v>0.460730365182591295647823912</x:v>
      </x:c>
      <x:c r="Q294" s="32" t="n">
        <x:v>0.4547273636818409204602301151</x:v>
      </x:c>
      <x:c r="R294" s="32" t="n">
        <x:v>0.4647323661830915457728864432</x:v>
      </x:c>
      <x:c r="S294" s="32" t="n">
        <x:v>0.4872436218109054527263631816</x:v>
      </x:c>
      <x:c r="T294" s="32" t="n">
        <x:v>0.5017508754377188594297148574</x:v>
      </x:c>
      <x:c r="U294" s="32" t="n">
        <x:v>0.525762881440720360180090045</x:v>
      </x:c>
      <x:c r="V294" s="32" t="n">
        <x:v>0.6143071535767883941970985493</x:v>
      </x:c>
      <x:c r="W294" s="23" t="n">
        <x:v>0.7068534267133566783391695848</x:v>
      </x:c>
      <x:c r="BI294" s="33" t="s"/>
      <x:c r="BJ294" s="11" t="s">
        <x:v>154</x:v>
      </x:c>
      <x:c r="BK294" s="12" t="str">
        <x:f>=BX294</x:f>
      </x:c>
      <x:c r="BL294" s="12" t="n">
        <x:v>0.6618309154577288644322161081</x:v>
      </x:c>
      <x:c r="BM294" s="12" t="n">
        <x:v>0.3056528264132066033016508254</x:v>
      </x:c>
      <x:c r="BN294" s="12" t="n">
        <x:v>0.0325162581290645322661330665</x:v>
      </x:c>
      <x:c r="BO294" s="12" t="str">
        <x:f>=BW294</x:f>
      </x:c>
      <x:c r="BP294" s="12" t="str">
        <x:f>=CF294</x:f>
      </x:c>
      <x:c r="BQ294" s="12" t="str"/>
      <x:c r="BR294" s="12" t="str">
        <x:v>SS 2020 EOS</x:v>
      </x:c>
      <x:c r="BS294" s="13" t="str"/>
      <x:c r="BT294" s="30" t="n">
        <x:v>11446.41</x:v>
      </x:c>
      <x:c r="BU294" s="30" t="n">
        <x:v>-9289.9718</x:v>
      </x:c>
      <x:c r="BV294" s="30" t="str">
        <x:f>=BT294+BU294</x:f>
      </x:c>
      <x:c r="BW294" s="66" t="str">
        <x:f>=BV294/BT294</x:f>
      </x:c>
      <x:c r="BX294" s="66" t="n">
        <x:v>0.9674837418709354677338669335</x:v>
      </x:c>
      <x:c r="BY294" s="30" t="n">
        <x:v>9041.27</x:v>
      </x:c>
      <x:c r="BZ294" s="41" t="n">
        <x:v>65</x:v>
      </x:c>
      <x:c r="CA294" s="30" t="n">
        <x:v>293.98826913456728364182091046</x:v>
      </x:c>
      <x:c r="CC294" s="30" t="n">
        <x:v>11447.058824412206103051525763</x:v>
      </x:c>
      <x:c r="CD294" s="30" t="n">
        <x:v>-9289.9718</x:v>
      </x:c>
      <x:c r="CE294" s="30" t="str">
        <x:f>=CC294+CD294</x:f>
      </x:c>
      <x:c r="CF294" s="66" t="str">
        <x:f>=CE294/CC294</x:f>
      </x:c>
      <x:c r="CH294" s="66" t="str">
        <x:f>=CI294+CJ294</x:f>
      </x:c>
      <x:c r="CI294" s="66" t="str">
        <x:f>=BX294+(0*7)</x:f>
      </x:c>
      <x:c r="CJ294" s="66" t="str">
        <x:f>=(1-CI294)*0.5</x:f>
      </x:c>
      <x:c r="CK294" s="66" t="str">
        <x:f>=1-CH294</x:f>
      </x:c>
      <x:c r="CM294" s="66" t="str">
        <x:f>=CJ294/(1-CI294)</x:f>
      </x:c>
    </x:row>
    <x:row r="295">
      <x:c r="A295" s="31" t="s">
        <x:v>582</x:v>
      </x:c>
      <x:c r="B295" t="s"/>
      <x:c r="C295" t="s">
        <x:v>583</x:v>
      </x:c>
      <x:c r="D295" t="s">
        <x:v>147</x:v>
      </x:c>
      <x:c r="E295" s="69" t="s">
        <x:v>153</x:v>
      </x:c>
      <x:c r="F295" t="n">
        <x:v>3078</x:v>
      </x:c>
      <x:c r="G295" s="32" t="n">
        <x:v>0.0272904483430799220272904483</x:v>
      </x:c>
      <x:c r="H295" s="32" t="n">
        <x:v>0.0847953216374269005847953216</x:v>
      </x:c>
      <x:c r="I295" s="32" t="n">
        <x:v>0.1254061078622482131254061079</x:v>
      </x:c>
      <x:c r="J295" s="32" t="n">
        <x:v>0.1276803118908382066276803119</x:v>
      </x:c>
      <x:c r="K295" s="32" t="n">
        <x:v>0.1653671215074723846653671215</x:v>
      </x:c>
      <x:c r="L295" s="32" t="n">
        <x:v>0.1920077972709551656920077973</x:v>
      </x:c>
      <x:c r="M295" s="32" t="n">
        <x:v>0.1907082521117608836907082521</x:v>
      </x:c>
      <x:c r="N295" s="32" t="n">
        <x:v>0.1926575698505523066926575699</x:v>
      </x:c>
      <x:c r="O295" s="32" t="n">
        <x:v>0.2050032488628979857050032489</x:v>
      </x:c>
      <x:c r="P295" s="32" t="n">
        <x:v>0.2706302794022092267706302794</x:v>
      </x:c>
      <x:c r="Q295" s="32" t="n">
        <x:v>0.3482781026640675763482781027</x:v>
      </x:c>
      <x:c r="R295" s="32" t="n">
        <x:v>0.3658219623131903833658219623</x:v>
      </x:c>
      <x:c r="S295" s="32" t="n">
        <x:v>0.3983105912930474333983105913</x:v>
      </x:c>
      <x:c r="T295" s="32" t="n">
        <x:v>0.4389213775178687459389213775</x:v>
      </x:c>
      <x:c r="U295" s="32" t="n">
        <x:v>0.4957764782326185834957764782</x:v>
      </x:c>
      <x:c r="V295" s="32" t="n">
        <x:v>0.5503573749187784275503573749</x:v>
      </x:c>
      <x:c r="BI295" s="33" t="s"/>
      <x:c r="BJ295" s="11" t="s">
        <x:v>120</x:v>
      </x:c>
      <x:c r="BK295" s="12" t="str">
        <x:f>=BX295</x:f>
      </x:c>
      <x:c r="BL295" s="12" t="n">
        <x:v>0.6338531513970110461338531514</x:v>
      </x:c>
      <x:c r="BM295" s="12" t="n">
        <x:v>0.3239116309291747888239116309</x:v>
      </x:c>
      <x:c r="BN295" s="12" t="n">
        <x:v>0.0422352176738141650422352177</x:v>
      </x:c>
      <x:c r="BO295" s="12" t="str">
        <x:f>=BW295</x:f>
      </x:c>
      <x:c r="BP295" s="12" t="str">
        <x:f>=CF295</x:f>
      </x:c>
      <x:c r="BQ295" s="12" t="str"/>
      <x:c r="BR295" s="12" t="str">
        <x:v>SS 2020 EOS</x:v>
      </x:c>
      <x:c r="BS295" s="13" t="str"/>
      <x:c r="BT295" s="30" t="n">
        <x:v>10414.57</x:v>
      </x:c>
      <x:c r="BU295" s="30" t="n">
        <x:v>-7775.6192</x:v>
      </x:c>
      <x:c r="BV295" s="30" t="str">
        <x:f>=BT295+BU295</x:f>
      </x:c>
      <x:c r="BW295" s="66" t="str">
        <x:f>=BV295/BT295</x:f>
      </x:c>
      <x:c r="BX295" s="66" t="n">
        <x:v>0.9577647823261858349577647823</x:v>
      </x:c>
      <x:c r="BY295" s="30" t="n">
        <x:v>7248.05</x:v>
      </x:c>
      <x:c r="BZ295" s="41" t="n">
        <x:v>130</x:v>
      </x:c>
      <x:c r="CA295" s="30" t="n">
        <x:v>306.12296946068875893437296946</x:v>
      </x:c>
      <x:c r="CC295" s="30" t="n">
        <x:v>10415.119382716049382716049383</x:v>
      </x:c>
      <x:c r="CD295" s="30" t="n">
        <x:v>-7775.6192</x:v>
      </x:c>
      <x:c r="CE295" s="30" t="str">
        <x:f>=CC295+CD295</x:f>
      </x:c>
      <x:c r="CF295" s="66" t="str">
        <x:f>=CE295/CC295</x:f>
      </x:c>
      <x:c r="CH295" s="66" t="str">
        <x:f>=CI295+CJ295</x:f>
      </x:c>
      <x:c r="CI295" s="66" t="str">
        <x:f>=BX295+(0*7)</x:f>
      </x:c>
      <x:c r="CJ295" s="66" t="str">
        <x:f>=(1-CI295)*0.5</x:f>
      </x:c>
      <x:c r="CK295" s="66" t="str">
        <x:f>=1-CH295</x:f>
      </x:c>
      <x:c r="CM295" s="66" t="str">
        <x:f>=CJ295/(1-CI295)</x:f>
      </x:c>
    </x:row>
    <x:row r="296">
      <x:c r="A296" s="31" t="s">
        <x:v>584</x:v>
      </x:c>
      <x:c r="B296" t="s"/>
      <x:c r="C296" t="s">
        <x:v>585</x:v>
      </x:c>
      <x:c r="D296" t="s">
        <x:v>118</x:v>
      </x:c>
      <x:c r="E296" s="69" t="s">
        <x:v>153</x:v>
      </x:c>
      <x:c r="F296" t="n">
        <x:v>2959</x:v>
      </x:c>
      <x:c r="G296" s="32" t="n">
        <x:v>0.0371747211895910780669144981</x:v>
      </x:c>
      <x:c r="H296" s="32" t="n">
        <x:v>0.0354849611355187563366002028</x:v>
      </x:c>
      <x:c r="I296" s="32" t="n">
        <x:v>0.0327813450490030415680973302</x:v>
      </x:c>
      <x:c r="J296" s="32" t="n">
        <x:v>0.0898952348766475160527205137</x:v>
      </x:c>
      <x:c r="K296" s="32" t="n">
        <x:v>0.1990537343697194998310239946</x:v>
      </x:c>
      <x:c r="L296" s="32" t="n">
        <x:v>0.2666441365326123690435958094</x:v>
      </x:c>
      <x:c r="M296" s="32" t="n">
        <x:v>0.3511321392362284555593105779</x:v>
      </x:c>
      <x:c r="N296" s="32" t="n">
        <x:v>0.4207502534640081108482595471</x:v>
      </x:c>
      <x:c r="O296" s="32" t="n">
        <x:v>0.5549172017573504562352145995</x:v>
      </x:c>
      <x:c r="P296" s="32" t="n">
        <x:v>0.6657654613044947617438323758</x:v>
      </x:c>
      <x:c r="Q296" s="23" t="n">
        <x:v>0.8063534978033119297059817506</x:v>
      </x:c>
      <x:c r="R296" s="32" t="n">
        <x:v>0.8749577559986481919567421426</x:v>
      </x:c>
      <x:c r="S296" s="32" t="n">
        <x:v>0.9111186211557958769854680635</x:v>
      </x:c>
      <x:c r="T296" s="32" t="n">
        <x:v>0.9236228455559310577897938493</x:v>
      </x:c>
      <x:c r="BI296" s="33" t="s"/>
      <x:c r="BJ296" s="11" t="s">
        <x:v>123</x:v>
      </x:c>
      <x:c r="BK296" s="12" t="str">
        <x:f>=BX296</x:f>
      </x:c>
      <x:c r="BL296" s="12" t="n">
        <x:v>0.9307198377830348090571138898</x:v>
      </x:c>
      <x:c r="BM296" s="12" t="n">
        <x:v>0.0672524501520784048665089557</x:v>
      </x:c>
      <x:c r="BN296" s="12" t="n">
        <x:v>0.0020277120648867860763771544</x:v>
      </x:c>
      <x:c r="BO296" s="12" t="str">
        <x:f>=BW296</x:f>
      </x:c>
      <x:c r="BP296" s="12" t="str">
        <x:f>=CF296</x:f>
      </x:c>
      <x:c r="BQ296" s="12" t="str"/>
      <x:c r="BR296" s="12" t="str">
        <x:v>SS 2020 EOS</x:v>
      </x:c>
      <x:c r="BS296" s="13" t="str"/>
      <x:c r="BT296" s="30" t="n">
        <x:v>35482.54</x:v>
      </x:c>
      <x:c r="BU296" s="30" t="n">
        <x:v>-20297.9166</x:v>
      </x:c>
      <x:c r="BV296" s="30" t="str">
        <x:f>=BT296+BU296</x:f>
      </x:c>
      <x:c r="BW296" s="66" t="str">
        <x:f>=BV296/BT296</x:f>
      </x:c>
      <x:c r="BX296" s="66" t="n">
        <x:v>0.9979722879351132139236228456</x:v>
      </x:c>
      <x:c r="BY296" s="30" t="n">
        <x:v>20379.95</x:v>
      </x:c>
      <x:c r="BZ296" s="41" t="n">
        <x:v>6</x:v>
      </x:c>
      <x:c r="CA296" s="30" t="n">
        <x:v>41.324670496789455897262588712</x:v>
      </x:c>
      <x:c r="CC296" s="30" t="n">
        <x:v>35483.463622845555931057789794</x:v>
      </x:c>
      <x:c r="CD296" s="30" t="n">
        <x:v>-20297.9166</x:v>
      </x:c>
      <x:c r="CE296" s="30" t="str">
        <x:f>=CC296+CD296</x:f>
      </x:c>
      <x:c r="CF296" s="66" t="str">
        <x:f>=CE296/CC296</x:f>
      </x:c>
      <x:c r="CH296" s="66" t="str">
        <x:f>=CI296+CJ296</x:f>
      </x:c>
      <x:c r="CI296" s="66" t="str">
        <x:f>=BX296+(0*7)</x:f>
      </x:c>
      <x:c r="CJ296" s="66" t="str">
        <x:f>=(1-CI296)*0.5</x:f>
      </x:c>
      <x:c r="CK296" s="66" t="str">
        <x:f>=1-CH296</x:f>
      </x:c>
      <x:c r="CM296" s="66" t="str">
        <x:f>=CJ296/(1-CI296)</x:f>
      </x:c>
    </x:row>
    <x:row r="297">
      <x:c r="A297" s="31" t="s">
        <x:v>586</x:v>
      </x:c>
      <x:c r="B297" t="s"/>
      <x:c r="C297" t="s">
        <x:v>587</x:v>
      </x:c>
      <x:c r="D297" t="s">
        <x:v>274</x:v>
      </x:c>
      <x:c r="E297" s="69" t="s">
        <x:v>153</x:v>
      </x:c>
      <x:c r="F297" t="n">
        <x:v>3091</x:v>
      </x:c>
      <x:c r="G297" s="32" t="n">
        <x:v>0.0359107085085732772565512779</x:v>
      </x:c>
      <x:c r="H297" s="32" t="n">
        <x:v>0.0339695891297314784859268845</x:v>
      </x:c>
      <x:c r="I297" s="32" t="n">
        <x:v>0.0304108702685215140731154966</x:v>
      </x:c>
      <x:c r="J297" s="32" t="n">
        <x:v>0.0501455839534131349077968295</x:v>
      </x:c>
      <x:c r="K297" s="32" t="n">
        <x:v>0.0598511808476221287609187965</x:v>
      </x:c>
      <x:c r="L297" s="32" t="n">
        <x:v>0.0896150113231963765771594953</x:v>
      </x:c>
      <x:c r="M297" s="32" t="n">
        <x:v>0.152054351342607570365577483</x:v>
      </x:c>
      <x:c r="N297" s="32" t="n">
        <x:v>0.2164348107408605629246198641</x:v>
      </x:c>
      <x:c r="O297" s="32" t="n">
        <x:v>0.2659333549013264315755418958</x:v>
      </x:c>
      <x:c r="P297" s="32" t="n">
        <x:v>0.2960207052733743125202199935</x:v>
      </x:c>
      <x:c r="Q297" s="32" t="n">
        <x:v>0.3193141378194758977677127143</x:v>
      </x:c>
      <x:c r="R297" s="32" t="n">
        <x:v>0.3701067615658362989323843416</x:v>
      </x:c>
      <x:c r="S297" s="32" t="n">
        <x:v>0.4348107408605629246198641216</x:v>
      </x:c>
      <x:c r="T297" s="32" t="n">
        <x:v>0.4684568100938207699773536072</x:v>
      </x:c>
      <x:c r="BI297" s="33" t="s"/>
      <x:c r="BJ297" s="11" t="s">
        <x:v>123</x:v>
      </x:c>
      <x:c r="BK297" s="12" t="str">
        <x:f>=BX297</x:f>
      </x:c>
      <x:c r="BL297" s="12" t="n">
        <x:v>0.4600452927855063086379812358</x:v>
      </x:c>
      <x:c r="BM297" s="12" t="n">
        <x:v>0.4784859268845033969589129731</x:v>
      </x:c>
      <x:c r="BN297" s="12" t="n">
        <x:v>0.061468780329990294403105791</x:v>
      </x:c>
      <x:c r="BO297" s="12" t="str">
        <x:f>=BW297</x:f>
      </x:c>
      <x:c r="BP297" s="12" t="str">
        <x:f>=CF297</x:f>
      </x:c>
      <x:c r="BQ297" s="12" t="str"/>
      <x:c r="BR297" s="12" t="str">
        <x:v>SS 2020 EOS</x:v>
      </x:c>
      <x:c r="BS297" s="13" t="str"/>
      <x:c r="BT297" s="30" t="n">
        <x:v>32774.19</x:v>
      </x:c>
      <x:c r="BU297" s="30" t="n">
        <x:v>-26841.64650</x:v>
      </x:c>
      <x:c r="BV297" s="30" t="str">
        <x:f>=BT297+BU297</x:f>
      </x:c>
      <x:c r="BW297" s="66" t="str">
        <x:f>=BV297/BT297</x:f>
      </x:c>
      <x:c r="BX297" s="66" t="n">
        <x:v>0.938531219670009705596894209</x:v>
      </x:c>
      <x:c r="BY297" s="30" t="n">
        <x:v>24646.25</x:v>
      </x:c>
      <x:c r="BZ297" s="41" t="n">
        <x:v>190</x:v>
      </x:c>
      <x:c r="CA297" s="30" t="n">
        <x:v>1514.9749272080232934325461016</x:v>
      </x:c>
      <x:c r="CC297" s="30" t="n">
        <x:v>32774.658456810093820769977354</x:v>
      </x:c>
      <x:c r="CD297" s="30" t="n">
        <x:v>-26841.64650</x:v>
      </x:c>
      <x:c r="CE297" s="30" t="str">
        <x:f>=CC297+CD297</x:f>
      </x:c>
      <x:c r="CF297" s="66" t="str">
        <x:f>=CE297/CC297</x:f>
      </x:c>
      <x:c r="CH297" s="66" t="str">
        <x:f>=CI297+CJ297</x:f>
      </x:c>
      <x:c r="CI297" s="66" t="str">
        <x:f>=BX297+(0*7)</x:f>
      </x:c>
      <x:c r="CJ297" s="66" t="str">
        <x:f>=(1-CI297)*0.5</x:f>
      </x:c>
      <x:c r="CK297" s="66" t="str">
        <x:f>=1-CH297</x:f>
      </x:c>
      <x:c r="CM297" s="66" t="str">
        <x:f>=CJ297/(1-CI297)</x:f>
      </x:c>
    </x:row>
    <x:row r="298">
      <x:c r="BI298" s="33" t="s"/>
      <x:c r="BJ298" s="11" t="s"/>
      <x:c r="BS298" s="13" t="s"/>
    </x:row>
    <x:row r="299">
      <x:c r="A299" s="35" t="s">
        <x:v>126</x:v>
      </x:c>
      <x:c r="BI299" s="33" t="s"/>
      <x:c r="BJ299" s="11" t="s"/>
      <x:c r="BS299" s="13" t="s"/>
    </x:row>
    <x:row r="300">
      <x:c r="A300" s="17" t="s">
        <x:v>127</x:v>
      </x:c>
      <x:c r="BI300" s="33" t="s"/>
      <x:c r="BJ300" s="11" t="s"/>
      <x:c r="BS300" s="13" t="s"/>
    </x:row>
    <x:row r="301">
      <x:c r="A301" s="31" t="s">
        <x:v>588</x:v>
      </x:c>
      <x:c r="B301" t="s"/>
      <x:c r="C301" t="s">
        <x:v>589</x:v>
      </x:c>
      <x:c r="D301" t="s">
        <x:v>147</x:v>
      </x:c>
      <x:c r="E301" s="67" t="s">
        <x:v>131</x:v>
      </x:c>
      <x:c r="F301" t="n">
        <x:v>2726</x:v>
      </x:c>
      <x:c r="G301" s="32" t="n">
        <x:v>0.0818048422597212032281731475</x:v>
      </x:c>
      <x:c r="H301" s="32" t="n">
        <x:v>0.2190022010271460014673514307</x:v>
      </x:c>
      <x:c r="I301" s="32" t="n">
        <x:v>0.2410124724871606749816581071</x:v>
      </x:c>
      <x:c r="J301" s="32" t="n">
        <x:v>0.2564196625091709464416727806</x:v>
      </x:c>
      <x:c r="K301" s="32" t="n">
        <x:v>0.2498165810711665443873807777</x:v>
      </x:c>
      <x:c r="L301" s="32" t="n">
        <x:v>0.2589875275128393250183418929</x:v>
      </x:c>
      <x:c r="M301" s="32" t="n">
        <x:v>0.2597212032281731474688187821</x:v>
      </x:c>
      <x:c r="N301" s="32" t="n">
        <x:v>0.2622890682318415260454878944</x:v>
      </x:c>
      <x:c r="O301" s="32" t="n">
        <x:v>0.2586206896551724137931034483</x:v>
      </x:c>
      <x:c r="P301" s="32" t="n">
        <x:v>0.2593543653705062362435803375</x:v>
      </x:c>
      <x:c r="Q301" s="32" t="n">
        <x:v>0.2648569332355099046221570066</x:v>
      </x:c>
      <x:c r="R301" s="32" t="n">
        <x:v>0.2721936903888481291269258988</x:v>
      </x:c>
      <x:c r="S301" s="32" t="n">
        <x:v>0.2817314746881878209831254585</x:v>
      </x:c>
      <x:c r="T301" s="32" t="n">
        <x:v>0.2912692589875275128393250183</x:v>
      </x:c>
      <x:c r="U301" s="32" t="n">
        <x:v>0.301907556859867938371239912</x:v>
      </x:c>
      <x:c r="V301" s="32" t="n">
        <x:v>0.3147468818782098312545854732</x:v>
      </x:c>
      <x:c r="W301" s="32" t="n">
        <x:v>0.3268525311812179016874541453</x:v>
      </x:c>
      <x:c r="X301" s="32" t="n">
        <x:v>0.3312545854732208363903154806</x:v>
      </x:c>
      <x:c r="Y301" s="32" t="n">
        <x:v>0.3444607483492296404988994864</x:v>
      </x:c>
      <x:c r="Z301" s="32" t="n">
        <x:v>0.3609684519442406456346294938</x:v>
      </x:c>
      <x:c r="AA301" s="32" t="n">
        <x:v>0.3675715333822450476889214967</x:v>
      </x:c>
      <x:c r="AB301" s="32" t="n">
        <x:v>0.3675715333822450476889214967</x:v>
      </x:c>
      <x:c r="AC301" s="32" t="n">
        <x:v>0.3745414526779163609684519442</x:v>
      </x:c>
      <x:c r="AD301" s="32" t="n">
        <x:v>0.3851797505502567865003668379</x:v>
      </x:c>
      <x:c r="AE301" s="32" t="n">
        <x:v>0.4108584005869405722670579604</x:v>
      </x:c>
      <x:c r="AF301" s="32" t="n">
        <x:v>0.4229640498899486426999266324</x:v>
      </x:c>
      <x:c r="AG301" s="32" t="n">
        <x:v>0.4350696991929567131327953045</x:v>
      </x:c>
      <x:c r="AH301" s="32" t="n">
        <x:v>0.4405722670579603815113719736</x:v>
      </x:c>
      <x:c r="AI301" s="32" t="n">
        <x:v>0.4581804842259721203228173147</x:v>
      </x:c>
      <x:c r="AJ301" s="32" t="n">
        <x:v>0.4515774027879677182685253118</x:v>
      </x:c>
      <x:c r="AK301" s="32" t="n">
        <x:v>0.452311078503301540719002201</x:v>
      </x:c>
      <x:c r="AL301" s="32" t="n">
        <x:v>0.4512105649303008070432868672</x:v>
      </x:c>
      <x:c r="AM301" s="32" t="n">
        <x:v>0.450476889214966984592809978</x:v>
      </x:c>
      <x:c r="AN301" s="32" t="n">
        <x:v>0.450476889214966984592809978</x:v>
      </x:c>
      <x:c r="AO301" s="32" t="n">
        <x:v>0.4501100513573000733675715334</x:v>
      </x:c>
      <x:c r="AP301" s="32" t="n">
        <x:v>0.448642699926632428466617755</x:v>
      </x:c>
      <x:c r="AQ301" s="32" t="n">
        <x:v>0.4537784299339691856199559795</x:v>
      </x:c>
      <x:c r="AR301" s="32" t="n">
        <x:v>0.458914159941305942773294204</x:v>
      </x:c>
      <x:c r="AS301" s="32" t="n">
        <x:v>0.4666177549523110785033015407</x:v>
      </x:c>
      <x:c r="AT301" s="32" t="n">
        <x:v>0.4765223771093176815847395451</x:v>
      </x:c>
      <x:c r="AU301" s="32" t="n">
        <x:v>0.4831254585473220836390315481</x:v>
      </x:c>
      <x:c r="AV301" s="32" t="n">
        <x:v>0.4959647835656639765223771093</x:v>
      </x:c>
      <x:c r="AW301" s="32" t="n">
        <x:v>0.5088041085840058694057226706</x:v>
      </x:c>
      <x:c r="BI301" s="33" t="s"/>
      <x:c r="BJ301" s="11" t="s">
        <x:v>262</x:v>
      </x:c>
      <x:c r="BK301" s="12" t="str">
        <x:f>=BX301</x:f>
      </x:c>
      <x:c r="BL301" s="12" t="n">
        <x:v>0.4974321349963316214233308877</x:v>
      </x:c>
      <x:c r="BM301" s="12" t="n">
        <x:v>0.3484959647835656639765223771</x:v>
      </x:c>
      <x:c r="BN301" s="12" t="n">
        <x:v>0.1540719002201027146001467351</x:v>
      </x:c>
      <x:c r="BO301" s="12" t="str">
        <x:f>=BW301</x:f>
      </x:c>
      <x:c r="BP301" s="12" t="str">
        <x:f>=CF301</x:f>
      </x:c>
      <x:c r="BQ301" s="12" t="str"/>
      <x:c r="BR301" s="12" t="str">
        <x:v>SS 2020 EOS</x:v>
      </x:c>
      <x:c r="BS301" s="13" t="str"/>
      <x:c r="BT301" s="30" t="n">
        <x:v>27972.85</x:v>
      </x:c>
      <x:c r="BU301" s="30" t="n">
        <x:v>-25569.8800</x:v>
      </x:c>
      <x:c r="BV301" s="30" t="str">
        <x:f>=BT301+BU301</x:f>
      </x:c>
      <x:c r="BW301" s="66" t="str">
        <x:f>=BV301/BT301</x:f>
      </x:c>
      <x:c r="BX301" s="66" t="n">
        <x:v>0.8459280997798972853998532649</x:v>
      </x:c>
      <x:c r="BY301" s="30" t="n">
        <x:v>23498.12</x:v>
      </x:c>
      <x:c r="BZ301" s="41" t="n">
        <x:v>420</x:v>
      </x:c>
      <x:c r="CA301" s="30" t="n">
        <x:v>3620.40</x:v>
      </x:c>
      <x:c r="CC301" s="30" t="n">
        <x:v>27973.358804108584005869405723</x:v>
      </x:c>
      <x:c r="CD301" s="30" t="n">
        <x:v>-25569.8800</x:v>
      </x:c>
      <x:c r="CE301" s="30" t="str">
        <x:f>=CC301+CD301</x:f>
      </x:c>
      <x:c r="CF301" s="66" t="str">
        <x:f>=CE301/CC301</x:f>
      </x:c>
      <x:c r="CH301" s="66" t="str">
        <x:f>=CI301+CJ301</x:f>
      </x:c>
      <x:c r="CI301" s="66" t="str">
        <x:f>=BX301+(0*7)</x:f>
      </x:c>
      <x:c r="CJ301" s="66" t="str">
        <x:f>=(1-CI301)*0.5</x:f>
      </x:c>
      <x:c r="CK301" s="66" t="str">
        <x:f>=1-CH301</x:f>
      </x:c>
      <x:c r="CM301" s="66" t="str">
        <x:f>=CJ301/(1-CI301)</x:f>
      </x:c>
    </x:row>
    <x:row r="302">
      <x:c r="A302" s="31" t="s">
        <x:v>590</x:v>
      </x:c>
      <x:c r="B302" t="s"/>
      <x:c r="C302" t="s">
        <x:v>591</x:v>
      </x:c>
      <x:c r="D302" t="s">
        <x:v>147</x:v>
      </x:c>
      <x:c r="E302" s="67" t="s">
        <x:v>131</x:v>
      </x:c>
      <x:c r="F302" t="n">
        <x:v>1013</x:v>
      </x:c>
      <x:c r="G302" s="32" t="n">
        <x:v>0.0019743336623889437314906219</x:v>
      </x:c>
      <x:c r="H302" s="32" t="n">
        <x:v>0.0957551826258637709772951629</x:v>
      </x:c>
      <x:c r="I302" s="32" t="n">
        <x:v>0.1924975320829220138203356367</x:v>
      </x:c>
      <x:c r="J302" s="32" t="n">
        <x:v>0.2369200394866732477788746298</x:v>
      </x:c>
      <x:c r="K302" s="32" t="n">
        <x:v>0.2458045409674234945705824284</x:v>
      </x:c>
      <x:c r="L302" s="32" t="n">
        <x:v>0.2606120434353405725567620928</x:v>
      </x:c>
      <x:c r="M302" s="32" t="n">
        <x:v>0.2675222112537018756169792695</x:v>
      </x:c>
      <x:c r="N302" s="32" t="n">
        <x:v>0.2843040473840078973346495558</x:v>
      </x:c>
      <x:c r="O302" s="32" t="n">
        <x:v>0.2941757156959526159921026654</x:v>
      </x:c>
      <x:c r="P302" s="32" t="n">
        <x:v>0.3070088845014807502467917078</x:v>
      </x:c>
      <x:c r="Q302" s="32" t="n">
        <x:v>0.3139190523198420533070088845</x:v>
      </x:c>
      <x:c r="R302" s="32" t="n">
        <x:v>0.3228035538005923000987166831</x:v>
      </x:c>
      <x:c r="S302" s="32" t="n">
        <x:v>0.3316880552813425468904244817</x:v>
      </x:c>
      <x:c r="T302" s="32" t="n">
        <x:v>0.3395853899308983218163869694</x:v>
      </x:c>
      <x:c r="U302" s="32" t="n">
        <x:v>0.349457058242843040473840079</x:v>
      </x:c>
      <x:c r="V302" s="32" t="n">
        <x:v>0.3543928923988153998025666338</x:v>
      </x:c>
      <x:c r="W302" s="32" t="n">
        <x:v>0.3543928923988153998025666338</x:v>
      </x:c>
      <x:c r="X302" s="32" t="n">
        <x:v>0.3692003948667324777887462981</x:v>
      </x:c>
      <x:c r="Y302" s="32" t="n">
        <x:v>0.3761105626850937808489634748</x:v>
      </x:c>
      <x:c r="Z302" s="32" t="n">
        <x:v>0.3869693978282329713721618954</x:v>
      </x:c>
      <x:c r="AA302" s="32" t="n">
        <x:v>0.3998025666337611056268509378</x:v>
      </x:c>
      <x:c r="AB302" s="32" t="n">
        <x:v>0.3998025666337611056268509378</x:v>
      </x:c>
      <x:c r="AC302" s="32" t="n">
        <x:v>0.4155972359328726554787759131</x:v>
      </x:c>
      <x:c r="AD302" s="32" t="n">
        <x:v>0.4205330700888450148075024679</x:v>
      </x:c>
      <x:c r="AE302" s="32" t="n">
        <x:v>0.4274432379072063178677196446</x:v>
      </x:c>
      <x:c r="AF302" s="32" t="n">
        <x:v>0.4373149062191510365251727542</x:v>
      </x:c>
      <x:c r="AG302" s="32" t="n">
        <x:v>0.4619940769990128331688055281</x:v>
      </x:c>
      <x:c r="AH302" s="32" t="n">
        <x:v>0.4689042448173741362290227048</x:v>
      </x:c>
      <x:c r="AI302" s="32" t="n">
        <x:v>0.4708785784797630799605133268</x:v>
      </x:c>
      <x:c r="AJ302" s="32" t="n">
        <x:v>0.4738400789733464955577492596</x:v>
      </x:c>
      <x:c r="AK302" s="32" t="n">
        <x:v>0.4768015794669299111549851925</x:v>
      </x:c>
      <x:c r="AL302" s="32" t="n">
        <x:v>0.4758144126357354392892398815</x:v>
      </x:c>
      <x:c r="AM302" s="32" t="n">
        <x:v>0.4758144126357354392892398815</x:v>
      </x:c>
      <x:c r="AN302" s="32" t="n">
        <x:v>0.4758144126357354392892398815</x:v>
      </x:c>
      <x:c r="AO302" s="32" t="n">
        <x:v>0.4797630799605133267522211254</x:v>
      </x:c>
      <x:c r="AP302" s="32" t="n">
        <x:v>0.4916090819348469891411648569</x:v>
      </x:c>
      <x:c r="AQ302" s="32" t="n">
        <x:v>0.5034550839091806515301085884</x:v>
      </x:c>
      <x:c r="AR302" s="32" t="n">
        <x:v>0.5044422507403751233958538993</x:v>
      </x:c>
      <x:c r="AS302" s="32" t="n">
        <x:v>0.5182625863770977295162882527</x:v>
      </x:c>
      <x:c r="AT302" s="32" t="n">
        <x:v>0.53603158933859822309970385</x:v>
      </x:c>
      <x:c r="AU302" s="32" t="n">
        <x:v>0.5449160908193484698914116486</x:v>
      </x:c>
      <x:c r="AV302" s="32" t="n">
        <x:v>0.557749259624876604146100691</x:v>
      </x:c>
      <x:c r="AW302" s="32" t="n">
        <x:v>0.5853899308983218163869693978</x:v>
      </x:c>
      <x:c r="BI302" s="33" t="s"/>
      <x:c r="BJ302" s="11" t="s">
        <x:v>262</x:v>
      </x:c>
      <x:c r="BK302" s="12" t="str">
        <x:f>=BX302</x:f>
      </x:c>
      <x:c r="BL302" s="12" t="n">
        <x:v>0.5853899308983218163869693978</x:v>
      </x:c>
      <x:c r="BM302" s="12" t="n">
        <x:v>0.3761105626850937808489634748</x:v>
      </x:c>
      <x:c r="BN302" s="12" t="n">
        <x:v>0.0384995064165844027640671273</x:v>
      </x:c>
      <x:c r="BO302" s="12" t="str">
        <x:f>=BW302</x:f>
      </x:c>
      <x:c r="BP302" s="12" t="str">
        <x:f>=CF302</x:f>
      </x:c>
      <x:c r="BQ302" s="12" t="str"/>
      <x:c r="BR302" s="12" t="str">
        <x:v>SS 2020 EOS</x:v>
      </x:c>
      <x:c r="BS302" s="13" t="str"/>
      <x:c r="BT302" s="30" t="n">
        <x:v>11580.02</x:v>
      </x:c>
      <x:c r="BU302" s="30" t="n">
        <x:v>-9371.8708</x:v>
      </x:c>
      <x:c r="BV302" s="30" t="str">
        <x:f>=BT302+BU302</x:f>
      </x:c>
      <x:c r="BW302" s="66" t="str">
        <x:f>=BV302/BT302</x:f>
      </x:c>
      <x:c r="BX302" s="66" t="n">
        <x:v>0.9615004935834155972359328727</x:v>
      </x:c>
      <x:c r="BY302" s="30" t="n">
        <x:v>9319.60</x:v>
      </x:c>
      <x:c r="BZ302" s="41" t="n">
        <x:v>39</x:v>
      </x:c>
      <x:c r="CA302" s="30" t="n">
        <x:v>358.80</x:v>
      </x:c>
      <x:c r="CC302" s="30" t="n">
        <x:v>11580.604402764067127344521224</x:v>
      </x:c>
      <x:c r="CD302" s="30" t="n">
        <x:v>-9371.8708</x:v>
      </x:c>
      <x:c r="CE302" s="30" t="str">
        <x:f>=CC302+CD302</x:f>
      </x:c>
      <x:c r="CF302" s="66" t="str">
        <x:f>=CE302/CC302</x:f>
      </x:c>
      <x:c r="CH302" s="66" t="str">
        <x:f>=CI302+CJ302</x:f>
      </x:c>
      <x:c r="CI302" s="66" t="str">
        <x:f>=BX302+(0*7)</x:f>
      </x:c>
      <x:c r="CJ302" s="66" t="str">
        <x:f>=(1-CI302)*0.5</x:f>
      </x:c>
      <x:c r="CK302" s="66" t="str">
        <x:f>=1-CH302</x:f>
      </x:c>
      <x:c r="CM302" s="66" t="str">
        <x:f>=CJ302/(1-CI302)</x:f>
      </x:c>
    </x:row>
    <x:row r="303">
      <x:c r="A303" s="31" t="s">
        <x:v>592</x:v>
      </x:c>
      <x:c r="B303" t="s"/>
      <x:c r="C303" t="s">
        <x:v>593</x:v>
      </x:c>
      <x:c r="D303" t="s">
        <x:v>147</x:v>
      </x:c>
      <x:c r="E303" s="67" t="s">
        <x:v>131</x:v>
      </x:c>
      <x:c r="F303" t="n">
        <x:v>327</x:v>
      </x:c>
      <x:c r="G303" s="32" t="n">
        <x:v>0.0030581039755351681957186544</x:v>
      </x:c>
      <x:c r="H303" s="32" t="n">
        <x:v>0.0030581039755351681957186544</x:v>
      </x:c>
      <x:c r="I303" s="32" t="n">
        <x:v>0.1100917431192660550458715596</x:v>
      </x:c>
      <x:c r="J303" s="32" t="n">
        <x:v>0.140672782874617737003058104</x:v>
      </x:c>
      <x:c r="K303" s="32" t="n">
        <x:v>0.1590214067278287461773700306</x:v>
      </x:c>
      <x:c r="L303" s="32" t="n">
        <x:v>0.1773700305810397553516819572</x:v>
      </x:c>
      <x:c r="M303" s="32" t="n">
        <x:v>0.1987767584097859327217125382</x:v>
      </x:c>
      <x:c r="N303" s="32" t="n">
        <x:v>0.2232415902140672782874617737</x:v>
      </x:c>
      <x:c r="O303" s="32" t="n">
        <x:v>0.2018348623853211009174311927</x:v>
      </x:c>
      <x:c r="P303" s="32" t="n">
        <x:v>0.2079510703363914373088685015</x:v>
      </x:c>
      <x:c r="Q303" s="32" t="n">
        <x:v>0.2232415902140672782874617737</x:v>
      </x:c>
      <x:c r="R303" s="32" t="n">
        <x:v>0.2232415902140672782874617737</x:v>
      </x:c>
      <x:c r="S303" s="32" t="n">
        <x:v>0.2354740061162079510703363914</x:v>
      </x:c>
      <x:c r="T303" s="32" t="n">
        <x:v>0.2507645259938837920489296636</x:v>
      </x:c>
      <x:c r="U303" s="32" t="n">
        <x:v>0.2477064220183486238532110092</x:v>
      </x:c>
      <x:c r="V303" s="32" t="n">
        <x:v>0.253822629969418960244648318</x:v>
      </x:c>
      <x:c r="W303" s="32" t="n">
        <x:v>0.2691131498470948012232415902</x:v>
      </x:c>
      <x:c r="X303" s="32" t="n">
        <x:v>0.2905198776758409785932721713</x:v>
      </x:c>
      <x:c r="Y303" s="32" t="n">
        <x:v>0.3302752293577981651376146789</x:v>
      </x:c>
      <x:c r="Z303" s="32" t="n">
        <x:v>0.3639143730886850152905198777</x:v>
      </x:c>
      <x:c r="AA303" s="32" t="n">
        <x:v>0.3639143730886850152905198777</x:v>
      </x:c>
      <x:c r="AB303" s="32" t="n">
        <x:v>0.4006116207951070336391437309</x:v>
      </x:c>
      <x:c r="AC303" s="32" t="n">
        <x:v>0.4159021406727828746177370031</x:v>
      </x:c>
      <x:c r="AD303" s="32" t="n">
        <x:v>0.4220183486238532110091743119</x:v>
      </x:c>
      <x:c r="AE303" s="32" t="n">
        <x:v>0.4373088685015290519877675841</x:v>
      </x:c>
      <x:c r="AF303" s="32" t="n">
        <x:v>0.4525993883792048929663608563</x:v>
      </x:c>
      <x:c r="AG303" s="32" t="n">
        <x:v>0.4801223241590214067278287462</x:v>
      </x:c>
      <x:c r="AH303" s="32" t="n">
        <x:v>0.4770642201834862385321100917</x:v>
      </x:c>
      <x:c r="AI303" s="32" t="n">
        <x:v>0.4740061162079510703363914373</x:v>
      </x:c>
      <x:c r="AJ303" s="32" t="n">
        <x:v>0.4740061162079510703363914373</x:v>
      </x:c>
      <x:c r="AK303" s="32" t="n">
        <x:v>0.4740061162079510703363914373</x:v>
      </x:c>
      <x:c r="AL303" s="32" t="n">
        <x:v>0.4740061162079510703363914373</x:v>
      </x:c>
      <x:c r="AM303" s="32" t="n">
        <x:v>0.4740061162079510703363914373</x:v>
      </x:c>
      <x:c r="AN303" s="32" t="n">
        <x:v>0.4709480122324159021406727829</x:v>
      </x:c>
      <x:c r="AO303" s="32" t="n">
        <x:v>0.4709480122324159021406727829</x:v>
      </x:c>
      <x:c r="AP303" s="32" t="n">
        <x:v>0.4709480122324159021406727829</x:v>
      </x:c>
      <x:c r="AQ303" s="32" t="n">
        <x:v>0.4709480122324159021406727829</x:v>
      </x:c>
      <x:c r="AR303" s="32" t="n">
        <x:v>0.4831804281345565749235474006</x:v>
      </x:c>
      <x:c r="AS303" s="32" t="n">
        <x:v>0.4892966360856269113149847095</x:v>
      </x:c>
      <x:c r="AT303" s="32" t="n">
        <x:v>0.4892966360856269113149847095</x:v>
      </x:c>
      <x:c r="AU303" s="32" t="n">
        <x:v>0.5076452599388379204892966361</x:v>
      </x:c>
      <x:c r="AV303" s="32" t="n">
        <x:v>0.5107033639143730886850152905</x:v>
      </x:c>
      <x:c r="BI303" s="33" t="s"/>
      <x:c r="BJ303" s="11" t="s">
        <x:v>406</x:v>
      </x:c>
      <x:c r="BK303" s="12" t="str">
        <x:f>=BX303</x:f>
      </x:c>
      <x:c r="BL303" s="12" t="n">
        <x:v>0.5321100917431192660550458716</x:v>
      </x:c>
      <x:c r="BM303" s="12" t="n">
        <x:v>0.3577981651376146788990825688</x:v>
      </x:c>
      <x:c r="BN303" s="12" t="n">
        <x:v>0.1100917431192660550458715596</x:v>
      </x:c>
      <x:c r="BO303" s="12" t="str">
        <x:f>=BW303</x:f>
      </x:c>
      <x:c r="BP303" s="12" t="str">
        <x:f>=CF303</x:f>
      </x:c>
      <x:c r="BQ303" s="12" t="str"/>
      <x:c r="BR303" s="12" t="str">
        <x:v>SS 2020 EOS</x:v>
      </x:c>
      <x:c r="BS303" s="13" t="str"/>
      <x:c r="BT303" s="30" t="n">
        <x:v>2388.96</x:v>
      </x:c>
      <x:c r="BU303" s="30" t="n">
        <x:v>-1861.3167</x:v>
      </x:c>
      <x:c r="BV303" s="30" t="str">
        <x:f>=BT303+BU303</x:f>
      </x:c>
      <x:c r="BW303" s="66" t="str">
        <x:f>=BV303/BT303</x:f>
      </x:c>
      <x:c r="BX303" s="66" t="n">
        <x:v>0.8899082568807339449541284404</x:v>
      </x:c>
      <x:c r="BY303" s="30" t="n">
        <x:v>1808.31</x:v>
      </x:c>
      <x:c r="BZ303" s="41" t="n">
        <x:v>36</x:v>
      </x:c>
      <x:c r="CA303" s="30" t="n">
        <x:v>199.08</x:v>
      </x:c>
      <x:c r="CC303" s="30" t="n">
        <x:v>2389.4707033639143730886850153</x:v>
      </x:c>
      <x:c r="CD303" s="30" t="n">
        <x:v>-1861.3167</x:v>
      </x:c>
      <x:c r="CE303" s="30" t="str">
        <x:f>=CC303+CD303</x:f>
      </x:c>
      <x:c r="CF303" s="66" t="str">
        <x:f>=CE303/CC303</x:f>
      </x:c>
      <x:c r="CH303" s="66" t="str">
        <x:f>=CI303+CJ303</x:f>
      </x:c>
      <x:c r="CI303" s="66" t="str">
        <x:f>=BX303+(0*7)</x:f>
      </x:c>
      <x:c r="CJ303" s="66" t="str">
        <x:f>=(1-CI303)*0.5</x:f>
      </x:c>
      <x:c r="CK303" s="66" t="str">
        <x:f>=1-CH303</x:f>
      </x:c>
      <x:c r="CM303" s="66" t="str">
        <x:f>=CJ303/(1-CI303)</x:f>
      </x:c>
    </x:row>
    <x:row r="304">
      <x:c r="A304" s="31" t="s">
        <x:v>594</x:v>
      </x:c>
      <x:c r="B304" t="s"/>
      <x:c r="C304" t="s">
        <x:v>595</x:v>
      </x:c>
      <x:c r="D304" t="s">
        <x:v>147</x:v>
      </x:c>
      <x:c r="E304" s="67" t="s">
        <x:v>131</x:v>
      </x:c>
      <x:c r="F304" t="n">
        <x:v>2084</x:v>
      </x:c>
      <x:c r="G304" s="32" t="n">
        <x:v>0</x:v>
      </x:c>
      <x:c r="H304" s="32" t="n">
        <x:v>0</x:v>
      </x:c>
      <x:c r="I304" s="32" t="n">
        <x:v>0.0004798464491362763915547025</x:v>
      </x:c>
      <x:c r="J304" s="32" t="n">
        <x:v>0.000959692898272552783109405</x:v>
      </x:c>
      <x:c r="K304" s="32" t="n">
        <x:v>0.0115163147792706333973128599</x:v>
      </x:c>
      <x:c r="L304" s="32" t="n">
        <x:v>0.049424184261036468330134357</x:v>
      </x:c>
      <x:c r="M304" s="32" t="n">
        <x:v>0.0772552783109404990403071017</x:v>
      </x:c>
      <x:c r="N304" s="32" t="n">
        <x:v>0.0964491362763915547024952015</x:v>
      </x:c>
      <x:c r="O304" s="32" t="n">
        <x:v>0.1070057581573896353166986564</x:v>
      </x:c>
      <x:c r="P304" s="32" t="n">
        <x:v>0.1170825335892514395393474088</x:v>
      </x:c>
      <x:c r="Q304" s="32" t="n">
        <x:v>0.1242802303262955854126679463</x:v>
      </x:c>
      <x:c r="R304" s="32" t="n">
        <x:v>0.1381957773512476007677543186</x:v>
      </x:c>
      <x:c r="S304" s="32" t="n">
        <x:v>0.1468330134357005758157389635</x:v>
      </x:c>
      <x:c r="T304" s="32" t="n">
        <x:v>0.1645873320537428023032629559</x:v>
      </x:c>
      <x:c r="U304" s="32" t="n">
        <x:v>0.1804222648752399232245681382</x:v>
      </x:c>
      <x:c r="V304" s="32" t="n">
        <x:v>0.1804222648752399232245681382</x:v>
      </x:c>
      <x:c r="W304" s="32" t="n">
        <x:v>0.1876199616122840690978886756</x:v>
      </x:c>
      <x:c r="X304" s="32" t="n">
        <x:v>0.1952975047984644913627639155</x:v>
      </x:c>
      <x:c r="Y304" s="32" t="n">
        <x:v>0.198656429942418426103646833</x:v>
      </x:c>
      <x:c r="Z304" s="32" t="n">
        <x:v>0.2068138195777351247600767754</x:v>
      </x:c>
      <x:c r="AA304" s="32" t="n">
        <x:v>0.2183301343570057581573896353</x:v>
      </x:c>
      <x:c r="AB304" s="32" t="n">
        <x:v>0.2351247600767754318618042226</x:v>
      </x:c>
      <x:c r="AC304" s="32" t="n">
        <x:v>0.2380038387715930902111324376</x:v>
      </x:c>
      <x:c r="AD304" s="32" t="n">
        <x:v>0.2336852207293666026871401152</x:v>
      </x:c>
      <x:c r="AE304" s="32" t="n">
        <x:v>0.2341650671785028790786948177</x:v>
      </x:c>
      <x:c r="AF304" s="32" t="n">
        <x:v>0.2336852207293666026871401152</x:v>
      </x:c>
      <x:c r="AG304" s="32" t="n">
        <x:v>0.2332053742802303262955854127</x:v>
      </x:c>
      <x:c r="AH304" s="32" t="n">
        <x:v>0.2370441458733205374280230326</x:v>
      </x:c>
      <x:c r="AI304" s="32" t="n">
        <x:v>0.2370441458733205374280230326</x:v>
      </x:c>
      <x:c r="AJ304" s="32" t="n">
        <x:v>0.2370441458733205374280230326</x:v>
      </x:c>
      <x:c r="AK304" s="32" t="n">
        <x:v>0.2380038387715930902111324376</x:v>
      </x:c>
      <x:c r="AL304" s="32" t="n">
        <x:v>0.245201535508637236084452975</x:v>
      </x:c>
      <x:c r="AM304" s="32" t="n">
        <x:v>0.2495201535508637236084452975</x:v>
      </x:c>
      <x:c r="AN304" s="32" t="n">
        <x:v>0.249040307101727447216890595</x:v>
      </x:c>
      <x:c r="AO304" s="32" t="n">
        <x:v>0.2567178502879078694817658349</x:v>
      </x:c>
      <x:c r="BI304" s="33" t="s"/>
      <x:c r="BJ304" s="11" t="s">
        <x:v>596</x:v>
      </x:c>
      <x:c r="BK304" s="12" t="str">
        <x:f>=BX304</x:f>
      </x:c>
      <x:c r="BL304" s="12" t="n">
        <x:v>0.6002879078694817658349328215</x:v>
      </x:c>
      <x:c r="BM304" s="12" t="n">
        <x:v>0.3210172744721689059500959693</x:v>
      </x:c>
      <x:c r="BN304" s="12" t="n">
        <x:v>0.0786948176583493282149712092</x:v>
      </x:c>
      <x:c r="BO304" s="12" t="str">
        <x:f>=BW304</x:f>
      </x:c>
      <x:c r="BP304" s="12" t="str">
        <x:f>=CF304</x:f>
      </x:c>
      <x:c r="BQ304" s="12" t="str"/>
      <x:c r="BR304" s="12" t="str">
        <x:v>SS 2020 EOS</x:v>
      </x:c>
      <x:c r="BS304" s="13" t="str"/>
      <x:c r="BT304" s="30" t="n">
        <x:v>15365.86</x:v>
      </x:c>
      <x:c r="BU304" s="30" t="n">
        <x:v>-12253.9200</x:v>
      </x:c>
      <x:c r="BV304" s="30" t="str">
        <x:f>=BT304+BU304</x:f>
      </x:c>
      <x:c r="BW304" s="66" t="str">
        <x:f>=BV304/BT304</x:f>
      </x:c>
      <x:c r="BX304" s="66" t="n">
        <x:v>0.9213051823416506717850287908</x:v>
      </x:c>
      <x:c r="BY304" s="30" t="n">
        <x:v>10941.00</x:v>
      </x:c>
      <x:c r="BZ304" s="41" t="n">
        <x:v>164</x:v>
      </x:c>
      <x:c r="CA304" s="30" t="n">
        <x:v>861.00</x:v>
      </x:c>
      <x:c r="CC304" s="30" t="n">
        <x:v>16061.615973810940499040307102</x:v>
      </x:c>
      <x:c r="CD304" s="30" t="n">
        <x:v>-12253.9200</x:v>
      </x:c>
      <x:c r="CE304" s="30" t="str">
        <x:f>=CC304+CD304</x:f>
      </x:c>
      <x:c r="CF304" s="66" t="str">
        <x:f>=CE304/CC304</x:f>
      </x:c>
      <x:c r="CH304" s="66" t="str">
        <x:f>=CI304+CJ304</x:f>
      </x:c>
      <x:c r="CI304" s="66" t="str">
        <x:f>=BX304+(0*7)</x:f>
      </x:c>
      <x:c r="CJ304" s="66" t="str">
        <x:f>=(1-CI304)*0.5</x:f>
      </x:c>
      <x:c r="CK304" s="66" t="str">
        <x:f>=1-CH304</x:f>
      </x:c>
      <x:c r="CM304" s="66" t="str">
        <x:f>=CJ304/(1-CI304)</x:f>
      </x:c>
    </x:row>
    <x:row r="305">
      <x:c r="A305" s="31" t="s">
        <x:v>597</x:v>
      </x:c>
      <x:c r="B305" t="s"/>
      <x:c r="C305" t="s">
        <x:v>598</x:v>
      </x:c>
      <x:c r="D305" t="s">
        <x:v>147</x:v>
      </x:c>
      <x:c r="E305" s="67" t="s">
        <x:v>131</x:v>
      </x:c>
      <x:c r="F305" t="n">
        <x:v>3231</x:v>
      </x:c>
      <x:c r="G305" s="32" t="n">
        <x:v>0.0114515629835964097802537914</x:v>
      </x:c>
      <x:c r="H305" s="32" t="n">
        <x:v>0.0374497059733828536056948313</x:v>
      </x:c>
      <x:c r="I305" s="32" t="n">
        <x:v>0.0810894459919529557412565769</x:v>
      </x:c>
      <x:c r="J305" s="32" t="n">
        <x:v>0.112349117920148560817084494</x:v>
      </x:c>
      <x:c r="K305" s="32" t="n">
        <x:v>0.1355617455896007428040854225</x:v>
      </x:c>
      <x:c r="L305" s="32" t="n">
        <x:v>0.1519653358093469514082327453</x:v>
      </x:c>
      <x:c r="M305" s="32" t="n">
        <x:v>0.1590838749613122872175796967</x:v>
      </x:c>
      <x:c r="N305" s="32" t="n">
        <x:v>0.1621788919839059114825131538</x:v>
      </x:c>
      <x:c r="O305" s="32" t="n">
        <x:v>0.1649644073042401733209532652</x:v>
      </x:c>
      <x:c r="P305" s="32" t="n">
        <x:v>0.1757969668833178582482203652</x:v>
      </x:c>
      <x:c r="Q305" s="32" t="n">
        <x:v>0.1795109873104302073661405138</x:v>
      </x:c>
      <x:c r="R305" s="32" t="n">
        <x:v>0.187867533271432992881460848</x:v>
      </x:c>
      <x:c r="S305" s="32" t="n">
        <x:v>0.187867533271432992881460848</x:v>
      </x:c>
      <x:c r="T305" s="32" t="n">
        <x:v>0.2033426183844011142061281337</x:v>
      </x:c>
      <x:c r="U305" s="32" t="n">
        <x:v>0.2166511915815536985453419994</x:v>
      </x:c>
      <x:c r="V305" s="32" t="n">
        <x:v>0.2228412256267409470752089136</x:v>
      </x:c>
      <x:c r="W305" s="32" t="n">
        <x:v>0.2265552460538532961931290622</x:v>
      </x:c>
      <x:c r="X305" s="32" t="n">
        <x:v>0.2324357783967811822965026308</x:v>
      </x:c>
      <x:c r="Y305" s="32" t="n">
        <x:v>0.2370783039306716186939028165</x:v>
      </x:c>
      <x:c r="Z305" s="32" t="n">
        <x:v>0.2401733209532652429588362736</x:v>
      </x:c>
      <x:c r="AA305" s="32" t="n">
        <x:v>0.2370783039306716186939028165</x:v>
      </x:c>
      <x:c r="AB305" s="32" t="n">
        <x:v>0.2376973073351903435468895079</x:v>
      </x:c>
      <x:c r="AC305" s="32" t="n">
        <x:v>0.2373878056329309811203961622</x:v>
      </x:c>
      <x:c r="AD305" s="32" t="n">
        <x:v>0.2376973073351903435468895079</x:v>
      </x:c>
      <x:c r="AE305" s="32" t="n">
        <x:v>0.2401733209532652429588362736</x:v>
      </x:c>
      <x:c r="AF305" s="32" t="n">
        <x:v>0.2401733209532652429588362736</x:v>
      </x:c>
      <x:c r="AG305" s="32" t="n">
        <x:v>0.2401733209532652429588362736</x:v>
      </x:c>
      <x:c r="AH305" s="32" t="n">
        <x:v>0.2423398328690807799442896936</x:v>
      </x:c>
      <x:c r="AI305" s="32" t="n">
        <x:v>0.2463633549984524914887031879</x:v>
      </x:c>
      <x:c r="AJ305" s="32" t="n">
        <x:v>0.2479108635097493036211699164</x:v>
      </x:c>
      <x:c r="AK305" s="32" t="n">
        <x:v>0.2503868771278242030331166821</x:v>
      </x:c>
      <x:c r="AL305" s="32" t="n">
        <x:v>0.2525533890436397400185701021</x:v>
      </x:c>
      <x:c r="AM305" s="32" t="n">
        <x:v>0.2547199009594552770040235221</x:v>
      </x:c>
      <x:c r="AN305" s="32" t="n">
        <x:v>0.2649334571340142370783039307</x:v>
      </x:c>
      <x:c r="BI305" s="33" t="s"/>
      <x:c r="BJ305" s="11" t="s">
        <x:v>416</x:v>
      </x:c>
      <x:c r="BK305" s="12" t="str">
        <x:f>=BX305</x:f>
      </x:c>
      <x:c r="BL305" s="12" t="n">
        <x:v>0.7802537913958526771897245435</x:v>
      </x:c>
      <x:c r="BM305" s="12" t="n">
        <x:v>0.1736304549675023212627669452</x:v>
      </x:c>
      <x:c r="BN305" s="12" t="n">
        <x:v>0.0461157536366450015475085113</x:v>
      </x:c>
      <x:c r="BO305" s="12" t="str">
        <x:f>=BW305</x:f>
      </x:c>
      <x:c r="BP305" s="12" t="str">
        <x:f>=CF305</x:f>
      </x:c>
      <x:c r="BQ305" s="12" t="str"/>
      <x:c r="BR305" s="12" t="str">
        <x:v>SS 2020 EOS</x:v>
      </x:c>
      <x:c r="BS305" s="13" t="str"/>
      <x:c r="BT305" s="30" t="n">
        <x:v>27204.35</x:v>
      </x:c>
      <x:c r="BU305" s="30" t="n">
        <x:v>-18933.6600</x:v>
      </x:c>
      <x:c r="BV305" s="30" t="str">
        <x:f>=BT305+BU305</x:f>
      </x:c>
      <x:c r="BW305" s="66" t="str">
        <x:f>=BV305/BT305</x:f>
      </x:c>
      <x:c r="BX305" s="66" t="n">
        <x:v>0.9538842463633549984524914887</x:v>
      </x:c>
      <x:c r="BY305" s="30" t="n">
        <x:v>16962.75</x:v>
      </x:c>
      <x:c r="BZ305" s="41" t="n">
        <x:v>149</x:v>
      </x:c>
      <x:c r="CA305" s="30" t="n">
        <x:v>782.25</x:v>
      </x:c>
      <x:c r="CC305" s="30" t="n">
        <x:v>30916.438693254897864438254411</x:v>
      </x:c>
      <x:c r="CD305" s="30" t="n">
        <x:v>-18933.6600</x:v>
      </x:c>
      <x:c r="CE305" s="30" t="str">
        <x:f>=CC305+CD305</x:f>
      </x:c>
      <x:c r="CF305" s="66" t="str">
        <x:f>=CE305/CC305</x:f>
      </x:c>
      <x:c r="CH305" s="66" t="str">
        <x:f>=CI305+CJ305</x:f>
      </x:c>
      <x:c r="CI305" s="66" t="str">
        <x:f>=BX305+(0*7)</x:f>
      </x:c>
      <x:c r="CJ305" s="66" t="str">
        <x:f>=(1-CI305)*0.5</x:f>
      </x:c>
      <x:c r="CK305" s="66" t="str">
        <x:f>=1-CH305</x:f>
      </x:c>
      <x:c r="CM305" s="66" t="str">
        <x:f>=CJ305/(1-CI305)</x:f>
      </x:c>
    </x:row>
    <x:row r="306">
      <x:c r="A306" s="31" t="s">
        <x:v>599</x:v>
      </x:c>
      <x:c r="B306" t="s"/>
      <x:c r="C306" t="s">
        <x:v>600</x:v>
      </x:c>
      <x:c r="D306" t="s">
        <x:v>147</x:v>
      </x:c>
      <x:c r="E306" s="67" t="s">
        <x:v>131</x:v>
      </x:c>
      <x:c r="F306" t="n">
        <x:v>3510</x:v>
      </x:c>
      <x:c r="G306" s="32" t="n">
        <x:v>0.0002849002849002849002849003</x:v>
      </x:c>
      <x:c r="H306" s="32" t="n">
        <x:v>0.0071225071225071225071225071</x:v>
      </x:c>
      <x:c r="I306" s="32" t="n">
        <x:v>0.0145299145299145299145299145</x:v>
      </x:c>
      <x:c r="J306" s="32" t="n">
        <x:v>0.0321937321937321937321937322</x:v>
      </x:c>
      <x:c r="K306" s="32" t="n">
        <x:v>0.0404558404558404558404558405</x:v>
      </x:c>
      <x:c r="L306" s="32" t="n">
        <x:v>0.0555555555555555555555555556</x:v>
      </x:c>
      <x:c r="M306" s="32" t="n">
        <x:v>0.0581196581196581196581196581</x:v>
      </x:c>
      <x:c r="N306" s="32" t="n">
        <x:v>0.0612535612535612535612535613</x:v>
      </x:c>
      <x:c r="O306" s="32" t="n">
        <x:v>0.0686609686609686609686609687</x:v>
      </x:c>
      <x:c r="P306" s="32" t="n">
        <x:v>0.0829059829059829059829059829</x:v>
      </x:c>
      <x:c r="Q306" s="32" t="n">
        <x:v>0.0937321937321937321937321937</x:v>
      </x:c>
      <x:c r="R306" s="32" t="n">
        <x:v>0.1150997150997150997150997151</x:v>
      </x:c>
      <x:c r="S306" s="32" t="n">
        <x:v>0.1150997150997150997150997151</x:v>
      </x:c>
      <x:c r="T306" s="32" t="n">
        <x:v>0.1427350427350427350427350427</x:v>
      </x:c>
      <x:c r="U306" s="32" t="n">
        <x:v>0.1575498575498575498575498575</x:v>
      </x:c>
      <x:c r="V306" s="32" t="n">
        <x:v>0.1749287749287749287749287749</x:v>
      </x:c>
      <x:c r="W306" s="32" t="n">
        <x:v>0.1931623931623931623931623932</x:v>
      </x:c>
      <x:c r="X306" s="32" t="n">
        <x:v>0.2096866096866096866096866097</x:v>
      </x:c>
      <x:c r="Y306" s="32" t="n">
        <x:v>0.2173789173789173789173789174</x:v>
      </x:c>
      <x:c r="Z306" s="32" t="n">
        <x:v>0.2205128205128205128205128205</x:v>
      </x:c>
      <x:c r="AA306" s="32" t="n">
        <x:v>0.2182336182336182336182336182</x:v>
      </x:c>
      <x:c r="AB306" s="32" t="n">
        <x:v>0.2153846153846153846153846154</x:v>
      </x:c>
      <x:c r="AC306" s="32" t="n">
        <x:v>0.2150997150997150997150997151</x:v>
      </x:c>
      <x:c r="AD306" s="32" t="n">
        <x:v>0.2150997150997150997150997151</x:v>
      </x:c>
      <x:c r="AE306" s="32" t="n">
        <x:v>0.2148148148148148148148148148</x:v>
      </x:c>
      <x:c r="AF306" s="32" t="n">
        <x:v>0.2176638176638176638176638177</x:v>
      </x:c>
      <x:c r="AG306" s="32" t="n">
        <x:v>0.2193732193732193732193732194</x:v>
      </x:c>
      <x:c r="AH306" s="32" t="n">
        <x:v>0.2222222222222222222222222222</x:v>
      </x:c>
      <x:c r="AI306" s="32" t="n">
        <x:v>0.2236467236467236467236467236</x:v>
      </x:c>
      <x:c r="AJ306" s="32" t="n">
        <x:v>0.2264957264957264957264957265</x:v>
      </x:c>
      <x:c r="AK306" s="32" t="n">
        <x:v>0.2273504273504273504273504274</x:v>
      </x:c>
      <x:c r="AL306" s="32" t="n">
        <x:v>0.2301994301994301994301994302</x:v>
      </x:c>
      <x:c r="AM306" s="32" t="n">
        <x:v>0.2319088319088319088319088319</x:v>
      </x:c>
      <x:c r="AN306" s="32" t="n">
        <x:v>0.2384615384615384615384615385</x:v>
      </x:c>
      <x:c r="BI306" s="33" t="s"/>
      <x:c r="BJ306" s="11" t="s">
        <x:v>416</x:v>
      </x:c>
      <x:c r="BK306" s="12" t="str">
        <x:f>=BX306</x:f>
      </x:c>
      <x:c r="BL306" s="12" t="n">
        <x:v>0.6387464387464387464387464387</x:v>
      </x:c>
      <x:c r="BM306" s="12" t="n">
        <x:v>0.2712250712250712250712250712</x:v>
      </x:c>
      <x:c r="BN306" s="12" t="n">
        <x:v>0.09002849002849002849002849</x:v>
      </x:c>
      <x:c r="BO306" s="12" t="str">
        <x:f>=BW306</x:f>
      </x:c>
      <x:c r="BP306" s="12" t="str">
        <x:f>=CF306</x:f>
      </x:c>
      <x:c r="BQ306" s="12" t="str"/>
      <x:c r="BR306" s="12" t="str">
        <x:v>SS 2020 EOS</x:v>
      </x:c>
      <x:c r="BS306" s="13" t="str"/>
      <x:c r="BT306" s="30" t="n">
        <x:v>38700.25</x:v>
      </x:c>
      <x:c r="BU306" s="30" t="n">
        <x:v>-24449.6070</x:v>
      </x:c>
      <x:c r="BV306" s="30" t="str">
        <x:f>=BT306+BU306</x:f>
      </x:c>
      <x:c r="BW306" s="66" t="str">
        <x:f>=BV306/BT306</x:f>
      </x:c>
      <x:c r="BX306" s="66" t="n">
        <x:v>0.90997150997150997150997151</x:v>
      </x:c>
      <x:c r="BY306" s="30" t="n">
        <x:v>21375.90</x:v>
      </x:c>
      <x:c r="BZ306" s="41" t="n">
        <x:v>316</x:v>
      </x:c>
      <x:c r="CA306" s="30" t="n">
        <x:v>1924.44</x:v>
      </x:c>
      <x:c r="CC306" s="30" t="n">
        <x:v>41966.415587862321937321937324</x:v>
      </x:c>
      <x:c r="CD306" s="30" t="n">
        <x:v>-24449.6070</x:v>
      </x:c>
      <x:c r="CE306" s="30" t="str">
        <x:f>=CC306+CD306</x:f>
      </x:c>
      <x:c r="CF306" s="66" t="str">
        <x:f>=CE306/CC306</x:f>
      </x:c>
      <x:c r="CH306" s="66" t="str">
        <x:f>=CI306+CJ306</x:f>
      </x:c>
      <x:c r="CI306" s="66" t="str">
        <x:f>=BX306+(0*7)</x:f>
      </x:c>
      <x:c r="CJ306" s="66" t="str">
        <x:f>=(1-CI306)*0.5</x:f>
      </x:c>
      <x:c r="CK306" s="66" t="str">
        <x:f>=1-CH306</x:f>
      </x:c>
      <x:c r="CM306" s="66" t="str">
        <x:f>=CJ306/(1-CI306)</x:f>
      </x:c>
    </x:row>
    <x:row r="307">
      <x:c r="A307" s="31" t="s">
        <x:v>601</x:v>
      </x:c>
      <x:c r="B307" t="s"/>
      <x:c r="C307" t="s">
        <x:v>602</x:v>
      </x:c>
      <x:c r="D307" t="s">
        <x:v>274</x:v>
      </x:c>
      <x:c r="E307" s="67" t="s">
        <x:v>131</x:v>
      </x:c>
      <x:c r="F307" t="n">
        <x:v>547</x:v>
      </x:c>
      <x:c r="G307" s="32" t="n">
        <x:v>0.1096892138939670932358318099</x:v>
      </x:c>
      <x:c r="H307" s="32" t="n">
        <x:v>0.1407678244972577696526508227</x:v>
      </x:c>
      <x:c r="I307" s="32" t="n">
        <x:v>0.144424131627056672760511883</x:v>
      </x:c>
      <x:c r="J307" s="32" t="n">
        <x:v>0.1700182815356489945155393053</x:v>
      </x:c>
      <x:c r="K307" s="32" t="n">
        <x:v>0.2029250457038391224862888483</x:v>
      </x:c>
      <x:c r="L307" s="32" t="n">
        <x:v>0.2047531992687385740402193784</x:v>
      </x:c>
      <x:c r="M307" s="32" t="n">
        <x:v>0.2212065813528336380255941499</x:v>
      </x:c>
      <x:c r="N307" s="32" t="n">
        <x:v>0.2212065813528336380255941499</x:v>
      </x:c>
      <x:c r="O307" s="32" t="n">
        <x:v>0.2340036563071297989031078611</x:v>
      </x:c>
      <x:c r="P307" s="32" t="n">
        <x:v>0.2266910420475319926873857404</x:v>
      </x:c>
      <x:c r="Q307" s="32" t="n">
        <x:v>0.2321755027422303473491773309</x:v>
      </x:c>
      <x:c r="R307" s="32" t="n">
        <x:v>0.2413162705667276051188299817</x:v>
      </x:c>
      <x:c r="S307" s="32" t="n">
        <x:v>0.2632541133455210237659963437</x:v>
      </x:c>
      <x:c r="T307" s="32" t="n">
        <x:v>0.288848263254113345521023766</x:v>
      </x:c>
      <x:c r="U307" s="32" t="n">
        <x:v>0.2961608775137111517367458867</x:v>
      </x:c>
      <x:c r="V307" s="32" t="n">
        <x:v>0.3180987202925045703839122486</x:v>
      </x:c>
      <x:c r="W307" s="32" t="n">
        <x:v>0.3327239488117001828153564899</x:v>
      </x:c>
      <x:c r="X307" s="32" t="n">
        <x:v>0.3327239488117001828153564899</x:v>
      </x:c>
      <x:c r="Y307" s="32" t="n">
        <x:v>0.3272394881170018281535648995</x:v>
      </x:c>
      <x:c r="Z307" s="32" t="n">
        <x:v>0.3345521023765996343692870201</x:v>
      </x:c>
      <x:c r="AA307" s="32" t="n">
        <x:v>0.3382084095063985374771480804</x:v>
      </x:c>
      <x:c r="AB307" s="32" t="n">
        <x:v>0.3601462522851919561243144424</x:v>
      </x:c>
      <x:c r="AC307" s="32" t="n">
        <x:v>0.400365630712979890310786106</x:v>
      </x:c>
      <x:c r="AD307" s="32" t="n">
        <x:v>0.4424131627056672760511882998</x:v>
      </x:c>
      <x:c r="AE307" s="32" t="n">
        <x:v>0.4625228519195612431444241316</x:v>
      </x:c>
      <x:c r="AF307" s="32" t="n">
        <x:v>0.4990859232175502742230347349</x:v>
      </x:c>
      <x:c r="AG307" s="32" t="n">
        <x:v>0.5319926873857404021937842779</x:v>
      </x:c>
      <x:c r="AH307" s="32" t="n">
        <x:v>0.5575868372943327239488117002</x:v>
      </x:c>
      <x:c r="AI307" s="32" t="n">
        <x:v>0.5904936014625228519195612431</x:v>
      </x:c>
      <x:c r="BI307" s="33" t="s"/>
      <x:c r="BJ307" s="11" t="s">
        <x:v>205</x:v>
      </x:c>
      <x:c r="BK307" s="12" t="str">
        <x:f>=BX307</x:f>
      </x:c>
      <x:c r="BL307" s="12" t="n">
        <x:v>0.6544789762340036563071297989</x:v>
      </x:c>
      <x:c r="BM307" s="12" t="n">
        <x:v>0.2504570383912248628884826325</x:v>
      </x:c>
      <x:c r="BN307" s="12" t="n">
        <x:v>0.0950639853747714808043875686</x:v>
      </x:c>
      <x:c r="BO307" s="12" t="str">
        <x:f>=BW307</x:f>
      </x:c>
      <x:c r="BP307" s="12" t="str">
        <x:f>=CF307</x:f>
      </x:c>
      <x:c r="BQ307" s="12" t="str"/>
      <x:c r="BR307" s="12" t="str">
        <x:v>SS 2020 EOS</x:v>
      </x:c>
      <x:c r="BS307" s="13" t="str"/>
      <x:c r="BT307" s="30" t="n">
        <x:v>11192.80</x:v>
      </x:c>
      <x:c r="BU307" s="30" t="n">
        <x:v>-8963.79840</x:v>
      </x:c>
      <x:c r="BV307" s="30" t="str">
        <x:f>=BT307+BU307</x:f>
      </x:c>
      <x:c r="BW307" s="66" t="str">
        <x:f>=BV307/BT307</x:f>
      </x:c>
      <x:c r="BX307" s="66" t="n">
        <x:v>0.9049360146252285191956124314</x:v>
      </x:c>
      <x:c r="BY307" s="30" t="n">
        <x:v>8314.40</x:v>
      </x:c>
      <x:c r="BZ307" s="41" t="n">
        <x:v>52</x:v>
      </x:c>
      <x:c r="CA307" s="30" t="n">
        <x:v>790.40</x:v>
      </x:c>
      <x:c r="CC307" s="30" t="n">
        <x:v>11193.390493601462522851919561</x:v>
      </x:c>
      <x:c r="CD307" s="30" t="n">
        <x:v>-8963.79840</x:v>
      </x:c>
      <x:c r="CE307" s="30" t="str">
        <x:f>=CC307+CD307</x:f>
      </x:c>
      <x:c r="CF307" s="66" t="str">
        <x:f>=CE307/CC307</x:f>
      </x:c>
      <x:c r="CH307" s="66" t="str">
        <x:f>=CI307+CJ307</x:f>
      </x:c>
      <x:c r="CI307" s="66" t="str">
        <x:f>=BX307+(0*7)</x:f>
      </x:c>
      <x:c r="CJ307" s="66" t="str">
        <x:f>=(1-CI307)*0.5</x:f>
      </x:c>
      <x:c r="CK307" s="66" t="str">
        <x:f>=1-CH307</x:f>
      </x:c>
      <x:c r="CM307" s="66" t="str">
        <x:f>=CJ307/(1-CI307)</x:f>
      </x:c>
    </x:row>
    <x:row r="308">
      <x:c r="A308" s="31" t="s">
        <x:v>603</x:v>
      </x:c>
      <x:c r="B308" t="s"/>
      <x:c r="C308" t="s">
        <x:v>604</x:v>
      </x:c>
      <x:c r="D308" t="s">
        <x:v>118</x:v>
      </x:c>
      <x:c r="E308" s="67" t="s">
        <x:v>131</x:v>
      </x:c>
      <x:c r="F308" t="n">
        <x:v>550</x:v>
      </x:c>
      <x:c r="G308" s="32" t="n">
        <x:v>0.0018181818181818181818181818</x:v>
      </x:c>
      <x:c r="H308" s="32" t="n">
        <x:v>0.0036363636363636363636363636</x:v>
      </x:c>
      <x:c r="I308" s="32" t="n">
        <x:v>0.0054545454545454545454545455</x:v>
      </x:c>
      <x:c r="J308" s="32" t="n">
        <x:v>0.0727272727272727272727272727</x:v>
      </x:c>
      <x:c r="K308" s="32" t="n">
        <x:v>0.1672727272727272727272727273</x:v>
      </x:c>
      <x:c r="L308" s="32" t="n">
        <x:v>0.3327272727272727272727272727</x:v>
      </x:c>
      <x:c r="M308" s="32" t="n">
        <x:v>0.3327272727272727272727272727</x:v>
      </x:c>
      <x:c r="N308" s="32" t="n">
        <x:v>0.4127272727272727272727272727</x:v>
      </x:c>
      <x:c r="O308" s="32" t="n">
        <x:v>0.4090909090909090909090909091</x:v>
      </x:c>
      <x:c r="P308" s="32" t="n">
        <x:v>0.4090909090909090909090909091</x:v>
      </x:c>
      <x:c r="Q308" s="32" t="n">
        <x:v>0.4145454545454545454545454545</x:v>
      </x:c>
      <x:c r="R308" s="32" t="n">
        <x:v>0.42</x:v>
      </x:c>
      <x:c r="S308" s="32" t="n">
        <x:v>0.4454545454545454545454545455</x:v>
      </x:c>
      <x:c r="T308" s="32" t="n">
        <x:v>0.4454545454545454545454545455</x:v>
      </x:c>
      <x:c r="U308" s="32" t="n">
        <x:v>0.4309090909090909090909090909</x:v>
      </x:c>
      <x:c r="V308" s="32" t="n">
        <x:v>0.4381818181818181818181818182</x:v>
      </x:c>
      <x:c r="W308" s="32" t="n">
        <x:v>0.4381818181818181818181818182</x:v>
      </x:c>
      <x:c r="X308" s="32" t="n">
        <x:v>0.4381818181818181818181818182</x:v>
      </x:c>
      <x:c r="Y308" s="32" t="n">
        <x:v>0.4381818181818181818181818182</x:v>
      </x:c>
      <x:c r="Z308" s="32" t="n">
        <x:v>0.4436363636363636363636363636</x:v>
      </x:c>
      <x:c r="AA308" s="32" t="n">
        <x:v>0.46</x:v>
      </x:c>
      <x:c r="AB308" s="32" t="n">
        <x:v>0.4818181818181818181818181818</x:v>
      </x:c>
      <x:c r="AC308" s="32" t="n">
        <x:v>0.5090909090909090909090909091</x:v>
      </x:c>
      <x:c r="AD308" s="32" t="n">
        <x:v>0.5236363636363636363636363636</x:v>
      </x:c>
      <x:c r="AE308" s="32" t="n">
        <x:v>0.5581818181818181818181818182</x:v>
      </x:c>
      <x:c r="AF308" s="32" t="n">
        <x:v>0.6236363636363636363636363636</x:v>
      </x:c>
      <x:c r="AG308" s="32" t="n">
        <x:v>0.6381818181818181818181818182</x:v>
      </x:c>
      <x:c r="AH308" s="32" t="n">
        <x:v>0.6363636363636363636363636364</x:v>
      </x:c>
      <x:c r="BI308" s="33" t="s"/>
      <x:c r="BJ308" s="11" t="s">
        <x:v>265</x:v>
      </x:c>
      <x:c r="BK308" s="12" t="str">
        <x:f>=BX308</x:f>
      </x:c>
      <x:c r="BL308" s="12" t="n">
        <x:v>0.6290909090909090909090909091</x:v>
      </x:c>
      <x:c r="BM308" s="12" t="n">
        <x:v>0.2472727272727272727272727273</x:v>
      </x:c>
      <x:c r="BN308" s="12" t="n">
        <x:v>0.1236363636363636363636363636</x:v>
      </x:c>
      <x:c r="BO308" s="12" t="str">
        <x:f>=BW308</x:f>
      </x:c>
      <x:c r="BP308" s="12" t="str">
        <x:f>=CF308</x:f>
      </x:c>
      <x:c r="BQ308" s="12" t="str"/>
      <x:c r="BR308" s="12" t="str">
        <x:v>SS 2020 EOS</x:v>
      </x:c>
      <x:c r="BS308" s="13" t="str"/>
      <x:c r="BT308" s="30" t="n">
        <x:v>5664.82</x:v>
      </x:c>
      <x:c r="BU308" s="30" t="n">
        <x:v>-4854.6850</x:v>
      </x:c>
      <x:c r="BV308" s="30" t="str">
        <x:f>=BT308+BU308</x:f>
      </x:c>
      <x:c r="BW308" s="66" t="str">
        <x:f>=BV308/BT308</x:f>
      </x:c>
      <x:c r="BX308" s="66" t="n">
        <x:v>0.8763636363636363636363636364</x:v>
      </x:c>
      <x:c r="BY308" s="30" t="n">
        <x:v>4785.00</x:v>
      </x:c>
      <x:c r="BZ308" s="41" t="n">
        <x:v>68</x:v>
      </x:c>
      <x:c r="CA308" s="30" t="n">
        <x:v>591.60</x:v>
      </x:c>
      <x:c r="CC308" s="30" t="n">
        <x:v>5665.46</x:v>
      </x:c>
      <x:c r="CD308" s="30" t="n">
        <x:v>-4854.6850</x:v>
      </x:c>
      <x:c r="CE308" s="30" t="str">
        <x:f>=CC308+CD308</x:f>
      </x:c>
      <x:c r="CF308" s="66" t="str">
        <x:f>=CE308/CC308</x:f>
      </x:c>
      <x:c r="CH308" s="66" t="str">
        <x:f>=CI308+CJ308</x:f>
      </x:c>
      <x:c r="CI308" s="66" t="str">
        <x:f>=BX308+(0*7)</x:f>
      </x:c>
      <x:c r="CJ308" s="66" t="str">
        <x:f>=(1-CI308)*0.5</x:f>
      </x:c>
      <x:c r="CK308" s="66" t="str">
        <x:f>=1-CH308</x:f>
      </x:c>
      <x:c r="CM308" s="66" t="str">
        <x:f>=CJ308/(1-CI308)</x:f>
      </x:c>
    </x:row>
    <x:row r="309">
      <x:c r="A309" s="31" t="s">
        <x:v>605</x:v>
      </x:c>
      <x:c r="B309" t="s"/>
      <x:c r="C309" t="s">
        <x:v>606</x:v>
      </x:c>
      <x:c r="D309" t="s">
        <x:v>147</x:v>
      </x:c>
      <x:c r="E309" s="67" t="s">
        <x:v>131</x:v>
      </x:c>
      <x:c r="F309" t="n">
        <x:v>1012</x:v>
      </x:c>
      <x:c r="G309" s="32" t="n">
        <x:v>0.0069169960474308300395256917</x:v>
      </x:c>
      <x:c r="H309" s="32" t="n">
        <x:v>0.1264822134387351778656126482</x:v>
      </x:c>
      <x:c r="I309" s="32" t="n">
        <x:v>0.1956521739130434782608695652</x:v>
      </x:c>
      <x:c r="J309" s="32" t="n">
        <x:v>0.2697628458498023715415019763</x:v>
      </x:c>
      <x:c r="K309" s="32" t="n">
        <x:v>0.4140316205533596837944664032</x:v>
      </x:c>
      <x:c r="L309" s="32" t="n">
        <x:v>0.4535573122529644268774703557</x:v>
      </x:c>
      <x:c r="M309" s="32" t="n">
        <x:v>0.4535573122529644268774703557</x:v>
      </x:c>
      <x:c r="N309" s="32" t="n">
        <x:v>0.4960474308300395256916996047</x:v>
      </x:c>
      <x:c r="O309" s="32" t="n">
        <x:v>0.5385375494071146245059288538</x:v>
      </x:c>
      <x:c r="P309" s="32" t="n">
        <x:v>0.5938735177865612648221343874</x:v>
      </x:c>
      <x:c r="Q309" s="32" t="n">
        <x:v>0.6086956521739130434782608696</x:v>
      </x:c>
      <x:c r="R309" s="32" t="n">
        <x:v>0.595849802371541501976284585</x:v>
      </x:c>
      <x:c r="S309" s="32" t="n">
        <x:v>0.611660079051383399209486166</x:v>
      </x:c>
      <x:c r="T309" s="32" t="n">
        <x:v>0.6017786561264822134387351779</x:v>
      </x:c>
      <x:c r="U309" s="32" t="n">
        <x:v>0.5750988142292490118577075099</x:v>
      </x:c>
      <x:c r="V309" s="32" t="n">
        <x:v>0.5909090909090909090909090909</x:v>
      </x:c>
      <x:c r="W309" s="32" t="n">
        <x:v>0.5830039525691699604743083004</x:v>
      </x:c>
      <x:c r="X309" s="32" t="n">
        <x:v>0.584980237154150197628458498</x:v>
      </x:c>
      <x:c r="Y309" s="32" t="n">
        <x:v>0.5869565217391304347826086957</x:v>
      </x:c>
      <x:c r="Z309" s="32" t="n">
        <x:v>0.5859683794466403162055335968</x:v>
      </x:c>
      <x:c r="AA309" s="32" t="n">
        <x:v>0.5859683794466403162055335968</x:v>
      </x:c>
      <x:c r="AB309" s="32" t="n">
        <x:v>0.595849802371541501976284585</x:v>
      </x:c>
      <x:c r="AC309" s="32" t="n">
        <x:v>0.6047430830039525691699604743</x:v>
      </x:c>
      <x:c r="AD309" s="32" t="n">
        <x:v>0.6007905138339920948616600791</x:v>
      </x:c>
      <x:c r="AE309" s="32" t="n">
        <x:v>0.6067193675889328063241106719</x:v>
      </x:c>
      <x:c r="AF309" s="32" t="n">
        <x:v>0.6175889328063241106719367589</x:v>
      </x:c>
      <x:c r="AG309" s="32" t="n">
        <x:v>0.6264822134387351778656126482</x:v>
      </x:c>
      <x:c r="AH309" s="32" t="n">
        <x:v>0.6403162055335968379446640316</x:v>
      </x:c>
      <x:c r="BI309" s="33" t="s"/>
      <x:c r="BJ309" s="11" t="s">
        <x:v>265</x:v>
      </x:c>
      <x:c r="BK309" s="12" t="str">
        <x:f>=BX309</x:f>
      </x:c>
      <x:c r="BL309" s="12" t="n">
        <x:v>0.6561264822134387351778656126</x:v>
      </x:c>
      <x:c r="BM309" s="12" t="n">
        <x:v>0.2183794466403162055335968379</x:v>
      </x:c>
      <x:c r="BN309" s="12" t="n">
        <x:v>0.1254940711462450592885375494</x:v>
      </x:c>
      <x:c r="BO309" s="12" t="str">
        <x:f>=BW309</x:f>
      </x:c>
      <x:c r="BP309" s="12" t="str">
        <x:f>=CF309</x:f>
      </x:c>
      <x:c r="BQ309" s="12" t="str"/>
      <x:c r="BR309" s="12" t="str">
        <x:v>SS 2020 EOS</x:v>
      </x:c>
      <x:c r="BS309" s="13" t="str"/>
      <x:c r="BT309" s="30" t="n">
        <x:v>15412.07</x:v>
      </x:c>
      <x:c r="BU309" s="30" t="n">
        <x:v>-12627.3312</x:v>
      </x:c>
      <x:c r="BV309" s="30" t="str">
        <x:f>=BT309+BU309</x:f>
      </x:c>
      <x:c r="BW309" s="66" t="str">
        <x:f>=BV309/BT309</x:f>
      </x:c>
      <x:c r="BX309" s="66" t="n">
        <x:v>0.8745059288537549407114624506</x:v>
      </x:c>
      <x:c r="BY309" s="30" t="n">
        <x:v>12326.16</x:v>
      </x:c>
      <x:c r="BZ309" s="41" t="n">
        <x:v>127</x:v>
      </x:c>
      <x:c r="CA309" s="30" t="n">
        <x:v>1546.86</x:v>
      </x:c>
      <x:c r="CC309" s="30" t="n">
        <x:v>15412.711304347826086956521739</x:v>
      </x:c>
      <x:c r="CD309" s="30" t="n">
        <x:v>-12627.3312</x:v>
      </x:c>
      <x:c r="CE309" s="30" t="str">
        <x:f>=CC309+CD309</x:f>
      </x:c>
      <x:c r="CF309" s="66" t="str">
        <x:f>=CE309/CC309</x:f>
      </x:c>
      <x:c r="CH309" s="66" t="str">
        <x:f>=CI309+CJ309</x:f>
      </x:c>
      <x:c r="CI309" s="66" t="str">
        <x:f>=BX309+(0*7)</x:f>
      </x:c>
      <x:c r="CJ309" s="66" t="str">
        <x:f>=(1-CI309)*0.5</x:f>
      </x:c>
      <x:c r="CK309" s="66" t="str">
        <x:f>=1-CH309</x:f>
      </x:c>
      <x:c r="CM309" s="66" t="str">
        <x:f>=CJ309/(1-CI309)</x:f>
      </x:c>
    </x:row>
    <x:row r="310">
      <x:c r="A310" s="31" t="s">
        <x:v>607</x:v>
      </x:c>
      <x:c r="B310" t="s"/>
      <x:c r="C310" t="s">
        <x:v>608</x:v>
      </x:c>
      <x:c r="D310" t="s">
        <x:v>118</x:v>
      </x:c>
      <x:c r="E310" s="67" t="s">
        <x:v>131</x:v>
      </x:c>
      <x:c r="F310" t="n">
        <x:v>2462</x:v>
      </x:c>
      <x:c r="G310" s="32" t="n">
        <x:v>0.0052802599512591389114541024</x:v>
      </x:c>
      <x:c r="H310" s="32" t="n">
        <x:v>0.0909829406986190089358245329</x:v>
      </x:c>
      <x:c r="I310" s="32" t="n">
        <x:v>0.2416734362307067424857839155</x:v>
      </x:c>
      <x:c r="J310" s="32" t="n">
        <x:v>0.3740861088545897644191714054</x:v>
      </x:c>
      <x:c r="K310" s="32" t="n">
        <x:v>0.3740861088545897644191714054</x:v>
      </x:c>
      <x:c r="L310" s="32" t="n">
        <x:v>0.4569455727051177904142973193</x:v>
      </x:c>
      <x:c r="M310" s="32" t="n">
        <x:v>0.5369618196588139723801787165</x:v>
      </x:c>
      <x:c r="N310" s="32" t="n">
        <x:v>0.5808285946385052802599512591</x:v>
      </x:c>
      <x:c r="O310" s="32" t="n">
        <x:v>0.6181965881397238017871649066</x:v>
      </x:c>
      <x:c r="P310" s="32" t="n">
        <x:v>0.6515028432168968318440292445</x:v>
      </x:c>
      <x:c r="Q310" s="32" t="n">
        <x:v>0.6665312753858651502843216897</x:v>
      </x:c>
      <x:c r="R310" s="32" t="n">
        <x:v>0.6754670999187652315190901706</x:v>
      </x:c>
      <x:c r="S310" s="32" t="n">
        <x:v>0.6795288383428107229894394801</x:v>
      </x:c>
      <x:c r="T310" s="32" t="n">
        <x:v>0.6856214459788789601949634444</x:v>
      </x:c>
      <x:c r="U310" s="32" t="n">
        <x:v>0.6852152721364744110479285134</x:v>
      </x:c>
      <x:c r="V310" s="32" t="n">
        <x:v>0.6852152721364744110479285134</x:v>
      </x:c>
      <x:c r="W310" s="32" t="n">
        <x:v>0.6835905767668562144597887896</x:v>
      </x:c>
      <x:c r="X310" s="32" t="n">
        <x:v>0.6872461413484971567831031682</x:v>
      </x:c>
      <x:c r="Y310" s="32" t="n">
        <x:v>0.6949634443541835905767668562</x:v>
      </x:c>
      <x:c r="Z310" s="32" t="n">
        <x:v>0.6982128350934199837530463038</x:v>
      </x:c>
      <x:c r="AA310" s="23" t="n">
        <x:v>0.7026807473598700243704305443</x:v>
      </x:c>
      <x:c r="AB310" s="32" t="n">
        <x:v>0.7071486596263200649878147847</x:v>
      </x:c>
      <x:c r="AC310" s="32" t="n">
        <x:v>0.7083671811535337124289195776</x:v>
      </x:c>
      <x:c r="AD310" s="32" t="n">
        <x:v>0.7108042242079610073111291633</x:v>
      </x:c>
      <x:c r="AE310" s="32" t="n">
        <x:v>0.7136474411047928513403736799</x:v>
      </x:c>
      <x:c r="AF310" s="32" t="n">
        <x:v>0.7217709179528838342810722989</x:v>
      </x:c>
      <x:c r="BI310" s="33" t="s"/>
      <x:c r="BJ310" s="11" t="s">
        <x:v>449</x:v>
      </x:c>
      <x:c r="BK310" s="12" t="str">
        <x:f>=BX310</x:f>
      </x:c>
      <x:c r="BL310" s="12" t="n">
        <x:v>0.7534524776604386677497969131</x:v>
      </x:c>
      <x:c r="BM310" s="12" t="n">
        <x:v>0.221364744110479285134037368</x:v>
      </x:c>
      <x:c r="BN310" s="12" t="n">
        <x:v>0.0251827782290820471161657189</x:v>
      </x:c>
      <x:c r="BO310" s="12" t="str">
        <x:f>=BW310</x:f>
      </x:c>
      <x:c r="BP310" s="12" t="str">
        <x:f>=CF310</x:f>
      </x:c>
      <x:c r="BQ310" s="12" t="str"/>
      <x:c r="BR310" s="12" t="str">
        <x:v>SS 2020 EOS</x:v>
      </x:c>
      <x:c r="BS310" s="13" t="str"/>
      <x:c r="BT310" s="30" t="n">
        <x:v>25060.83</x:v>
      </x:c>
      <x:c r="BU310" s="30" t="n">
        <x:v>-17493.0024</x:v>
      </x:c>
      <x:c r="BV310" s="30" t="str">
        <x:f>=BT310+BU310</x:f>
      </x:c>
      <x:c r="BW310" s="66" t="str">
        <x:f>=BV310/BT310</x:f>
      </x:c>
      <x:c r="BX310" s="66" t="n">
        <x:v>0.9748172217709179528838342811</x:v>
      </x:c>
      <x:c r="BY310" s="30" t="n">
        <x:v>16741.60</x:v>
      </x:c>
      <x:c r="BZ310" s="41" t="n">
        <x:v>62</x:v>
      </x:c>
      <x:c r="CA310" s="30" t="n">
        <x:v>421.60</x:v>
      </x:c>
      <x:c r="CC310" s="30" t="n">
        <x:v>25061.543647441104792851340374</x:v>
      </x:c>
      <x:c r="CD310" s="30" t="n">
        <x:v>-17493.0024</x:v>
      </x:c>
      <x:c r="CE310" s="30" t="str">
        <x:f>=CC310+CD310</x:f>
      </x:c>
      <x:c r="CF310" s="66" t="str">
        <x:f>=CE310/CC310</x:f>
      </x:c>
      <x:c r="CH310" s="66" t="str">
        <x:f>=CI310+CJ310</x:f>
      </x:c>
      <x:c r="CI310" s="66" t="str">
        <x:f>=BX310+(0*7)</x:f>
      </x:c>
      <x:c r="CJ310" s="66" t="str">
        <x:f>=(1-CI310)*0.5</x:f>
      </x:c>
      <x:c r="CK310" s="66" t="str">
        <x:f>=1-CH310</x:f>
      </x:c>
      <x:c r="CM310" s="66" t="str">
        <x:f>=CJ310/(1-CI310)</x:f>
      </x:c>
    </x:row>
    <x:row r="311">
      <x:c r="A311" s="31" t="s">
        <x:v>609</x:v>
      </x:c>
      <x:c r="B311" t="s"/>
      <x:c r="C311" t="s">
        <x:v>610</x:v>
      </x:c>
      <x:c r="D311" t="s">
        <x:v>118</x:v>
      </x:c>
      <x:c r="E311" s="67" t="s">
        <x:v>131</x:v>
      </x:c>
      <x:c r="F311" t="n">
        <x:v>490</x:v>
      </x:c>
      <x:c r="G311" s="32" t="n">
        <x:v>0.1346938775510204081632653061</x:v>
      </x:c>
      <x:c r="H311" s="32" t="n">
        <x:v>0.4857142857142857142857142857</x:v>
      </x:c>
      <x:c r="I311" s="32" t="n">
        <x:v>0.4857142857142857142857142857</x:v>
      </x:c>
      <x:c r="J311" s="23" t="n">
        <x:v>0.7632653061224489795918367347</x:v>
      </x:c>
      <x:c r="K311" s="32" t="n">
        <x:v>0.8326530612244897959183673469</x:v>
      </x:c>
      <x:c r="L311" s="32" t="n">
        <x:v>0.8836734693877551020408163265</x:v>
      </x:c>
      <x:c r="M311" s="32" t="n">
        <x:v>0.8938775510204081632653061224</x:v>
      </x:c>
      <x:c r="N311" s="32" t="n">
        <x:v>0.9183673469387755102040816327</x:v>
      </x:c>
      <x:c r="O311" s="32" t="n">
        <x:v>0.9244897959183673469387755102</x:v>
      </x:c>
      <x:c r="P311" s="32" t="n">
        <x:v>0.9265306122448979591836734694</x:v>
      </x:c>
      <x:c r="Q311" s="32" t="n">
        <x:v>0.9163265306122448979591836735</x:v>
      </x:c>
      <x:c r="R311" s="32" t="n">
        <x:v>0.9367346938775510204081632653</x:v>
      </x:c>
      <x:c r="S311" s="32" t="n">
        <x:v>0.9387755102040816326530612245</x:v>
      </x:c>
      <x:c r="T311" s="32" t="n">
        <x:v>0.9387755102040816326530612245</x:v>
      </x:c>
      <x:c r="U311" s="32" t="n">
        <x:v>0.944897959183673469387755102</x:v>
      </x:c>
      <x:c r="V311" s="32" t="n">
        <x:v>0.9469387755102040816326530612</x:v>
      </x:c>
      <x:c r="W311" s="32" t="n">
        <x:v>0.944897959183673469387755102</x:v>
      </x:c>
      <x:c r="X311" s="32" t="n">
        <x:v>0.9428571428571428571428571429</x:v>
      </x:c>
      <x:c r="Y311" s="32" t="n">
        <x:v>0.9469387755102040816326530612</x:v>
      </x:c>
      <x:c r="Z311" s="32" t="n">
        <x:v>0.9489795918367346938775510204</x:v>
      </x:c>
      <x:c r="AA311" s="32" t="n">
        <x:v>0.9489795918367346938775510204</x:v>
      </x:c>
      <x:c r="AB311" s="32" t="n">
        <x:v>0.9510204081632653061224489796</x:v>
      </x:c>
      <x:c r="AC311" s="32" t="n">
        <x:v>0.955102040816326530612244898</x:v>
      </x:c>
      <x:c r="AD311" s="32" t="n">
        <x:v>0.9571428571428571428571428571</x:v>
      </x:c>
      <x:c r="BI311" s="33" t="s"/>
      <x:c r="BJ311" s="11" t="s">
        <x:v>208</x:v>
      </x:c>
      <x:c r="BK311" s="12" t="str">
        <x:f>=BX311</x:f>
      </x:c>
      <x:c r="BL311" s="12" t="n">
        <x:v>0.9530612244897959183673469388</x:v>
      </x:c>
      <x:c r="BM311" s="12" t="n">
        <x:v>0.022448979591836734693877551</x:v>
      </x:c>
      <x:c r="BN311" s="12" t="n">
        <x:v>0.0244897959183673469387755102</x:v>
      </x:c>
      <x:c r="BO311" s="12" t="str">
        <x:f>=BW311</x:f>
      </x:c>
      <x:c r="BP311" s="12" t="str">
        <x:f>=CF311</x:f>
      </x:c>
      <x:c r="BQ311" s="12" t="str"/>
      <x:c r="BR311" s="12" t="str">
        <x:v>SS 2020 EOS</x:v>
      </x:c>
      <x:c r="BS311" s="13" t="str"/>
      <x:c r="BT311" s="30" t="n">
        <x:v>5262.41</x:v>
      </x:c>
      <x:c r="BU311" s="30" t="n">
        <x:v>-3498.7960</x:v>
      </x:c>
      <x:c r="BV311" s="30" t="str">
        <x:f>=BT311+BU311</x:f>
      </x:c>
      <x:c r="BW311" s="66" t="str">
        <x:f>=BV311/BT311</x:f>
      </x:c>
      <x:c r="BX311" s="66" t="n">
        <x:v>0.9755102040816326530612244898</x:v>
      </x:c>
      <x:c r="BY311" s="30" t="n">
        <x:v>3332.00</x:v>
      </x:c>
      <x:c r="BZ311" s="41" t="n">
        <x:v>12</x:v>
      </x:c>
      <x:c r="CA311" s="30" t="n">
        <x:v>81.60</x:v>
      </x:c>
      <x:c r="CC311" s="30" t="n">
        <x:v>5263.3671428571428571428571429</x:v>
      </x:c>
      <x:c r="CD311" s="30" t="n">
        <x:v>-3498.7960</x:v>
      </x:c>
      <x:c r="CE311" s="30" t="str">
        <x:f>=CC311+CD311</x:f>
      </x:c>
      <x:c r="CF311" s="66" t="str">
        <x:f>=CE311/CC311</x:f>
      </x:c>
      <x:c r="CH311" s="66" t="str">
        <x:f>=CI311+CJ311</x:f>
      </x:c>
      <x:c r="CI311" s="66" t="str">
        <x:f>=BX311+(0*7)</x:f>
      </x:c>
      <x:c r="CJ311" s="66" t="str">
        <x:f>=(1-CI311)*0.5</x:f>
      </x:c>
      <x:c r="CK311" s="66" t="str">
        <x:f>=1-CH311</x:f>
      </x:c>
      <x:c r="CM311" s="66" t="str">
        <x:f>=CJ311/(1-CI311)</x:f>
      </x:c>
    </x:row>
    <x:row r="312">
      <x:c r="A312" s="31" t="s">
        <x:v>611</x:v>
      </x:c>
      <x:c r="B312" t="s"/>
      <x:c r="C312" t="s">
        <x:v>612</x:v>
      </x:c>
      <x:c r="D312" t="s">
        <x:v>274</x:v>
      </x:c>
      <x:c r="E312" s="67" t="s">
        <x:v>131</x:v>
      </x:c>
      <x:c r="F312" t="n">
        <x:v>2044</x:v>
      </x:c>
      <x:c r="G312" s="32" t="n">
        <x:v>0</x:v>
      </x:c>
      <x:c r="H312" s="32" t="n">
        <x:v>0</x:v>
      </x:c>
      <x:c r="I312" s="32" t="n">
        <x:v>0</x:v>
      </x:c>
      <x:c r="J312" s="32" t="n">
        <x:v>0</x:v>
      </x:c>
      <x:c r="K312" s="32" t="n">
        <x:v>0.023972602739726027397260274</x:v>
      </x:c>
      <x:c r="L312" s="32" t="n">
        <x:v>0.0973581213307240704500978474</x:v>
      </x:c>
      <x:c r="M312" s="32" t="n">
        <x:v>0.0973581213307240704500978474</x:v>
      </x:c>
      <x:c r="N312" s="32" t="n">
        <x:v>0.1898238747553816046966731898</x:v>
      </x:c>
      <x:c r="O312" s="32" t="n">
        <x:v>0.2871819960861056751467710372</x:v>
      </x:c>
      <x:c r="P312" s="32" t="n">
        <x:v>0.3742661448140900195694716243</x:v>
      </x:c>
      <x:c r="Q312" s="32" t="n">
        <x:v>0.4481409001956947162426614481</x:v>
      </x:c>
      <x:c r="R312" s="32" t="n">
        <x:v>0.4975538160469667318982387476</x:v>
      </x:c>
      <x:c r="S312" s="32" t="n">
        <x:v>0.5288649706457925636007827789</x:v>
      </x:c>
      <x:c r="T312" s="32" t="n">
        <x:v>0.5567514677103718199608610568</x:v>
      </x:c>
      <x:c r="U312" s="32" t="n">
        <x:v>0.5406066536203522504892367906</x:v>
      </x:c>
      <x:c r="V312" s="32" t="n">
        <x:v>0.546966731898238747553816047</x:v>
      </x:c>
      <x:c r="W312" s="32" t="n">
        <x:v>0.5425636007827788649706457926</x:v>
      </x:c>
      <x:c r="X312" s="32" t="n">
        <x:v>0.5410958904109589041095890411</x:v>
      </x:c>
      <x:c r="Y312" s="32" t="n">
        <x:v>0.544031311154598825831702544</x:v>
      </x:c>
      <x:c r="Z312" s="32" t="n">
        <x:v>0.5494129158512720156555772994</x:v>
      </x:c>
      <x:c r="AA312" s="32" t="n">
        <x:v>0.5567514677103718199608610568</x:v>
      </x:c>
      <x:c r="AB312" s="32" t="n">
        <x:v>0.566046966731898238747553816</x:v>
      </x:c>
      <x:c r="AC312" s="32" t="n">
        <x:v>0.5782778864970645792563600783</x:v>
      </x:c>
      <x:c r="AD312" s="32" t="n">
        <x:v>0.5924657534246575342465753425</x:v>
      </x:c>
      <x:c r="BI312" s="33" t="s"/>
      <x:c r="BJ312" s="11" t="s">
        <x:v>208</x:v>
      </x:c>
      <x:c r="BK312" s="12" t="str">
        <x:f>=BX312</x:f>
      </x:c>
      <x:c r="BL312" s="12" t="n">
        <x:v>0.6311154598825831702544031311</x:v>
      </x:c>
      <x:c r="BM312" s="12" t="n">
        <x:v>0.1325831702544031311154598826</x:v>
      </x:c>
      <x:c r="BN312" s="12" t="n">
        <x:v>0.2363013698630136986301369863</x:v>
      </x:c>
      <x:c r="BO312" s="12" t="str">
        <x:f>=BW312</x:f>
      </x:c>
      <x:c r="BP312" s="12" t="str">
        <x:f>=CF312</x:f>
      </x:c>
      <x:c r="BQ312" s="12" t="str"/>
      <x:c r="BR312" s="12" t="str">
        <x:v>SS 2020 EOS</x:v>
      </x:c>
      <x:c r="BS312" s="13" t="str"/>
      <x:c r="BT312" s="30" t="n">
        <x:v>25948.76</x:v>
      </x:c>
      <x:c r="BU312" s="30" t="n">
        <x:v>-23581.42360</x:v>
      </x:c>
      <x:c r="BV312" s="30" t="str">
        <x:f>=BT312+BU312</x:f>
      </x:c>
      <x:c r="BW312" s="66" t="str">
        <x:f>=BV312/BT312</x:f>
      </x:c>
      <x:c r="BX312" s="66" t="n">
        <x:v>0.7636986301369863013698630137</x:v>
      </x:c>
      <x:c r="BY312" s="30" t="n">
        <x:v>21768.60</x:v>
      </x:c>
      <x:c r="BZ312" s="41" t="n">
        <x:v>483</x:v>
      </x:c>
      <x:c r="CA312" s="30" t="n">
        <x:v>5143.95</x:v>
      </x:c>
      <x:c r="CC312" s="30" t="n">
        <x:v>27523.981975799168297455968688</x:v>
      </x:c>
      <x:c r="CD312" s="30" t="n">
        <x:v>-23581.42360</x:v>
      </x:c>
      <x:c r="CE312" s="30" t="str">
        <x:f>=CC312+CD312</x:f>
      </x:c>
      <x:c r="CF312" s="66" t="str">
        <x:f>=CE312/CC312</x:f>
      </x:c>
      <x:c r="CH312" s="66" t="str">
        <x:f>=CI312+CJ312</x:f>
      </x:c>
      <x:c r="CI312" s="66" t="str">
        <x:f>=BX312+(0*7)</x:f>
      </x:c>
      <x:c r="CJ312" s="66" t="str">
        <x:f>=(1-CI312)*0.5</x:f>
      </x:c>
      <x:c r="CK312" s="66" t="str">
        <x:f>=1-CH312</x:f>
      </x:c>
      <x:c r="CM312" s="66" t="str">
        <x:f>=CJ312/(1-CI312)</x:f>
      </x:c>
    </x:row>
    <x:row r="313">
      <x:c r="A313" s="31" t="s">
        <x:v>613</x:v>
      </x:c>
      <x:c r="B313" t="s"/>
      <x:c r="C313" t="s">
        <x:v>614</x:v>
      </x:c>
      <x:c r="D313" t="s">
        <x:v>274</x:v>
      </x:c>
      <x:c r="E313" s="67" t="s">
        <x:v>131</x:v>
      </x:c>
      <x:c r="F313" t="n">
        <x:v>4194</x:v>
      </x:c>
      <x:c r="G313" s="32" t="n">
        <x:v>0.0131139723414401525989508822</x:v>
      </x:c>
      <x:c r="H313" s="32" t="n">
        <x:v>0.0214592274678111587982832618</x:v>
      </x:c>
      <x:c r="I313" s="32" t="n">
        <x:v>0.0214592274678111587982832618</x:v>
      </x:c>
      <x:c r="J313" s="32" t="n">
        <x:v>0.0734382451120648545541249404</x:v>
      </x:c>
      <x:c r="K313" s="32" t="n">
        <x:v>0.1213638531235097758702908918</x:v>
      </x:c>
      <x:c r="L313" s="32" t="n">
        <x:v>0.1704816404387219837863614688</x:v>
      </x:c>
      <x:c r="M313" s="32" t="n">
        <x:v>0.2255603242727706247019551741</x:v>
      </x:c>
      <x:c r="N313" s="32" t="n">
        <x:v>0.2780162136385312350977587029</x:v>
      </x:c>
      <x:c r="O313" s="32" t="n">
        <x:v>0.3032904148783977110157367668</x:v>
      </x:c>
      <x:c r="P313" s="32" t="n">
        <x:v>0.3152122079160705770147830234</x:v>
      </x:c>
      <x:c r="Q313" s="32" t="n">
        <x:v>0.3118741058655221745350500715</x:v>
      </x:c>
      <x:c r="R313" s="32" t="n">
        <x:v>0.3123509775870290891750119218</x:v>
      </x:c>
      <x:c r="S313" s="32" t="n">
        <x:v>0.3116356700047687172150691464</x:v>
      </x:c>
      <x:c r="T313" s="32" t="n">
        <x:v>0.3116356700047687172150691464</x:v>
      </x:c>
      <x:c r="U313" s="32" t="n">
        <x:v>0.3116356700047687172150691464</x:v>
      </x:c>
      <x:c r="V313" s="32" t="n">
        <x:v>0.3125894134477825464949928469</x:v>
      </x:c>
      <x:c r="W313" s="32" t="n">
        <x:v>0.3140200286123032904148783977</x:v>
      </x:c>
      <x:c r="X313" s="32" t="n">
        <x:v>0.3147353361945636623748211731</x:v>
      </x:c>
      <x:c r="Y313" s="32" t="n">
        <x:v>0.316404387219837863614687649</x:v>
      </x:c>
      <x:c r="Z313" s="32" t="n">
        <x:v>0.3197424892703862660944206009</x:v>
      </x:c>
      <x:c r="AA313" s="32" t="n">
        <x:v>0.3264186933714830710538865045</x:v>
      </x:c>
      <x:c r="AB313" s="32" t="n">
        <x:v>0.3369098712446351931330472103</x:v>
      </x:c>
      <x:c r="AC313" s="32" t="n">
        <x:v>0.3443013829279923700524558894</x:v>
      </x:c>
      <x:c r="AD313" s="32" t="n">
        <x:v>0.3590844062947067238912732475</x:v>
      </x:c>
      <x:c r="BI313" s="33" t="s"/>
      <x:c r="BJ313" s="11" t="s">
        <x:v>208</x:v>
      </x:c>
      <x:c r="BK313" s="12" t="str">
        <x:f>=BX313</x:f>
      </x:c>
      <x:c r="BL313" s="12" t="n">
        <x:v>0.6082498807820696232713400095</x:v>
      </x:c>
      <x:c r="BM313" s="12" t="n">
        <x:v>0.1349546971864568431092036242</x:v>
      </x:c>
      <x:c r="BN313" s="12" t="n">
        <x:v>0.2567954220314735336194563662</x:v>
      </x:c>
      <x:c r="BO313" s="12" t="str">
        <x:f>=BW313</x:f>
      </x:c>
      <x:c r="BP313" s="12" t="str">
        <x:f>=CF313</x:f>
      </x:c>
      <x:c r="BQ313" s="12" t="str"/>
      <x:c r="BR313" s="12" t="str">
        <x:v>SS 2020 EOS</x:v>
      </x:c>
      <x:c r="BS313" s="13" t="str"/>
      <x:c r="BT313" s="30" t="n">
        <x:v>51850.49</x:v>
      </x:c>
      <x:c r="BU313" s="30" t="n">
        <x:v>-48385.75860</x:v>
      </x:c>
      <x:c r="BV313" s="30" t="str">
        <x:f>=BT313+BU313</x:f>
      </x:c>
      <x:c r="BW313" s="66" t="str">
        <x:f>=BV313/BT313</x:f>
      </x:c>
      <x:c r="BX313" s="66" t="n">
        <x:v>0.7432045779685264663805436338</x:v>
      </x:c>
      <x:c r="BY313" s="30" t="n">
        <x:v>44666.10</x:v>
      </x:c>
      <x:c r="BZ313" s="41" t="n">
        <x:v>1077</x:v>
      </x:c>
      <x:c r="CA313" s="30" t="n">
        <x:v>11470.05</x:v>
      </x:c>
      <x:c r="CC313" s="30" t="n">
        <x:v>60480.906283841130185979971387</x:v>
      </x:c>
      <x:c r="CD313" s="30" t="n">
        <x:v>-48385.75860</x:v>
      </x:c>
      <x:c r="CE313" s="30" t="str">
        <x:f>=CC313+CD313</x:f>
      </x:c>
      <x:c r="CF313" s="66" t="str">
        <x:f>=CE313/CC313</x:f>
      </x:c>
      <x:c r="CH313" s="66" t="str">
        <x:f>=CI313+CJ313</x:f>
      </x:c>
      <x:c r="CI313" s="66" t="str">
        <x:f>=BX313+(0*7)</x:f>
      </x:c>
      <x:c r="CJ313" s="66" t="str">
        <x:f>=(1-CI313)*0.5</x:f>
      </x:c>
      <x:c r="CK313" s="66" t="str">
        <x:f>=1-CH313</x:f>
      </x:c>
      <x:c r="CM313" s="66" t="str">
        <x:f>=CJ313/(1-CI313)</x:f>
      </x:c>
    </x:row>
    <x:row r="314">
      <x:c r="A314" s="31" t="s">
        <x:v>615</x:v>
      </x:c>
      <x:c r="B314" t="s"/>
      <x:c r="C314" t="s">
        <x:v>616</x:v>
      </x:c>
      <x:c r="D314" t="s">
        <x:v>147</x:v>
      </x:c>
      <x:c r="E314" s="67" t="s">
        <x:v>131</x:v>
      </x:c>
      <x:c r="F314" t="n">
        <x:v>459</x:v>
      </x:c>
      <x:c r="G314" s="32" t="n">
        <x:v>0.0566448801742919389978213508</x:v>
      </x:c>
      <x:c r="H314" s="32" t="n">
        <x:v>0.0566448801742919389978213508</x:v>
      </x:c>
      <x:c r="I314" s="32" t="n">
        <x:v>0.3028322440087145969498910675</x:v>
      </x:c>
      <x:c r="J314" s="32" t="n">
        <x:v>0.4618736383442265795206971678</x:v>
      </x:c>
      <x:c r="K314" s="32" t="n">
        <x:v>0.5729847494553376906318082789</x:v>
      </x:c>
      <x:c r="L314" s="32" t="n">
        <x:v>0.6514161220043572984749455338</x:v>
      </x:c>
      <x:c r="M314" s="23" t="n">
        <x:v>0.7254901960784313725490196078</x:v>
      </x:c>
      <x:c r="N314" s="32" t="n">
        <x:v>0.7690631808278867102396514161</x:v>
      </x:c>
      <x:c r="O314" s="32" t="n">
        <x:v>0.7712418300653594771241830065</x:v>
      </x:c>
      <x:c r="P314" s="32" t="n">
        <x:v>0.7363834422657952069716775599</x:v>
      </x:c>
      <x:c r="Q314" s="32" t="n">
        <x:v>0.721132897603485838779956427</x:v>
      </x:c>
      <x:c r="R314" s="32" t="n">
        <x:v>0.694989106753812636165577342</x:v>
      </x:c>
      <x:c r="S314" s="32" t="n">
        <x:v>0.6993464052287581699346405229</x:v>
      </x:c>
      <x:c r="T314" s="32" t="n">
        <x:v>0.721132897603485838779956427</x:v>
      </x:c>
      <x:c r="U314" s="32" t="n">
        <x:v>0.7581699346405228758169934641</x:v>
      </x:c>
      <x:c r="V314" s="32" t="n">
        <x:v>0.7276688453159041394335511983</x:v>
      </x:c>
      <x:c r="W314" s="32" t="n">
        <x:v>0.7450980392156862745098039216</x:v>
      </x:c>
      <x:c r="X314" s="32" t="n">
        <x:v>0.7734204793028322440087145969</x:v>
      </x:c>
      <x:c r="Y314" s="32" t="n">
        <x:v>0.7821350762527233115468409586</x:v>
      </x:c>
      <x:c r="Z314" s="32" t="n">
        <x:v>0.7995642701525054466230936819</x:v>
      </x:c>
      <x:c r="AA314" s="32" t="n">
        <x:v>0.8017429193899782135076252723</x:v>
      </x:c>
      <x:c r="AB314" s="32" t="n">
        <x:v>0.8017429193899782135076252723</x:v>
      </x:c>
      <x:c r="AC314" s="32" t="n">
        <x:v>0.8213507625272331154684095861</x:v>
      </x:c>
      <x:c r="BI314" s="33" t="s"/>
      <x:c r="BJ314" s="11" t="s">
        <x:v>211</x:v>
      </x:c>
      <x:c r="BK314" s="12" t="str">
        <x:f>=BX314</x:f>
      </x:c>
      <x:c r="BL314" s="12" t="n">
        <x:v>0.8191721132897603485838779956</x:v>
      </x:c>
      <x:c r="BM314" s="12" t="n">
        <x:v>0.1241830065359477124183006536</x:v>
      </x:c>
      <x:c r="BN314" s="12" t="n">
        <x:v>0.0566448801742919389978213508</x:v>
      </x:c>
      <x:c r="BO314" s="12" t="str">
        <x:f>=BW314</x:f>
      </x:c>
      <x:c r="BP314" s="12" t="str">
        <x:f>=CF314</x:f>
      </x:c>
      <x:c r="BQ314" s="12" t="str"/>
      <x:c r="BR314" s="12" t="str">
        <x:v>SS 2020 EOS</x:v>
      </x:c>
      <x:c r="BS314" s="13" t="str"/>
      <x:c r="BT314" s="30" t="n">
        <x:v>6426.39</x:v>
      </x:c>
      <x:c r="BU314" s="30" t="n">
        <x:v>-4093.1784</x:v>
      </x:c>
      <x:c r="BV314" s="30" t="str">
        <x:f>=BT314+BU314</x:f>
      </x:c>
      <x:c r="BW314" s="66" t="str">
        <x:f>=BV314/BT314</x:f>
      </x:c>
      <x:c r="BX314" s="66" t="n">
        <x:v>0.9433551198257080610021786492</x:v>
      </x:c>
      <x:c r="BY314" s="30" t="n">
        <x:v>3956.58</x:v>
      </x:c>
      <x:c r="BZ314" s="41" t="n">
        <x:v>26</x:v>
      </x:c>
      <x:c r="CA314" s="30" t="n">
        <x:v>224.12</x:v>
      </x:c>
      <x:c r="CC314" s="30" t="n">
        <x:v>6427.2157080610021786492374728</x:v>
      </x:c>
      <x:c r="CD314" s="30" t="n">
        <x:v>-4093.1784</x:v>
      </x:c>
      <x:c r="CE314" s="30" t="str">
        <x:f>=CC314+CD314</x:f>
      </x:c>
      <x:c r="CF314" s="66" t="str">
        <x:f>=CE314/CC314</x:f>
      </x:c>
      <x:c r="CH314" s="66" t="str">
        <x:f>=CI314+CJ314</x:f>
      </x:c>
      <x:c r="CI314" s="66" t="str">
        <x:f>=BX314+(0*7)</x:f>
      </x:c>
      <x:c r="CJ314" s="66" t="str">
        <x:f>=(1-CI314)*0.5</x:f>
      </x:c>
      <x:c r="CK314" s="66" t="str">
        <x:f>=1-CH314</x:f>
      </x:c>
      <x:c r="CM314" s="66" t="str">
        <x:f>=CJ314/(1-CI314)</x:f>
      </x:c>
    </x:row>
    <x:row r="315">
      <x:c r="A315" s="31" t="s">
        <x:v>617</x:v>
      </x:c>
      <x:c r="B315" t="s"/>
      <x:c r="C315" t="s">
        <x:v>618</x:v>
      </x:c>
      <x:c r="D315" t="s">
        <x:v>130</x:v>
      </x:c>
      <x:c r="E315" s="67" t="s">
        <x:v>131</x:v>
      </x:c>
      <x:c r="F315" t="n">
        <x:v>270</x:v>
      </x:c>
      <x:c r="G315" s="32" t="n">
        <x:v>0.1148148148148148148148148148</x:v>
      </x:c>
      <x:c r="H315" s="32" t="n">
        <x:v>0.2037037037037037037037037037</x:v>
      </x:c>
      <x:c r="I315" s="32" t="n">
        <x:v>0.3185185185185185185185185185</x:v>
      </x:c>
      <x:c r="J315" s="32" t="n">
        <x:v>0.4111111111111111111111111111</x:v>
      </x:c>
      <x:c r="K315" s="32" t="n">
        <x:v>0.5</x:v>
      </x:c>
      <x:c r="L315" s="32" t="n">
        <x:v>0.5777777777777777777777777778</x:v>
      </x:c>
      <x:c r="M315" s="32" t="n">
        <x:v>0.662962962962962962962962963</x:v>
      </x:c>
      <x:c r="N315" s="23" t="n">
        <x:v>0.7185185185185185185185185185</x:v>
      </x:c>
      <x:c r="O315" s="32" t="n">
        <x:v>0.8481481481481481481481481481</x:v>
      </x:c>
      <x:c r="P315" s="32" t="n">
        <x:v>0.8333333333333333333333333333</x:v>
      </x:c>
      <x:c r="Q315" s="32" t="n">
        <x:v>0.8296296296296296296296296296</x:v>
      </x:c>
      <x:c r="R315" s="32" t="n">
        <x:v>0.8518518518518518518518518519</x:v>
      </x:c>
      <x:c r="S315" s="32" t="n">
        <x:v>0.8740740740740740740740740741</x:v>
      </x:c>
      <x:c r="T315" s="32" t="n">
        <x:v>0.8666666666666666666666666667</x:v>
      </x:c>
      <x:c r="U315" s="32" t="n">
        <x:v>0.8518518518518518518518518519</x:v>
      </x:c>
      <x:c r="V315" s="32" t="n">
        <x:v>0.8555555555555555555555555556</x:v>
      </x:c>
      <x:c r="W315" s="32" t="n">
        <x:v>0.8592592592592592592592592593</x:v>
      </x:c>
      <x:c r="X315" s="32" t="n">
        <x:v>0.8925925925925925925925925926</x:v>
      </x:c>
      <x:c r="Y315" s="32" t="n">
        <x:v>0.9074074074074074074074074074</x:v>
      </x:c>
      <x:c r="Z315" s="32" t="n">
        <x:v>0.9111111111111111111111111111</x:v>
      </x:c>
      <x:c r="AA315" s="32" t="n">
        <x:v>0.9185185185185185185185185185</x:v>
      </x:c>
      <x:c r="AB315" s="32" t="n">
        <x:v>0.9333333333333333333333333333</x:v>
      </x:c>
      <x:c r="BI315" s="33" t="s"/>
      <x:c r="BJ315" s="11" t="s">
        <x:v>330</x:v>
      </x:c>
      <x:c r="BK315" s="12" t="str">
        <x:f>=BX315</x:f>
      </x:c>
      <x:c r="BL315" s="12" t="n">
        <x:v>0.9259259259259259259259259259</x:v>
      </x:c>
      <x:c r="BM315" s="12" t="n">
        <x:v>0.0333333333333333333333333333</x:v>
      </x:c>
      <x:c r="BN315" s="12" t="n">
        <x:v>0.0407407407407407407407407407</x:v>
      </x:c>
      <x:c r="BO315" s="12" t="str">
        <x:f>=BW315</x:f>
      </x:c>
      <x:c r="BP315" s="12" t="str">
        <x:f>=CF315</x:f>
      </x:c>
      <x:c r="BQ315" s="12" t="str"/>
      <x:c r="BR315" s="12" t="str">
        <x:v>SS 2020 EOS</x:v>
      </x:c>
      <x:c r="BS315" s="13" t="str"/>
      <x:c r="BT315" s="30" t="n">
        <x:v>3713.40</x:v>
      </x:c>
      <x:c r="BU315" s="30" t="n">
        <x:v>-2435.83914959972230894200</x:v>
      </x:c>
      <x:c r="BV315" s="30" t="str">
        <x:f>=BT315+BU315</x:f>
      </x:c>
      <x:c r="BW315" s="66" t="str">
        <x:f>=BV315/BT315</x:f>
      </x:c>
      <x:c r="BX315" s="66" t="n">
        <x:v>0.9592592592592592592592592593</x:v>
      </x:c>
      <x:c r="BY315" s="30" t="n">
        <x:v>2465.163040824455988600</x:v>
      </x:c>
      <x:c r="BZ315" s="41" t="n">
        <x:v>11</x:v>
      </x:c>
      <x:c r="CA315" s="30" t="n">
        <x:v>100.432568329885243980</x:v>
      </x:c>
      <x:c r="CC315" s="30" t="n">
        <x:v>3714.3407407407407407407407407</x:v>
      </x:c>
      <x:c r="CD315" s="30" t="n">
        <x:v>-2435.83914959972230894200</x:v>
      </x:c>
      <x:c r="CE315" s="30" t="str">
        <x:f>=CC315+CD315</x:f>
      </x:c>
      <x:c r="CF315" s="66" t="str">
        <x:f>=CE315/CC315</x:f>
      </x:c>
      <x:c r="CH315" s="66" t="str">
        <x:f>=CI315+CJ315</x:f>
      </x:c>
      <x:c r="CI315" s="66" t="str">
        <x:f>=BX315+(0*7)</x:f>
      </x:c>
      <x:c r="CJ315" s="66" t="str">
        <x:f>=(1-CI315)*0.5</x:f>
      </x:c>
      <x:c r="CK315" s="66" t="str">
        <x:f>=1-CH315</x:f>
      </x:c>
      <x:c r="CM315" s="66" t="str">
        <x:f>=CJ315/(1-CI315)</x:f>
      </x:c>
    </x:row>
    <x:row r="316">
      <x:c r="A316" s="31" t="s">
        <x:v>619</x:v>
      </x:c>
      <x:c r="B316" t="s"/>
      <x:c r="C316" t="s">
        <x:v>620</x:v>
      </x:c>
      <x:c r="D316" t="s">
        <x:v>130</x:v>
      </x:c>
      <x:c r="E316" s="67" t="s">
        <x:v>131</x:v>
      </x:c>
      <x:c r="F316" t="n">
        <x:v>277</x:v>
      </x:c>
      <x:c r="G316" s="32" t="n">
        <x:v>0.1913357400722021660649819495</x:v>
      </x:c>
      <x:c r="H316" s="32" t="n">
        <x:v>0.3537906137184115523465703971</x:v>
      </x:c>
      <x:c r="I316" s="32" t="n">
        <x:v>0.6642599277978339350180505415</x:v>
      </x:c>
      <x:c r="J316" s="23" t="n">
        <x:v>0.776173285198555956678700361</x:v>
      </x:c>
      <x:c r="K316" s="32" t="n">
        <x:v>0.8303249097472924187725631769</x:v>
      </x:c>
      <x:c r="L316" s="32" t="n">
        <x:v>0.8592057761732851985559566787</x:v>
      </x:c>
      <x:c r="M316" s="32" t="n">
        <x:v>0.8231046931407942238267148014</x:v>
      </x:c>
      <x:c r="N316" s="32" t="n">
        <x:v>0.8880866425992779783393501805</x:v>
      </x:c>
      <x:c r="O316" s="32" t="n">
        <x:v>0.9241877256317689530685920578</x:v>
      </x:c>
      <x:c r="P316" s="32" t="n">
        <x:v>0.9133574007220216606498194946</x:v>
      </x:c>
      <x:c r="Q316" s="32" t="n">
        <x:v>0.9097472924187725631768953069</x:v>
      </x:c>
      <x:c r="R316" s="32" t="n">
        <x:v>0.9133574007220216606498194946</x:v>
      </x:c>
      <x:c r="S316" s="32" t="n">
        <x:v>0.9133574007220216606498194946</x:v>
      </x:c>
      <x:c r="T316" s="32" t="n">
        <x:v>0.9061371841155234657039711191</x:v>
      </x:c>
      <x:c r="U316" s="32" t="n">
        <x:v>0.9097472924187725631768953069</x:v>
      </x:c>
      <x:c r="V316" s="32" t="n">
        <x:v>0.9025270758122743682310469314</x:v>
      </x:c>
      <x:c r="W316" s="32" t="n">
        <x:v>0.92057761732851985559566787</x:v>
      </x:c>
      <x:c r="X316" s="32" t="n">
        <x:v>0.9314079422382671480144404332</x:v>
      </x:c>
      <x:c r="Y316" s="32" t="n">
        <x:v>0.9386281588447653429602888087</x:v>
      </x:c>
      <x:c r="Z316" s="32" t="n">
        <x:v>0.9386281588447653429602888087</x:v>
      </x:c>
      <x:c r="AA316" s="32" t="n">
        <x:v>0.9494584837545126353790613718</x:v>
      </x:c>
      <x:c r="AB316" s="32" t="n">
        <x:v>0.9566787003610108303249097473</x:v>
      </x:c>
      <x:c r="BI316" s="33" t="s"/>
      <x:c r="BJ316" s="11" t="s">
        <x:v>330</x:v>
      </x:c>
      <x:c r="BK316" s="12" t="str">
        <x:f>=BX316</x:f>
      </x:c>
      <x:c r="BL316" s="12" t="n">
        <x:v>0.9566787003610108303249097473</x:v>
      </x:c>
      <x:c r="BM316" s="12" t="n">
        <x:v>0.0288808664259927797833935018</x:v>
      </x:c>
      <x:c r="BN316" s="12" t="n">
        <x:v>0.0144404332129963898916967509</x:v>
      </x:c>
      <x:c r="BO316" s="12" t="str">
        <x:f>=BW316</x:f>
      </x:c>
      <x:c r="BP316" s="12" t="str">
        <x:f>=CF316</x:f>
      </x:c>
      <x:c r="BQ316" s="12" t="str"/>
      <x:c r="BR316" s="12" t="str">
        <x:v>SS 2020 EOS</x:v>
      </x:c>
      <x:c r="BS316" s="13" t="str"/>
      <x:c r="BT316" s="30" t="n">
        <x:v>4014.96</x:v>
      </x:c>
      <x:c r="BU316" s="30" t="n">
        <x:v>-2497.82713495971510954420</x:v>
      </x:c>
      <x:c r="BV316" s="30" t="str">
        <x:f>=BT316+BU316</x:f>
      </x:c>
      <x:c r="BW316" s="66" t="str">
        <x:f>=BV316/BT316</x:f>
      </x:c>
      <x:c r="BX316" s="66" t="n">
        <x:v>0.9855595667870036101083032491</x:v>
      </x:c>
      <x:c r="BY316" s="30" t="n">
        <x:v>2529.074675216201143860</x:v>
      </x:c>
      <x:c r="BZ316" s="41" t="n">
        <x:v>4</x:v>
      </x:c>
      <x:c r="CA316" s="30" t="n">
        <x:v>36.520933938140088720</x:v>
      </x:c>
      <x:c r="CC316" s="30" t="n">
        <x:v>4015.9166787003610108303249097</x:v>
      </x:c>
      <x:c r="CD316" s="30" t="n">
        <x:v>-2497.82713495971510954420</x:v>
      </x:c>
      <x:c r="CE316" s="30" t="str">
        <x:f>=CC316+CD316</x:f>
      </x:c>
      <x:c r="CF316" s="66" t="str">
        <x:f>=CE316/CC316</x:f>
      </x:c>
      <x:c r="CH316" s="66" t="str">
        <x:f>=CI316+CJ316</x:f>
      </x:c>
      <x:c r="CI316" s="66" t="str">
        <x:f>=BX316+(0*7)</x:f>
      </x:c>
      <x:c r="CJ316" s="66" t="str">
        <x:f>=(1-CI316)*0.5</x:f>
      </x:c>
      <x:c r="CK316" s="66" t="str">
        <x:f>=1-CH316</x:f>
      </x:c>
      <x:c r="CM316" s="66" t="str">
        <x:f>=CJ316/(1-CI316)</x:f>
      </x:c>
    </x:row>
    <x:row r="317">
      <x:c r="A317" s="31" t="s">
        <x:v>621</x:v>
      </x:c>
      <x:c r="B317" t="s"/>
      <x:c r="C317" t="s">
        <x:v>622</x:v>
      </x:c>
      <x:c r="D317" t="s">
        <x:v>130</x:v>
      </x:c>
      <x:c r="E317" s="67" t="s">
        <x:v>131</x:v>
      </x:c>
      <x:c r="F317" t="n">
        <x:v>318</x:v>
      </x:c>
      <x:c r="G317" s="32" t="n">
        <x:v>0.0125786163522012578616352201</x:v>
      </x:c>
      <x:c r="H317" s="32" t="n">
        <x:v>0.1132075471698113207547169811</x:v>
      </x:c>
      <x:c r="I317" s="32" t="n">
        <x:v>0.1635220125786163522012578616</x:v>
      </x:c>
      <x:c r="J317" s="32" t="n">
        <x:v>0.2327044025157232704402515723</x:v>
      </x:c>
      <x:c r="K317" s="32" t="n">
        <x:v>0.3616352201257861635220125786</x:v>
      </x:c>
      <x:c r="L317" s="32" t="n">
        <x:v>0.4088050314465408805031446541</x:v>
      </x:c>
      <x:c r="M317" s="32" t="n">
        <x:v>0.4088050314465408805031446541</x:v>
      </x:c>
      <x:c r="N317" s="32" t="n">
        <x:v>0.4088050314465408805031446541</x:v>
      </x:c>
      <x:c r="O317" s="32" t="n">
        <x:v>0.4056603773584905660377358491</x:v>
      </x:c>
      <x:c r="P317" s="32" t="n">
        <x:v>0.402515723270440251572327044</x:v>
      </x:c>
      <x:c r="Q317" s="32" t="n">
        <x:v>0.402515723270440251572327044</x:v>
      </x:c>
      <x:c r="R317" s="32" t="n">
        <x:v>0.4056603773584905660377358491</x:v>
      </x:c>
      <x:c r="S317" s="32" t="n">
        <x:v>0.4213836477987421383647798742</x:v>
      </x:c>
      <x:c r="T317" s="32" t="n">
        <x:v>0.4276729559748427672955974843</x:v>
      </x:c>
      <x:c r="U317" s="32" t="n">
        <x:v>0.4339622641509433962264150943</x:v>
      </x:c>
      <x:c r="V317" s="32" t="n">
        <x:v>0.4433962264150943396226415094</x:v>
      </x:c>
      <x:c r="W317" s="32" t="n">
        <x:v>0.4779874213836477987421383648</x:v>
      </x:c>
      <x:c r="X317" s="32" t="n">
        <x:v>0.4905660377358490566037735849</x:v>
      </x:c>
      <x:c r="Y317" s="32" t="n">
        <x:v>0.5</x:v>
      </x:c>
      <x:c r="BI317" s="33" t="s"/>
      <x:c r="BJ317" s="11" t="s">
        <x:v>137</x:v>
      </x:c>
      <x:c r="BK317" s="12" t="str">
        <x:f>=BX317</x:f>
      </x:c>
      <x:c r="BL317" s="12" t="n">
        <x:v>0.5062893081761006289308176101</x:v>
      </x:c>
      <x:c r="BM317" s="12" t="n">
        <x:v>0.4654088050314465408805031447</x:v>
      </x:c>
      <x:c r="BN317" s="12" t="n">
        <x:v>0.0283018867924528301886792453</x:v>
      </x:c>
      <x:c r="BO317" s="12" t="str">
        <x:f>=BW317</x:f>
      </x:c>
      <x:c r="BP317" s="12" t="str">
        <x:f>=CF317</x:f>
      </x:c>
      <x:c r="BQ317" s="12" t="str"/>
      <x:c r="BR317" s="12" t="str">
        <x:v>SS 2020 EOS</x:v>
      </x:c>
      <x:c r="BS317" s="13" t="str"/>
      <x:c r="BT317" s="30" t="n">
        <x:v>377.73</x:v>
      </x:c>
      <x:c r="BU317" s="30" t="n">
        <x:v>-277.29158842985220000000</x:v>
      </x:c>
      <x:c r="BV317" s="30" t="str">
        <x:f>=BT317+BU317</x:f>
      </x:c>
      <x:c r="BW317" s="66" t="str">
        <x:f>=BV317/BT317</x:f>
      </x:c>
      <x:c r="BX317" s="66" t="n">
        <x:v>0.9716981132075471698113207547</x:v>
      </x:c>
      <x:c r="BY317" s="30" t="n">
        <x:v>277.868441680260000000</x:v>
      </x:c>
      <x:c r="BZ317" s="41" t="n">
        <x:v>9</x:v>
      </x:c>
      <x:c r="CA317" s="30" t="n">
        <x:v>7.864201179630000000</x:v>
      </x:c>
      <x:c r="CC317" s="30" t="n">
        <x:v>378.23</x:v>
      </x:c>
      <x:c r="CD317" s="30" t="n">
        <x:v>-277.29158842985220000000</x:v>
      </x:c>
      <x:c r="CE317" s="30" t="str">
        <x:f>=CC317+CD317</x:f>
      </x:c>
      <x:c r="CF317" s="66" t="str">
        <x:f>=CE317/CC317</x:f>
      </x:c>
      <x:c r="CH317" s="66" t="str">
        <x:f>=CI317+CJ317</x:f>
      </x:c>
      <x:c r="CI317" s="66" t="str">
        <x:f>=BX317+(0*7)</x:f>
      </x:c>
      <x:c r="CJ317" s="66" t="str">
        <x:f>=(1-CI317)*0.5</x:f>
      </x:c>
      <x:c r="CK317" s="66" t="str">
        <x:f>=1-CH317</x:f>
      </x:c>
      <x:c r="CM317" s="66" t="str">
        <x:f>=CJ317/(1-CI317)</x:f>
      </x:c>
    </x:row>
    <x:row r="318">
      <x:c r="A318" s="31" t="s">
        <x:v>623</x:v>
      </x:c>
      <x:c r="B318" t="s"/>
      <x:c r="C318" t="s">
        <x:v>624</x:v>
      </x:c>
      <x:c r="D318" t="s">
        <x:v>130</x:v>
      </x:c>
      <x:c r="E318" s="67" t="s">
        <x:v>131</x:v>
      </x:c>
      <x:c r="F318" t="n">
        <x:v>318</x:v>
      </x:c>
      <x:c r="G318" s="32" t="n">
        <x:v>0.0628930817610062893081761006</x:v>
      </x:c>
      <x:c r="H318" s="32" t="n">
        <x:v>0.2893081761006289308176100629</x:v>
      </x:c>
      <x:c r="I318" s="32" t="n">
        <x:v>0.5471698113207547169811320755</x:v>
      </x:c>
      <x:c r="J318" s="23" t="n">
        <x:v>0.9056603773584905660377358491</x:v>
      </x:c>
      <x:c r="K318" s="32" t="n">
        <x:v>0.9528301886792452830188679245</x:v>
      </x:c>
      <x:c r="L318" s="32" t="n">
        <x:v>0.9654088050314465408805031447</x:v>
      </x:c>
      <x:c r="M318" s="32" t="n">
        <x:v>0.9654088050314465408805031447</x:v>
      </x:c>
      <x:c r="N318" s="32" t="n">
        <x:v>0.9685534591194968553459119497</x:v>
      </x:c>
      <x:c r="O318" s="32" t="n">
        <x:v>0.9685534591194968553459119497</x:v>
      </x:c>
      <x:c r="P318" s="32" t="n">
        <x:v>0.9685534591194968553459119497</x:v>
      </x:c>
      <x:c r="Q318" s="32" t="n">
        <x:v>0.9748427672955974842767295597</x:v>
      </x:c>
      <x:c r="R318" s="32" t="n">
        <x:v>0.9748427672955974842767295597</x:v>
      </x:c>
      <x:c r="S318" s="32" t="n">
        <x:v>0.9874213836477987421383647799</x:v>
      </x:c>
      <x:c r="T318" s="32" t="n">
        <x:v>0.9874213836477987421383647799</x:v>
      </x:c>
      <x:c r="U318" s="32" t="n">
        <x:v>0.9874213836477987421383647799</x:v>
      </x:c>
      <x:c r="V318" s="32" t="n">
        <x:v>0.9905660377358490566037735849</x:v>
      </x:c>
      <x:c r="W318" s="32" t="n">
        <x:v>0.9905660377358490566037735849</x:v>
      </x:c>
      <x:c r="X318" s="32" t="n">
        <x:v>0.9905660377358490566037735849</x:v>
      </x:c>
      <x:c r="Y318" s="32" t="n">
        <x:v>0.9905660377358490566037735849</x:v>
      </x:c>
      <x:c r="Z318" s="32" t="n">
        <x:v>0.9905660377358490566037735849</x:v>
      </x:c>
      <x:c r="AA318" s="32" t="n">
        <x:v>0.9905660377358490566037735849</x:v>
      </x:c>
      <x:c r="AB318" s="32" t="n">
        <x:v>0.9937106918238993710691823899</x:v>
      </x:c>
      <x:c r="BI318" s="33" t="s"/>
      <x:c r="BJ318" s="11" t="s">
        <x:v>330</x:v>
      </x:c>
      <x:c r="BK318" s="12" t="str">
        <x:f>=BX318</x:f>
      </x:c>
      <x:c r="BL318" s="12" t="n">
        <x:v>0.996855345911949685534591195</x:v>
      </x:c>
      <x:c r="BM318" s="12" t="n">
        <x:v>0</x:v>
      </x:c>
      <x:c r="BN318" s="12" t="n">
        <x:v>0.003144654088050314465408805</x:v>
      </x:c>
      <x:c r="BO318" s="12" t="str">
        <x:f>=BW318</x:f>
      </x:c>
      <x:c r="BP318" s="12" t="str">
        <x:f>=CF318</x:f>
      </x:c>
      <x:c r="BQ318" s="12" t="str"/>
      <x:c r="BR318" s="12" t="str">
        <x:v>SS 2020 EOS</x:v>
      </x:c>
      <x:c r="BS318" s="13" t="str"/>
      <x:c r="BT318" s="30" t="n">
        <x:v>471.94</x:v>
      </x:c>
      <x:c r="BU318" s="30" t="n">
        <x:v>-289.18272321352215000000</x:v>
      </x:c>
      <x:c r="BV318" s="30" t="str">
        <x:f>=BT318+BU318</x:f>
      </x:c>
      <x:c r="BW318" s="66" t="str">
        <x:f>=BV318/BT318</x:f>
      </x:c>
      <x:c r="BX318" s="66" t="n">
        <x:v>0.996855345911949685534591195</x:v>
      </x:c>
      <x:c r="BY318" s="30" t="n">
        <x:v>290.127343519095000000</x:v>
      </x:c>
      <x:c r="BZ318" s="41" t="n">
        <x:v>1</x:v>
      </x:c>
      <x:c r="CA318" s="30" t="n">
        <x:v>0.912350136852500000</x:v>
      </x:c>
      <x:c r="CC318" s="30" t="n">
        <x:v>473.42435583341194968553459119</x:v>
      </x:c>
      <x:c r="CD318" s="30" t="n">
        <x:v>-289.18272321352215000000</x:v>
      </x:c>
      <x:c r="CE318" s="30" t="str">
        <x:f>=CC318+CD318</x:f>
      </x:c>
      <x:c r="CF318" s="66" t="str">
        <x:f>=CE318/CC318</x:f>
      </x:c>
      <x:c r="CH318" s="66" t="str">
        <x:f>=CI318+CJ318</x:f>
      </x:c>
      <x:c r="CI318" s="66" t="str">
        <x:f>=BX318+(0*7)</x:f>
      </x:c>
      <x:c r="CJ318" s="66" t="str">
        <x:f>=(1-CI318)*0.5</x:f>
      </x:c>
      <x:c r="CK318" s="66" t="str">
        <x:f>=1-CH318</x:f>
      </x:c>
      <x:c r="CM318" s="66" t="str">
        <x:f>=CJ318/(1-CI318)</x:f>
      </x:c>
    </x:row>
    <x:row r="319">
      <x:c r="A319" s="31" t="s">
        <x:v>625</x:v>
      </x:c>
      <x:c r="B319" t="s">
        <x:v>116</x:v>
      </x:c>
      <x:c r="C319" t="s">
        <x:v>626</x:v>
      </x:c>
      <x:c r="D319" t="s">
        <x:v>130</x:v>
      </x:c>
      <x:c r="E319" s="67" t="s">
        <x:v>131</x:v>
      </x:c>
      <x:c r="F319" t="n">
        <x:v>537</x:v>
      </x:c>
      <x:c r="G319" s="32" t="n">
        <x:v>0.0204841713221601489757914339</x:v>
      </x:c>
      <x:c r="H319" s="32" t="n">
        <x:v>0.063314711359404096834264432</x:v>
      </x:c>
      <x:c r="I319" s="32" t="n">
        <x:v>0.0986964618249534450651769088</x:v>
      </x:c>
      <x:c r="J319" s="32" t="n">
        <x:v>0.1378026070763500931098696462</x:v>
      </x:c>
      <x:c r="K319" s="32" t="n">
        <x:v>0.1284916201117318435754189944</x:v>
      </x:c>
      <x:c r="L319" s="32" t="n">
        <x:v>0.1359404096834264432029795158</x:v>
      </x:c>
      <x:c r="M319" s="32" t="n">
        <x:v>0.152700186219739292364990689</x:v>
      </x:c>
      <x:c r="N319" s="32" t="n">
        <x:v>0.2364990689013035381750465549</x:v>
      </x:c>
      <x:c r="O319" s="32" t="n">
        <x:v>0.3109869646182495344506517691</x:v>
      </x:c>
      <x:c r="P319" s="32" t="n">
        <x:v>0.3743016759776536312849162011</x:v>
      </x:c>
      <x:c r="Q319" s="32" t="n">
        <x:v>0.4022346368715083798882681564</x:v>
      </x:c>
      <x:c r="R319" s="32" t="n">
        <x:v>0.4376163873370577281191806331</x:v>
      </x:c>
      <x:c r="S319" s="32" t="n">
        <x:v>0.452513966480446927374301676</x:v>
      </x:c>
      <x:c r="T319" s="32" t="n">
        <x:v>0.4692737430167597765363128492</x:v>
      </x:c>
      <x:c r="U319" s="32" t="n">
        <x:v>0.515828677839851024208566108</x:v>
      </x:c>
      <x:c r="V319" s="32" t="n">
        <x:v>0.5865921787709497206703910615</x:v>
      </x:c>
      <x:c r="W319" s="32" t="n">
        <x:v>0.6070763500931098696461824953</x:v>
      </x:c>
      <x:c r="BI319" s="33" t="s"/>
      <x:c r="BJ319" s="11" t="s">
        <x:v>154</x:v>
      </x:c>
      <x:c r="BK319" s="12" t="str">
        <x:f>=BX319</x:f>
      </x:c>
      <x:c r="BL319" s="12" t="n">
        <x:v>0.6182495344506517690875232775</x:v>
      </x:c>
      <x:c r="BM319" s="12" t="n">
        <x:v>0.3407821229050279329608938547</x:v>
      </x:c>
      <x:c r="BN319" s="12" t="n">
        <x:v>0.0409683426443202979515828678</x:v>
      </x:c>
      <x:c r="BO319" s="12" t="str">
        <x:f>=BW319</x:f>
      </x:c>
      <x:c r="BP319" s="12" t="str">
        <x:f>=CF319</x:f>
      </x:c>
      <x:c r="BQ319" s="12" t="str"/>
      <x:c r="BR319" s="12" t="str">
        <x:v>SS 2020 EOS</x:v>
      </x:c>
      <x:c r="BS319" s="13" t="str"/>
      <x:c r="BT319" s="30" t="n">
        <x:v>5469.41</x:v>
      </x:c>
      <x:c r="BU319" s="30" t="n">
        <x:v>-4322.57623978617573630240</x:v>
      </x:c>
      <x:c r="BV319" s="30" t="str">
        <x:f>=BT319+BU319</x:f>
      </x:c>
      <x:c r="BW319" s="66" t="str">
        <x:f>=BV319/BT319</x:f>
      </x:c>
      <x:c r="BX319" s="66" t="n">
        <x:v>0.9590316573556797020484171322</x:v>
      </x:c>
      <x:c r="BY319" s="30" t="n">
        <x:v>4358.164783284717253920</x:v>
      </x:c>
      <x:c r="BZ319" s="41" t="n">
        <x:v>22</x:v>
      </x:c>
      <x:c r="CA319" s="30" t="n">
        <x:v>178.546788142018211520</x:v>
      </x:c>
      <x:c r="CC319" s="30" t="n">
        <x:v>5470.0170763500931098696461825</x:v>
      </x:c>
      <x:c r="CD319" s="30" t="n">
        <x:v>-4322.57623978617573630240</x:v>
      </x:c>
      <x:c r="CE319" s="30" t="str">
        <x:f>=CC319+CD319</x:f>
      </x:c>
      <x:c r="CF319" s="66" t="str">
        <x:f>=CE319/CC319</x:f>
      </x:c>
      <x:c r="CH319" s="66" t="str">
        <x:f>=CI319+CJ319</x:f>
      </x:c>
      <x:c r="CI319" s="66" t="str">
        <x:f>=BX319+(0*7)</x:f>
      </x:c>
      <x:c r="CJ319" s="66" t="str">
        <x:f>=(1-CI319)*0.5</x:f>
      </x:c>
      <x:c r="CK319" s="66" t="str">
        <x:f>=1-CH319</x:f>
      </x:c>
      <x:c r="CM319" s="66" t="str">
        <x:f>=CJ319/(1-CI319)</x:f>
      </x:c>
    </x:row>
    <x:row r="320">
      <x:c r="A320" s="31" t="s"/>
      <x:c r="BI320" s="33" t="s"/>
      <x:c r="BJ320" s="11" t="s"/>
      <x:c r="BS320" s="13" t="s"/>
    </x:row>
    <x:row r="321">
      <x:c r="A321" s="17" t="s">
        <x:v>114</x:v>
      </x:c>
      <x:c r="BI321" s="33" t="s"/>
      <x:c r="BJ321" s="11" t="s"/>
      <x:c r="BS321" s="13" t="s"/>
    </x:row>
    <x:row r="322">
      <x:c r="A322" s="31" t="s">
        <x:v>627</x:v>
      </x:c>
      <x:c r="B322" t="s"/>
      <x:c r="C322" t="s">
        <x:v>628</x:v>
      </x:c>
      <x:c r="D322" t="s">
        <x:v>147</x:v>
      </x:c>
      <x:c r="E322" s="67" t="s">
        <x:v>131</x:v>
      </x:c>
      <x:c r="F322" t="n">
        <x:v>895</x:v>
      </x:c>
      <x:c r="G322" s="32" t="n">
        <x:v>0.0178770949720670391061452514</x:v>
      </x:c>
      <x:c r="H322" s="32" t="n">
        <x:v>0.0782122905027932960893854749</x:v>
      </x:c>
      <x:c r="I322" s="32" t="n">
        <x:v>0.147486033519553072625698324</x:v>
      </x:c>
      <x:c r="J322" s="32" t="n">
        <x:v>0.1821229050279329608938547486</x:v>
      </x:c>
      <x:c r="K322" s="32" t="n">
        <x:v>0.2011173184357541899441340782</x:v>
      </x:c>
      <x:c r="L322" s="32" t="n">
        <x:v>0.2011173184357541899441340782</x:v>
      </x:c>
      <x:c r="M322" s="32" t="n">
        <x:v>0.2111731843575418994413407821</x:v>
      </x:c>
      <x:c r="N322" s="32" t="n">
        <x:v>0.2379888268156424581005586592</x:v>
      </x:c>
      <x:c r="O322" s="32" t="n">
        <x:v>0.2357541899441340782122905028</x:v>
      </x:c>
      <x:c r="P322" s="32" t="n">
        <x:v>0.2301675977653631284916201117</x:v>
      </x:c>
      <x:c r="Q322" s="32" t="n">
        <x:v>0.2201117318435754189944134078</x:v>
      </x:c>
      <x:c r="R322" s="32" t="n">
        <x:v>0.2134078212290502793296089385</x:v>
      </x:c>
      <x:c r="S322" s="32" t="n">
        <x:v>0.2145251396648044692737430168</x:v>
      </x:c>
      <x:c r="T322" s="32" t="n">
        <x:v>0.2100558659217877094972067039</x:v>
      </x:c>
      <x:c r="U322" s="32" t="n">
        <x:v>0.2089385474860335195530726257</x:v>
      </x:c>
      <x:c r="V322" s="32" t="n">
        <x:v>0.2089385474860335195530726257</x:v>
      </x:c>
      <x:c r="W322" s="32" t="n">
        <x:v>0.2100558659217877094972067039</x:v>
      </x:c>
      <x:c r="X322" s="32" t="n">
        <x:v>0.2100558659217877094972067039</x:v>
      </x:c>
      <x:c r="Y322" s="32" t="n">
        <x:v>0.2044692737430167597765363128</x:v>
      </x:c>
      <x:c r="Z322" s="32" t="n">
        <x:v>0.2089385474860335195530726257</x:v>
      </x:c>
      <x:c r="AA322" s="32" t="n">
        <x:v>0.2078212290502793296089385475</x:v>
      </x:c>
      <x:c r="AB322" s="32" t="n">
        <x:v>0.2067039106145251396648044693</x:v>
      </x:c>
      <x:c r="AC322" s="32" t="n">
        <x:v>0.2055865921787709497206703911</x:v>
      </x:c>
      <x:c r="AD322" s="32" t="n">
        <x:v>0.2055865921787709497206703911</x:v>
      </x:c>
      <x:c r="AE322" s="32" t="n">
        <x:v>0.2022346368715083798882681564</x:v>
      </x:c>
      <x:c r="AF322" s="32" t="n">
        <x:v>0.2</x:v>
      </x:c>
      <x:c r="AG322" s="32" t="n">
        <x:v>0.2</x:v>
      </x:c>
      <x:c r="BI322" s="33" t="s"/>
      <x:c r="BJ322" s="11" t="s">
        <x:v>301</x:v>
      </x:c>
      <x:c r="BK322" s="12" t="str">
        <x:f>=BX322</x:f>
      </x:c>
      <x:c r="BL322" s="12" t="n">
        <x:v>0.2536312849162011173184357542</x:v>
      </x:c>
      <x:c r="BM322" s="12" t="n">
        <x:v>0.4346368715083798882681564246</x:v>
      </x:c>
      <x:c r="BN322" s="12" t="n">
        <x:v>0.3117318435754189944134078212</x:v>
      </x:c>
      <x:c r="BO322" s="12" t="str">
        <x:f>=BW322</x:f>
      </x:c>
      <x:c r="BP322" s="12" t="str">
        <x:f>=CF322</x:f>
      </x:c>
      <x:c r="BQ322" s="12" t="str"/>
      <x:c r="BR322" s="12" t="str">
        <x:v>SS 2020 EOS</x:v>
      </x:c>
      <x:c r="BS322" s="13" t="str"/>
      <x:c r="BT322" s="30" t="n">
        <x:v>7687.65</x:v>
      </x:c>
      <x:c r="BU322" s="30" t="n">
        <x:v>-11167.4520</x:v>
      </x:c>
      <x:c r="BV322" s="30" t="str">
        <x:f>=BT322+BU322</x:f>
      </x:c>
      <x:c r="BW322" s="66" t="str">
        <x:f>=BV322/BT322</x:f>
      </x:c>
      <x:c r="BX322" s="66" t="n">
        <x:v>0.6882681564245810055865921788</x:v>
      </x:c>
      <x:c r="BY322" s="30" t="n">
        <x:v>10901.10</x:v>
      </x:c>
      <x:c r="BZ322" s="41" t="n">
        <x:v>279</x:v>
      </x:c>
      <x:c r="CA322" s="30" t="n">
        <x:v>3398.22</x:v>
      </x:c>
      <x:c r="CC322" s="30" t="n">
        <x:v>7687.8544692737430167597765363</x:v>
      </x:c>
      <x:c r="CD322" s="30" t="n">
        <x:v>-11167.4520</x:v>
      </x:c>
      <x:c r="CE322" s="30" t="str">
        <x:f>=CC322+CD322</x:f>
      </x:c>
      <x:c r="CF322" s="66" t="str">
        <x:f>=CE322/CC322</x:f>
      </x:c>
      <x:c r="CH322" s="66" t="str">
        <x:f>=CI322+CJ322</x:f>
      </x:c>
      <x:c r="CI322" s="66" t="str">
        <x:f>=BX322+(0*7)</x:f>
      </x:c>
      <x:c r="CJ322" s="66" t="str">
        <x:f>=(1-CI322)*0.5</x:f>
      </x:c>
      <x:c r="CK322" s="66" t="str">
        <x:f>=1-CH322</x:f>
      </x:c>
      <x:c r="CM322" s="66" t="str">
        <x:f>=CJ322/(1-CI322)</x:f>
      </x:c>
    </x:row>
    <x:row r="323">
      <x:c r="A323" s="31" t="s">
        <x:v>629</x:v>
      </x:c>
      <x:c r="B323" t="s"/>
      <x:c r="C323" t="s">
        <x:v>630</x:v>
      </x:c>
      <x:c r="D323" t="s">
        <x:v>147</x:v>
      </x:c>
      <x:c r="E323" s="67" t="s">
        <x:v>131</x:v>
      </x:c>
      <x:c r="F323" t="n">
        <x:v>834</x:v>
      </x:c>
      <x:c r="G323" s="32" t="n">
        <x:v>0.003597122302158273381294964</x:v>
      </x:c>
      <x:c r="H323" s="32" t="n">
        <x:v>0.045563549160671462829736211</x:v>
      </x:c>
      <x:c r="I323" s="32" t="n">
        <x:v>0.0731414868105515587529976019</x:v>
      </x:c>
      <x:c r="J323" s="32" t="n">
        <x:v>0.0731414868105515587529976019</x:v>
      </x:c>
      <x:c r="K323" s="32" t="n">
        <x:v>0.1366906474820143884892086331</x:v>
      </x:c>
      <x:c r="L323" s="32" t="n">
        <x:v>0.1175059952038369304556354916</x:v>
      </x:c>
      <x:c r="M323" s="32" t="n">
        <x:v>0.1270983213429256594724220624</x:v>
      </x:c>
      <x:c r="N323" s="32" t="n">
        <x:v>0.1354916067146282973621103118</x:v>
      </x:c>
      <x:c r="O323" s="32" t="n">
        <x:v>0.1438848920863309352517985612</x:v>
      </x:c>
      <x:c r="P323" s="32" t="n">
        <x:v>0.164268585131894484412470024</x:v>
      </x:c>
      <x:c r="Q323" s="32" t="n">
        <x:v>0.1654676258992805755395683453</x:v>
      </x:c>
      <x:c r="R323" s="32" t="n">
        <x:v>0.1594724220623501199040767386</x:v>
      </x:c>
      <x:c r="S323" s="32" t="n">
        <x:v>0.1546762589928057553956834532</x:v>
      </x:c>
      <x:c r="T323" s="32" t="n">
        <x:v>0.1486810551558752997601918465</x:v>
      </x:c>
      <x:c r="U323" s="32" t="n">
        <x:v>0.1486810551558752997601918465</x:v>
      </x:c>
      <x:c r="V323" s="32" t="n">
        <x:v>0.1510791366906474820143884892</x:v>
      </x:c>
      <x:c r="W323" s="32" t="n">
        <x:v>0.1510791366906474820143884892</x:v>
      </x:c>
      <x:c r="X323" s="32" t="n">
        <x:v>0.1546762589928057553956834532</x:v>
      </x:c>
      <x:c r="Y323" s="32" t="n">
        <x:v>0.1558752997601918465227817746</x:v>
      </x:c>
      <x:c r="Z323" s="32" t="n">
        <x:v>0.1582733812949640287769784173</x:v>
      </x:c>
      <x:c r="AA323" s="32" t="n">
        <x:v>0.1630695443645083932853717026</x:v>
      </x:c>
      <x:c r="AB323" s="32" t="n">
        <x:v>0.1666666666666666666666666667</x:v>
      </x:c>
      <x:c r="AC323" s="32" t="n">
        <x:v>0.1798561151079136690647482014</x:v>
      </x:c>
      <x:c r="AD323" s="32" t="n">
        <x:v>0.1810551558752997601918465228</x:v>
      </x:c>
      <x:c r="AE323" s="32" t="n">
        <x:v>0.1882494004796163069544364508</x:v>
      </x:c>
      <x:c r="BI323" s="33" t="s"/>
      <x:c r="BJ323" s="11" t="s">
        <x:v>168</x:v>
      </x:c>
      <x:c r="BK323" s="12" t="str">
        <x:f>=BX323</x:f>
      </x:c>
      <x:c r="BL323" s="12" t="n">
        <x:v>0.2206235011990407673860911271</x:v>
      </x:c>
      <x:c r="BM323" s="12" t="n">
        <x:v>0.4808153477218225419664268585</x:v>
      </x:c>
      <x:c r="BN323" s="12" t="n">
        <x:v>0.2985611510791366906474820144</x:v>
      </x:c>
      <x:c r="BO323" s="12" t="str">
        <x:f>=BW323</x:f>
      </x:c>
      <x:c r="BP323" s="12" t="str">
        <x:f>=CF323</x:f>
      </x:c>
      <x:c r="BQ323" s="12" t="str"/>
      <x:c r="BR323" s="12" t="str">
        <x:v>SS 2020 EOS</x:v>
      </x:c>
      <x:c r="BS323" s="13" t="str"/>
      <x:c r="BT323" s="30" t="n">
        <x:v>6991.66</x:v>
      </x:c>
      <x:c r="BU323" s="30" t="n">
        <x:v>-10406.3184</x:v>
      </x:c>
      <x:c r="BV323" s="30" t="str">
        <x:f>=BT323+BU323</x:f>
      </x:c>
      <x:c r="BW323" s="66" t="str">
        <x:f>=BV323/BT323</x:f>
      </x:c>
      <x:c r="BX323" s="66" t="n">
        <x:v>0.7014388489208633093525179856</x:v>
      </x:c>
      <x:c r="BY323" s="30" t="n">
        <x:v>10158.12</x:v>
      </x:c>
      <x:c r="BZ323" s="41" t="n">
        <x:v>249</x:v>
      </x:c>
      <x:c r="CA323" s="30" t="n">
        <x:v>3032.82</x:v>
      </x:c>
      <x:c r="CC323" s="30" t="n">
        <x:v>6991.8506474820143884892086331</x:v>
      </x:c>
      <x:c r="CD323" s="30" t="n">
        <x:v>-10406.3184</x:v>
      </x:c>
      <x:c r="CE323" s="30" t="str">
        <x:f>=CC323+CD323</x:f>
      </x:c>
      <x:c r="CF323" s="66" t="str">
        <x:f>=CE323/CC323</x:f>
      </x:c>
      <x:c r="CH323" s="66" t="str">
        <x:f>=CI323+CJ323</x:f>
      </x:c>
      <x:c r="CI323" s="66" t="str">
        <x:f>=BX323+(0*7)</x:f>
      </x:c>
      <x:c r="CJ323" s="66" t="str">
        <x:f>=(1-CI323)*0.5</x:f>
      </x:c>
      <x:c r="CK323" s="66" t="str">
        <x:f>=1-CH323</x:f>
      </x:c>
      <x:c r="CM323" s="66" t="str">
        <x:f>=CJ323/(1-CI323)</x:f>
      </x:c>
    </x:row>
    <x:row r="324">
      <x:c r="A324" s="34" t="s"/>
      <x:c r="B324" s="6" t="s"/>
      <x:c r="C324" s="6" t="s"/>
      <x:c r="D324" s="6" t="s"/>
      <x:c r="E324" s="6" t="s"/>
      <x:c r="F324" s="6" t="s"/>
      <x:c r="G324" s="6" t="s"/>
      <x:c r="H324" s="6" t="s"/>
      <x:c r="I324" s="6" t="s"/>
      <x:c r="J324" s="6" t="s"/>
      <x:c r="K324" s="6" t="s"/>
      <x:c r="L324" s="6" t="s"/>
      <x:c r="M324" s="6" t="s"/>
      <x:c r="N324" s="6" t="s"/>
      <x:c r="O324" s="6" t="s"/>
      <x:c r="P324" s="6" t="s"/>
      <x:c r="Q324" s="6" t="s"/>
      <x:c r="R324" s="6" t="s"/>
      <x:c r="S324" s="6" t="s"/>
      <x:c r="T324" s="6" t="s"/>
      <x:c r="U324" s="6" t="s"/>
      <x:c r="V324" s="6" t="s"/>
      <x:c r="W324" s="6" t="s"/>
      <x:c r="X324" s="6" t="s"/>
      <x:c r="Y324" s="6" t="s"/>
      <x:c r="Z324" s="6" t="s"/>
      <x:c r="AA324" s="6" t="s"/>
      <x:c r="AB324" s="6" t="s"/>
      <x:c r="AC324" s="6" t="s"/>
      <x:c r="AD324" s="6" t="s"/>
      <x:c r="AE324" s="6" t="s"/>
      <x:c r="AF324" s="6" t="s"/>
      <x:c r="AG324" s="6" t="s"/>
      <x:c r="AH324" s="6" t="s"/>
      <x:c r="AI324" s="6" t="s"/>
      <x:c r="AJ324" s="6" t="s"/>
      <x:c r="AK324" s="6" t="s"/>
      <x:c r="AL324" s="6" t="s"/>
      <x:c r="AM324" s="6" t="s"/>
      <x:c r="AN324" s="6" t="s"/>
      <x:c r="AO324" s="6" t="s"/>
      <x:c r="AP324" s="6" t="s"/>
      <x:c r="AQ324" s="6" t="s"/>
      <x:c r="AR324" s="6" t="s"/>
      <x:c r="AS324" s="6" t="s"/>
      <x:c r="AT324" s="6" t="s"/>
      <x:c r="AU324" s="6" t="s"/>
      <x:c r="AV324" s="6" t="s"/>
      <x:c r="AW324" s="6" t="s"/>
      <x:c r="AX324" s="6" t="s"/>
      <x:c r="AY324" s="6" t="s"/>
      <x:c r="AZ324" s="6" t="s"/>
      <x:c r="BA324" s="6" t="s"/>
      <x:c r="BB324" s="6" t="s"/>
      <x:c r="BC324" s="6" t="s"/>
      <x:c r="BD324" s="6" t="s"/>
      <x:c r="BE324" s="6" t="s"/>
      <x:c r="BF324" s="6" t="s"/>
      <x:c r="BG324" s="6" t="s"/>
      <x:c r="BH324" s="6" t="s"/>
      <x:c r="BI324" s="8" t="s"/>
      <x:c r="BJ324" s="14" t="s">
        <x:v>36</x:v>
      </x:c>
      <x:c r="BK324" s="15" t="s"/>
      <x:c r="BL324" s="15" t="s"/>
      <x:c r="BM324" s="15" t="s"/>
      <x:c r="BN324" s="15" t="s"/>
      <x:c r="BO324" s="37">
        <x:f>=BV325/BT325</x:f>
      </x:c>
      <x:c r="BP324" s="37">
        <x:f>=CF325</x:f>
      </x:c>
      <x:c r="BQ324" s="6" t="s"/>
      <x:c r="BR324" s="6" t="s"/>
      <x:c r="BS324" s="8" t="s"/>
      <x:c r="BT324" s="20" t="n">
        <x:v>553336.32</x:v>
      </x:c>
      <x:c r="BU324" s="20" t="n">
        <x:v>-423809.94249349719362978860</x:v>
      </x:c>
      <x:c r="BV324" s="20" t="str">
        <x:f>=BT324+BU324</x:f>
      </x:c>
      <x:c r="BW324" s="21" t="n">
        <x:v>0.2340825512890655837849418596</x:v>
      </x:c>
      <x:c r="BY324" s="20" t="n">
        <x:v>-399633.389580924941886380</x:v>
      </x:c>
      <x:c r="BZ324" s="20" t="n">
        <x:v>4422</x:v>
      </x:c>
      <x:c r="CA324" s="20" t="n">
        <x:v>26101.928256160732803887159505</x:v>
      </x:c>
      <x:c r="CC324" s="20" t="n">
        <x:v>571240.11046445239834059698151</x:v>
      </x:c>
      <x:c r="CD324" s="20" t="n">
        <x:v>-423809.94249349719362978860</x:v>
      </x:c>
      <x:c r="CE324" s="20" t="str">
        <x:f>=CC324+CD324</x:f>
      </x:c>
      <x:c r="CF324" s="21" t="n">
        <x:v>0.2580879130687893301177497393</x:v>
      </x:c>
    </x:row>
    <x:row r="325">
      <x:c r="BT325" s="18" t="n">
        <x:v>553336.32</x:v>
      </x:c>
      <x:c r="BU325" s="18" t="n">
        <x:v>-423809.94249349719362978860</x:v>
      </x:c>
      <x:c r="BV325" s="18" t="str">
        <x:f>=BT325+BU325</x:f>
      </x:c>
      <x:c r="BW325" s="19" t="n">
        <x:v>0.2340825512890655837849418596</x:v>
      </x:c>
      <x:c r="BY325" s="18" t="n">
        <x:v>-399633.389580924941886380</x:v>
      </x:c>
      <x:c r="BZ325" s="18" t="n">
        <x:v>4422</x:v>
      </x:c>
      <x:c r="CA325" s="18" t="n">
        <x:v>26101.928256160732803887159505</x:v>
      </x:c>
      <x:c r="CC325" s="18" t="n">
        <x:v>571240.11046445239834059698151</x:v>
      </x:c>
      <x:c r="CD325" s="18" t="n">
        <x:v>-423809.94249349719362978860</x:v>
      </x:c>
      <x:c r="CE325" s="18" t="str">
        <x:f>=CC325+CD325</x:f>
      </x:c>
      <x:c r="CF325" s="19" t="n">
        <x:v>0.2580879130687893301177497393</x:v>
      </x:c>
    </x:row>
    <x:row r="326">
      <x:c r="A326" s="10" t="s">
        <x:v>631</x:v>
      </x:c>
      <x:c r="B326" s="5" t="s"/>
      <x:c r="C326" s="5" t="s"/>
      <x:c r="D326" s="5" t="s"/>
      <x:c r="E326" s="5" t="s"/>
      <x:c r="F326" s="5" t="s"/>
      <x:c r="G326" s="5" t="s"/>
      <x:c r="H326" s="5" t="s"/>
      <x:c r="I326" s="5" t="s"/>
      <x:c r="J326" s="5" t="s"/>
      <x:c r="K326" s="5" t="s"/>
      <x:c r="L326" s="5" t="s"/>
      <x:c r="M326" s="5" t="s"/>
      <x:c r="N326" s="5" t="s"/>
      <x:c r="O326" s="5" t="s"/>
      <x:c r="P326" s="5" t="s"/>
      <x:c r="Q326" s="5" t="s"/>
      <x:c r="R326" s="5" t="s"/>
      <x:c r="S326" s="5" t="s"/>
      <x:c r="T326" s="5" t="s"/>
      <x:c r="U326" s="5" t="s"/>
      <x:c r="V326" s="5" t="s"/>
      <x:c r="W326" s="5" t="s"/>
      <x:c r="X326" s="5" t="s"/>
      <x:c r="Y326" s="5" t="s"/>
      <x:c r="Z326" s="5" t="s"/>
      <x:c r="AA326" s="5" t="s"/>
      <x:c r="AB326" s="5" t="s"/>
      <x:c r="AC326" s="5" t="s"/>
      <x:c r="AD326" s="5" t="s"/>
      <x:c r="AE326" s="5" t="s"/>
      <x:c r="AF326" s="5" t="s"/>
      <x:c r="AG326" s="5" t="s"/>
      <x:c r="AH326" s="5" t="s"/>
      <x:c r="AI326" s="5" t="s"/>
      <x:c r="AJ326" s="5" t="s"/>
      <x:c r="AK326" s="5" t="s"/>
      <x:c r="AL326" s="5" t="s"/>
      <x:c r="AM326" s="5" t="s"/>
      <x:c r="AN326" s="5" t="s"/>
      <x:c r="AO326" s="5" t="s"/>
      <x:c r="AP326" s="5" t="s"/>
      <x:c r="AQ326" s="5" t="s"/>
      <x:c r="AR326" s="5" t="s"/>
      <x:c r="AS326" s="5" t="s"/>
      <x:c r="AT326" s="5" t="s"/>
      <x:c r="AU326" s="5" t="s"/>
      <x:c r="AV326" s="5" t="s"/>
      <x:c r="AW326" s="5" t="s"/>
      <x:c r="AX326" s="5" t="s"/>
      <x:c r="AY326" s="5" t="s"/>
      <x:c r="AZ326" s="5" t="s"/>
      <x:c r="BA326" s="5" t="s"/>
      <x:c r="BB326" s="5" t="s"/>
      <x:c r="BC326" s="5" t="s"/>
      <x:c r="BD326" s="5" t="s"/>
      <x:c r="BE326" s="5" t="s"/>
      <x:c r="BF326" s="5" t="s"/>
      <x:c r="BG326" s="5" t="s"/>
      <x:c r="BH326" s="5" t="s"/>
      <x:c r="BI326" s="7" t="s"/>
      <x:c r="BJ326" s="10" t="s"/>
      <x:c r="BK326" s="5" t="s"/>
      <x:c r="BL326" s="5" t="s"/>
      <x:c r="BM326" s="5" t="s"/>
      <x:c r="BN326" s="5" t="s"/>
      <x:c r="BO326" s="5" t="s"/>
      <x:c r="BP326" s="5" t="s"/>
      <x:c r="BQ326" s="5" t="s"/>
      <x:c r="BR326" s="5" t="s"/>
      <x:c r="BS326" s="7" t="s"/>
      <x:c r="BT326" s="47" t="s">
        <x:v>11</x:v>
      </x:c>
      <x:c r="BU326" s="48"/>
      <x:c r="BV326" s="49"/>
      <x:c r="BW326" s="50"/>
      <x:c r="BX326" s="50"/>
      <x:c r="BY326" s="51"/>
      <x:c r="BZ326" s="52"/>
      <x:c r="CA326" s="51"/>
      <x:c r="CC326" s="57" t="s">
        <x:v>26</x:v>
      </x:c>
      <x:c r="CD326" s="58"/>
      <x:c r="CE326" s="58"/>
      <x:c r="CF326" s="58"/>
      <x:c r="CG326" s="58"/>
      <x:c r="CH326" s="59"/>
      <x:c r="CI326" s="59"/>
      <x:c r="CJ326" s="59"/>
      <x:c r="CK326" s="59"/>
      <x:c r="CL326" s="58"/>
      <x:c r="CM326" s="60"/>
    </x:row>
    <x:row r="327" ht="45.75" customHeight="1">
      <x:c r="A327" s="40" t="s">
        <x:v>43</x:v>
      </x:c>
      <x:c r="B327" s="40" t="s">
        <x:v>44</x:v>
      </x:c>
      <x:c r="C327" s="40" t="s">
        <x:v>45</x:v>
      </x:c>
      <x:c r="D327" s="40" t="s">
        <x:v>46</x:v>
      </x:c>
      <x:c r="E327" s="40" t="s">
        <x:v>47</x:v>
      </x:c>
      <x:c r="F327" s="40" t="s">
        <x:v>102</x:v>
      </x:c>
      <x:c r="G327" s="40" t="s">
        <x:v>48</x:v>
      </x:c>
      <x:c r="H327" s="40" t="s">
        <x:v>49</x:v>
      </x:c>
      <x:c r="I327" s="40" t="s">
        <x:v>50</x:v>
      </x:c>
      <x:c r="J327" s="40" t="s">
        <x:v>51</x:v>
      </x:c>
      <x:c r="K327" s="40" t="s">
        <x:v>52</x:v>
      </x:c>
      <x:c r="L327" s="40" t="s">
        <x:v>53</x:v>
      </x:c>
      <x:c r="M327" s="40" t="s">
        <x:v>54</x:v>
      </x:c>
      <x:c r="N327" s="40" t="s">
        <x:v>55</x:v>
      </x:c>
      <x:c r="O327" s="40" t="s">
        <x:v>56</x:v>
      </x:c>
      <x:c r="P327" s="40" t="s">
        <x:v>57</x:v>
      </x:c>
      <x:c r="Q327" s="40" t="s">
        <x:v>58</x:v>
      </x:c>
      <x:c r="R327" s="40" t="s">
        <x:v>59</x:v>
      </x:c>
      <x:c r="S327" s="40" t="s">
        <x:v>60</x:v>
      </x:c>
      <x:c r="T327" s="40" t="s">
        <x:v>61</x:v>
      </x:c>
      <x:c r="U327" s="40" t="s">
        <x:v>62</x:v>
      </x:c>
      <x:c r="V327" s="40" t="s">
        <x:v>63</x:v>
      </x:c>
      <x:c r="W327" s="40" t="s">
        <x:v>64</x:v>
      </x:c>
      <x:c r="X327" s="40" t="s">
        <x:v>65</x:v>
      </x:c>
      <x:c r="Y327" s="40" t="s">
        <x:v>66</x:v>
      </x:c>
      <x:c r="Z327" s="40" t="s">
        <x:v>67</x:v>
      </x:c>
      <x:c r="AA327" s="40" t="s">
        <x:v>68</x:v>
      </x:c>
      <x:c r="AB327" s="40" t="s">
        <x:v>69</x:v>
      </x:c>
      <x:c r="AC327" s="40" t="s">
        <x:v>70</x:v>
      </x:c>
      <x:c r="AD327" s="40" t="s">
        <x:v>71</x:v>
      </x:c>
      <x:c r="AE327" s="40" t="s">
        <x:v>72</x:v>
      </x:c>
      <x:c r="AF327" s="40" t="s">
        <x:v>73</x:v>
      </x:c>
      <x:c r="AG327" s="40" t="s">
        <x:v>74</x:v>
      </x:c>
      <x:c r="AH327" s="40" t="s">
        <x:v>75</x:v>
      </x:c>
      <x:c r="AI327" s="40" t="s">
        <x:v>76</x:v>
      </x:c>
      <x:c r="AJ327" s="40" t="s">
        <x:v>77</x:v>
      </x:c>
      <x:c r="AK327" s="40" t="s">
        <x:v>78</x:v>
      </x:c>
      <x:c r="AL327" s="40" t="s">
        <x:v>79</x:v>
      </x:c>
      <x:c r="AM327" s="40" t="s">
        <x:v>80</x:v>
      </x:c>
      <x:c r="AN327" s="40" t="s">
        <x:v>81</x:v>
      </x:c>
      <x:c r="AO327" s="40" t="s">
        <x:v>82</x:v>
      </x:c>
      <x:c r="AP327" s="40" t="s">
        <x:v>83</x:v>
      </x:c>
      <x:c r="AQ327" s="40" t="s">
        <x:v>84</x:v>
      </x:c>
      <x:c r="AR327" s="40" t="s">
        <x:v>85</x:v>
      </x:c>
      <x:c r="AS327" s="40" t="s">
        <x:v>86</x:v>
      </x:c>
      <x:c r="AT327" s="40" t="s">
        <x:v>87</x:v>
      </x:c>
      <x:c r="AU327" s="40" t="s">
        <x:v>88</x:v>
      </x:c>
      <x:c r="AV327" s="40" t="s">
        <x:v>89</x:v>
      </x:c>
      <x:c r="AW327" s="40" t="s">
        <x:v>90</x:v>
      </x:c>
      <x:c r="AX327" s="40" t="s">
        <x:v>91</x:v>
      </x:c>
      <x:c r="AY327" s="40" t="s">
        <x:v>92</x:v>
      </x:c>
      <x:c r="AZ327" s="40" t="s">
        <x:v>93</x:v>
      </x:c>
      <x:c r="BA327" s="40" t="s">
        <x:v>94</x:v>
      </x:c>
      <x:c r="BB327" s="40" t="s">
        <x:v>95</x:v>
      </x:c>
      <x:c r="BC327" s="40" t="s">
        <x:v>96</x:v>
      </x:c>
      <x:c r="BD327" s="40" t="s">
        <x:v>97</x:v>
      </x:c>
      <x:c r="BE327" s="40" t="s">
        <x:v>98</x:v>
      </x:c>
      <x:c r="BF327" s="40" t="s">
        <x:v>99</x:v>
      </x:c>
      <x:c r="BG327" s="40" t="s">
        <x:v>100</x:v>
      </x:c>
      <x:c r="BH327" s="40" t="s">
        <x:v>101</x:v>
      </x:c>
      <x:c r="BJ327" s="31" t="s">
        <x:v>103</x:v>
      </x:c>
      <x:c r="BK327" s="32" t="s">
        <x:v>104</x:v>
      </x:c>
      <x:c r="BL327" s="32" t="s">
        <x:v>105</x:v>
      </x:c>
      <x:c r="BM327" s="32" t="s">
        <x:v>106</x:v>
      </x:c>
      <x:c r="BN327" s="32" t="s">
        <x:v>107</x:v>
      </x:c>
      <x:c r="BO327" s="32" t="s">
        <x:v>108</x:v>
      </x:c>
      <x:c r="BP327" s="32" t="s">
        <x:v>109</x:v>
      </x:c>
      <x:c r="BQ327" s="32" t="s">
        <x:v>110</x:v>
      </x:c>
      <x:c r="BR327" s="32" t="s">
        <x:v>111</x:v>
      </x:c>
      <x:c r="BS327" s="33" t="s">
        <x:v>112</x:v>
      </x:c>
      <x:c r="BT327" s="53" t="s">
        <x:v>12</x:v>
      </x:c>
      <x:c r="BU327" s="54" t="s">
        <x:v>13</x:v>
      </x:c>
      <x:c r="BV327" s="54" t="s">
        <x:v>14</x:v>
      </x:c>
      <x:c r="BW327" s="55" t="s">
        <x:v>15</x:v>
      </x:c>
      <x:c r="BX327" s="55" t="s">
        <x:v>27</x:v>
      </x:c>
      <x:c r="BY327" s="56" t="s">
        <x:v>16</x:v>
      </x:c>
      <x:c r="BZ327" s="53" t="s">
        <x:v>17</x:v>
      </x:c>
      <x:c r="CA327" s="56" t="s">
        <x:v>18</x:v>
      </x:c>
      <x:c r="CC327" s="61" t="s">
        <x:v>19</x:v>
      </x:c>
      <x:c r="CD327" s="62" t="s">
        <x:v>20</x:v>
      </x:c>
      <x:c r="CE327" s="62" t="s">
        <x:v>21</x:v>
      </x:c>
      <x:c r="CF327" s="62" t="s">
        <x:v>15</x:v>
      </x:c>
      <x:c r="CG327" s="62"/>
      <x:c r="CH327" s="63" t="s">
        <x:v>22</x:v>
      </x:c>
      <x:c r="CI327" s="63" t="s">
        <x:v>23</x:v>
      </x:c>
      <x:c r="CJ327" s="63" t="s">
        <x:v>25</x:v>
      </x:c>
      <x:c r="CK327" s="63" t="s">
        <x:v>24</x:v>
      </x:c>
      <x:c r="CL327" s="62"/>
      <x:c r="CM327" s="64" t="s">
        <x:v>28</x:v>
      </x:c>
    </x:row>
    <x:row r="328">
      <x:c r="BJ328" s="31" t="s"/>
      <x:c r="BS328" s="33" t="s"/>
    </x:row>
    <x:row r="329">
      <x:c r="A329" s="35" t="s">
        <x:v>150</x:v>
      </x:c>
      <x:c r="BI329" s="33" t="s"/>
      <x:c r="BJ329" s="11" t="s"/>
      <x:c r="BS329" s="13" t="s"/>
    </x:row>
    <x:row r="330">
      <x:c r="A330" s="17" t="s">
        <x:v>127</x:v>
      </x:c>
      <x:c r="BI330" s="33" t="s"/>
      <x:c r="BJ330" s="11" t="s"/>
      <x:c r="BS330" s="13" t="s"/>
    </x:row>
    <x:row r="331">
      <x:c r="A331" s="31" t="s">
        <x:v>632</x:v>
      </x:c>
      <x:c r="B331" t="s"/>
      <x:c r="C331" t="s">
        <x:v>633</x:v>
      </x:c>
      <x:c r="D331" t="s">
        <x:v>274</x:v>
      </x:c>
      <x:c r="E331" s="69" t="s">
        <x:v>153</x:v>
      </x:c>
      <x:c r="F331" t="n">
        <x:v>2961</x:v>
      </x:c>
      <x:c r="G331" s="32" t="n">
        <x:v>0.0003377237419790611279972982</x:v>
      </x:c>
      <x:c r="H331" s="32" t="n">
        <x:v>0.0013508949679162445119891928</x:v>
      </x:c>
      <x:c r="I331" s="32" t="n">
        <x:v>0.0178993583248902397838568051</x:v>
      </x:c>
      <x:c r="J331" s="32" t="n">
        <x:v>0.0307328605200945626477541371</x:v>
      </x:c>
      <x:c r="K331" s="32" t="n">
        <x:v>0.0398514015535292131036811888</x:v>
      </x:c>
      <x:c r="L331" s="32" t="n">
        <x:v>0.0567375886524822695035460993</x:v>
      </x:c>
      <x:c r="M331" s="32" t="n">
        <x:v>0.0729483282674772036474164134</x:v>
      </x:c>
      <x:c r="N331" s="32" t="n">
        <x:v>0.0976021614319486659912191827</x:v>
      </x:c>
      <x:c r="O331" s="32" t="n">
        <x:v>0.0976021614319486659912191827</x:v>
      </x:c>
      <x:c r="P331" s="32" t="n">
        <x:v>0.0976021614319486659912191827</x:v>
      </x:c>
      <x:c r="Q331" s="32" t="n">
        <x:v>0.0976021614319486659912191827</x:v>
      </x:c>
      <x:c r="R331" s="32" t="n">
        <x:v>0.1306990881458966565349544073</x:v>
      </x:c>
      <x:c r="S331" s="32" t="n">
        <x:v>0.1391421816953731847348868625</x:v>
      </x:c>
      <x:c r="T331" s="32" t="n">
        <x:v>0.1391421816953731847348868625</x:v>
      </x:c>
      <x:c r="U331" s="32" t="n">
        <x:v>0.1621073961499493414387031408</x:v>
      </x:c>
      <x:c r="V331" s="32" t="n">
        <x:v>0.180006754474839581222559946</x:v>
      </x:c>
      <x:c r="W331" s="32" t="n">
        <x:v>0.2002701789935832489023978386</x:v>
      </x:c>
      <x:c r="X331" s="32" t="n">
        <x:v>0.2232353934481594056062141169</x:v>
      </x:c>
      <x:c r="Y331" s="32" t="n">
        <x:v>0.2499155690645052347180006754</x:v>
      </x:c>
      <x:c r="Z331" s="32" t="n">
        <x:v>0.2728807835190813914218169537</x:v>
      </x:c>
      <x:c r="AA331" s="32" t="n">
        <x:v>0.3012495778453225261735900034</x:v>
      </x:c>
      <x:c r="AB331" s="32" t="n">
        <x:v>0.3134076325565687267814927389</x:v>
      </x:c>
      <x:c r="AC331" s="32" t="n">
        <x:v>0.3252279635258358662613981763</x:v>
      </x:c>
      <x:c r="AD331" s="32" t="n">
        <x:v>0.3245525160418777440054035799</x:v>
      </x:c>
      <x:c r="AE331" s="32" t="n">
        <x:v>0.3238770685579196217494089835</x:v>
      </x:c>
      <x:c r="AF331" s="32" t="n">
        <x:v>0.3252279635258358662613981763</x:v>
      </x:c>
      <x:c r="AG331" s="32" t="n">
        <x:v>0.3289429246876055386693684566</x:v>
      </x:c>
      <x:c r="AH331" s="32" t="n">
        <x:v>0.340763255656872678149273894</x:v>
      </x:c>
      <x:c r="AI331" s="32" t="n">
        <x:v>0.3708206686930091185410334347</x:v>
      </x:c>
      <x:c r="AJ331" s="32" t="n">
        <x:v>0.4133738601823708206686930091</x:v>
      </x:c>
      <x:c r="AK331" s="32" t="n">
        <x:v>0.4376899696048632218844984802</x:v>
      </x:c>
      <x:c r="AL331" s="32" t="n">
        <x:v>0.4555893279297534616683552854</x:v>
      </x:c>
      <x:c r="AM331" s="32" t="n">
        <x:v>0.4738264099966227625802093887</x:v>
      </x:c>
      <x:c r="AN331" s="32" t="n">
        <x:v>0.4988179669030732860520094563</x:v>
      </x:c>
      <x:c r="AO331" s="32" t="n">
        <x:v>0.5238095238095238095238095238</x:v>
      </x:c>
      <x:c r="AP331" s="32" t="n">
        <x:v>0.5440729483282674772036474164</x:v>
      </x:c>
      <x:c r="AQ331" s="32" t="n">
        <x:v>0.5873015873015873015873015873</x:v>
      </x:c>
      <x:c r="AR331" s="32" t="n">
        <x:v>0.6099290780141843971631205674</x:v>
      </x:c>
      <x:c r="AS331" s="32" t="n">
        <x:v>0.6183721715636609253630530226</x:v>
      </x:c>
      <x:c r="AT331" s="32" t="n">
        <x:v>0.6322188449848024316109422492</x:v>
      </x:c>
      <x:c r="AU331" s="32" t="n">
        <x:v>0.6585612968591691995947315096</x:v>
      </x:c>
      <x:c r="AV331" s="32" t="n">
        <x:v>0.6761229314420803782505910165</x:v>
      </x:c>
      <x:c r="AW331" s="32" t="n">
        <x:v>0.6865923674434312732185072611</x:v>
      </x:c>
      <x:c r="AX331" s="23" t="n">
        <x:v>0.7038162782843633907463694698</x:v>
      </x:c>
      <x:c r="AY331" s="32" t="n">
        <x:v>0.7129348193177980412022965214</x:v>
      </x:c>
      <x:c r="AZ331" s="32" t="n">
        <x:v>0.7146234380276933468422830125</x:v>
      </x:c>
      <x:c r="BI331" s="33" t="s"/>
      <x:c r="BJ331" s="11" t="s">
        <x:v>318</x:v>
      </x:c>
      <x:c r="BK331" s="12" t="str">
        <x:f>=BX331</x:f>
      </x:c>
      <x:c r="BL331" s="12" t="n">
        <x:v>0.7413036136440391759540695711</x:v>
      </x:c>
      <x:c r="BM331" s="12" t="n">
        <x:v>0.0287065180682201958797703479</x:v>
      </x:c>
      <x:c r="BN331" s="12" t="n">
        <x:v>0.2299898682877406281661600811</x:v>
      </x:c>
      <x:c r="BO331" s="12" t="str">
        <x:f>=BW331</x:f>
      </x:c>
      <x:c r="BP331" s="12" t="str">
        <x:f>=CF331</x:f>
      </x:c>
      <x:c r="BQ331" s="12" t="str"/>
      <x:c r="BR331" s="12" t="str">
        <x:v>AW 2020 MSS</x:v>
      </x:c>
      <x:c r="BS331" s="13" t="str"/>
      <x:c r="BT331" s="30" t="n">
        <x:v>21407.26</x:v>
      </x:c>
      <x:c r="BU331" s="30" t="n">
        <x:v>-17650.04122</x:v>
      </x:c>
      <x:c r="BV331" s="30" t="str">
        <x:f>=BT331+BU331</x:f>
      </x:c>
      <x:c r="BW331" s="66" t="str">
        <x:f>=BV331/BT331</x:f>
      </x:c>
      <x:c r="BX331" s="66" t="n">
        <x:v>0.7700101317122593718338399189</x:v>
      </x:c>
      <x:c r="BY331" s="30" t="n">
        <x:v>16046.17</x:v>
      </x:c>
      <x:c r="BZ331" s="41" t="n">
        <x:v>681</x:v>
      </x:c>
      <x:c r="CA331" s="30" t="n">
        <x:v>3690.4565248226950354609929078</x:v>
      </x:c>
      <x:c r="CC331" s="30" t="n">
        <x:v>23373.861087802769334684228301</x:v>
      </x:c>
      <x:c r="CD331" s="30" t="n">
        <x:v>-17650.04122</x:v>
      </x:c>
      <x:c r="CE331" s="30" t="str">
        <x:f>=CC331+CD331</x:f>
      </x:c>
      <x:c r="CF331" s="66" t="str">
        <x:f>=CE331/CC331</x:f>
      </x:c>
      <x:c r="CH331" s="66" t="str">
        <x:f>=CI331+CJ331</x:f>
      </x:c>
      <x:c r="CI331" s="66" t="str">
        <x:f>=BX331+(0*7)</x:f>
      </x:c>
      <x:c r="CJ331" s="66" t="str">
        <x:f>=(1-CI331)*0.5</x:f>
      </x:c>
      <x:c r="CK331" s="66" t="str">
        <x:f>=1-CH331</x:f>
      </x:c>
      <x:c r="CM331" s="66" t="str">
        <x:f>=CJ331/(1-CI331)</x:f>
      </x:c>
    </x:row>
    <x:row r="332">
      <x:c r="A332" s="31" t="s">
        <x:v>634</x:v>
      </x:c>
      <x:c r="B332" t="s"/>
      <x:c r="C332" t="s">
        <x:v>635</x:v>
      </x:c>
      <x:c r="D332" t="s">
        <x:v>118</x:v>
      </x:c>
      <x:c r="E332" s="69" t="s">
        <x:v>153</x:v>
      </x:c>
      <x:c r="F332" t="n">
        <x:v>4151</x:v>
      </x:c>
      <x:c r="G332" s="32" t="n">
        <x:v>0.0002409058058299205010840761</x:v>
      </x:c>
      <x:c r="H332" s="32" t="n">
        <x:v>0.0093953264273668995422789689</x:v>
      </x:c>
      <x:c r="I332" s="32" t="n">
        <x:v>0.0308359431462298241387617442</x:v>
      </x:c>
      <x:c r="J332" s="32" t="n">
        <x:v>0.0308359431462298241387617442</x:v>
      </x:c>
      <x:c r="K332" s="32" t="n">
        <x:v>0.1052758371476752589737412672</x:v>
      </x:c>
      <x:c r="L332" s="32" t="n">
        <x:v>0.1464707299445916646591182848</x:v>
      </x:c>
      <x:c r="M332" s="32" t="n">
        <x:v>0.1806793543724403758130570947</x:v>
      </x:c>
      <x:c r="N332" s="32" t="n">
        <x:v>0.2182606600819079739821729704</x:v>
      </x:c>
      <x:c r="O332" s="32" t="n">
        <x:v>0.2182606600819079739821729704</x:v>
      </x:c>
      <x:c r="P332" s="32" t="n">
        <x:v>0.259455552878824379667549988</x:v>
      </x:c>
      <x:c r="Q332" s="32" t="n">
        <x:v>0.2980004818116116598410021682</x:v>
      </x:c>
      <x:c r="R332" s="32" t="n">
        <x:v>0.3285955191520115634786798362</x:v>
      </x:c>
      <x:c r="S332" s="32" t="n">
        <x:v>0.36256323777403035413153457</x:v>
      </x:c>
      <x:c r="T332" s="32" t="n">
        <x:v>0.3965309563960491447843893038</x:v>
      </x:c>
      <x:c r="U332" s="32" t="n">
        <x:v>0.4194170079498915923873765358</x:v>
      </x:c>
      <x:c r="V332" s="32" t="n">
        <x:v>0.4314622982413876174415803421</x:v>
      </x:c>
      <x:c r="W332" s="32" t="n">
        <x:v>0.4360395085521561069621777885</x:v>
      </x:c>
      <x:c r="X332" s="32" t="n">
        <x:v>0.4367622259696458684654300169</x:v>
      </x:c>
      <x:c r="Y332" s="32" t="n">
        <x:v>0.437003131775475788966514093</x:v>
      </x:c>
      <x:c r="Z332" s="32" t="n">
        <x:v>0.437003131775475788966514093</x:v>
      </x:c>
      <x:c r="AA332" s="32" t="n">
        <x:v>0.437003131775475788966514093</x:v>
      </x:c>
      <x:c r="AB332" s="32" t="n">
        <x:v>0.437003131775475788966514093</x:v>
      </x:c>
      <x:c r="AC332" s="32" t="n">
        <x:v>0.4372440375813057094675981691</x:v>
      </x:c>
      <x:c r="AD332" s="32" t="n">
        <x:v>0.4374849433871356299686822452</x:v>
      </x:c>
      <x:c r="AE332" s="32" t="n">
        <x:v>0.4386894724162852324741026259</x:v>
      </x:c>
      <x:c r="AF332" s="32" t="n">
        <x:v>0.438930378222115152975186702</x:v>
      </x:c>
      <x:c r="AG332" s="32" t="n">
        <x:v>0.4386894724162852324741026259</x:v>
      </x:c>
      <x:c r="AH332" s="32" t="n">
        <x:v>0.438930378222115152975186702</x:v>
      </x:c>
      <x:c r="AI332" s="32" t="n">
        <x:v>0.4391712840279450734762707781</x:v>
      </x:c>
      <x:c r="AJ332" s="32" t="n">
        <x:v>0.440857624668754516983859311</x:v>
      </x:c>
      <x:c r="AK332" s="32" t="n">
        <x:v>0.4413394362804143579860274633</x:v>
      </x:c>
      <x:c r="AL332" s="32" t="n">
        <x:v>0.4497711394844615755239701277</x:v>
      </x:c>
      <x:c r="AM332" s="32" t="n">
        <x:v>0.4613346181642977595760057817</x:v>
      </x:c>
      <x:c r="AN332" s="32" t="n">
        <x:v>0.4748253432907733076367140448</x:v>
      </x:c>
      <x:c r="AO332" s="32" t="n">
        <x:v>0.4861479161647795711876656227</x:v>
      </x:c>
      <x:c r="AP332" s="32" t="n">
        <x:v>0.4926523729221874247169356781</x:v>
      </x:c>
      <x:c r="AQ332" s="32" t="n">
        <x:v>0.4993977354854251987472898097</x:v>
      </x:c>
      <x:c r="AR332" s="32" t="n">
        <x:v>0.5061430980486629727776439412</x:v>
      </x:c>
      <x:c r="AS332" s="32" t="n">
        <x:v>0.5140929896410503493134184534</x:v>
      </x:c>
      <x:c r="AT332" s="32" t="n">
        <x:v>0.5189111057576487593350999759</x:v>
      </x:c>
      <x:c r="AU332" s="32" t="n">
        <x:v>0.5242110334859070103589496507</x:v>
      </x:c>
      <x:c r="BI332" s="33" t="s"/>
      <x:c r="BJ332" s="11" t="s">
        <x:v>372</x:v>
      </x:c>
      <x:c r="BK332" s="12" t="str">
        <x:f>=BX332</x:f>
      </x:c>
      <x:c r="BL332" s="12" t="n">
        <x:v>0.5319200192724644663936400867</x:v>
      </x:c>
      <x:c r="BM332" s="12" t="n">
        <x:v>0.2165743194410985304745844375</x:v>
      </x:c>
      <x:c r="BN332" s="12" t="n">
        <x:v>0.2515056612864370031317754758</x:v>
      </x:c>
      <x:c r="BO332" s="12" t="str">
        <x:f>=BW332</x:f>
      </x:c>
      <x:c r="BP332" s="12" t="str">
        <x:f>=CF332</x:f>
      </x:c>
      <x:c r="BQ332" s="12" t="str"/>
      <x:c r="BR332" s="12" t="str">
        <x:v>AW 2020 MSS</x:v>
      </x:c>
      <x:c r="BS332" s="13" t="str"/>
      <x:c r="BT332" s="30" t="n">
        <x:v>9919.17</x:v>
      </x:c>
      <x:c r="BU332" s="30" t="n">
        <x:v>-8464.5068</x:v>
      </x:c>
      <x:c r="BV332" s="30" t="str">
        <x:f>=BT332+BU332</x:f>
      </x:c>
      <x:c r="BW332" s="66" t="str">
        <x:f>=BV332/BT332</x:f>
      </x:c>
      <x:c r="BX332" s="66" t="n">
        <x:v>0.7484943387135629968682245242</x:v>
      </x:c>
      <x:c r="BY332" s="30" t="n">
        <x:v>8322.75</x:v>
      </x:c>
      <x:c r="BZ332" s="41" t="n">
        <x:v>1044</x:v>
      </x:c>
      <x:c r="CA332" s="30" t="n">
        <x:v>2093.2187424716935678149843411</x:v>
      </x:c>
      <x:c r="CC332" s="30" t="n">
        <x:v>10113.247806176865815466152734</x:v>
      </x:c>
      <x:c r="CD332" s="30" t="n">
        <x:v>-8464.5068</x:v>
      </x:c>
      <x:c r="CE332" s="30" t="str">
        <x:f>=CC332+CD332</x:f>
      </x:c>
      <x:c r="CF332" s="66" t="str">
        <x:f>=CE332/CC332</x:f>
      </x:c>
      <x:c r="CH332" s="66" t="str">
        <x:f>=CI332+CJ332</x:f>
      </x:c>
      <x:c r="CI332" s="66" t="str">
        <x:f>=BX332+(0*7)</x:f>
      </x:c>
      <x:c r="CJ332" s="66" t="str">
        <x:f>=(1-CI332)*0.5</x:f>
      </x:c>
      <x:c r="CK332" s="66" t="str">
        <x:f>=1-CH332</x:f>
      </x:c>
      <x:c r="CM332" s="66" t="str">
        <x:f>=CJ332/(1-CI332)</x:f>
      </x:c>
    </x:row>
    <x:row r="333">
      <x:c r="A333" s="31" t="s">
        <x:v>636</x:v>
      </x:c>
      <x:c r="B333" t="s"/>
      <x:c r="C333" t="s">
        <x:v>637</x:v>
      </x:c>
      <x:c r="D333" t="s">
        <x:v>130</x:v>
      </x:c>
      <x:c r="E333" s="69" t="s">
        <x:v>153</x:v>
      </x:c>
      <x:c r="F333" t="n">
        <x:v>2057</x:v>
      </x:c>
      <x:c r="G333" s="32" t="n">
        <x:v>0.0792416140009722897423432183</x:v>
      </x:c>
      <x:c r="H333" s="32" t="n">
        <x:v>0.0792416140009722897423432183</x:v>
      </x:c>
      <x:c r="I333" s="32" t="n">
        <x:v>0.1268838113757899854156538649</x:v>
      </x:c>
      <x:c r="J333" s="32" t="n">
        <x:v>0.1609139523578026251823043267</x:v>
      </x:c>
      <x:c r="K333" s="32" t="n">
        <x:v>0.1905687894992707826932425863</x:v>
      </x:c>
      <x:c r="L333" s="32" t="n">
        <x:v>0.2105007292173067574137092854</x:v>
      </x:c>
      <x:c r="M333" s="32" t="n">
        <x:v>0.2105007292173067574137092854</x:v>
      </x:c>
      <x:c r="N333" s="32" t="n">
        <x:v>0.2250850753524550315994166262</x:v>
      </x:c>
      <x:c r="O333" s="32" t="n">
        <x:v>0.2430724355858045697617890131</x:v>
      </x:c>
      <x:c r="P333" s="32" t="n">
        <x:v>0.2532814778804083616917841517</x:v>
      </x:c>
      <x:c r="Q333" s="32" t="n">
        <x:v>0.2707826932425862907146329606</x:v>
      </x:c>
      <x:c r="R333" s="32" t="n">
        <x:v>0.2897423432182790471560525036</x:v>
      </x:c>
      <x:c r="S333" s="32" t="n">
        <x:v>0.3033543996110841030627126884</x:v>
      </x:c>
      <x:c r="T333" s="32" t="n">
        <x:v>0.3096742829363150218765192027</x:v>
      </x:c>
      <x:c r="U333" s="32" t="n">
        <x:v>0.3174526008750607681088964511</x:v>
      </x:c>
      <x:c r="V333" s="32" t="n">
        <x:v>0.3247447739426349052017501215</x:v>
      </x:c>
      <x:c r="W333" s="32" t="n">
        <x:v>0.3242586290714632960622265435</x:v>
      </x:c>
      <x:c r="X333" s="32" t="n">
        <x:v>0.3310646572678658240155566359</x:v>
      </x:c>
      <x:c r="Y333" s="32" t="n">
        <x:v>0.3534273213417598444336412251</x:v>
      </x:c>
      <x:c r="Z333" s="32" t="n">
        <x:v>0.3607194944093339815264948955</x:v>
      </x:c>
      <x:c r="AA333" s="32" t="n">
        <x:v>0.3743315508021390374331550802</x:v>
      </x:c>
      <x:c r="AB333" s="32" t="n">
        <x:v>0.4326689353427321341759844434</x:v>
      </x:c>
      <x:c r="AC333" s="32" t="n">
        <x:v>0.4594069032571706368497812348</x:v>
      </x:c>
      <x:c r="AD333" s="32" t="n">
        <x:v>0.4871171609139523578026251823</x:v>
      </x:c>
      <x:c r="AE333" s="32" t="n">
        <x:v>0.5216334467671366067087992222</x:v>
      </x:c>
      <x:c r="AF333" s="32" t="n">
        <x:v>0.5819154107924161400097228974</x:v>
      </x:c>
      <x:c r="AG333" s="32" t="n">
        <x:v>0.6096256684491978609625668449</x:v>
      </x:c>
      <x:c r="AH333" s="32" t="n">
        <x:v>0.6242100145843461351482741857</x:v>
      </x:c>
      <x:c r="AI333" s="32" t="n">
        <x:v>0.6465726786582401555663587749</x:v>
      </x:c>
      <x:c r="AJ333" s="32" t="n">
        <x:v>0.6596985901798736023334953816</x:v>
      </x:c>
      <x:c r="AK333" s="32" t="n">
        <x:v>0.6786582401555663587749149246</x:v>
      </x:c>
      <x:c r="AL333" s="32" t="n">
        <x:v>0.6971317452600875060768108896</x:v>
      </x:c>
      <x:c r="AM333" s="23" t="n">
        <x:v>0.7131745260087506076810889645</x:v>
      </x:c>
      <x:c r="AN333" s="32" t="n">
        <x:v>0.7282450170150704910063198833</x:v>
      </x:c>
      <x:c r="AO333" s="32" t="n">
        <x:v>0.7433155080213903743315508021</x:v>
      </x:c>
      <x:c r="AP333" s="32" t="n">
        <x:v>0.7535245503159941662615459407</x:v>
      </x:c>
      <x:c r="AQ333" s="32" t="n">
        <x:v>0.7705396208070004861448711716</x:v>
      </x:c>
      <x:c r="AR333" s="32" t="n">
        <x:v>0.7797763733592610597958191541</x:v>
      </x:c>
      <x:c r="AS333" s="32" t="n">
        <x:v>0.7870685464268351968886728245</x:v>
      </x:c>
      <x:c r="BI333" s="33" t="s"/>
      <x:c r="BJ333" s="11" t="s">
        <x:v>375</x:v>
      </x:c>
      <x:c r="BK333" s="12" t="str">
        <x:f>=BX333</x:f>
      </x:c>
      <x:c r="BL333" s="12" t="n">
        <x:v>0.7919299951385512882839086048</x:v>
      </x:c>
      <x:c r="BM333" s="12" t="n">
        <x:v>0.2007778317938745746232377248</x:v>
      </x:c>
      <x:c r="BN333" s="12" t="n">
        <x:v>0.0072921730675741370928536704</x:v>
      </x:c>
      <x:c r="BO333" s="12" t="str">
        <x:f>=BW333</x:f>
      </x:c>
      <x:c r="BP333" s="12" t="str">
        <x:f>=CF333</x:f>
      </x:c>
      <x:c r="BQ333" s="12" t="str"/>
      <x:c r="BR333" s="12" t="str">
        <x:v>AW 2020 MSS</x:v>
      </x:c>
      <x:c r="BS333" s="13" t="str"/>
      <x:c r="BT333" s="30" t="n">
        <x:v>10982.73</x:v>
      </x:c>
      <x:c r="BU333" s="30" t="n">
        <x:v>-7623.35283057898225000000</x:v>
      </x:c>
      <x:c r="BV333" s="30" t="str">
        <x:f>=BT333+BU333</x:f>
      </x:c>
      <x:c r="BW333" s="66" t="str">
        <x:f>=BV333/BT333</x:f>
      </x:c>
      <x:c r="BX333" s="66" t="n">
        <x:v>0.9927078269324258629071463296</x:v>
      </x:c>
      <x:c r="BY333" s="30" t="n">
        <x:v>7667.210650081425000000</x:v>
      </x:c>
      <x:c r="BZ333" s="41" t="n">
        <x:v>15</x:v>
      </x:c>
      <x:c r="CA333" s="30" t="n">
        <x:v>55.910627005941358774914924648</x:v>
      </x:c>
      <x:c r="CC333" s="30" t="n">
        <x:v>10983.517068546426835196888673</x:v>
      </x:c>
      <x:c r="CD333" s="30" t="n">
        <x:v>-7623.35283057898225000000</x:v>
      </x:c>
      <x:c r="CE333" s="30" t="str">
        <x:f>=CC333+CD333</x:f>
      </x:c>
      <x:c r="CF333" s="66" t="str">
        <x:f>=CE333/CC333</x:f>
      </x:c>
      <x:c r="CH333" s="66" t="str">
        <x:f>=CI333+CJ333</x:f>
      </x:c>
      <x:c r="CI333" s="66" t="str">
        <x:f>=BX333+(0*7)</x:f>
      </x:c>
      <x:c r="CJ333" s="66" t="str">
        <x:f>=(1-CI333)*0.5</x:f>
      </x:c>
      <x:c r="CK333" s="66" t="str">
        <x:f>=1-CH333</x:f>
      </x:c>
      <x:c r="CM333" s="66" t="str">
        <x:f>=CJ333/(1-CI333)</x:f>
      </x:c>
    </x:row>
    <x:row r="334">
      <x:c r="A334" s="31" t="s">
        <x:v>638</x:v>
      </x:c>
      <x:c r="B334" t="s"/>
      <x:c r="C334" t="s">
        <x:v>639</x:v>
      </x:c>
      <x:c r="D334" t="s">
        <x:v>274</x:v>
      </x:c>
      <x:c r="E334" s="69" t="s">
        <x:v>153</x:v>
      </x:c>
      <x:c r="F334" t="n">
        <x:v>1448</x:v>
      </x:c>
      <x:c r="G334" s="32" t="n">
        <x:v>0.0207182320441988950276243094</x:v>
      </x:c>
      <x:c r="H334" s="32" t="n">
        <x:v>0.0414364640883977900552486188</x:v>
      </x:c>
      <x:c r="I334" s="32" t="n">
        <x:v>0.078038674033149171270718232</x:v>
      </x:c>
      <x:c r="J334" s="32" t="n">
        <x:v>0.1222375690607734806629834254</x:v>
      </x:c>
      <x:c r="K334" s="32" t="n">
        <x:v>0.1312154696132596685082872928</x:v>
      </x:c>
      <x:c r="L334" s="32" t="n">
        <x:v>0.1429558011049723756906077348</x:v>
      </x:c>
      <x:c r="M334" s="32" t="n">
        <x:v>0.1429558011049723756906077348</x:v>
      </x:c>
      <x:c r="N334" s="32" t="n">
        <x:v>0.1540055248618784530386740331</x:v>
      </x:c>
      <x:c r="O334" s="32" t="n">
        <x:v>0.1705801104972375690607734807</x:v>
      </x:c>
      <x:c r="P334" s="32" t="n">
        <x:v>0.1912983425414364640883977901</x:v>
      </x:c>
      <x:c r="Q334" s="32" t="n">
        <x:v>0.2071823204419889502762430939</x:v>
      </x:c>
      <x:c r="R334" s="32" t="n">
        <x:v>0.2306629834254143646408839779</x:v>
      </x:c>
      <x:c r="S334" s="32" t="n">
        <x:v>0.2486187845303867403314917127</x:v>
      </x:c>
      <x:c r="T334" s="32" t="n">
        <x:v>0.2672651933701657458563535912</x:v>
      </x:c>
      <x:c r="U334" s="32" t="n">
        <x:v>0.2900552486187845303867403315</x:v>
      </x:c>
      <x:c r="V334" s="32" t="n">
        <x:v>0.3059392265193370165745856354</x:v>
      </x:c>
      <x:c r="W334" s="32" t="n">
        <x:v>0.3287292817679558011049723757</x:v>
      </x:c>
      <x:c r="X334" s="32" t="n">
        <x:v>0.3674033149171270718232044199</x:v>
      </x:c>
      <x:c r="Y334" s="32" t="n">
        <x:v>0.4074585635359116022099447514</x:v>
      </x:c>
      <x:c r="Z334" s="32" t="n">
        <x:v>0.4571823204419889502762430939</x:v>
      </x:c>
      <x:c r="AA334" s="32" t="n">
        <x:v>0.5103591160220994475138121547</x:v>
      </x:c>
      <x:c r="AB334" s="32" t="n">
        <x:v>0.5676795580110497237569060773</x:v>
      </x:c>
      <x:c r="AC334" s="32" t="n">
        <x:v>0.6111878453038674033149171271</x:v>
      </x:c>
      <x:c r="AD334" s="32" t="n">
        <x:v>0.6443370165745856353591160221</x:v>
      </x:c>
      <x:c r="AE334" s="32" t="n">
        <x:v>0.6664364640883977900552486188</x:v>
      </x:c>
      <x:c r="AF334" s="32" t="n">
        <x:v>0.6837016574585635359116022099</x:v>
      </x:c>
      <x:c r="AG334" s="32" t="n">
        <x:v>0.6864640883977900552486187845</x:v>
      </x:c>
      <x:c r="AH334" s="32" t="n">
        <x:v>0.6912983425414364640883977901</x:v>
      </x:c>
      <x:c r="AI334" s="32" t="n">
        <x:v>0.6919889502762430939226519337</x:v>
      </x:c>
      <x:c r="AJ334" s="32" t="n">
        <x:v>0.6912983425414364640883977901</x:v>
      </x:c>
      <x:c r="BI334" s="33" t="s"/>
      <x:c r="BJ334" s="11" t="s">
        <x:v>325</x:v>
      </x:c>
      <x:c r="BK334" s="12" t="str">
        <x:f>=BX334</x:f>
      </x:c>
      <x:c r="BL334" s="12" t="n">
        <x:v>0.6899171270718232044198895028</x:v>
      </x:c>
      <x:c r="BM334" s="12" t="n">
        <x:v>0.2665745856353591160220994475</x:v>
      </x:c>
      <x:c r="BN334" s="12" t="n">
        <x:v>0.0435082872928176795580110497</x:v>
      </x:c>
      <x:c r="BO334" s="12" t="str">
        <x:f>=BW334</x:f>
      </x:c>
      <x:c r="BP334" s="12" t="str">
        <x:f>=CF334</x:f>
      </x:c>
      <x:c r="BQ334" s="12" t="str"/>
      <x:c r="BR334" s="12" t="str">
        <x:v>AW 2020 MSS</x:v>
      </x:c>
      <x:c r="BS334" s="13" t="str"/>
      <x:c r="BT334" s="30" t="n">
        <x:v>13438.80</x:v>
      </x:c>
      <x:c r="BU334" s="30" t="n">
        <x:v>-10439.42990</x:v>
      </x:c>
      <x:c r="BV334" s="30" t="str">
        <x:f>=BT334+BU334</x:f>
      </x:c>
      <x:c r="BW334" s="66" t="str">
        <x:f>=BV334/BT334</x:f>
      </x:c>
      <x:c r="BX334" s="66" t="n">
        <x:v>0.9564917127071823204419889503</x:v>
      </x:c>
      <x:c r="BY334" s="30" t="n">
        <x:v>9543.15</x:v>
      </x:c>
      <x:c r="BZ334" s="41" t="n">
        <x:v>63</x:v>
      </x:c>
      <x:c r="CA334" s="30" t="n">
        <x:v>415.20611187845303867403314917</x:v>
      </x:c>
      <x:c r="CC334" s="30" t="n">
        <x:v>13439.491298342541436464088398</x:v>
      </x:c>
      <x:c r="CD334" s="30" t="n">
        <x:v>-10439.42990</x:v>
      </x:c>
      <x:c r="CE334" s="30" t="str">
        <x:f>=CC334+CD334</x:f>
      </x:c>
      <x:c r="CF334" s="66" t="str">
        <x:f>=CE334/CC334</x:f>
      </x:c>
      <x:c r="CH334" s="66" t="str">
        <x:f>=CI334+CJ334</x:f>
      </x:c>
      <x:c r="CI334" s="66" t="str">
        <x:f>=BX334+(0*7)</x:f>
      </x:c>
      <x:c r="CJ334" s="66" t="str">
        <x:f>=(1-CI334)*0.5</x:f>
      </x:c>
      <x:c r="CK334" s="66" t="str">
        <x:f>=1-CH334</x:f>
      </x:c>
      <x:c r="CM334" s="66" t="str">
        <x:f>=CJ334/(1-CI334)</x:f>
      </x:c>
    </x:row>
    <x:row r="335">
      <x:c r="A335" s="31" t="s">
        <x:v>640</x:v>
      </x:c>
      <x:c r="B335" t="s"/>
      <x:c r="C335" t="s">
        <x:v>641</x:v>
      </x:c>
      <x:c r="D335" t="s">
        <x:v>274</x:v>
      </x:c>
      <x:c r="E335" s="69" t="s">
        <x:v>153</x:v>
      </x:c>
      <x:c r="F335" t="n">
        <x:v>1666</x:v>
      </x:c>
      <x:c r="G335" s="32" t="n">
        <x:v>0.0132052821128451380552220888</x:v>
      </x:c>
      <x:c r="H335" s="32" t="n">
        <x:v>0.0330132052821128451380552221</x:v>
      </x:c>
      <x:c r="I335" s="32" t="n">
        <x:v>0.0618247298919567827130852341</x:v>
      </x:c>
      <x:c r="J335" s="32" t="n">
        <x:v>0.0642256902761104441776710684</x:v>
      </x:c>
      <x:c r="K335" s="32" t="n">
        <x:v>0.0684273709483793517406962785</x:v>
      </x:c>
      <x:c r="L335" s="32" t="n">
        <x:v>0.0690276110444177671068427371</x:v>
      </x:c>
      <x:c r="M335" s="32" t="n">
        <x:v>0.0726290516206482593037214886</x:v>
      </x:c>
      <x:c r="N335" s="32" t="n">
        <x:v>0.0780312124849939975990396158</x:v>
      </x:c>
      <x:c r="O335" s="32" t="n">
        <x:v>0.0798319327731092436974789916</x:v>
      </x:c>
      <x:c r="P335" s="32" t="n">
        <x:v>0.0888355342136854741896758703</x:v>
      </x:c>
      <x:c r="Q335" s="32" t="n">
        <x:v>0.1038415366146458583433373349</x:v>
      </x:c>
      <x:c r="R335" s="32" t="n">
        <x:v>0.1176470588235294117647058824</x:v>
      </x:c>
      <x:c r="S335" s="32" t="n">
        <x:v>0.1350540216086434573829531813</x:v>
      </x:c>
      <x:c r="T335" s="32" t="n">
        <x:v>0.1524609843937575030012004802</x:v>
      </x:c>
      <x:c r="U335" s="32" t="n">
        <x:v>0.1848739495798319327731092437</x:v>
      </x:c>
      <x:c r="V335" s="32" t="n">
        <x:v>0.21188475390156062424969988</x:v>
      </x:c>
      <x:c r="W335" s="32" t="n">
        <x:v>0.2545018007202881152460984394</x:v>
      </x:c>
      <x:c r="X335" s="32" t="n">
        <x:v>0.3265306122448979591836734694</x:v>
      </x:c>
      <x:c r="Y335" s="32" t="n">
        <x:v>0.3877551020408163265306122449</x:v>
      </x:c>
      <x:c r="Z335" s="32" t="n">
        <x:v>0.4177671068427370948379351741</x:v>
      </x:c>
      <x:c r="AA335" s="32" t="n">
        <x:v>0.4399759903961584633853541417</x:v>
      </x:c>
      <x:c r="AB335" s="32" t="n">
        <x:v>0.4795918367346938775510204082</x:v>
      </x:c>
      <x:c r="AC335" s="32" t="n">
        <x:v>0.514405762304921968787515006</x:v>
      </x:c>
      <x:c r="AD335" s="32" t="n">
        <x:v>0.5342136854741896758703481393</x:v>
      </x:c>
      <x:c r="AE335" s="32" t="n">
        <x:v>0.5516206482593037214885954382</x:v>
      </x:c>
      <x:c r="AF335" s="32" t="n">
        <x:v>0.5612244897959183673469387755</x:v>
      </x:c>
      <x:c r="AG335" s="32" t="n">
        <x:v>0.564825930372148859543817527</x:v>
      </x:c>
      <x:c r="AH335" s="32" t="n">
        <x:v>0.5726290516206482593037214886</x:v>
      </x:c>
      <x:c r="AI335" s="32" t="n">
        <x:v>0.5762304921968787515006002401</x:v>
      </x:c>
      <x:c r="BI335" s="33" t="s"/>
      <x:c r="BJ335" s="11" t="s">
        <x:v>205</x:v>
      </x:c>
      <x:c r="BK335" s="12" t="str">
        <x:f>=BX335</x:f>
      </x:c>
      <x:c r="BL335" s="12" t="n">
        <x:v>0.57202881152460984393757503</x:v>
      </x:c>
      <x:c r="BM335" s="12" t="n">
        <x:v>0.3643457382953181272509003601</x:v>
      </x:c>
      <x:c r="BN335" s="12" t="n">
        <x:v>0.0636254501800720288115246098</x:v>
      </x:c>
      <x:c r="BO335" s="12" t="str">
        <x:f>=BW335</x:f>
      </x:c>
      <x:c r="BP335" s="12" t="str">
        <x:f>=CF335</x:f>
      </x:c>
      <x:c r="BQ335" s="12" t="str"/>
      <x:c r="BR335" s="12" t="str">
        <x:v>AW 2020 MSS</x:v>
      </x:c>
      <x:c r="BS335" s="13" t="str"/>
      <x:c r="BT335" s="30" t="n">
        <x:v>14234.72</x:v>
      </x:c>
      <x:c r="BU335" s="30" t="n">
        <x:v>-12003.81530</x:v>
      </x:c>
      <x:c r="BV335" s="30" t="str">
        <x:f>=BT335+BU335</x:f>
      </x:c>
      <x:c r="BW335" s="66" t="str">
        <x:f>=BV335/BT335</x:f>
      </x:c>
      <x:c r="BX335" s="66" t="n">
        <x:v>0.9363745498199279711884753902</x:v>
      </x:c>
      <x:c r="BY335" s="30" t="n">
        <x:v>10973.05</x:v>
      </x:c>
      <x:c r="BZ335" s="41" t="n">
        <x:v>106</x:v>
      </x:c>
      <x:c r="CA335" s="30" t="n">
        <x:v>698.16524609843937575030012004</x:v>
      </x:c>
      <x:c r="CC335" s="30" t="n">
        <x:v>14235.296230492196878751500600</x:v>
      </x:c>
      <x:c r="CD335" s="30" t="n">
        <x:v>-12003.81530</x:v>
      </x:c>
      <x:c r="CE335" s="30" t="str">
        <x:f>=CC335+CD335</x:f>
      </x:c>
      <x:c r="CF335" s="66" t="str">
        <x:f>=CE335/CC335</x:f>
      </x:c>
      <x:c r="CH335" s="66" t="str">
        <x:f>=CI335+CJ335</x:f>
      </x:c>
      <x:c r="CI335" s="66" t="str">
        <x:f>=BX335+(0*7)</x:f>
      </x:c>
      <x:c r="CJ335" s="66" t="str">
        <x:f>=(1-CI335)*0.5</x:f>
      </x:c>
      <x:c r="CK335" s="66" t="str">
        <x:f>=1-CH335</x:f>
      </x:c>
      <x:c r="CM335" s="66" t="str">
        <x:f>=CJ335/(1-CI335)</x:f>
      </x:c>
    </x:row>
    <x:row r="336">
      <x:c r="A336" s="31" t="s">
        <x:v>642</x:v>
      </x:c>
      <x:c r="B336" t="s"/>
      <x:c r="C336" t="s">
        <x:v>643</x:v>
      </x:c>
      <x:c r="D336" t="s">
        <x:v>274</x:v>
      </x:c>
      <x:c r="E336" s="69" t="s">
        <x:v>153</x:v>
      </x:c>
      <x:c r="F336" t="n">
        <x:v>2959</x:v>
      </x:c>
      <x:c r="G336" s="32" t="n">
        <x:v>0.0101385603244339303818857722</x:v>
      </x:c>
      <x:c r="H336" s="32" t="n">
        <x:v>0.0375126732004055424129773572</x:v>
      </x:c>
      <x:c r="I336" s="32" t="n">
        <x:v>0.0665765461304494761743832376</x:v>
      </x:c>
      <x:c r="J336" s="32" t="n">
        <x:v>0.077728962487326799594457587</x:v>
      </x:c>
      <x:c r="K336" s="32" t="n">
        <x:v>0.0763771544440689422102061507</x:v>
      </x:c>
      <x:c r="L336" s="32" t="n">
        <x:v>0.0787428185197701926326461642</x:v>
      </x:c>
      <x:c r="M336" s="32" t="n">
        <x:v>0.0834741466711726934775261913</x:v>
      </x:c>
      <x:c r="N336" s="32" t="n">
        <x:v>0.0875295708009462656302805002</x:v>
      </x:c>
      <x:c r="O336" s="32" t="n">
        <x:v>0.0936127069956066238594119635</x:v>
      </x:c>
      <x:c r="P336" s="32" t="n">
        <x:v>0.1155795876985468063534978033</x:v>
      </x:c>
      <x:c r="Q336" s="32" t="n">
        <x:v>0.1443055086177762757688408246</x:v>
      </x:c>
      <x:c r="R336" s="32" t="n">
        <x:v>0.1716796214937478877999324096</x:v>
      </x:c>
      <x:c r="S336" s="32" t="n">
        <x:v>0.196350118283203785062521122</x:v>
      </x:c>
      <x:c r="T336" s="32" t="n">
        <x:v>0.2348766475160527205136870564</x:v>
      </x:c>
      <x:c r="U336" s="32" t="n">
        <x:v>0.2717134166948293342345386955</x:v>
      </x:c>
      <x:c r="V336" s="32" t="n">
        <x:v>0.3159851301115241635687732342</x:v>
      </x:c>
      <x:c r="W336" s="32" t="n">
        <x:v>0.3511321392362284555593105779</x:v>
      </x:c>
      <x:c r="X336" s="32" t="n">
        <x:v>0.4085839810746873943899966205</x:v>
      </x:c>
      <x:c r="Y336" s="32" t="n">
        <x:v>0.479553903345724907063197026</x:v>
      </x:c>
      <x:c r="Z336" s="32" t="n">
        <x:v>0.5383575532274417032781345049</x:v>
      </x:c>
      <x:c r="AA336" s="32" t="n">
        <x:v>0.5961473470767151064548834066</x:v>
      </x:c>
      <x:c r="AB336" s="32" t="n">
        <x:v>0.6407570125042244001351808043</x:v>
      </x:c>
      <x:c r="AC336" s="32" t="n">
        <x:v>0.6674552213585670834741466712</x:v>
      </x:c>
      <x:c r="AD336" s="32" t="n">
        <x:v>0.6846907739101047651233524839</x:v>
      </x:c>
      <x:c r="AE336" s="23" t="n">
        <x:v>0.7053058465697870902331868875</x:v>
      </x:c>
      <x:c r="AF336" s="32" t="n">
        <x:v>0.7218654950996958431902669821</x:v>
      </x:c>
      <x:c r="AG336" s="32" t="n">
        <x:v>0.7330179114565731666103413315</x:v>
      </x:c>
      <x:c r="AH336" s="32" t="n">
        <x:v>0.7414667117269347752619128084</x:v>
      </x:c>
      <x:c r="BI336" s="33" t="s"/>
      <x:c r="BJ336" s="11" t="s">
        <x:v>265</x:v>
      </x:c>
      <x:c r="BK336" s="12" t="str">
        <x:f>=BX336</x:f>
      </x:c>
      <x:c r="BL336" s="12" t="n">
        <x:v>0.7418046637377492396079756675</x:v>
      </x:c>
      <x:c r="BM336" s="12" t="n">
        <x:v>0.210206150726596823251098344</x:v>
      </x:c>
      <x:c r="BN336" s="12" t="n">
        <x:v>0.0479891855356539371409259885</x:v>
      </x:c>
      <x:c r="BO336" s="12" t="str">
        <x:f>=BW336</x:f>
      </x:c>
      <x:c r="BP336" s="12" t="str">
        <x:f>=CF336</x:f>
      </x:c>
      <x:c r="BQ336" s="12" t="str"/>
      <x:c r="BR336" s="12" t="str">
        <x:v>AW 2020 MSS</x:v>
      </x:c>
      <x:c r="BS336" s="13" t="str"/>
      <x:c r="BT336" s="30" t="n">
        <x:v>23000.54</x:v>
      </x:c>
      <x:c r="BU336" s="30" t="n">
        <x:v>-17102.31420</x:v>
      </x:c>
      <x:c r="BV336" s="30" t="str">
        <x:f>=BT336+BU336</x:f>
      </x:c>
      <x:c r="BW336" s="66" t="str">
        <x:f>=BV336/BT336</x:f>
      </x:c>
      <x:c r="BX336" s="66" t="n">
        <x:v>0.9520108144643460628590740115</x:v>
      </x:c>
      <x:c r="BY336" s="30" t="n">
        <x:v>15532.70</x:v>
      </x:c>
      <x:c r="BZ336" s="41" t="n">
        <x:v>142</x:v>
      </x:c>
      <x:c r="CA336" s="30" t="n">
        <x:v>745.40162216965190942886110172</x:v>
      </x:c>
      <x:c r="CC336" s="30" t="n">
        <x:v>23001.281804663737749239607976</x:v>
      </x:c>
      <x:c r="CD336" s="30" t="n">
        <x:v>-17102.31420</x:v>
      </x:c>
      <x:c r="CE336" s="30" t="str">
        <x:f>=CC336+CD336</x:f>
      </x:c>
      <x:c r="CF336" s="66" t="str">
        <x:f>=CE336/CC336</x:f>
      </x:c>
      <x:c r="CH336" s="66" t="str">
        <x:f>=CI336+CJ336</x:f>
      </x:c>
      <x:c r="CI336" s="66" t="str">
        <x:f>=BX336+(0*7)</x:f>
      </x:c>
      <x:c r="CJ336" s="66" t="str">
        <x:f>=(1-CI336)*0.5</x:f>
      </x:c>
      <x:c r="CK336" s="66" t="str">
        <x:f>=1-CH336</x:f>
      </x:c>
      <x:c r="CM336" s="66" t="str">
        <x:f>=CJ336/(1-CI336)</x:f>
      </x:c>
    </x:row>
    <x:row r="337">
      <x:c r="A337" s="31" t="s">
        <x:v>644</x:v>
      </x:c>
      <x:c r="B337" t="s"/>
      <x:c r="C337" t="s">
        <x:v>645</x:v>
      </x:c>
      <x:c r="D337" t="s">
        <x:v>274</x:v>
      </x:c>
      <x:c r="E337" s="69" t="s">
        <x:v>153</x:v>
      </x:c>
      <x:c r="F337" t="n">
        <x:v>2098</x:v>
      </x:c>
      <x:c r="G337" s="32" t="n">
        <x:v>0.0004766444232602478551000953</x:v>
      </x:c>
      <x:c r="H337" s="32" t="n">
        <x:v>0.0047664442326024785510009533</x:v>
      </x:c>
      <x:c r="I337" s="32" t="n">
        <x:v>0.0448045757864632983794089609</x:v>
      </x:c>
      <x:c r="J337" s="32" t="n">
        <x:v>0.0743565300285986653956148713</x:v>
      </x:c>
      <x:c r="K337" s="32" t="n">
        <x:v>0.073879885605338417540514776</x:v>
      </x:c>
      <x:c r="L337" s="32" t="n">
        <x:v>0.0776930409914204003813155386</x:v>
      </x:c>
      <x:c r="M337" s="32" t="n">
        <x:v>0.0872259294566253574833174452</x:v>
      </x:c>
      <x:c r="N337" s="32" t="n">
        <x:v>0.1153479504289799809342230696</x:v>
      </x:c>
      <x:c r="O337" s="32" t="n">
        <x:v>0.142040038131553860819828408</x:v>
      </x:c>
      <x:c r="P337" s="32" t="n">
        <x:v>0.1630123927550047664442326025</x:v>
      </x:c>
      <x:c r="Q337" s="32" t="n">
        <x:v>0.1882745471877979027645376549</x:v>
      </x:c>
      <x:c r="R337" s="32" t="n">
        <x:v>0.2125834127740705433746425167</x:v>
      </x:c>
      <x:c r="S337" s="32" t="n">
        <x:v>0.2259294566253574833174451859</x:v>
      </x:c>
      <x:c r="T337" s="32" t="n">
        <x:v>0.2445185891325071496663489037</x:v>
      </x:c>
      <x:c r="U337" s="32" t="n">
        <x:v>0.2650142993326978074356530029</x:v>
      </x:c>
      <x:c r="V337" s="32" t="n">
        <x:v>0.2850333651096282173498570067</x:v>
      </x:c>
      <x:c r="W337" s="32" t="n">
        <x:v>0.3169685414680648236415633937</x:v>
      </x:c>
      <x:c r="X337" s="32" t="n">
        <x:v>0.3436606291706387035271687321</x:v>
      </x:c>
      <x:c r="Y337" s="32" t="n">
        <x:v>0.3770257387988560533841754051</x:v>
      </x:c>
      <x:c r="Z337" s="32" t="n">
        <x:v>0.4280266920877025738798856053</x:v>
      </x:c>
      <x:c r="AA337" s="32" t="n">
        <x:v>0.465204957102001906577693041</x:v>
      </x:c>
      <x:c r="AB337" s="32" t="n">
        <x:v>0.5095328884652049571020019066</x:v>
      </x:c>
      <x:c r="AC337" s="32" t="n">
        <x:v>0.5505243088655862726406101049</x:v>
      </x:c>
      <x:c r="AD337" s="32" t="n">
        <x:v>0.5881792183031458531935176358</x:v>
      </x:c>
      <x:c r="AE337" s="32" t="n">
        <x:v>0.6191611058150619637750238322</x:v>
      </x:c>
      <x:c r="AF337" s="32" t="n">
        <x:v>0.6496663489037178265014299333</x:v>
      </x:c>
      <x:c r="AG337" s="32" t="n">
        <x:v>0.6663489037178265014299332698</x:v>
      </x:c>
      <x:c r="AH337" s="32" t="n">
        <x:v>0.6734985700667302192564346997</x:v>
      </x:c>
      <x:c r="BI337" s="33" t="s"/>
      <x:c r="BJ337" s="11" t="s">
        <x:v>265</x:v>
      </x:c>
      <x:c r="BK337" s="12" t="str">
        <x:f>=BX337</x:f>
      </x:c>
      <x:c r="BL337" s="12" t="n">
        <x:v>0.6720686367969494756911344137</x:v>
      </x:c>
      <x:c r="BM337" s="12" t="n">
        <x:v>0.3026692087702573879885605338</x:v>
      </x:c>
      <x:c r="BN337" s="12" t="n">
        <x:v>0.0252621544327931363203050524</x:v>
      </x:c>
      <x:c r="BO337" s="12" t="str">
        <x:f>=BW337</x:f>
      </x:c>
      <x:c r="BP337" s="12" t="str">
        <x:f>=CF337</x:f>
      </x:c>
      <x:c r="BQ337" s="12" t="str"/>
      <x:c r="BR337" s="12" t="str">
        <x:v>AW 2020 MSS</x:v>
      </x:c>
      <x:c r="BS337" s="13" t="str"/>
      <x:c r="BT337" s="30" t="n">
        <x:v>18246.03</x:v>
      </x:c>
      <x:c r="BU337" s="30" t="n">
        <x:v>-14745.32916</x:v>
      </x:c>
      <x:c r="BV337" s="30" t="str">
        <x:f>=BT337+BU337</x:f>
      </x:c>
      <x:c r="BW337" s="66" t="str">
        <x:f>=BV337/BT337</x:f>
      </x:c>
      <x:c r="BX337" s="66" t="n">
        <x:v>0.9747378455672068636796949476</x:v>
      </x:c>
      <x:c r="BY337" s="30" t="n">
        <x:v>13470.26</x:v>
      </x:c>
      <x:c r="BZ337" s="41" t="n">
        <x:v>53</x:v>
      </x:c>
      <x:c r="CA337" s="30" t="n">
        <x:v>340.28778836987607244995233556</x:v>
      </x:c>
      <x:c r="CC337" s="30" t="n">
        <x:v>18246.703498570066730219256435</x:v>
      </x:c>
      <x:c r="CD337" s="30" t="n">
        <x:v>-14745.32916</x:v>
      </x:c>
      <x:c r="CE337" s="30" t="str">
        <x:f>=CC337+CD337</x:f>
      </x:c>
      <x:c r="CF337" s="66" t="str">
        <x:f>=CE337/CC337</x:f>
      </x:c>
      <x:c r="CH337" s="66" t="str">
        <x:f>=CI337+CJ337</x:f>
      </x:c>
      <x:c r="CI337" s="66" t="str">
        <x:f>=BX337+(0*7)</x:f>
      </x:c>
      <x:c r="CJ337" s="66" t="str">
        <x:f>=(1-CI337)*0.5</x:f>
      </x:c>
      <x:c r="CK337" s="66" t="str">
        <x:f>=1-CH337</x:f>
      </x:c>
      <x:c r="CM337" s="66" t="str">
        <x:f>=CJ337/(1-CI337)</x:f>
      </x:c>
    </x:row>
    <x:row r="338">
      <x:c r="A338" s="31" t="s">
        <x:v>646</x:v>
      </x:c>
      <x:c r="B338" t="s">
        <x:v>116</x:v>
      </x:c>
      <x:c r="C338" t="s">
        <x:v>647</x:v>
      </x:c>
      <x:c r="D338" t="s">
        <x:v>452</x:v>
      </x:c>
      <x:c r="E338" s="69" t="s">
        <x:v>153</x:v>
      </x:c>
      <x:c r="F338" t="n">
        <x:v>5252</x:v>
      </x:c>
      <x:c r="G338" s="32" t="n">
        <x:v>0.0041888804265041888804265042</x:v>
      </x:c>
      <x:c r="H338" s="32" t="n">
        <x:v>0.0186595582635186595582635187</x:v>
      </x:c>
      <x:c r="I338" s="32" t="n">
        <x:v>0.0262757044935262757044935263</x:v>
      </x:c>
      <x:c r="J338" s="32" t="n">
        <x:v>0.0251332825590251332825590251</x:v>
      </x:c>
      <x:c r="K338" s="32" t="n">
        <x:v>0.0257044935262757044935262757</x:v>
      </x:c>
      <x:c r="L338" s="32" t="n">
        <x:v>0.027037319116527037319116527</x:v>
      </x:c>
      <x:c r="M338" s="32" t="n">
        <x:v>0.0344630616907844630616907845</x:v>
      </x:c>
      <x:c r="N338" s="32" t="n">
        <x:v>0.0436024371667936024371667936</x:v>
      </x:c>
      <x:c r="O338" s="32" t="n">
        <x:v>0.0489337395277989337395277989</x:v>
      </x:c>
      <x:c r="P338" s="32" t="n">
        <x:v>0.0546458492003046458492003046</x:v>
      </x:c>
      <x:c r="Q338" s="32" t="n">
        <x:v>0.0584539223153084539223153085</x:v>
      </x:c>
      <x:c r="R338" s="32" t="n">
        <x:v>0.0664508758568164508758568165</x:v>
      </x:c>
      <x:c r="S338" s="32" t="n">
        <x:v>0.0795887281035795887281035796</x:v>
      </x:c>
      <x:c r="T338" s="32" t="n">
        <x:v>0.11995430312261995430312262</x:v>
      </x:c>
      <x:c r="U338" s="32" t="n">
        <x:v>0.150990099009900990099009901</x:v>
      </x:c>
      <x:c r="V338" s="32" t="n">
        <x:v>0.1707920792079207920792079208</x:v>
      </x:c>
      <x:c r="W338" s="32" t="n">
        <x:v>0.2159177456207159177456207159</x:v>
      </x:c>
      <x:c r="X338" s="32" t="n">
        <x:v>0.2667555217060167555217060168</x:v>
      </x:c>
      <x:c r="Y338" s="32" t="n">
        <x:v>0.3021706016755521706016755522</x:v>
      </x:c>
      <x:c r="Z338" s="32" t="n">
        <x:v>0.3271134805788271134805788271</x:v>
      </x:c>
      <x:c r="AA338" s="32" t="n">
        <x:v>0.3808073115003808073115003808</x:v>
      </x:c>
      <x:c r="AB338" s="32" t="n">
        <x:v>0.4345011424219345011424219345</x:v>
      </x:c>
      <x:c r="AC338" s="32" t="n">
        <x:v>0.4881949733434881949733434882</x:v>
      </x:c>
      <x:c r="AD338" s="32" t="n">
        <x:v>0.5597867479055597867479055598</x:v>
      </x:c>
      <x:c r="AE338" s="32" t="n">
        <x:v>0.6991622239146991622239146992</x:v>
      </x:c>
      <x:c r="AF338" s="23" t="n">
        <x:v>0.8084539223153084539223153085</x:v>
      </x:c>
      <x:c r="AG338" s="32" t="n">
        <x:v>0.8177837014470677837014470678</x:v>
      </x:c>
      <x:c r="BI338" s="33" t="s"/>
      <x:c r="BJ338" s="11" t="s">
        <x:v>301</x:v>
      </x:c>
      <x:c r="BK338" s="12" t="str">
        <x:f>=BX338</x:f>
      </x:c>
      <x:c r="BL338" s="12" t="n">
        <x:v>0.7995049504950495049504950495</x:v>
      </x:c>
      <x:c r="BM338" s="12" t="n">
        <x:v>0.1675552170601675552170601676</x:v>
      </x:c>
      <x:c r="BN338" s="12" t="n">
        <x:v>0.0329398324447829398324447829</x:v>
      </x:c>
      <x:c r="BO338" s="12" t="str">
        <x:f>=BW338</x:f>
      </x:c>
      <x:c r="BP338" s="12" t="str">
        <x:f>=CF338</x:f>
      </x:c>
      <x:c r="BQ338" s="12" t="str"/>
      <x:c r="BR338" s="12" t="str">
        <x:v>AW 2020 MSS</x:v>
      </x:c>
      <x:c r="BS338" s="13" t="str"/>
      <x:c r="BT338" s="30" t="n">
        <x:v>107218.91</x:v>
      </x:c>
      <x:c r="BU338" s="30" t="n">
        <x:v>-86132.0988</x:v>
      </x:c>
      <x:c r="BV338" s="30" t="str">
        <x:f>=BT338+BU338</x:f>
      </x:c>
      <x:c r="BW338" s="66" t="str">
        <x:f>=BV338/BT338</x:f>
      </x:c>
      <x:c r="BX338" s="66" t="n">
        <x:v>0.9670601675552170601675552171</x:v>
      </x:c>
      <x:c r="BY338" s="30" t="n">
        <x:v>78885.40</x:v>
      </x:c>
      <x:c r="BZ338" s="41" t="n">
        <x:v>173</x:v>
      </x:c>
      <x:c r="CA338" s="30" t="n">
        <x:v>2598.4718583396801218583396801</x:v>
      </x:c>
      <x:c r="CC338" s="30" t="n">
        <x:v>107219.72778370144706778370145</x:v>
      </x:c>
      <x:c r="CD338" s="30" t="n">
        <x:v>-86132.0988</x:v>
      </x:c>
      <x:c r="CE338" s="30" t="str">
        <x:f>=CC338+CD338</x:f>
      </x:c>
      <x:c r="CF338" s="66" t="str">
        <x:f>=CE338/CC338</x:f>
      </x:c>
      <x:c r="CH338" s="66" t="str">
        <x:f>=CI338+CJ338</x:f>
      </x:c>
      <x:c r="CI338" s="66" t="str">
        <x:f>=BX338+(0*7)</x:f>
      </x:c>
      <x:c r="CJ338" s="66" t="str">
        <x:f>=(1-CI338)*0.5</x:f>
      </x:c>
      <x:c r="CK338" s="66" t="str">
        <x:f>=1-CH338</x:f>
      </x:c>
      <x:c r="CM338" s="66" t="str">
        <x:f>=CJ338/(1-CI338)</x:f>
      </x:c>
    </x:row>
    <x:row r="339">
      <x:c r="A339" s="31" t="s">
        <x:v>648</x:v>
      </x:c>
      <x:c r="B339" t="s"/>
      <x:c r="C339" t="s">
        <x:v>649</x:v>
      </x:c>
      <x:c r="D339" t="s">
        <x:v>118</x:v>
      </x:c>
      <x:c r="E339" s="69" t="s">
        <x:v>153</x:v>
      </x:c>
      <x:c r="F339" t="n">
        <x:v>5261</x:v>
      </x:c>
      <x:c r="G339" s="32" t="n">
        <x:v>0.025470442881581448393841475</x:v>
      </x:c>
      <x:c r="H339" s="32" t="n">
        <x:v>0.0575936133814864094278654248</x:v>
      </x:c>
      <x:c r="I339" s="32" t="n">
        <x:v>0.0950389659760501805740353545</x:v>
      </x:c>
      <x:c r="J339" s="32" t="n">
        <x:v>0.0933282645884812773237027181</x:v>
      </x:c>
      <x:c r="K339" s="32" t="n">
        <x:v>0.1003611480707089906861813343</x:v>
      </x:c>
      <x:c r="L339" s="32" t="n">
        <x:v>0.1146169929671165177722866375</x:v>
      </x:c>
      <x:c r="M339" s="32" t="n">
        <x:v>0.122790344041056833301653678</x:v>
      </x:c>
      <x:c r="N339" s="32" t="n">
        <x:v>0.1302033833871887473864284357</x:v>
      </x:c>
      <x:c r="O339" s="32" t="n">
        <x:v>0.1571944497243869986694544763</x:v>
      </x:c>
      <x:c r="P339" s="32" t="n">
        <x:v>0.199201672685801178483178103</x:v>
      </x:c>
      <x:c r="Q339" s="32" t="n">
        <x:v>0.2419692073750237597414940125</x:v>
      </x:c>
      <x:c r="R339" s="32" t="n">
        <x:v>0.2805550275613001330545523665</x:v>
      </x:c>
      <x:c r="S339" s="32" t="n">
        <x:v>0.3200912374073370081733510739</x:v>
      </x:c>
      <x:c r="T339" s="32" t="n">
        <x:v>0.3883292149781410378255084585</x:v>
      </x:c>
      <x:c r="U339" s="32" t="n">
        <x:v>0.4463029842235316479756700247</x:v>
      </x:c>
      <x:c r="V339" s="32" t="n">
        <x:v>0.4708230374453525945637711462</x:v>
      </x:c>
      <x:c r="W339" s="32" t="n">
        <x:v>0.5010454286257365519863143889</x:v>
      </x:c>
      <x:c r="X339" s="32" t="n">
        <x:v>0.5582588861433187606918836723</x:v>
      </x:c>
      <x:c r="Y339" s="32" t="n">
        <x:v>0.6213647595514160805930431477</x:v>
      </x:c>
      <x:c r="Z339" s="32" t="n">
        <x:v>0.6633719825128302604067667744</x:v>
      </x:c>
      <x:c r="AA339" s="23" t="n">
        <x:v>0.7074700627257175441931191789</x:v>
      </x:c>
      <x:c r="AB339" s="32" t="n">
        <x:v>0.7356015966546283976430336438</x:v>
      </x:c>
      <x:c r="AC339" s="32" t="n">
        <x:v>0.7595514160805930431476905531</x:v>
      </x:c>
      <x:c r="AD339" s="32" t="n">
        <x:v>0.7909142748526896027371222201</x:v>
      </x:c>
      <x:c r="AE339" s="32" t="n">
        <x:v>0.8429956282075651016916935944</x:v>
      </x:c>
      <x:c r="AF339" s="32" t="n">
        <x:v>0.8730279414559969587530887664</x:v>
      </x:c>
      <x:c r="AG339" s="32" t="n">
        <x:v>0.8779699676867515681429386048</x:v>
      </x:c>
      <x:c r="BI339" s="33" t="s"/>
      <x:c r="BJ339" s="11" t="s">
        <x:v>301</x:v>
      </x:c>
      <x:c r="BK339" s="12" t="str">
        <x:f>=BX339</x:f>
      </x:c>
      <x:c r="BL339" s="12" t="n">
        <x:v>0.8791104352784641703098270291</x:v>
      </x:c>
      <x:c r="BM339" s="12" t="n">
        <x:v>0.1129062915795476145219540011</x:v>
      </x:c>
      <x:c r="BN339" s="12" t="n">
        <x:v>0.0079832731419882151682189698</x:v>
      </x:c>
      <x:c r="BO339" s="12" t="str">
        <x:f>=BW339</x:f>
      </x:c>
      <x:c r="BP339" s="12" t="str">
        <x:f>=CF339</x:f>
      </x:c>
      <x:c r="BQ339" s="12" t="str"/>
      <x:c r="BR339" s="12" t="str">
        <x:v>AW 2020 MSS</x:v>
      </x:c>
      <x:c r="BS339" s="13" t="str"/>
      <x:c r="BT339" s="30" t="n">
        <x:v>46840.75</x:v>
      </x:c>
      <x:c r="BU339" s="30" t="n">
        <x:v>-31655.9264</x:v>
      </x:c>
      <x:c r="BV339" s="30" t="str">
        <x:f>=BT339+BU339</x:f>
      </x:c>
      <x:c r="BW339" s="66" t="str">
        <x:f>=BV339/BT339</x:f>
      </x:c>
      <x:c r="BX339" s="66" t="n">
        <x:v>0.9920167268580117848317810302</x:v>
      </x:c>
      <x:c r="BY339" s="30" t="n">
        <x:v>31554.03</x:v>
      </x:c>
      <x:c r="BZ339" s="41" t="n">
        <x:v>42</x:v>
      </x:c>
      <x:c r="CA339" s="30" t="n">
        <x:v>251.90444022049040106443641893</x:v>
      </x:c>
      <x:c r="CC339" s="30" t="n">
        <x:v>46841.627969967686751568142939</x:v>
      </x:c>
      <x:c r="CD339" s="30" t="n">
        <x:v>-31655.9264</x:v>
      </x:c>
      <x:c r="CE339" s="30" t="str">
        <x:f>=CC339+CD339</x:f>
      </x:c>
      <x:c r="CF339" s="66" t="str">
        <x:f>=CE339/CC339</x:f>
      </x:c>
      <x:c r="CH339" s="66" t="str">
        <x:f>=CI339+CJ339</x:f>
      </x:c>
      <x:c r="CI339" s="66" t="str">
        <x:f>=BX339+(0*7)</x:f>
      </x:c>
      <x:c r="CJ339" s="66" t="str">
        <x:f>=(1-CI339)*0.5</x:f>
      </x:c>
      <x:c r="CK339" s="66" t="str">
        <x:f>=1-CH339</x:f>
      </x:c>
      <x:c r="CM339" s="66" t="str">
        <x:f>=CJ339/(1-CI339)</x:f>
      </x:c>
    </x:row>
    <x:row r="340">
      <x:c r="A340" s="31" t="s">
        <x:v>650</x:v>
      </x:c>
      <x:c r="B340" t="s"/>
      <x:c r="C340" t="s">
        <x:v>651</x:v>
      </x:c>
      <x:c r="D340" t="s">
        <x:v>274</x:v>
      </x:c>
      <x:c r="E340" s="69" t="s">
        <x:v>153</x:v>
      </x:c>
      <x:c r="F340" t="n">
        <x:v>6263</x:v>
      </x:c>
      <x:c r="G340" s="32" t="n">
        <x:v>0.003991697269679067539517803</x:v>
      </x:c>
      <x:c r="H340" s="32" t="n">
        <x:v>0.0273032093246048219703017723</x:v>
      </x:c>
      <x:c r="I340" s="32" t="n">
        <x:v>0.026824205652243333865559636</x:v>
      </x:c>
      <x:c r="J340" s="32" t="n">
        <x:v>0.030975570812709564106658151</x:v>
      </x:c>
      <x:c r="K340" s="32" t="n">
        <x:v>0.0499760498163819255947628932</x:v>
      </x:c>
      <x:c r="L340" s="32" t="n">
        <x:v>0.087338336260577997764649529</x:v>
      </x:c>
      <x:c r="M340" s="32" t="n">
        <x:v>0.1278939805205173239661504072</x:v>
      </x:c>
      <x:c r="N340" s="32" t="n">
        <x:v>0.1598275586779498642822928309</x:v>
      </x:c>
      <x:c r="O340" s="32" t="n">
        <x:v>0.2053329075522912342327957848</x:v>
      </x:c>
      <x:c r="P340" s="32" t="n">
        <x:v>0.2414178508701900047900367236</x:v>
      </x:c>
      <x:c r="Q340" s="32" t="n">
        <x:v>0.2920325722497205811911224653</x:v>
      </x:c>
      <x:c r="R340" s="32" t="n">
        <x:v>0.3466389908989302251317260099</x:v>
      </x:c>
      <x:c r="S340" s="32" t="n">
        <x:v>0.4020437490020756825802331151</x:v>
      </x:c>
      <x:c r="T340" s="32" t="n">
        <x:v>0.4480281015487785406354782053</x:v>
      </x:c>
      <x:c r="U340" s="32" t="n">
        <x:v>0.4871467347916334025227526744</x:v>
      </x:c>
      <x:c r="V340" s="32" t="n">
        <x:v>0.5294587258502315184416413859</x:v>
      </x:c>
      <x:c r="W340" s="32" t="n">
        <x:v>0.5756027462877215391984671882</x:v>
      </x:c>
      <x:c r="X340" s="32" t="n">
        <x:v>0.6174357336739581670126137634</x:v>
      </x:c>
      <x:c r="Y340" s="32" t="n">
        <x:v>0.6388312310394379690244291873</x:v>
      </x:c>
      <x:c r="Z340" s="32" t="n">
        <x:v>0.6576720421523231678109532173</x:v>
      </x:c>
      <x:c r="AA340" s="32" t="n">
        <x:v>0.6739581670126137633721858534</x:v>
      </x:c>
      <x:c r="AB340" s="32" t="n">
        <x:v>0.6947149928149449145776784289</x:v>
      </x:c>
      <x:c r="AC340" s="23" t="n">
        <x:v>0.725850231518441641385917292</x:v>
      </x:c>
      <x:c r="AD340" s="32" t="n">
        <x:v>0.7587418170205971579115439885</x:v>
      </x:c>
      <x:c r="AE340" s="32" t="n">
        <x:v>0.7860450263452019798818457608</x:v>
      </x:c>
      <x:c r="AF340" s="32" t="n">
        <x:v>0.8024908190962797381446591091</x:v>
      </x:c>
      <x:c r="BI340" s="33" t="s"/>
      <x:c r="BJ340" s="11" t="s">
        <x:v>449</x:v>
      </x:c>
      <x:c r="BK340" s="12" t="str">
        <x:f>=BX340</x:f>
      </x:c>
      <x:c r="BL340" s="12" t="n">
        <x:v>0.8018521475331310873383362606</x:v>
      </x:c>
      <x:c r="BM340" s="12" t="n">
        <x:v>0.185534089094683059236787482</x:v>
      </x:c>
      <x:c r="BN340" s="12" t="n">
        <x:v>0.0126137633721858534248762574</x:v>
      </x:c>
      <x:c r="BO340" s="12" t="str">
        <x:f>=BW340</x:f>
      </x:c>
      <x:c r="BP340" s="12" t="str">
        <x:f>=CF340</x:f>
      </x:c>
      <x:c r="BQ340" s="12" t="str"/>
      <x:c r="BR340" s="12" t="str">
        <x:v>AW 2020 MSS</x:v>
      </x:c>
      <x:c r="BS340" s="13" t="str"/>
      <x:c r="BT340" s="30" t="n">
        <x:v>69804.89</x:v>
      </x:c>
      <x:c r="BU340" s="30" t="n">
        <x:v>-48340.37440</x:v>
      </x:c>
      <x:c r="BV340" s="30" t="str">
        <x:f>=BT340+BU340</x:f>
      </x:c>
      <x:c r="BW340" s="66" t="str">
        <x:f>=BV340/BT340</x:f>
      </x:c>
      <x:c r="BX340" s="66" t="n">
        <x:v>0.9873862366278141465751237426</x:v>
      </x:c>
      <x:c r="BY340" s="30" t="n">
        <x:v>44266.40</x:v>
      </x:c>
      <x:c r="BZ340" s="41" t="n">
        <x:v>79</x:v>
      </x:c>
      <x:c r="CA340" s="30" t="n">
        <x:v>558.36589493852786204694235989</x:v>
      </x:c>
      <x:c r="CC340" s="30" t="n">
        <x:v>69805.692331151205492575443078</x:v>
      </x:c>
      <x:c r="CD340" s="30" t="n">
        <x:v>-48340.37440</x:v>
      </x:c>
      <x:c r="CE340" s="30" t="str">
        <x:f>=CC340+CD340</x:f>
      </x:c>
      <x:c r="CF340" s="66" t="str">
        <x:f>=CE340/CC340</x:f>
      </x:c>
      <x:c r="CH340" s="66" t="str">
        <x:f>=CI340+CJ340</x:f>
      </x:c>
      <x:c r="CI340" s="66" t="str">
        <x:f>=BX340+(0*7)</x:f>
      </x:c>
      <x:c r="CJ340" s="66" t="str">
        <x:f>=(1-CI340)*0.5</x:f>
      </x:c>
      <x:c r="CK340" s="66" t="str">
        <x:f>=1-CH340</x:f>
      </x:c>
      <x:c r="CM340" s="66" t="str">
        <x:f>=CJ340/(1-CI340)</x:f>
      </x:c>
    </x:row>
    <x:row r="341">
      <x:c r="A341" s="31" t="s">
        <x:v>652</x:v>
      </x:c>
      <x:c r="B341" t="s"/>
      <x:c r="C341" t="s">
        <x:v>653</x:v>
      </x:c>
      <x:c r="D341" t="s">
        <x:v>274</x:v>
      </x:c>
      <x:c r="E341" s="69" t="s">
        <x:v>153</x:v>
      </x:c>
      <x:c r="F341" t="n">
        <x:v>2043</x:v>
      </x:c>
      <x:c r="G341" s="32" t="n">
        <x:v>0.0024473813020068526676456192</x:v>
      </x:c>
      <x:c r="H341" s="32" t="n">
        <x:v>0.0024473813020068526676456192</x:v>
      </x:c>
      <x:c r="I341" s="32" t="n">
        <x:v>0.0014684287812041116005873715</x:v>
      </x:c>
      <x:c r="J341" s="32" t="n">
        <x:v>0.0039158100832109642682329907</x:v>
      </x:c>
      <x:c r="K341" s="32" t="n">
        <x:v>0.0097895252080274106705824767</x:v>
      </x:c>
      <x:c r="L341" s="32" t="n">
        <x:v>0.0254527655408712677435144395</x:v>
      </x:c>
      <x:c r="M341" s="32" t="n">
        <x:v>0.0846793930494371023005384239</x:v>
      </x:c>
      <x:c r="N341" s="32" t="n">
        <x:v>0.1757219774840920215369554577</x:v>
      </x:c>
      <x:c r="O341" s="32" t="n">
        <x:v>0.2178169358786098874204601077</x:v>
      </x:c>
      <x:c r="P341" s="32" t="n">
        <x:v>0.2393538913362701908957415565</x:v>
      </x:c>
      <x:c r="Q341" s="32" t="n">
        <x:v>0.2682329906999510523739598629</x:v>
      </x:c>
      <x:c r="R341" s="32" t="n">
        <x:v>0.2976015663240332843857072932</x:v>
      </x:c>
      <x:c r="S341" s="32" t="n">
        <x:v>0.3245227606461086637298091043</x:v>
      </x:c>
      <x:c r="T341" s="32" t="n">
        <x:v>0.3455702398433675966715614293</x:v>
      </x:c>
      <x:c r="U341" s="32" t="n">
        <x:v>0.370533529123837493881546745</x:v>
      </x:c>
      <x:c r="V341" s="32" t="n">
        <x:v>0.4302496328928046989720998532</x:v>
      </x:c>
      <x:c r="W341" s="32" t="n">
        <x:v>0.490944689182574645129711209</x:v>
      </x:c>
      <x:c r="X341" s="32" t="n">
        <x:v>0.5550660792951541850220264317</x:v>
      </x:c>
      <x:c r="Y341" s="32" t="n">
        <x:v>0.6186979931473323543808125306</x:v>
      </x:c>
      <x:c r="Z341" s="32" t="n">
        <x:v>0.6549192364170337738619676946</x:v>
      </x:c>
      <x:c r="AA341" s="32" t="n">
        <x:v>0.6818404307391091532060695056</x:v>
      </x:c>
      <x:c r="AB341" s="23" t="n">
        <x:v>0.7234459128732256485560450318</x:v>
      </x:c>
      <x:c r="AC341" s="32" t="n">
        <x:v>0.7689672050905531081742535487</x:v>
      </x:c>
      <x:c r="AD341" s="32" t="n">
        <x:v>0.7944199706314243759177679883</x:v>
      </x:c>
      <x:c r="AE341" s="32" t="n">
        <x:v>0.8086147821830641213901125795</x:v>
      </x:c>
      <x:c r="BI341" s="33" t="s"/>
      <x:c r="BJ341" s="11" t="s">
        <x:v>168</x:v>
      </x:c>
      <x:c r="BK341" s="12" t="str">
        <x:f>=BX341</x:f>
      </x:c>
      <x:c r="BL341" s="12" t="n">
        <x:v>0.8046989720998531571218795888</x:v>
      </x:c>
      <x:c r="BM341" s="12" t="n">
        <x:v>0.1683798335780714635340186001</x:v>
      </x:c>
      <x:c r="BN341" s="12" t="n">
        <x:v>0.0269211943220753793441018111</x:v>
      </x:c>
      <x:c r="BO341" s="12" t="str">
        <x:f>=BW341</x:f>
      </x:c>
      <x:c r="BP341" s="12" t="str">
        <x:f>=CF341</x:f>
      </x:c>
      <x:c r="BQ341" s="12" t="str"/>
      <x:c r="BR341" s="12" t="str">
        <x:v>AW 2020 MSS</x:v>
      </x:c>
      <x:c r="BS341" s="13" t="str"/>
      <x:c r="BT341" s="30" t="n">
        <x:v>21974.39</x:v>
      </x:c>
      <x:c r="BU341" s="30" t="n">
        <x:v>-15949.53240</x:v>
      </x:c>
      <x:c r="BV341" s="30" t="str">
        <x:f>=BT341+BU341</x:f>
      </x:c>
      <x:c r="BW341" s="66" t="str">
        <x:f>=BV341/BT341</x:f>
      </x:c>
      <x:c r="BX341" s="66" t="n">
        <x:v>0.9730788056779246206558981889</x:v>
      </x:c>
      <x:c r="BY341" s="30" t="n">
        <x:v>14609.40</x:v>
      </x:c>
      <x:c r="BZ341" s="41" t="n">
        <x:v>55</x:v>
      </x:c>
      <x:c r="CA341" s="30" t="n">
        <x:v>393.30249632892804698972099853</x:v>
      </x:c>
      <x:c r="CC341" s="30" t="n">
        <x:v>21975.197635829662261380323054</x:v>
      </x:c>
      <x:c r="CD341" s="30" t="n">
        <x:v>-15949.53240</x:v>
      </x:c>
      <x:c r="CE341" s="30" t="str">
        <x:f>=CC341+CD341</x:f>
      </x:c>
      <x:c r="CF341" s="66" t="str">
        <x:f>=CE341/CC341</x:f>
      </x:c>
      <x:c r="CH341" s="66" t="str">
        <x:f>=CI341+CJ341</x:f>
      </x:c>
      <x:c r="CI341" s="66" t="str">
        <x:f>=BX341+(0*7)</x:f>
      </x:c>
      <x:c r="CJ341" s="66" t="str">
        <x:f>=(1-CI341)*0.5</x:f>
      </x:c>
      <x:c r="CK341" s="66" t="str">
        <x:f>=1-CH341</x:f>
      </x:c>
      <x:c r="CM341" s="66" t="str">
        <x:f>=CJ341/(1-CI341)</x:f>
      </x:c>
    </x:row>
    <x:row r="342">
      <x:c r="A342" s="31" t="s">
        <x:v>654</x:v>
      </x:c>
      <x:c r="B342" t="s"/>
      <x:c r="C342" t="s">
        <x:v>655</x:v>
      </x:c>
      <x:c r="D342" t="s">
        <x:v>118</x:v>
      </x:c>
      <x:c r="E342" s="69" t="s">
        <x:v>153</x:v>
      </x:c>
      <x:c r="F342" t="n">
        <x:v>2828</x:v>
      </x:c>
      <x:c r="G342" s="32" t="n">
        <x:v>0.0014144271570014144271570014</x:v>
      </x:c>
      <x:c r="H342" s="32" t="n">
        <x:v>0.0258132956152758132956152758</x:v>
      </x:c>
      <x:c r="I342" s="32" t="n">
        <x:v>0.0912305516265912305516265912</x:v>
      </x:c>
      <x:c r="J342" s="32" t="n">
        <x:v>0.1615983026874115983026874116</x:v>
      </x:c>
      <x:c r="K342" s="32" t="n">
        <x:v>0.239038189533239038189533239</x:v>
      </x:c>
      <x:c r="L342" s="32" t="n">
        <x:v>0.318953323903818953323903819</x:v>
      </x:c>
      <x:c r="M342" s="32" t="n">
        <x:v>0.3716407355021216407355021216</x:v>
      </x:c>
      <x:c r="N342" s="32" t="n">
        <x:v>0.4462517680339462517680339463</x:v>
      </x:c>
      <x:c r="O342" s="32" t="n">
        <x:v>0.5102545968882602545968882603</x:v>
      </x:c>
      <x:c r="P342" s="32" t="n">
        <x:v>0.5583451202263083451202263083</x:v>
      </x:c>
      <x:c r="Q342" s="32" t="n">
        <x:v>0.5997171145685997171145685997</x:v>
      </x:c>
      <x:c r="R342" s="32" t="n">
        <x:v>0.6311881188118811881188118812</x:v>
      </x:c>
      <x:c r="S342" s="32" t="n">
        <x:v>0.6516973125884016973125884017</x:v>
      </x:c>
      <x:c r="T342" s="32" t="n">
        <x:v>0.6828147100424328147100424328</x:v>
      </x:c>
      <x:c r="U342" s="23" t="n">
        <x:v>0.7107496463932107496463932107</x:v>
      </x:c>
      <x:c r="V342" s="32" t="n">
        <x:v>0.7273691654879773691654879774</x:v>
      </x:c>
      <x:c r="BI342" s="33" t="s"/>
      <x:c r="BJ342" s="11" t="s">
        <x:v>120</x:v>
      </x:c>
      <x:c r="BK342" s="12" t="str">
        <x:f>=BX342</x:f>
      </x:c>
      <x:c r="BL342" s="12" t="n">
        <x:v>0.7326732673267326732673267327</x:v>
      </x:c>
      <x:c r="BM342" s="12" t="n">
        <x:v>0.2528288543140028288543140028</x:v>
      </x:c>
      <x:c r="BN342" s="12" t="n">
        <x:v>0.0144978783592644978783592645</x:v>
      </x:c>
      <x:c r="BO342" s="12" t="str">
        <x:f>=BW342</x:f>
      </x:c>
      <x:c r="BP342" s="12" t="str">
        <x:f>=CF342</x:f>
      </x:c>
      <x:c r="BQ342" s="12" t="str"/>
      <x:c r="BR342" s="12" t="str">
        <x:v>AW 2020 MSS</x:v>
      </x:c>
      <x:c r="BS342" s="13" t="str"/>
      <x:c r="BT342" s="30" t="n">
        <x:v>25687.04</x:v>
      </x:c>
      <x:c r="BU342" s="30" t="n">
        <x:v>-16131.1459</x:v>
      </x:c>
      <x:c r="BV342" s="30" t="str">
        <x:f>=BT342+BU342</x:f>
      </x:c>
      <x:c r="BW342" s="66" t="str">
        <x:f>=BV342/BT342</x:f>
      </x:c>
      <x:c r="BX342" s="66" t="n">
        <x:v>0.9855021216407355021216407355</x:v>
      </x:c>
      <x:c r="BY342" s="30" t="n">
        <x:v>16191.27</x:v>
      </x:c>
      <x:c r="BZ342" s="41" t="n">
        <x:v>41</x:v>
      </x:c>
      <x:c r="CA342" s="30" t="n">
        <x:v>234.73906294200848656294200848</x:v>
      </x:c>
      <x:c r="CC342" s="30" t="n">
        <x:v>25687.767369165487977369165488</x:v>
      </x:c>
      <x:c r="CD342" s="30" t="n">
        <x:v>-16131.1459</x:v>
      </x:c>
      <x:c r="CE342" s="30" t="str">
        <x:f>=CC342+CD342</x:f>
      </x:c>
      <x:c r="CF342" s="66" t="str">
        <x:f>=CE342/CC342</x:f>
      </x:c>
      <x:c r="CH342" s="66" t="str">
        <x:f>=CI342+CJ342</x:f>
      </x:c>
      <x:c r="CI342" s="66" t="str">
        <x:f>=BX342+(0*7)</x:f>
      </x:c>
      <x:c r="CJ342" s="66" t="str">
        <x:f>=(1-CI342)*0.5</x:f>
      </x:c>
      <x:c r="CK342" s="66" t="str">
        <x:f>=1-CH342</x:f>
      </x:c>
      <x:c r="CM342" s="66" t="str">
        <x:f>=CJ342/(1-CI342)</x:f>
      </x:c>
    </x:row>
    <x:row r="343">
      <x:c r="A343" s="31" t="s">
        <x:v>656</x:v>
      </x:c>
      <x:c r="B343" t="s"/>
      <x:c r="C343" t="s">
        <x:v>657</x:v>
      </x:c>
      <x:c r="D343" t="s">
        <x:v>147</x:v>
      </x:c>
      <x:c r="E343" s="69" t="s">
        <x:v>153</x:v>
      </x:c>
      <x:c r="F343" t="n">
        <x:v>2626</x:v>
      </x:c>
      <x:c r="G343" s="32" t="n">
        <x:v>0.0171363290175171363290175171</x:v>
      </x:c>
      <x:c r="H343" s="32" t="n">
        <x:v>0.0594059405940594059405940594</x:v>
      </x:c>
      <x:c r="I343" s="32" t="n">
        <x:v>0.1180502665651180502665651181</x:v>
      </x:c>
      <x:c r="J343" s="32" t="n">
        <x:v>0.2136329017517136329017517136</x:v>
      </x:c>
      <x:c r="K343" s="32" t="n">
        <x:v>0.353008377760853008377760853</x:v>
      </x:c>
      <x:c r="L343" s="32" t="n">
        <x:v>0.4257425742574257425742574257</x:v>
      </x:c>
      <x:c r="M343" s="32" t="n">
        <x:v>0.5175171363290175171363290175</x:v>
      </x:c>
      <x:c r="N343" s="32" t="n">
        <x:v>0.6035795887281035795887281036</x:v>
      </x:c>
      <x:c r="O343" s="32" t="n">
        <x:v>0.6416603198781416603198781417</x:v>
      </x:c>
      <x:c r="P343" s="32" t="n">
        <x:v>0.6572734196496572734196496573</x:v>
      </x:c>
      <x:c r="Q343" s="32" t="n">
        <x:v>0.6690784463061690784463061691</x:v>
      </x:c>
      <x:c r="R343" s="32" t="n">
        <x:v>0.6850723533891850723533891851</x:v>
      </x:c>
      <x:c r="S343" s="32" t="n">
        <x:v>0.6953541507996953541507996954</x:v>
      </x:c>
      <x:c r="T343" s="23" t="n">
        <x:v>0.7033511043412033511043412034</x:v>
      </x:c>
      <x:c r="U343" s="32" t="n">
        <x:v>0.7143945163747143945163747144</x:v>
      </x:c>
      <x:c r="BI343" s="33" t="s"/>
      <x:c r="BJ343" s="11" t="s">
        <x:v>283</x:v>
      </x:c>
      <x:c r="BK343" s="12" t="str">
        <x:f>=BX343</x:f>
      </x:c>
      <x:c r="BL343" s="12" t="n">
        <x:v>0.7113480578827113480578827113</x:v>
      </x:c>
      <x:c r="BM343" s="12" t="n">
        <x:v>0.2193450114242193450114242193</x:v>
      </x:c>
      <x:c r="BN343" s="12" t="n">
        <x:v>0.0693069306930693069306930693</x:v>
      </x:c>
      <x:c r="BO343" s="12" t="str">
        <x:f>=BW343</x:f>
      </x:c>
      <x:c r="BP343" s="12" t="str">
        <x:f>=CF343</x:f>
      </x:c>
      <x:c r="BQ343" s="12" t="str"/>
      <x:c r="BR343" s="12" t="str">
        <x:v>AW 2020 MSS</x:v>
      </x:c>
      <x:c r="BS343" s="13" t="str"/>
      <x:c r="BT343" s="30" t="n">
        <x:v>26195.53</x:v>
      </x:c>
      <x:c r="BU343" s="30" t="n">
        <x:v>-20135.7764</x:v>
      </x:c>
      <x:c r="BV343" s="30" t="str">
        <x:f>=BT343+BU343</x:f>
      </x:c>
      <x:c r="BW343" s="66" t="str">
        <x:f>=BV343/BT343</x:f>
      </x:c>
      <x:c r="BX343" s="66" t="n">
        <x:v>0.9306930693069306930693069307</x:v>
      </x:c>
      <x:c r="BY343" s="30" t="n">
        <x:v>17576.50</x:v>
      </x:c>
      <x:c r="BZ343" s="41" t="n">
        <x:v>182</x:v>
      </x:c>
      <x:c r="CA343" s="30" t="n">
        <x:v>1218.1732673267326732673267327</x:v>
      </x:c>
      <x:c r="CC343" s="30" t="n">
        <x:v>26196.244394516374714394516375</x:v>
      </x:c>
      <x:c r="CD343" s="30" t="n">
        <x:v>-20135.7764</x:v>
      </x:c>
      <x:c r="CE343" s="30" t="str">
        <x:f>=CC343+CD343</x:f>
      </x:c>
      <x:c r="CF343" s="66" t="str">
        <x:f>=CE343/CC343</x:f>
      </x:c>
      <x:c r="CH343" s="66" t="str">
        <x:f>=CI343+CJ343</x:f>
      </x:c>
      <x:c r="CI343" s="66" t="str">
        <x:f>=BX343+(0*7)</x:f>
      </x:c>
      <x:c r="CJ343" s="66" t="str">
        <x:f>=(1-CI343)*0.5</x:f>
      </x:c>
      <x:c r="CK343" s="66" t="str">
        <x:f>=1-CH343</x:f>
      </x:c>
      <x:c r="CM343" s="66" t="str">
        <x:f>=CJ343/(1-CI343)</x:f>
      </x:c>
    </x:row>
    <x:row r="344">
      <x:c r="BI344" s="33" t="s"/>
      <x:c r="BJ344" s="11" t="s"/>
      <x:c r="BS344" s="13" t="s"/>
    </x:row>
    <x:row r="345">
      <x:c r="A345" s="35" t="s">
        <x:v>126</x:v>
      </x:c>
      <x:c r="BI345" s="33" t="s"/>
      <x:c r="BJ345" s="11" t="s"/>
      <x:c r="BS345" s="13" t="s"/>
    </x:row>
    <x:row r="346">
      <x:c r="A346" s="17" t="s">
        <x:v>127</x:v>
      </x:c>
      <x:c r="BI346" s="33" t="s"/>
      <x:c r="BJ346" s="11" t="s"/>
      <x:c r="BS346" s="13" t="s"/>
    </x:row>
    <x:row r="347">
      <x:c r="A347" s="31" t="s">
        <x:v>658</x:v>
      </x:c>
      <x:c r="B347" t="s"/>
      <x:c r="C347" t="s">
        <x:v>659</x:v>
      </x:c>
      <x:c r="D347" t="s">
        <x:v>130</x:v>
      </x:c>
      <x:c r="E347" s="67" t="s">
        <x:v>131</x:v>
      </x:c>
      <x:c r="F347" t="n">
        <x:v>2544</x:v>
      </x:c>
      <x:c r="G347" s="32" t="n">
        <x:v>0.0161163522012578616352201258</x:v>
      </x:c>
      <x:c r="H347" s="32" t="n">
        <x:v>0.051886792452830188679245283</x:v>
      </x:c>
      <x:c r="I347" s="32" t="n">
        <x:v>0.0982704402515723270440251572</x:v>
      </x:c>
      <x:c r="J347" s="32" t="n">
        <x:v>0.1348270440251572327044025157</x:v>
      </x:c>
      <x:c r="K347" s="32" t="n">
        <x:v>0.173742138364779874213836478</x:v>
      </x:c>
      <x:c r="L347" s="32" t="n">
        <x:v>0.2059748427672955974842767296</x:v>
      </x:c>
      <x:c r="M347" s="32" t="n">
        <x:v>0.2421383647798742138364779874</x:v>
      </x:c>
      <x:c r="N347" s="32" t="n">
        <x:v>0.2492138364779874213836477987</x:v>
      </x:c>
      <x:c r="O347" s="32" t="n">
        <x:v>0.2688679245283018867924528302</x:v>
      </x:c>
      <x:c r="P347" s="32" t="n">
        <x:v>0.2873427672955974842767295597</x:v>
      </x:c>
      <x:c r="Q347" s="32" t="n">
        <x:v>0.3254716981132075471698113208</x:v>
      </x:c>
      <x:c r="R347" s="32" t="n">
        <x:v>0.3565251572327044025157232704</x:v>
      </x:c>
      <x:c r="S347" s="32" t="n">
        <x:v>0.3565251572327044025157232704</x:v>
      </x:c>
      <x:c r="T347" s="32" t="n">
        <x:v>0.3636006289308176100628930818</x:v>
      </x:c>
      <x:c r="U347" s="32" t="n">
        <x:v>0.3738207547169811320754716981</x:v>
      </x:c>
      <x:c r="V347" s="32" t="n">
        <x:v>0.3832547169811320754716981132</x:v>
      </x:c>
      <x:c r="W347" s="32" t="n">
        <x:v>0.3985849056603773584905660377</x:v>
      </x:c>
      <x:c r="X347" s="32" t="n">
        <x:v>0.4056603773584905660377358491</x:v>
      </x:c>
      <x:c r="Y347" s="32" t="n">
        <x:v>0.4139150943396226415094339623</x:v>
      </x:c>
      <x:c r="Z347" s="32" t="n">
        <x:v>0.4111635220125786163522012579</x:v>
      </x:c>
      <x:c r="AA347" s="32" t="n">
        <x:v>0.4143081761006289308176100629</x:v>
      </x:c>
      <x:c r="AB347" s="32" t="n">
        <x:v>0.4127358490566037735849056604</x:v>
      </x:c>
      <x:c r="AC347" s="32" t="n">
        <x:v>0.4123427672955974842767295597</x:v>
      </x:c>
      <x:c r="AD347" s="32" t="n">
        <x:v>0.4119496855345911949685534591</x:v>
      </x:c>
      <x:c r="AE347" s="32" t="n">
        <x:v>0.4135220125786163522012578616</x:v>
      </x:c>
      <x:c r="AF347" s="32" t="n">
        <x:v>0.4166666666666666666666666667</x:v>
      </x:c>
      <x:c r="AG347" s="32" t="n">
        <x:v>0.4213836477987421383647798742</x:v>
      </x:c>
      <x:c r="AH347" s="32" t="n">
        <x:v>0.4245283018867924528301886792</x:v>
      </x:c>
      <x:c r="AI347" s="32" t="n">
        <x:v>0.4272798742138364779874213836</x:v>
      </x:c>
      <x:c r="AJ347" s="32" t="n">
        <x:v>0.4300314465408805031446540881</x:v>
      </x:c>
      <x:c r="AK347" s="32" t="n">
        <x:v>0.4339622641509433962264150943</x:v>
      </x:c>
      <x:c r="AL347" s="32" t="n">
        <x:v>0.4441823899371069182389937107</x:v>
      </x:c>
      <x:c r="AM347" s="32" t="n">
        <x:v>0.4492924528301886792452830189</x:v>
      </x:c>
      <x:c r="AN347" s="32" t="n">
        <x:v>0.4528301886792452830188679245</x:v>
      </x:c>
      <x:c r="AO347" s="32" t="n">
        <x:v>0.4626572327044025157232704403</x:v>
      </x:c>
      <x:c r="AP347" s="32" t="n">
        <x:v>0.4748427672955974842767295597</x:v>
      </x:c>
      <x:c r="AQ347" s="32" t="n">
        <x:v>0.4878144654088050314465408805</x:v>
      </x:c>
      <x:c r="AR347" s="32" t="n">
        <x:v>0.5015723270440251572327044025</x:v>
      </x:c>
      <x:c r="AS347" s="32" t="n">
        <x:v>0.5188679245283018867924528302</x:v>
      </x:c>
      <x:c r="AT347" s="32" t="n">
        <x:v>0.5345911949685534591194968553</x:v>
      </x:c>
      <x:c r="AU347" s="32" t="n">
        <x:v>0.5569968553459119496855345912</x:v>
      </x:c>
      <x:c r="AV347" s="32" t="n">
        <x:v>0.5790094339622641509433962264</x:v>
      </x:c>
      <x:c r="AW347" s="32" t="n">
        <x:v>0.6018081761006289308176100629</x:v>
      </x:c>
      <x:c r="AX347" s="32" t="n">
        <x:v>0.6289308176100628930817610063</x:v>
      </x:c>
      <x:c r="AY347" s="32" t="n">
        <x:v>0.6379716981132075471698113208</x:v>
      </x:c>
      <x:c r="BI347" s="33" t="s"/>
      <x:c r="BJ347" s="11" t="s">
        <x:v>660</x:v>
      </x:c>
      <x:c r="BK347" s="12" t="str">
        <x:f>=BX347</x:f>
      </x:c>
      <x:c r="BL347" s="12" t="n">
        <x:v>0.6194968553459119496855345912</x:v>
      </x:c>
      <x:c r="BM347" s="12" t="n">
        <x:v>0.295597484276729559748427673</x:v>
      </x:c>
      <x:c r="BN347" s="12" t="n">
        <x:v>0.0849056603773584905660377358</x:v>
      </x:c>
      <x:c r="BO347" s="12" t="str">
        <x:f>=BW347</x:f>
      </x:c>
      <x:c r="BP347" s="12" t="str">
        <x:f>=CF347</x:f>
      </x:c>
      <x:c r="BQ347" s="12" t="str"/>
      <x:c r="BR347" s="12" t="str">
        <x:v>AW 2020 MSS</x:v>
      </x:c>
      <x:c r="BS347" s="13" t="str"/>
      <x:c r="BT347" s="30" t="n">
        <x:v>38968.64</x:v>
      </x:c>
      <x:c r="BU347" s="30" t="n">
        <x:v>-26642.06598467040000000000</x:v>
      </x:c>
      <x:c r="BV347" s="30" t="str">
        <x:f>=BT347+BU347</x:f>
      </x:c>
      <x:c r="BW347" s="66" t="str">
        <x:f>=BV347/BT347</x:f>
      </x:c>
      <x:c r="BX347" s="66" t="n">
        <x:v>0.9150943396226415094339622642</x:v>
      </x:c>
      <x:c r="BY347" s="30" t="n">
        <x:v>26788.346788320000000000</x:v>
      </x:c>
      <x:c r="BZ347" s="41" t="n">
        <x:v>216</x:v>
      </x:c>
      <x:c r="CA347" s="30" t="n">
        <x:v>2274.482274480000000000</x:v>
      </x:c>
      <x:c r="CC347" s="30" t="n">
        <x:v>38969.277185534591194968553459</x:v>
      </x:c>
      <x:c r="CD347" s="30" t="n">
        <x:v>-26642.06598467040000000000</x:v>
      </x:c>
      <x:c r="CE347" s="30" t="str">
        <x:f>=CC347+CD347</x:f>
      </x:c>
      <x:c r="CF347" s="66" t="str">
        <x:f>=CE347/CC347</x:f>
      </x:c>
      <x:c r="CH347" s="66" t="str">
        <x:f>=CI347+CJ347</x:f>
      </x:c>
      <x:c r="CI347" s="66" t="str">
        <x:f>=BX347+(0*7)</x:f>
      </x:c>
      <x:c r="CJ347" s="66" t="str">
        <x:f>=(1-CI347)*0.5</x:f>
      </x:c>
      <x:c r="CK347" s="66" t="str">
        <x:f>=1-CH347</x:f>
      </x:c>
      <x:c r="CM347" s="66" t="str">
        <x:f>=CJ347/(1-CI347)</x:f>
      </x:c>
    </x:row>
    <x:row r="348">
      <x:c r="A348" s="31" t="s">
        <x:v>661</x:v>
      </x:c>
      <x:c r="B348" t="s"/>
      <x:c r="C348" t="s">
        <x:v>662</x:v>
      </x:c>
      <x:c r="D348" t="s">
        <x:v>147</x:v>
      </x:c>
      <x:c r="E348" s="67" t="s">
        <x:v>131</x:v>
      </x:c>
      <x:c r="F348" t="n">
        <x:v>5010</x:v>
      </x:c>
      <x:c r="G348" s="32" t="n">
        <x:v>0.0007984031936127744510978044</x:v>
      </x:c>
      <x:c r="H348" s="32" t="n">
        <x:v>0.0059880239520958083832335329</x:v>
      </x:c>
      <x:c r="I348" s="32" t="n">
        <x:v>0.0059880239520958083832335329</x:v>
      </x:c>
      <x:c r="J348" s="32" t="n">
        <x:v>0.0606786427145708582834331337</x:v>
      </x:c>
      <x:c r="K348" s="32" t="n">
        <x:v>0.1273453093812375249500998004</x:v>
      </x:c>
      <x:c r="L348" s="32" t="n">
        <x:v>0.1910179640718562874251497006</x:v>
      </x:c>
      <x:c r="M348" s="32" t="n">
        <x:v>0.2443113772455089820359281437</x:v>
      </x:c>
      <x:c r="N348" s="32" t="n">
        <x:v>0.3027944111776447105788423154</x:v>
      </x:c>
      <x:c r="O348" s="32" t="n">
        <x:v>0.3397205588822355289421157685</x:v>
      </x:c>
      <x:c r="P348" s="32" t="n">
        <x:v>0.3658682634730538922155688623</x:v>
      </x:c>
      <x:c r="Q348" s="32" t="n">
        <x:v>0.3614770459081836327345309381</x:v>
      </x:c>
      <x:c r="R348" s="32" t="n">
        <x:v>0.359281437125748502994011976</x:v>
      </x:c>
      <x:c r="S348" s="32" t="n">
        <x:v>0.3588822355289421157684630739</x:v>
      </x:c>
      <x:c r="T348" s="32" t="n">
        <x:v>0.3594810379241516966067864271</x:v>
      </x:c>
      <x:c r="U348" s="32" t="n">
        <x:v>0.3606786427145708582834331337</x:v>
      </x:c>
      <x:c r="V348" s="32" t="n">
        <x:v>0.3650698602794411177644710579</x:v>
      </x:c>
      <x:c r="W348" s="32" t="n">
        <x:v>0.3722554890219560878243512974</x:v>
      </x:c>
      <x:c r="X348" s="32" t="n">
        <x:v>0.3756487025948103792415169661</x:v>
      </x:c>
      <x:c r="Y348" s="32" t="n">
        <x:v>0.379640718562874251497005988</x:v>
      </x:c>
      <x:c r="Z348" s="32" t="n">
        <x:v>0.3802395209580838323353293413</x:v>
      </x:c>
      <x:c r="AA348" s="32" t="n">
        <x:v>0.3828343313373253493013972056</x:v>
      </x:c>
      <x:c r="AB348" s="32" t="n">
        <x:v>0.3866267465069860279441117764</x:v>
      </x:c>
      <x:c r="AC348" s="32" t="n">
        <x:v>0.3908183632734530938123752495</x:v>
      </x:c>
      <x:c r="AD348" s="32" t="n">
        <x:v>0.4043912175648702594810379242</x:v>
      </x:c>
      <x:c r="AE348" s="32" t="n">
        <x:v>0.4211576846307385229540918164</x:v>
      </x:c>
      <x:c r="AF348" s="32" t="n">
        <x:v>0.4483033932135728542914171657</x:v>
      </x:c>
      <x:c r="AG348" s="32" t="n">
        <x:v>0.4644710578842315369261477046</x:v>
      </x:c>
      <x:c r="AH348" s="32" t="n">
        <x:v>0.4770459081836327345309381238</x:v>
      </x:c>
      <x:c r="AI348" s="32" t="n">
        <x:v>0.489820359281437125748502994</x:v>
      </x:c>
      <x:c r="AJ348" s="32" t="n">
        <x:v>0.501996007984031936127744511</x:v>
      </x:c>
      <x:c r="AK348" s="32" t="n">
        <x:v>0.5199600798403193612774451098</x:v>
      </x:c>
      <x:c r="AL348" s="32" t="n">
        <x:v>0.5371257485029940119760479042</x:v>
      </x:c>
      <x:c r="AM348" s="32" t="n">
        <x:v>0.551097804391217564870259481</x:v>
      </x:c>
      <x:c r="AN348" s="32" t="n">
        <x:v>0.5614770459081836327345309381</x:v>
      </x:c>
      <x:c r="AO348" s="32" t="n">
        <x:v>0.5618762475049900199600798403</x:v>
      </x:c>
      <x:c r="BI348" s="33" t="s"/>
      <x:c r="BJ348" s="11" t="s">
        <x:v>596</x:v>
      </x:c>
      <x:c r="BK348" s="12" t="str">
        <x:f>=BX348</x:f>
      </x:c>
      <x:c r="BL348" s="12" t="n">
        <x:v>0.5582834331337325349301397206</x:v>
      </x:c>
      <x:c r="BM348" s="12" t="n">
        <x:v>0.2894211576846307385229540918</x:v>
      </x:c>
      <x:c r="BN348" s="12" t="n">
        <x:v>0.1522954091816367265469061876</x:v>
      </x:c>
      <x:c r="BO348" s="12" t="str">
        <x:f>=BW348</x:f>
      </x:c>
      <x:c r="BP348" s="12" t="str">
        <x:f>=CF348</x:f>
      </x:c>
      <x:c r="BQ348" s="12" t="str"/>
      <x:c r="BR348" s="12" t="str">
        <x:v>AW 2020 MSS</x:v>
      </x:c>
      <x:c r="BS348" s="13" t="str"/>
      <x:c r="BT348" s="30" t="n">
        <x:v>55437.14</x:v>
      </x:c>
      <x:c r="BU348" s="30" t="n">
        <x:v>-44677.1760</x:v>
      </x:c>
      <x:c r="BV348" s="30" t="str">
        <x:f>=BT348+BU348</x:f>
      </x:c>
      <x:c r="BW348" s="66" t="str">
        <x:f>=BV348/BT348</x:f>
      </x:c>
      <x:c r="BX348" s="66" t="n">
        <x:v>0.8477045908183632734530938124</x:v>
      </x:c>
      <x:c r="BY348" s="30" t="n">
        <x:v>43186.20</x:v>
      </x:c>
      <x:c r="BZ348" s="41" t="n">
        <x:v>763</x:v>
      </x:c>
      <x:c r="CA348" s="30" t="n">
        <x:v>6577.06</x:v>
      </x:c>
      <x:c r="CC348" s="30" t="n">
        <x:v>55437.701477045908183632734531</x:v>
      </x:c>
      <x:c r="CD348" s="30" t="n">
        <x:v>-44677.1760</x:v>
      </x:c>
      <x:c r="CE348" s="30" t="str">
        <x:f>=CC348+CD348</x:f>
      </x:c>
      <x:c r="CF348" s="66" t="str">
        <x:f>=CE348/CC348</x:f>
      </x:c>
      <x:c r="CH348" s="66" t="str">
        <x:f>=CI348+CJ348</x:f>
      </x:c>
      <x:c r="CI348" s="66" t="str">
        <x:f>=BX348+(0*7)</x:f>
      </x:c>
      <x:c r="CJ348" s="66" t="str">
        <x:f>=(1-CI348)*0.5</x:f>
      </x:c>
      <x:c r="CK348" s="66" t="str">
        <x:f>=1-CH348</x:f>
      </x:c>
      <x:c r="CM348" s="66" t="str">
        <x:f>=CJ348/(1-CI348)</x:f>
      </x:c>
    </x:row>
    <x:row r="349">
      <x:c r="A349" s="31" t="s">
        <x:v>663</x:v>
      </x:c>
      <x:c r="B349" t="s"/>
      <x:c r="C349" t="s">
        <x:v>664</x:v>
      </x:c>
      <x:c r="D349" t="s">
        <x:v>147</x:v>
      </x:c>
      <x:c r="E349" s="67" t="s">
        <x:v>131</x:v>
      </x:c>
      <x:c r="F349" t="n">
        <x:v>2680</x:v>
      </x:c>
      <x:c r="G349" s="32" t="n">
        <x:v>0.019402985074626865671641791</x:v>
      </x:c>
      <x:c r="H349" s="32" t="n">
        <x:v>0.0794776119402985074626865672</x:v>
      </x:c>
      <x:c r="I349" s="32" t="n">
        <x:v>0.1451492537313432835820895522</x:v>
      </x:c>
      <x:c r="J349" s="32" t="n">
        <x:v>0.2123134328358208955223880597</x:v>
      </x:c>
      <x:c r="K349" s="32" t="n">
        <x:v>0.2436567164179104477611940299</x:v>
      </x:c>
      <x:c r="L349" s="32" t="n">
        <x:v>0.2705223880597014925373134328</x:v>
      </x:c>
      <x:c r="M349" s="32" t="n">
        <x:v>0.2664179104477611940298507463</x:v>
      </x:c>
      <x:c r="N349" s="32" t="n">
        <x:v>0.2638059701492537313432835821</x:v>
      </x:c>
      <x:c r="O349" s="32" t="n">
        <x:v>0.2597014925373134328358208955</x:v>
      </x:c>
      <x:c r="P349" s="32" t="n">
        <x:v>0.2593283582089552238805970149</x:v>
      </x:c>
      <x:c r="Q349" s="32" t="n">
        <x:v>0.2671641791044776119402985075</x:v>
      </x:c>
      <x:c r="R349" s="32" t="n">
        <x:v>0.278731343283582089552238806</x:v>
      </x:c>
      <x:c r="S349" s="32" t="n">
        <x:v>0.2761194029850746268656716418</x:v>
      </x:c>
      <x:c r="T349" s="32" t="n">
        <x:v>0.2835820895522388059701492537</x:v>
      </x:c>
      <x:c r="U349" s="32" t="n">
        <x:v>0.2921641791044776119402985075</x:v>
      </x:c>
      <x:c r="V349" s="32" t="n">
        <x:v>0.3003731343283582089552238806</x:v>
      </x:c>
      <x:c r="W349" s="32" t="n">
        <x:v>0.3063432835820895522388059701</x:v>
      </x:c>
      <x:c r="X349" s="32" t="n">
        <x:v>0.3190298507462686567164179104</x:v>
      </x:c>
      <x:c r="Y349" s="32" t="n">
        <x:v>0.326865671641791044776119403</x:v>
      </x:c>
      <x:c r="Z349" s="32" t="n">
        <x:v>0.3660447761194029850746268657</x:v>
      </x:c>
      <x:c r="AA349" s="32" t="n">
        <x:v>0.4179104477611940298507462687</x:v>
      </x:c>
      <x:c r="AB349" s="32" t="n">
        <x:v>0.4358208955223880597014925373</x:v>
      </x:c>
      <x:c r="AC349" s="32" t="n">
        <x:v>0.4593283582089552238805970149</x:v>
      </x:c>
      <x:c r="AD349" s="32" t="n">
        <x:v>0.4757462686567164179104477612</x:v>
      </x:c>
      <x:c r="AE349" s="32" t="n">
        <x:v>0.4985074626865671641791044776</x:v>
      </x:c>
      <x:c r="AF349" s="32" t="n">
        <x:v>0.526865671641791044776119403</x:v>
      </x:c>
      <x:c r="AG349" s="32" t="n">
        <x:v>0.5492537313432835820895522388</x:v>
      </x:c>
      <x:c r="AH349" s="32" t="n">
        <x:v>0.5708955223880597014925373134</x:v>
      </x:c>
      <x:c r="AI349" s="32" t="n">
        <x:v>0.576865671641791044776119403</x:v>
      </x:c>
      <x:c r="AJ349" s="32" t="n">
        <x:v>0.5839552238805970149253731343</x:v>
      </x:c>
      <x:c r="AK349" s="32" t="n">
        <x:v>0.5910447761194029850746268657</x:v>
      </x:c>
      <x:c r="AL349" s="32" t="n">
        <x:v>0.6014925373134328358208955224</x:v>
      </x:c>
      <x:c r="BI349" s="33" t="s"/>
      <x:c r="BJ349" s="11" t="s">
        <x:v>197</x:v>
      </x:c>
      <x:c r="BK349" s="12" t="str">
        <x:f>=BX349</x:f>
      </x:c>
      <x:c r="BL349" s="12" t="n">
        <x:v>0.5835820895522388059701492537</x:v>
      </x:c>
      <x:c r="BM349" s="12" t="n">
        <x:v>0.3003731343283582089552238806</x:v>
      </x:c>
      <x:c r="BN349" s="12" t="n">
        <x:v>0.1160447761194029850746268657</x:v>
      </x:c>
      <x:c r="BO349" s="12" t="str">
        <x:f>=BW349</x:f>
      </x:c>
      <x:c r="BP349" s="12" t="str">
        <x:f>=CF349</x:f>
      </x:c>
      <x:c r="BQ349" s="12" t="str"/>
      <x:c r="BR349" s="12" t="str">
        <x:v>AW 2020 MSS</x:v>
      </x:c>
      <x:c r="BS349" s="13" t="str"/>
      <x:c r="BT349" s="30" t="n">
        <x:v>28031.10</x:v>
      </x:c>
      <x:c r="BU349" s="30" t="n">
        <x:v>-24570.2400</x:v>
      </x:c>
      <x:c r="BV349" s="30" t="str">
        <x:f>=BT349+BU349</x:f>
      </x:c>
      <x:c r="BW349" s="66" t="str">
        <x:f>=BV349/BT349</x:f>
      </x:c>
      <x:c r="BX349" s="66" t="n">
        <x:v>0.8839552238805970149253731343</x:v>
      </x:c>
      <x:c r="BY349" s="30" t="n">
        <x:v>21225.60</x:v>
      </x:c>
      <x:c r="BZ349" s="41" t="n">
        <x:v>311</x:v>
      </x:c>
      <x:c r="CA349" s="30" t="n">
        <x:v>2463.12</x:v>
      </x:c>
      <x:c r="CC349" s="30" t="n">
        <x:v>28031.697014925373134328358209</x:v>
      </x:c>
      <x:c r="CD349" s="30" t="n">
        <x:v>-24570.2400</x:v>
      </x:c>
      <x:c r="CE349" s="30" t="str">
        <x:f>=CC349+CD349</x:f>
      </x:c>
      <x:c r="CF349" s="66" t="str">
        <x:f>=CE349/CC349</x:f>
      </x:c>
      <x:c r="CH349" s="66" t="str">
        <x:f>=CI349+CJ349</x:f>
      </x:c>
      <x:c r="CI349" s="66" t="str">
        <x:f>=BX349+(0*7)</x:f>
      </x:c>
      <x:c r="CJ349" s="66" t="str">
        <x:f>=(1-CI349)*0.5</x:f>
      </x:c>
      <x:c r="CK349" s="66" t="str">
        <x:f>=1-CH349</x:f>
      </x:c>
      <x:c r="CM349" s="66" t="str">
        <x:f>=CJ349/(1-CI349)</x:f>
      </x:c>
    </x:row>
    <x:row r="350">
      <x:c r="A350" s="31" t="s">
        <x:v>665</x:v>
      </x:c>
      <x:c r="B350" t="s"/>
      <x:c r="C350" t="s">
        <x:v>666</x:v>
      </x:c>
      <x:c r="D350" t="s">
        <x:v>130</x:v>
      </x:c>
      <x:c r="E350" s="67" t="s">
        <x:v>131</x:v>
      </x:c>
      <x:c r="F350" t="n">
        <x:v>290</x:v>
      </x:c>
      <x:c r="G350" s="32" t="n">
        <x:v>0.0482758620689655172413793103</x:v>
      </x:c>
      <x:c r="H350" s="32" t="n">
        <x:v>0.1137931034482758620689655172</x:v>
      </x:c>
      <x:c r="I350" s="32" t="n">
        <x:v>0.2241379310344827586206896552</x:v>
      </x:c>
      <x:c r="J350" s="32" t="n">
        <x:v>0.344827586206896551724137931</x:v>
      </x:c>
      <x:c r="K350" s="32" t="n">
        <x:v>0.4310344827586206896551724138</x:v>
      </x:c>
      <x:c r="L350" s="32" t="n">
        <x:v>0.4758620689655172413793103448</x:v>
      </x:c>
      <x:c r="M350" s="32" t="n">
        <x:v>0.4965517241379310344827586207</x:v>
      </x:c>
      <x:c r="N350" s="32" t="n">
        <x:v>0.4827586206896551724137931034</x:v>
      </x:c>
      <x:c r="O350" s="32" t="n">
        <x:v>0.4827586206896551724137931034</x:v>
      </x:c>
      <x:c r="P350" s="32" t="n">
        <x:v>0.4827586206896551724137931034</x:v>
      </x:c>
      <x:c r="Q350" s="32" t="n">
        <x:v>0.4827586206896551724137931034</x:v>
      </x:c>
      <x:c r="R350" s="32" t="n">
        <x:v>0.4827586206896551724137931034</x:v>
      </x:c>
      <x:c r="S350" s="32" t="n">
        <x:v>0.4827586206896551724137931034</x:v>
      </x:c>
      <x:c r="T350" s="32" t="n">
        <x:v>0.5206896551724137931034482759</x:v>
      </x:c>
      <x:c r="U350" s="32" t="n">
        <x:v>0.5586206896551724137931034483</x:v>
      </x:c>
      <x:c r="V350" s="32" t="n">
        <x:v>0.5655172413793103448275862069</x:v>
      </x:c>
      <x:c r="W350" s="32" t="n">
        <x:v>0.5620689655172413793103448276</x:v>
      </x:c>
      <x:c r="X350" s="32" t="n">
        <x:v>0.5620689655172413793103448276</x:v>
      </x:c>
      <x:c r="Y350" s="32" t="n">
        <x:v>0.6034482758620689655172413793</x:v>
      </x:c>
      <x:c r="Z350" s="32" t="n">
        <x:v>0.6206896551724137931034482759</x:v>
      </x:c>
      <x:c r="AA350" s="32" t="n">
        <x:v>0.6413793103448275862068965517</x:v>
      </x:c>
      <x:c r="AB350" s="32" t="n">
        <x:v>0.6689655172413793103448275862</x:v>
      </x:c>
      <x:c r="AC350" s="23" t="n">
        <x:v>0.7137931034482758620689655172</x:v>
      </x:c>
      <x:c r="AD350" s="32" t="n">
        <x:v>0.7724137931034482758620689655</x:v>
      </x:c>
      <x:c r="AE350" s="32" t="n">
        <x:v>0.844827586206896551724137931</x:v>
      </x:c>
      <x:c r="AF350" s="32" t="n">
        <x:v>0.8862068965517241379310344828</x:v>
      </x:c>
      <x:c r="AG350" s="32" t="n">
        <x:v>0.8827586206896551724137931034</x:v>
      </x:c>
      <x:c r="AH350" s="32" t="n">
        <x:v>0.9310344827586206896551724138</x:v>
      </x:c>
      <x:c r="AI350" s="32" t="n">
        <x:v>0.9275862068965517241379310345</x:v>
      </x:c>
      <x:c r="AJ350" s="32" t="n">
        <x:v>0.9310344827586206896551724138</x:v>
      </x:c>
      <x:c r="AK350" s="32" t="n">
        <x:v>0.9379310344827586206896551724</x:v>
      </x:c>
      <x:c r="BI350" s="33" t="s"/>
      <x:c r="BJ350" s="11" t="s">
        <x:v>202</x:v>
      </x:c>
      <x:c r="BK350" s="12" t="str">
        <x:f>=BX350</x:f>
      </x:c>
      <x:c r="BL350" s="12" t="n">
        <x:v>0.9344827586206896551724137931</x:v>
      </x:c>
      <x:c r="BM350" s="12" t="n">
        <x:v>0.0310344827586206896551724138</x:v>
      </x:c>
      <x:c r="BN350" s="12" t="n">
        <x:v>0.0344827586206896551724137931</x:v>
      </x:c>
      <x:c r="BO350" s="12" t="str">
        <x:f>=BW350</x:f>
      </x:c>
      <x:c r="BP350" s="12" t="str">
        <x:f>=CF350</x:f>
      </x:c>
      <x:c r="BQ350" s="12" t="str"/>
      <x:c r="BR350" s="12" t="str">
        <x:v>AW 2020 MSS</x:v>
      </x:c>
      <x:c r="BS350" s="13" t="str"/>
      <x:c r="BT350" s="30" t="n">
        <x:v>429.21</x:v>
      </x:c>
      <x:c r="BU350" s="30" t="n">
        <x:v>-224.65433253234500000000</x:v>
      </x:c>
      <x:c r="BV350" s="30" t="str">
        <x:f>=BT350+BU350</x:f>
      </x:c>
      <x:c r="BW350" s="66" t="str">
        <x:f>=BV350/BT350</x:f>
      </x:c>
      <x:c r="BX350" s="66" t="n">
        <x:v>0.9655172413793103448275862069</x:v>
      </x:c>
      <x:c r="BY350" s="30" t="n">
        <x:v>223.590033538500000000</x:v>
      </x:c>
      <x:c r="BZ350" s="41" t="n">
        <x:v>10</x:v>
      </x:c>
      <x:c r="CA350" s="30" t="n">
        <x:v>7.710001156500000000</x:v>
      </x:c>
      <x:c r="CC350" s="30" t="n">
        <x:v>430.14793103448275862068965517</x:v>
      </x:c>
      <x:c r="CD350" s="30" t="n">
        <x:v>-224.65433253234500000000</x:v>
      </x:c>
      <x:c r="CE350" s="30" t="str">
        <x:f>=CC350+CD350</x:f>
      </x:c>
      <x:c r="CF350" s="66" t="str">
        <x:f>=CE350/CC350</x:f>
      </x:c>
      <x:c r="CH350" s="66" t="str">
        <x:f>=CI350+CJ350</x:f>
      </x:c>
      <x:c r="CI350" s="66" t="str">
        <x:f>=BX350+(0*7)</x:f>
      </x:c>
      <x:c r="CJ350" s="66" t="str">
        <x:f>=(1-CI350)*0.5</x:f>
      </x:c>
      <x:c r="CK350" s="66" t="str">
        <x:f>=1-CH350</x:f>
      </x:c>
      <x:c r="CM350" s="66" t="str">
        <x:f>=CJ350/(1-CI350)</x:f>
      </x:c>
    </x:row>
    <x:row r="351">
      <x:c r="A351" s="31" t="s">
        <x:v>667</x:v>
      </x:c>
      <x:c r="B351" t="s"/>
      <x:c r="C351" t="s">
        <x:v>668</x:v>
      </x:c>
      <x:c r="D351" t="s">
        <x:v>130</x:v>
      </x:c>
      <x:c r="E351" s="67" t="s">
        <x:v>131</x:v>
      </x:c>
      <x:c r="F351" t="n">
        <x:v>293</x:v>
      </x:c>
      <x:c r="G351" s="32" t="n">
        <x:v>0.0477815699658703071672354949</x:v>
      </x:c>
      <x:c r="H351" s="32" t="n">
        <x:v>0.1126279863481228668941979522</x:v>
      </x:c>
      <x:c r="I351" s="32" t="n">
        <x:v>0.1706484641638225255972696246</x:v>
      </x:c>
      <x:c r="J351" s="32" t="n">
        <x:v>0.2525597269624573378839590444</x:v>
      </x:c>
      <x:c r="K351" s="32" t="n">
        <x:v>0.3310580204778156996587030717</x:v>
      </x:c>
      <x:c r="L351" s="32" t="n">
        <x:v>0.3549488054607508532423208191</x:v>
      </x:c>
      <x:c r="M351" s="32" t="n">
        <x:v>0.3651877133105802047781569966</x:v>
      </x:c>
      <x:c r="N351" s="32" t="n">
        <x:v>0.3617747440273037542662116041</x:v>
      </x:c>
      <x:c r="O351" s="32" t="n">
        <x:v>0.3617747440273037542662116041</x:v>
      </x:c>
      <x:c r="P351" s="32" t="n">
        <x:v>0.3583617747440273037542662116</x:v>
      </x:c>
      <x:c r="Q351" s="32" t="n">
        <x:v>0.3583617747440273037542662116</x:v>
      </x:c>
      <x:c r="R351" s="32" t="n">
        <x:v>0.3583617747440273037542662116</x:v>
      </x:c>
      <x:c r="S351" s="32" t="n">
        <x:v>0.3617747440273037542662116041</x:v>
      </x:c>
      <x:c r="T351" s="32" t="n">
        <x:v>0.3754266211604095563139931741</x:v>
      </x:c>
      <x:c r="U351" s="32" t="n">
        <x:v>0.3993174061433447098976109215</x:v>
      </x:c>
      <x:c r="V351" s="32" t="n">
        <x:v>0.3993174061433447098976109215</x:v>
      </x:c>
      <x:c r="W351" s="32" t="n">
        <x:v>0.4061433447098976109215017065</x:v>
      </x:c>
      <x:c r="X351" s="32" t="n">
        <x:v>0.4300341296928327645051194539</x:v>
      </x:c>
      <x:c r="Y351" s="32" t="n">
        <x:v>0.4675767918088737201365187713</x:v>
      </x:c>
      <x:c r="Z351" s="32" t="n">
        <x:v>0.4914675767918088737201365188</x:v>
      </x:c>
      <x:c r="AA351" s="32" t="n">
        <x:v>0.5187713310580204778156996587</x:v>
      </x:c>
      <x:c r="AB351" s="32" t="n">
        <x:v>0.5563139931740614334470989761</x:v>
      </x:c>
      <x:c r="AC351" s="32" t="n">
        <x:v>0.583617747440273037542662116</x:v>
      </x:c>
      <x:c r="AD351" s="32" t="n">
        <x:v>0.6279863481228668941979522184</x:v>
      </x:c>
      <x:c r="AE351" s="32" t="n">
        <x:v>0.6996587030716723549488054608</x:v>
      </x:c>
      <x:c r="AF351" s="23" t="n">
        <x:v>0.7576791808873720136518771331</x:v>
      </x:c>
      <x:c r="AG351" s="32" t="n">
        <x:v>0.791808873720136518771331058</x:v>
      </x:c>
      <x:c r="AH351" s="32" t="n">
        <x:v>0.8293515358361774744027303754</x:v>
      </x:c>
      <x:c r="AI351" s="32" t="n">
        <x:v>0.8737201365187713310580204778</x:v>
      </x:c>
      <x:c r="AJ351" s="32" t="n">
        <x:v>0.9010238907849829351535836177</x:v>
      </x:c>
      <x:c r="AK351" s="32" t="n">
        <x:v>0.9146757679180887372013651877</x:v>
      </x:c>
      <x:c r="BI351" s="33" t="s"/>
      <x:c r="BJ351" s="11" t="s">
        <x:v>202</x:v>
      </x:c>
      <x:c r="BK351" s="12" t="str">
        <x:f>=BX351</x:f>
      </x:c>
      <x:c r="BL351" s="12" t="n">
        <x:v>0.9112627986348122866894197952</x:v>
      </x:c>
      <x:c r="BM351" s="12" t="n">
        <x:v>0.0682593856655290102389078498</x:v>
      </x:c>
      <x:c r="BN351" s="12" t="n">
        <x:v>0.0204778156996587030716723549</x:v>
      </x:c>
      <x:c r="BO351" s="12" t="str">
        <x:f>=BW351</x:f>
      </x:c>
      <x:c r="BP351" s="12" t="str">
        <x:f>=CF351</x:f>
      </x:c>
      <x:c r="BQ351" s="12" t="str"/>
      <x:c r="BR351" s="12" t="str">
        <x:v>AW 2020 MSS</x:v>
      </x:c>
      <x:c r="BS351" s="13" t="str"/>
      <x:c r="BT351" s="30" t="n">
        <x:v>425.32</x:v>
      </x:c>
      <x:c r="BU351" s="30" t="n">
        <x:v>-226.89044286888650000000</x:v>
      </x:c>
      <x:c r="BV351" s="30" t="str">
        <x:f>=BT351+BU351</x:f>
      </x:c>
      <x:c r="BW351" s="66" t="str">
        <x:f>=BV351/BT351</x:f>
      </x:c>
      <x:c r="BX351" s="66" t="n">
        <x:v>0.9795221843003412969283276451</x:v>
      </x:c>
      <x:c r="BY351" s="30" t="n">
        <x:v>225.903033885450000000</x:v>
      </x:c>
      <x:c r="BZ351" s="41" t="n">
        <x:v>6</x:v>
      </x:c>
      <x:c r="CA351" s="30" t="n">
        <x:v>4.626000693900000000</x:v>
      </x:c>
      <x:c r="CC351" s="30" t="n">
        <x:v>426.23467576791808873720136519</x:v>
      </x:c>
      <x:c r="CD351" s="30" t="n">
        <x:v>-226.89044286888650000000</x:v>
      </x:c>
      <x:c r="CE351" s="30" t="str">
        <x:f>=CC351+CD351</x:f>
      </x:c>
      <x:c r="CF351" s="66" t="str">
        <x:f>=CE351/CC351</x:f>
      </x:c>
      <x:c r="CH351" s="66" t="str">
        <x:f>=CI351+CJ351</x:f>
      </x:c>
      <x:c r="CI351" s="66" t="str">
        <x:f>=BX351+(0*7)</x:f>
      </x:c>
      <x:c r="CJ351" s="66" t="str">
        <x:f>=(1-CI351)*0.5</x:f>
      </x:c>
      <x:c r="CK351" s="66" t="str">
        <x:f>=1-CH351</x:f>
      </x:c>
      <x:c r="CM351" s="66" t="str">
        <x:f>=CJ351/(1-CI351)</x:f>
      </x:c>
    </x:row>
    <x:row r="352">
      <x:c r="A352" s="31" t="s">
        <x:v>669</x:v>
      </x:c>
      <x:c r="B352" t="s"/>
      <x:c r="C352" t="s">
        <x:v>670</x:v>
      </x:c>
      <x:c r="D352" t="s">
        <x:v>130</x:v>
      </x:c>
      <x:c r="E352" s="67" t="s">
        <x:v>131</x:v>
      </x:c>
      <x:c r="F352" t="n">
        <x:v>290</x:v>
      </x:c>
      <x:c r="G352" s="32" t="n">
        <x:v>0.0206896551724137931034482759</x:v>
      </x:c>
      <x:c r="H352" s="32" t="n">
        <x:v>0.0482758620689655172413793103</x:v>
      </x:c>
      <x:c r="I352" s="32" t="n">
        <x:v>0.0896551724137931034482758621</x:v>
      </x:c>
      <x:c r="J352" s="32" t="n">
        <x:v>0.1275862068965517241379310345</x:v>
      </x:c>
      <x:c r="K352" s="32" t="n">
        <x:v>0.1689655172413793103448275862</x:v>
      </x:c>
      <x:c r="L352" s="32" t="n">
        <x:v>0.1862068965517241379310344828</x:v>
      </x:c>
      <x:c r="M352" s="32" t="n">
        <x:v>0.1931034482758620689655172414</x:v>
      </x:c>
      <x:c r="N352" s="32" t="n">
        <x:v>0.1896551724137931034482758621</x:v>
      </x:c>
      <x:c r="O352" s="32" t="n">
        <x:v>0.1896551724137931034482758621</x:v>
      </x:c>
      <x:c r="P352" s="32" t="n">
        <x:v>0.1896551724137931034482758621</x:v>
      </x:c>
      <x:c r="Q352" s="32" t="n">
        <x:v>0.1896551724137931034482758621</x:v>
      </x:c>
      <x:c r="R352" s="32" t="n">
        <x:v>0.1896551724137931034482758621</x:v>
      </x:c>
      <x:c r="S352" s="32" t="n">
        <x:v>0.1931034482758620689655172414</x:v>
      </x:c>
      <x:c r="T352" s="32" t="n">
        <x:v>0.2068965517241379310344827586</x:v>
      </x:c>
      <x:c r="U352" s="32" t="n">
        <x:v>0.2137931034482758620689655172</x:v>
      </x:c>
      <x:c r="V352" s="32" t="n">
        <x:v>0.2137931034482758620689655172</x:v>
      </x:c>
      <x:c r="W352" s="32" t="n">
        <x:v>0.2137931034482758620689655172</x:v>
      </x:c>
      <x:c r="X352" s="32" t="n">
        <x:v>0.2241379310344827586206896552</x:v>
      </x:c>
      <x:c r="Y352" s="32" t="n">
        <x:v>0.2379310344827586206896551724</x:v>
      </x:c>
      <x:c r="Z352" s="32" t="n">
        <x:v>0.2517241379310344827586206897</x:v>
      </x:c>
      <x:c r="AA352" s="32" t="n">
        <x:v>0.2655172413793103448275862069</x:v>
      </x:c>
      <x:c r="AB352" s="32" t="n">
        <x:v>0.2793103448275862068965517241</x:v>
      </x:c>
      <x:c r="AC352" s="32" t="n">
        <x:v>0.2896551724137931034482758621</x:v>
      </x:c>
      <x:c r="AD352" s="32" t="n">
        <x:v>0.3103448275862068965517241379</x:v>
      </x:c>
      <x:c r="AE352" s="32" t="n">
        <x:v>0.3482758620689655172413793103</x:v>
      </x:c>
      <x:c r="AF352" s="32" t="n">
        <x:v>0.3827586206896551724137931034</x:v>
      </x:c>
      <x:c r="AG352" s="32" t="n">
        <x:v>0.3965517241379310344827586207</x:v>
      </x:c>
      <x:c r="AH352" s="32" t="n">
        <x:v>0.4241379310344827586206896552</x:v>
      </x:c>
      <x:c r="AI352" s="32" t="n">
        <x:v>0.4413793103448275862068965517</x:v>
      </x:c>
      <x:c r="AJ352" s="32" t="n">
        <x:v>0.4482758620689655172413793103</x:v>
      </x:c>
      <x:c r="AK352" s="32" t="n">
        <x:v>0.4586206896551724137931034483</x:v>
      </x:c>
      <x:c r="BI352" s="33" t="s"/>
      <x:c r="BJ352" s="11" t="s">
        <x:v>202</x:v>
      </x:c>
      <x:c r="BK352" s="12" t="str">
        <x:f>=BX352</x:f>
      </x:c>
      <x:c r="BL352" s="12" t="n">
        <x:v>0.4586206896551724137931034483</x:v>
      </x:c>
      <x:c r="BM352" s="12" t="n">
        <x:v>0.5</x:v>
      </x:c>
      <x:c r="BN352" s="12" t="n">
        <x:v>0.0413793103448275862068965517</x:v>
      </x:c>
      <x:c r="BO352" s="12" t="str">
        <x:f>=BW352</x:f>
      </x:c>
      <x:c r="BP352" s="12" t="str">
        <x:f>=CF352</x:f>
      </x:c>
      <x:c r="BQ352" s="12" t="str"/>
      <x:c r="BR352" s="12" t="str">
        <x:v>AW 2020 MSS</x:v>
      </x:c>
      <x:c r="BS352" s="13" t="str"/>
      <x:c r="BT352" s="30" t="n">
        <x:v>296.51</x:v>
      </x:c>
      <x:c r="BU352" s="30" t="n">
        <x:v>-224.65433253234500000000</x:v>
      </x:c>
      <x:c r="BV352" s="30" t="str">
        <x:f>=BT352+BU352</x:f>
      </x:c>
      <x:c r="BW352" s="66" t="str">
        <x:f>=BV352/BT352</x:f>
      </x:c>
      <x:c r="BX352" s="66" t="n">
        <x:v>0.9586206896551724137931034483</x:v>
      </x:c>
      <x:c r="BY352" s="30" t="n">
        <x:v>223.590033538500000000</x:v>
      </x:c>
      <x:c r="BZ352" s="41" t="n">
        <x:v>12</x:v>
      </x:c>
      <x:c r="CA352" s="30" t="n">
        <x:v>9.252001387800000000</x:v>
      </x:c>
      <x:c r="CC352" s="30" t="n">
        <x:v>296.96862068965517241379310345</x:v>
      </x:c>
      <x:c r="CD352" s="30" t="n">
        <x:v>-224.65433253234500000000</x:v>
      </x:c>
      <x:c r="CE352" s="30" t="str">
        <x:f>=CC352+CD352</x:f>
      </x:c>
      <x:c r="CF352" s="66" t="str">
        <x:f>=CE352/CC352</x:f>
      </x:c>
      <x:c r="CH352" s="66" t="str">
        <x:f>=CI352+CJ352</x:f>
      </x:c>
      <x:c r="CI352" s="66" t="str">
        <x:f>=BX352+(0*7)</x:f>
      </x:c>
      <x:c r="CJ352" s="66" t="str">
        <x:f>=(1-CI352)*0.5</x:f>
      </x:c>
      <x:c r="CK352" s="66" t="str">
        <x:f>=1-CH352</x:f>
      </x:c>
      <x:c r="CM352" s="66" t="str">
        <x:f>=CJ352/(1-CI352)</x:f>
      </x:c>
    </x:row>
    <x:row r="353">
      <x:c r="A353" s="31" t="s">
        <x:v>671</x:v>
      </x:c>
      <x:c r="B353" t="s"/>
      <x:c r="C353" t="s">
        <x:v>672</x:v>
      </x:c>
      <x:c r="D353" t="s">
        <x:v>130</x:v>
      </x:c>
      <x:c r="E353" s="67" t="s">
        <x:v>131</x:v>
      </x:c>
      <x:c r="F353" t="n">
        <x:v>315</x:v>
      </x:c>
      <x:c r="G353" s="32" t="n">
        <x:v>0.0095238095238095238095238095</x:v>
      </x:c>
      <x:c r="H353" s="32" t="n">
        <x:v>0.0317460317460317460317460317</x:v>
      </x:c>
      <x:c r="I353" s="32" t="n">
        <x:v>0.0571428571428571428571428571</x:v>
      </x:c>
      <x:c r="J353" s="32" t="n">
        <x:v>0.0984126984126984126984126984</x:v>
      </x:c>
      <x:c r="K353" s="32" t="n">
        <x:v>0.1111111111111111111111111111</x:v>
      </x:c>
      <x:c r="L353" s="32" t="n">
        <x:v>0.1206349206349206349206349206</x:v>
      </x:c>
      <x:c r="M353" s="32" t="n">
        <x:v>0.126984126984126984126984127</x:v>
      </x:c>
      <x:c r="N353" s="32" t="n">
        <x:v>0.1238095238095238095238095238</x:v>
      </x:c>
      <x:c r="O353" s="32" t="n">
        <x:v>0.1238095238095238095238095238</x:v>
      </x:c>
      <x:c r="P353" s="32" t="n">
        <x:v>0.1238095238095238095238095238</x:v>
      </x:c>
      <x:c r="Q353" s="32" t="n">
        <x:v>0.1238095238095238095238095238</x:v>
      </x:c>
      <x:c r="R353" s="32" t="n">
        <x:v>0.1238095238095238095238095238</x:v>
      </x:c>
      <x:c r="S353" s="32" t="n">
        <x:v>0.1238095238095238095238095238</x:v>
      </x:c>
      <x:c r="T353" s="32" t="n">
        <x:v>0.1301587301587301587301587302</x:v>
      </x:c>
      <x:c r="U353" s="32" t="n">
        <x:v>0.1365079365079365079365079365</x:v>
      </x:c>
      <x:c r="V353" s="32" t="n">
        <x:v>0.1396825396825396825396825397</x:v>
      </x:c>
      <x:c r="W353" s="32" t="n">
        <x:v>0.1428571428571428571428571429</x:v>
      </x:c>
      <x:c r="X353" s="32" t="n">
        <x:v>0.1523809523809523809523809524</x:v>
      </x:c>
      <x:c r="Y353" s="32" t="n">
        <x:v>0.1650793650793650793650793651</x:v>
      </x:c>
      <x:c r="Z353" s="32" t="n">
        <x:v>0.1777777777777777777777777778</x:v>
      </x:c>
      <x:c r="AA353" s="32" t="n">
        <x:v>0.2</x:v>
      </x:c>
      <x:c r="AB353" s="32" t="n">
        <x:v>0.2063492063492063492063492063</x:v>
      </x:c>
      <x:c r="AC353" s="32" t="n">
        <x:v>0.2158730158730158730158730159</x:v>
      </x:c>
      <x:c r="AD353" s="32" t="n">
        <x:v>0.2253968253968253968253968254</x:v>
      </x:c>
      <x:c r="AE353" s="32" t="n">
        <x:v>0.2634920634920634920634920635</x:v>
      </x:c>
      <x:c r="AF353" s="32" t="n">
        <x:v>0.2857142857142857142857142857</x:v>
      </x:c>
      <x:c r="AG353" s="32" t="n">
        <x:v>0.2888888888888888888888888889</x:v>
      </x:c>
      <x:c r="AH353" s="32" t="n">
        <x:v>0.3015873015873015873015873016</x:v>
      </x:c>
      <x:c r="AI353" s="32" t="n">
        <x:v>0.3111111111111111111111111111</x:v>
      </x:c>
      <x:c r="AJ353" s="32" t="n">
        <x:v>0.3111111111111111111111111111</x:v>
      </x:c>
      <x:c r="AK353" s="32" t="n">
        <x:v>0.3174603174603174603174603175</x:v>
      </x:c>
      <x:c r="BI353" s="33" t="s"/>
      <x:c r="BJ353" s="11" t="s">
        <x:v>202</x:v>
      </x:c>
      <x:c r="BK353" s="12" t="str">
        <x:f>=BX353</x:f>
      </x:c>
      <x:c r="BL353" s="12" t="n">
        <x:v>0.3238095238095238095238095238</x:v>
      </x:c>
      <x:c r="BM353" s="12" t="n">
        <x:v>0.5968253968253968253968253968</x:v>
      </x:c>
      <x:c r="BN353" s="12" t="n">
        <x:v>0.0793650793650793650793650794</x:v>
      </x:c>
      <x:c r="BO353" s="12" t="str">
        <x:f>=BW353</x:f>
      </x:c>
      <x:c r="BP353" s="12" t="str">
        <x:f>=CF353</x:f>
      </x:c>
      <x:c r="BQ353" s="12" t="str"/>
      <x:c r="BR353" s="12" t="str">
        <x:v>AW 2020 MSS</x:v>
      </x:c>
      <x:c r="BS353" s="13" t="str"/>
      <x:c r="BT353" s="30" t="n">
        <x:v>272.16</x:v>
      </x:c>
      <x:c r="BU353" s="30" t="n">
        <x:v>-243.35958533685750000000</x:v>
      </x:c>
      <x:c r="BV353" s="30" t="str">
        <x:f>=BT353+BU353</x:f>
      </x:c>
      <x:c r="BW353" s="66" t="str">
        <x:f>=BV353/BT353</x:f>
      </x:c>
      <x:c r="BX353" s="66" t="n">
        <x:v>0.9206349206349206349206349206</x:v>
      </x:c>
      <x:c r="BY353" s="30" t="n">
        <x:v>242.865036429750000000</x:v>
      </x:c>
      <x:c r="BZ353" s="41" t="n">
        <x:v>25</x:v>
      </x:c>
      <x:c r="CA353" s="30" t="n">
        <x:v>19.275002891250000000</x:v>
      </x:c>
      <x:c r="CC353" s="30" t="n">
        <x:v>272.47746031746031746031746032</x:v>
      </x:c>
      <x:c r="CD353" s="30" t="n">
        <x:v>-243.35958533685750000000</x:v>
      </x:c>
      <x:c r="CE353" s="30" t="str">
        <x:f>=CC353+CD353</x:f>
      </x:c>
      <x:c r="CF353" s="66" t="str">
        <x:f>=CE353/CC353</x:f>
      </x:c>
      <x:c r="CH353" s="66" t="str">
        <x:f>=CI353+CJ353</x:f>
      </x:c>
      <x:c r="CI353" s="66" t="str">
        <x:f>=BX353+(0*7)</x:f>
      </x:c>
      <x:c r="CJ353" s="66" t="str">
        <x:f>=(1-CI353)*0.5</x:f>
      </x:c>
      <x:c r="CK353" s="66" t="str">
        <x:f>=1-CH353</x:f>
      </x:c>
      <x:c r="CM353" s="66" t="str">
        <x:f>=CJ353/(1-CI353)</x:f>
      </x:c>
    </x:row>
    <x:row r="354">
      <x:c r="A354" s="31" t="s">
        <x:v>673</x:v>
      </x:c>
      <x:c r="B354" t="s"/>
      <x:c r="C354" t="s">
        <x:v>674</x:v>
      </x:c>
      <x:c r="D354" t="s">
        <x:v>130</x:v>
      </x:c>
      <x:c r="E354" s="67" t="s">
        <x:v>131</x:v>
      </x:c>
      <x:c r="F354" t="n">
        <x:v>307</x:v>
      </x:c>
      <x:c r="G354" s="32" t="n">
        <x:v>0.0130293159609120521172638436</x:v>
      </x:c>
      <x:c r="H354" s="32" t="n">
        <x:v>0.0228013029315960912052117264</x:v>
      </x:c>
      <x:c r="I354" s="32" t="n">
        <x:v>0.0488599348534201954397394137</x:v>
      </x:c>
      <x:c r="J354" s="32" t="n">
        <x:v>0.0651465798045602605863192182</x:v>
      </x:c>
      <x:c r="K354" s="32" t="n">
        <x:v>0.0879478827361563517915309446</x:v>
      </x:c>
      <x:c r="L354" s="32" t="n">
        <x:v>0.0944625407166123778501628664</x:v>
      </x:c>
      <x:c r="M354" s="32" t="n">
        <x:v>0.0944625407166123778501628664</x:v>
      </x:c>
      <x:c r="N354" s="32" t="n">
        <x:v>0.0944625407166123778501628664</x:v>
      </x:c>
      <x:c r="O354" s="32" t="n">
        <x:v>0.0944625407166123778501628664</x:v>
      </x:c>
      <x:c r="P354" s="32" t="n">
        <x:v>0.0944625407166123778501628664</x:v>
      </x:c>
      <x:c r="Q354" s="32" t="n">
        <x:v>0.0944625407166123778501628664</x:v>
      </x:c>
      <x:c r="R354" s="32" t="n">
        <x:v>0.0944625407166123778501628664</x:v>
      </x:c>
      <x:c r="S354" s="32" t="n">
        <x:v>0.0944625407166123778501628664</x:v>
      </x:c>
      <x:c r="T354" s="32" t="n">
        <x:v>0.0977198697068403908794788274</x:v>
      </x:c>
      <x:c r="U354" s="32" t="n">
        <x:v>0.1042345276872964169381107492</x:v>
      </x:c>
      <x:c r="V354" s="32" t="n">
        <x:v>0.1042345276872964169381107492</x:v>
      </x:c>
      <x:c r="W354" s="32" t="n">
        <x:v>0.1009771986970684039087947883</x:v>
      </x:c>
      <x:c r="X354" s="32" t="n">
        <x:v>0.110749185667752442996742671</x:v>
      </x:c>
      <x:c r="Y354" s="32" t="n">
        <x:v>0.1172638436482084690553745928</x:v>
      </x:c>
      <x:c r="Z354" s="32" t="n">
        <x:v>0.1172638436482084690553745928</x:v>
      </x:c>
      <x:c r="AA354" s="32" t="n">
        <x:v>0.1237785016286644951140065147</x:v>
      </x:c>
      <x:c r="AB354" s="32" t="n">
        <x:v>0.1368078175895765472312703583</x:v>
      </x:c>
      <x:c r="AC354" s="32" t="n">
        <x:v>0.1433224755700325732899022801</x:v>
      </x:c>
      <x:c r="AD354" s="32" t="n">
        <x:v>0.146579804560260586319218241</x:v>
      </x:c>
      <x:c r="AE354" s="32" t="n">
        <x:v>0.1628664495114006514657980456</x:v>
      </x:c>
      <x:c r="AF354" s="32" t="n">
        <x:v>0.1791530944625407166123778502</x:v>
      </x:c>
      <x:c r="AG354" s="32" t="n">
        <x:v>0.1889250814332247557003257329</x:v>
      </x:c>
      <x:c r="AH354" s="32" t="n">
        <x:v>0.2052117263843648208469055375</x:v>
      </x:c>
      <x:c r="AI354" s="32" t="n">
        <x:v>0.221498371335504885993485342</x:v>
      </x:c>
      <x:c r="AJ354" s="32" t="n">
        <x:v>0.221498371335504885993485342</x:v>
      </x:c>
      <x:c r="AK354" s="32" t="n">
        <x:v>0.2312703583061889250814332248</x:v>
      </x:c>
      <x:c r="BI354" s="33" t="s"/>
      <x:c r="BJ354" s="11" t="s">
        <x:v>202</x:v>
      </x:c>
      <x:c r="BK354" s="12" t="str">
        <x:f>=BX354</x:f>
      </x:c>
      <x:c r="BL354" s="12" t="n">
        <x:v>0.2345276872964169381107491857</x:v>
      </x:c>
      <x:c r="BM354" s="12" t="n">
        <x:v>0.6840390879478827361563517915</x:v>
      </x:c>
      <x:c r="BN354" s="12" t="n">
        <x:v>0.0814332247557003257328990228</x:v>
      </x:c>
      <x:c r="BO354" s="12" t="str">
        <x:f>=BW354</x:f>
      </x:c>
      <x:c r="BP354" s="12" t="str">
        <x:f>=CF354</x:f>
      </x:c>
      <x:c r="BQ354" s="12" t="str"/>
      <x:c r="BR354" s="12" t="str">
        <x:v>AW 2020 MSS</x:v>
      </x:c>
      <x:c r="BS354" s="13" t="str"/>
      <x:c r="BT354" s="30" t="n">
        <x:v>242.53</x:v>
      </x:c>
      <x:c r="BU354" s="30" t="n">
        <x:v>-237.36322443941350000000</x:v>
      </x:c>
      <x:c r="BV354" s="30" t="str">
        <x:f>=BT354+BU354</x:f>
      </x:c>
      <x:c r="BW354" s="66" t="str">
        <x:f>=BV354/BT354</x:f>
      </x:c>
      <x:c r="BX354" s="66" t="n">
        <x:v>0.9185667752442996742671009772</x:v>
      </x:c>
      <x:c r="BY354" s="30" t="n">
        <x:v>236.697035504550000000</x:v>
      </x:c>
      <x:c r="BZ354" s="41" t="n">
        <x:v>25</x:v>
      </x:c>
      <x:c r="CA354" s="30" t="n">
        <x:v>19.275002891250000000</x:v>
      </x:c>
      <x:c r="CC354" s="30" t="n">
        <x:v>242.76127035830618892508143322</x:v>
      </x:c>
      <x:c r="CD354" s="30" t="n">
        <x:v>-237.36322443941350000000</x:v>
      </x:c>
      <x:c r="CE354" s="30" t="str">
        <x:f>=CC354+CD354</x:f>
      </x:c>
      <x:c r="CF354" s="66" t="str">
        <x:f>=CE354/CC354</x:f>
      </x:c>
      <x:c r="CH354" s="66" t="str">
        <x:f>=CI354+CJ354</x:f>
      </x:c>
      <x:c r="CI354" s="66" t="str">
        <x:f>=BX354+(0*7)</x:f>
      </x:c>
      <x:c r="CJ354" s="66" t="str">
        <x:f>=(1-CI354)*0.5</x:f>
      </x:c>
      <x:c r="CK354" s="66" t="str">
        <x:f>=1-CH354</x:f>
      </x:c>
      <x:c r="CM354" s="66" t="str">
        <x:f>=CJ354/(1-CI354)</x:f>
      </x:c>
    </x:row>
    <x:row r="355">
      <x:c r="A355" s="31" t="s">
        <x:v>675</x:v>
      </x:c>
      <x:c r="B355" t="s"/>
      <x:c r="C355" t="s">
        <x:v>676</x:v>
      </x:c>
      <x:c r="D355" t="s">
        <x:v>147</x:v>
      </x:c>
      <x:c r="E355" s="67" t="s">
        <x:v>131</x:v>
      </x:c>
      <x:c r="F355" t="n">
        <x:v>1901</x:v>
      </x:c>
      <x:c r="G355" s="32" t="n">
        <x:v>0.0015781167806417674907943188</x:v>
      </x:c>
      <x:c r="H355" s="32" t="n">
        <x:v>0.0015781167806417674907943188</x:v>
      </x:c>
      <x:c r="I355" s="32" t="n">
        <x:v>0.0042083114150447133087848501</x:v>
      </x:c>
      <x:c r="J355" s="32" t="n">
        <x:v>0.0320883745397159389794844819</x:v>
      </x:c>
      <x:c r="K355" s="32" t="n">
        <x:v>0.0357706470278800631246712257</x:v>
      </x:c>
      <x:c r="L355" s="32" t="n">
        <x:v>0.0341925302472382956338769069</x:v>
      </x:c>
      <x:c r="M355" s="32" t="n">
        <x:v>0.0352446081009994739610731194</x:v>
      </x:c>
      <x:c r="N355" s="32" t="n">
        <x:v>0.0557601262493424513413992635</x:v>
      </x:c>
      <x:c r="O355" s="32" t="n">
        <x:v>0.0846922672277748553392951078</x:v>
      </x:c>
      <x:c r="P355" s="32" t="n">
        <x:v>0.1367701209889531825355076276</x:v>
      </x:c>
      <x:c r="Q355" s="32" t="n">
        <x:v>0.1856917411888479747501315097</x:v>
      </x:c>
      <x:c r="R355" s="32" t="n">
        <x:v>0.2225144660704892162019989479</x:v>
      </x:c>
      <x:c r="S355" s="32" t="n">
        <x:v>0.2356654392425039452919516044</x:v>
      </x:c>
      <x:c r="T355" s="32" t="n">
        <x:v>0.2840610205155181483429773803</x:v>
      </x:c>
      <x:c r="U355" s="32" t="n">
        <x:v>0.3487638085218306154655444503</x:v>
      </x:c>
      <x:c r="V355" s="32" t="n">
        <x:v>0.3934771173066806943713834824</x:v>
      </x:c>
      <x:c r="W355" s="32" t="n">
        <x:v>0.4408206207259337190952130458</x:v>
      </x:c>
      <x:c r="X355" s="32" t="n">
        <x:v>0.4860599684376643871646501841</x:v>
      </x:c>
      <x:c r="Y355" s="32" t="n">
        <x:v>0.5028932140978432403997895844</x:v>
      </x:c>
      <x:c r="Z355" s="32" t="n">
        <x:v>0.53445554971067859021567596</x:v>
      </x:c>
      <x:c r="AA355" s="32" t="n">
        <x:v>0.5823250920568122041031036297</x:v>
      </x:c>
      <x:c r="AB355" s="32" t="n">
        <x:v>0.6107311941083640189374013677</x:v>
      </x:c>
      <x:c r="AC355" s="32" t="n">
        <x:v>0.6365071015255128879537085744</x:v>
      </x:c>
      <x:c r="AD355" s="32" t="n">
        <x:v>0.6838506049447659126775381378</x:v>
      </x:c>
      <x:c r="AE355" s="32" t="n">
        <x:v>0.6954234613361388742766964755</x:v>
      </x:c>
      <x:c r="AF355" s="32" t="n">
        <x:v>0.6970015781167806417674907943</x:v>
      </x:c>
      <x:c r="AG355" s="32" t="n">
        <x:v>0.6970015781167806417674907943</x:v>
      </x:c>
      <x:c r="AH355" s="32" t="n">
        <x:v>0.6906891109942135718043135192</x:v>
      </x:c>
      <x:c r="AI355" s="32" t="n">
        <x:v>0.6880589163598106259863229879</x:v>
      </x:c>
      <x:c r="BI355" s="33" t="s"/>
      <x:c r="BJ355" s="11" t="s">
        <x:v>205</x:v>
      </x:c>
      <x:c r="BK355" s="12" t="str">
        <x:f>=BX355</x:f>
      </x:c>
      <x:c r="BL355" s="12" t="n">
        <x:v>0.6670173592845870594423987375</x:v>
      </x:c>
      <x:c r="BM355" s="12" t="n">
        <x:v>0.2140978432403997895844292478</x:v>
      </x:c>
      <x:c r="BN355" s="12" t="n">
        <x:v>0.1188847974750131509731720147</x:v>
      </x:c>
      <x:c r="BO355" s="12" t="str">
        <x:f>=BW355</x:f>
      </x:c>
      <x:c r="BP355" s="12" t="str">
        <x:f>=CF355</x:f>
      </x:c>
      <x:c r="BQ355" s="12" t="str"/>
      <x:c r="BR355" s="12" t="str">
        <x:v>AW 2020 MSS</x:v>
      </x:c>
      <x:c r="BS355" s="13" t="str"/>
      <x:c r="BT355" s="30" t="n">
        <x:v>17132.49</x:v>
      </x:c>
      <x:c r="BU355" s="30" t="n">
        <x:v>-14233.9276</x:v>
      </x:c>
      <x:c r="BV355" s="30" t="str">
        <x:f>=BT355+BU355</x:f>
      </x:c>
      <x:c r="BW355" s="66" t="str">
        <x:f>=BV355/BT355</x:f>
      </x:c>
      <x:c r="BX355" s="66" t="n">
        <x:v>0.8811152025249868490268279853</x:v>
      </x:c>
      <x:c r="BY355" s="30" t="n">
        <x:v>13668.19</x:v>
      </x:c>
      <x:c r="BZ355" s="41" t="n">
        <x:v>226</x:v>
      </x:c>
      <x:c r="CA355" s="30" t="n">
        <x:v>1624.94</x:v>
      </x:c>
      <x:c r="CC355" s="30" t="n">
        <x:v>17133.182793266701735928458706</x:v>
      </x:c>
      <x:c r="CD355" s="30" t="n">
        <x:v>-14233.9276</x:v>
      </x:c>
      <x:c r="CE355" s="30" t="str">
        <x:f>=CC355+CD355</x:f>
      </x:c>
      <x:c r="CF355" s="66" t="str">
        <x:f>=CE355/CC355</x:f>
      </x:c>
      <x:c r="CH355" s="66" t="str">
        <x:f>=CI355+CJ355</x:f>
      </x:c>
      <x:c r="CI355" s="66" t="str">
        <x:f>=BX355+(0*7)</x:f>
      </x:c>
      <x:c r="CJ355" s="66" t="str">
        <x:f>=(1-CI355)*0.5</x:f>
      </x:c>
      <x:c r="CK355" s="66" t="str">
        <x:f>=1-CH355</x:f>
      </x:c>
      <x:c r="CM355" s="66" t="str">
        <x:f>=CJ355/(1-CI355)</x:f>
      </x:c>
    </x:row>
    <x:row r="356">
      <x:c r="A356" s="31" t="s">
        <x:v>677</x:v>
      </x:c>
      <x:c r="B356" t="s"/>
      <x:c r="C356" t="s">
        <x:v>678</x:v>
      </x:c>
      <x:c r="D356" t="s">
        <x:v>147</x:v>
      </x:c>
      <x:c r="E356" s="67" t="s">
        <x:v>131</x:v>
      </x:c>
      <x:c r="F356" t="n">
        <x:v>2050</x:v>
      </x:c>
      <x:c r="G356" s="32" t="n">
        <x:v>0.000487804878048780487804878</x:v>
      </x:c>
      <x:c r="H356" s="32" t="n">
        <x:v>0.000487804878048780487804878</x:v>
      </x:c>
      <x:c r="I356" s="32" t="n">
        <x:v>0.0019512195121951219512195122</x:v>
      </x:c>
      <x:c r="J356" s="32" t="n">
        <x:v>0.0248780487804878048780487805</x:v>
      </x:c>
      <x:c r="K356" s="32" t="n">
        <x:v>0.0365853658536585365853658537</x:v>
      </x:c>
      <x:c r="L356" s="32" t="n">
        <x:v>0.0341463414634146341463414634</x:v>
      </x:c>
      <x:c r="M356" s="32" t="n">
        <x:v>0.0434146341463414634146341463</x:v>
      </x:c>
      <x:c r="N356" s="32" t="n">
        <x:v>0.0536585365853658536585365854</x:v>
      </x:c>
      <x:c r="O356" s="32" t="n">
        <x:v>0.1</x:v>
      </x:c>
      <x:c r="P356" s="32" t="n">
        <x:v>0.1468292682926829268292682927</x:v>
      </x:c>
      <x:c r="Q356" s="32" t="n">
        <x:v>0.1780487804878048780487804878</x:v>
      </x:c>
      <x:c r="R356" s="32" t="n">
        <x:v>0.2078048780487804878048780488</x:v>
      </x:c>
      <x:c r="S356" s="32" t="n">
        <x:v>0.2326829268292682926829268293</x:v>
      </x:c>
      <x:c r="T356" s="32" t="n">
        <x:v>0.270243902439024390243902439</x:v>
      </x:c>
      <x:c r="U356" s="32" t="n">
        <x:v>0.3434146341463414634146341463</x:v>
      </x:c>
      <x:c r="V356" s="32" t="n">
        <x:v>0.3882926829268292682926829268</x:v>
      </x:c>
      <x:c r="W356" s="32" t="n">
        <x:v>0.4278048780487804878048780488</x:v>
      </x:c>
      <x:c r="X356" s="32" t="n">
        <x:v>0.4848780487804878048780487805</x:v>
      </x:c>
      <x:c r="Y356" s="32" t="n">
        <x:v>0.510243902439024390243902439</x:v>
      </x:c>
      <x:c r="Z356" s="32" t="n">
        <x:v>0.5068292682926829268292682927</x:v>
      </x:c>
      <x:c r="AA356" s="32" t="n">
        <x:v>0.5180487804878048780487804878</x:v>
      </x:c>
      <x:c r="AB356" s="32" t="n">
        <x:v>0.5346341463414634146341463415</x:v>
      </x:c>
      <x:c r="AC356" s="32" t="n">
        <x:v>0.5419512195121951219512195122</x:v>
      </x:c>
      <x:c r="AD356" s="32" t="n">
        <x:v>0.66</x:v>
      </x:c>
      <x:c r="AE356" s="23" t="n">
        <x:v>0.7351219512195121951219512195</x:v>
      </x:c>
      <x:c r="AF356" s="32" t="n">
        <x:v>0.7312195121951219512195121951</x:v>
      </x:c>
      <x:c r="AG356" s="32" t="n">
        <x:v>0.6892682926829268292682926829</x:v>
      </x:c>
      <x:c r="AH356" s="32" t="n">
        <x:v>0.6565853658536585365853658537</x:v>
      </x:c>
      <x:c r="AI356" s="32" t="n">
        <x:v>0.6473170731707317073170731707</x:v>
      </x:c>
      <x:c r="BI356" s="33" t="s"/>
      <x:c r="BJ356" s="11" t="s">
        <x:v>205</x:v>
      </x:c>
      <x:c r="BK356" s="12" t="str">
        <x:f>=BX356</x:f>
      </x:c>
      <x:c r="BL356" s="12" t="n">
        <x:v>0.6268292682926829268292682927</x:v>
      </x:c>
      <x:c r="BM356" s="12" t="n">
        <x:v>0.2175609756097560975609756098</x:v>
      </x:c>
      <x:c r="BN356" s="12" t="n">
        <x:v>0.1556097560975609756097560976</x:v>
      </x:c>
      <x:c r="BO356" s="12" t="str">
        <x:f>=BW356</x:f>
      </x:c>
      <x:c r="BP356" s="12" t="str">
        <x:f>=CF356</x:f>
      </x:c>
      <x:c r="BQ356" s="12" t="str"/>
      <x:c r="BR356" s="12" t="str">
        <x:v>AW 2020 MSS</x:v>
      </x:c>
      <x:c r="BS356" s="13" t="str"/>
      <x:c r="BT356" s="30" t="n">
        <x:v>25479.86</x:v>
      </x:c>
      <x:c r="BU356" s="30" t="n">
        <x:v>-20864.0800</x:v>
      </x:c>
      <x:c r="BV356" s="30" t="str">
        <x:f>=BT356+BU356</x:f>
      </x:c>
      <x:c r="BW356" s="66" t="str">
        <x:f>=BV356/BT356</x:f>
      </x:c>
      <x:c r="BX356" s="66" t="n">
        <x:v>0.8443902439024390243902439024</x:v>
      </x:c>
      <x:c r="BY356" s="30" t="n">
        <x:v>20254.00</x:v>
      </x:c>
      <x:c r="BZ356" s="41" t="n">
        <x:v>319</x:v>
      </x:c>
      <x:c r="CA356" s="30" t="n">
        <x:v>3151.72</x:v>
      </x:c>
      <x:c r="CC356" s="30" t="n">
        <x:v>25480.504390243902439024390244</x:v>
      </x:c>
      <x:c r="CD356" s="30" t="n">
        <x:v>-20864.0800</x:v>
      </x:c>
      <x:c r="CE356" s="30" t="str">
        <x:f>=CC356+CD356</x:f>
      </x:c>
      <x:c r="CF356" s="66" t="str">
        <x:f>=CE356/CC356</x:f>
      </x:c>
      <x:c r="CH356" s="66" t="str">
        <x:f>=CI356+CJ356</x:f>
      </x:c>
      <x:c r="CI356" s="66" t="str">
        <x:f>=BX356+(0*7)</x:f>
      </x:c>
      <x:c r="CJ356" s="66" t="str">
        <x:f>=(1-CI356)*0.5</x:f>
      </x:c>
      <x:c r="CK356" s="66" t="str">
        <x:f>=1-CH356</x:f>
      </x:c>
      <x:c r="CM356" s="66" t="str">
        <x:f>=CJ356/(1-CI356)</x:f>
      </x:c>
    </x:row>
    <x:row r="357">
      <x:c r="A357" s="31" t="s">
        <x:v>679</x:v>
      </x:c>
      <x:c r="B357" t="s">
        <x:v>116</x:v>
      </x:c>
      <x:c r="C357" t="s">
        <x:v>680</x:v>
      </x:c>
      <x:c r="D357" t="s">
        <x:v>130</x:v>
      </x:c>
      <x:c r="E357" s="67" t="s">
        <x:v>131</x:v>
      </x:c>
      <x:c r="F357" t="n">
        <x:v>513</x:v>
      </x:c>
      <x:c r="G357" s="32" t="n">
        <x:v>0.0350877192982456140350877193</x:v>
      </x:c>
      <x:c r="H357" s="32" t="n">
        <x:v>0.0643274853801169590643274854</x:v>
      </x:c>
      <x:c r="I357" s="32" t="n">
        <x:v>0.0916179337231968810916179337</x:v>
      </x:c>
      <x:c r="J357" s="32" t="n">
        <x:v>0.0916179337231968810916179337</x:v>
      </x:c>
      <x:c r="K357" s="32" t="n">
        <x:v>0.0974658869395711500974658869</x:v>
      </x:c>
      <x:c r="L357" s="32" t="n">
        <x:v>0.1150097465886939571150097466</x:v>
      </x:c>
      <x:c r="M357" s="32" t="n">
        <x:v>0.1656920077972709551656920078</x:v>
      </x:c>
      <x:c r="N357" s="32" t="n">
        <x:v>0.2280701754385964912280701754</x:v>
      </x:c>
      <x:c r="O357" s="32" t="n">
        <x:v>0.3274853801169590643274853801</x:v>
      </x:c>
      <x:c r="P357" s="32" t="n">
        <x:v>0.4230019493177387914230019493</x:v>
      </x:c>
      <x:c r="Q357" s="32" t="n">
        <x:v>0.4600389863547758284600389864</x:v>
      </x:c>
      <x:c r="R357" s="32" t="n">
        <x:v>0.5185185185185185185185185185</x:v>
      </x:c>
      <x:c r="S357" s="32" t="n">
        <x:v>0.5886939571150097465886939571</x:v>
      </x:c>
      <x:c r="T357" s="32" t="n">
        <x:v>0.6393762183235867446393762183</x:v>
      </x:c>
      <x:c r="U357" s="32" t="n">
        <x:v>0.6588693957115009746588693957</x:v>
      </x:c>
      <x:c r="V357" s="32" t="n">
        <x:v>0.6374269005847953216374269006</x:v>
      </x:c>
      <x:c r="W357" s="32" t="n">
        <x:v>0.6608187134502923976608187135</x:v>
      </x:c>
      <x:c r="X357" s="32" t="n">
        <x:v>0.6881091617933723196881091618</x:v>
      </x:c>
      <x:c r="Y357" s="23" t="n">
        <x:v>0.7192982456140350877192982456</x:v>
      </x:c>
      <x:c r="Z357" s="32" t="n">
        <x:v>0.7329434697855750487329434698</x:v>
      </x:c>
      <x:c r="AA357" s="32" t="n">
        <x:v>0.7621832358674463937621832359</x:v>
      </x:c>
      <x:c r="AB357" s="32" t="n">
        <x:v>0.7953216374269005847953216374</x:v>
      </x:c>
      <x:c r="AC357" s="32" t="n">
        <x:v>0.7992202729044834307992202729</x:v>
      </x:c>
      <x:c r="AD357" s="32" t="n">
        <x:v>0.7933723196881091617933723197</x:v>
      </x:c>
      <x:c r="AE357" s="32" t="n">
        <x:v>0.7933723196881091617933723197</x:v>
      </x:c>
      <x:c r="AF357" s="32" t="n">
        <x:v>0.7875243664717348927875243665</x:v>
      </x:c>
      <x:c r="AG357" s="32" t="n">
        <x:v>0.783625730994152046783625731</x:v>
      </x:c>
      <x:c r="BI357" s="33" t="s"/>
      <x:c r="BJ357" s="11" t="s">
        <x:v>301</x:v>
      </x:c>
      <x:c r="BK357" s="12" t="str">
        <x:f>=BX357</x:f>
      </x:c>
      <x:c r="BL357" s="12" t="n">
        <x:v>0.7953216374269005847953216374</x:v>
      </x:c>
      <x:c r="BM357" s="12" t="n">
        <x:v>0.0857699805068226120857699805</x:v>
      </x:c>
      <x:c r="BN357" s="12" t="n">
        <x:v>0.1189083820662768031189083821</x:v>
      </x:c>
      <x:c r="BO357" s="12" t="str">
        <x:f>=BW357</x:f>
      </x:c>
      <x:c r="BP357" s="12" t="str">
        <x:f>=CF357</x:f>
      </x:c>
      <x:c r="BQ357" s="12" t="str"/>
      <x:c r="BR357" s="12" t="str">
        <x:v>AW 2020 MSS</x:v>
      </x:c>
      <x:c r="BS357" s="13" t="str"/>
      <x:c r="BT357" s="30" t="n">
        <x:v>5931.08</x:v>
      </x:c>
      <x:c r="BU357" s="30" t="n">
        <x:v>-4163.04437643952124004630</x:v>
      </x:c>
      <x:c r="BV357" s="30" t="str">
        <x:f>=BT357+BU357</x:f>
      </x:c>
      <x:c r="BW357" s="66" t="str">
        <x:f>=BV357/BT357</x:f>
      </x:c>
      <x:c r="BX357" s="66" t="n">
        <x:v>0.8810916179337231968810916179</x:v>
      </x:c>
      <x:c r="BY357" s="30" t="n">
        <x:v>4250.123687051052824790</x:v>
      </x:c>
      <x:c r="BZ357" s="41" t="n">
        <x:v>61</x:v>
      </x:c>
      <x:c r="CA357" s="30" t="n">
        <x:v>505.375331208799653630</x:v>
      </x:c>
      <x:c r="CC357" s="30" t="n">
        <x:v>5981.9370675938596491228070172</x:v>
      </x:c>
      <x:c r="CD357" s="30" t="n">
        <x:v>-4163.04437643952124004630</x:v>
      </x:c>
      <x:c r="CE357" s="30" t="str">
        <x:f>=CC357+CD357</x:f>
      </x:c>
      <x:c r="CF357" s="66" t="str">
        <x:f>=CE357/CC357</x:f>
      </x:c>
      <x:c r="CH357" s="66" t="str">
        <x:f>=CI357+CJ357</x:f>
      </x:c>
      <x:c r="CI357" s="66" t="str">
        <x:f>=BX357+(0*7)</x:f>
      </x:c>
      <x:c r="CJ357" s="66" t="str">
        <x:f>=(1-CI357)*0.5</x:f>
      </x:c>
      <x:c r="CK357" s="66" t="str">
        <x:f>=1-CH357</x:f>
      </x:c>
      <x:c r="CM357" s="66" t="str">
        <x:f>=CJ357/(1-CI357)</x:f>
      </x:c>
    </x:row>
    <x:row r="358">
      <x:c r="A358" s="31" t="s">
        <x:v>681</x:v>
      </x:c>
      <x:c r="B358" t="s">
        <x:v>116</x:v>
      </x:c>
      <x:c r="C358" t="s">
        <x:v>682</x:v>
      </x:c>
      <x:c r="D358" t="s">
        <x:v>130</x:v>
      </x:c>
      <x:c r="E358" s="67" t="s">
        <x:v>131</x:v>
      </x:c>
      <x:c r="F358" t="n">
        <x:v>500</x:v>
      </x:c>
      <x:c r="G358" s="32" t="n">
        <x:v>0.042</x:v>
      </x:c>
      <x:c r="H358" s="32" t="n">
        <x:v>0.054</x:v>
      </x:c>
      <x:c r="I358" s="32" t="n">
        <x:v>0.058</x:v>
      </x:c>
      <x:c r="J358" s="32" t="n">
        <x:v>0.058</x:v>
      </x:c>
      <x:c r="K358" s="32" t="n">
        <x:v>0.074</x:v>
      </x:c>
      <x:c r="L358" s="32" t="n">
        <x:v>0.1</x:v>
      </x:c>
      <x:c r="M358" s="32" t="n">
        <x:v>0.156</x:v>
      </x:c>
      <x:c r="N358" s="32" t="n">
        <x:v>0.192</x:v>
      </x:c>
      <x:c r="O358" s="32" t="n">
        <x:v>0.226</x:v>
      </x:c>
      <x:c r="P358" s="32" t="n">
        <x:v>0.268</x:v>
      </x:c>
      <x:c r="Q358" s="32" t="n">
        <x:v>0.28</x:v>
      </x:c>
      <x:c r="R358" s="32" t="n">
        <x:v>0.314</x:v>
      </x:c>
      <x:c r="S358" s="32" t="n">
        <x:v>0.39</x:v>
      </x:c>
      <x:c r="T358" s="32" t="n">
        <x:v>0.408</x:v>
      </x:c>
      <x:c r="U358" s="32" t="n">
        <x:v>0.428</x:v>
      </x:c>
      <x:c r="V358" s="32" t="n">
        <x:v>0.432</x:v>
      </x:c>
      <x:c r="W358" s="32" t="n">
        <x:v>0.406</x:v>
      </x:c>
      <x:c r="X358" s="32" t="n">
        <x:v>0.414</x:v>
      </x:c>
      <x:c r="Y358" s="32" t="n">
        <x:v>0.392</x:v>
      </x:c>
      <x:c r="Z358" s="32" t="n">
        <x:v>0.378</x:v>
      </x:c>
      <x:c r="AA358" s="32" t="n">
        <x:v>0.408</x:v>
      </x:c>
      <x:c r="AB358" s="32" t="n">
        <x:v>0.458</x:v>
      </x:c>
      <x:c r="AC358" s="32" t="n">
        <x:v>0.478</x:v>
      </x:c>
      <x:c r="AD358" s="32" t="n">
        <x:v>0.492</x:v>
      </x:c>
      <x:c r="AE358" s="32" t="n">
        <x:v>0.466</x:v>
      </x:c>
      <x:c r="AF358" s="32" t="n">
        <x:v>0.454</x:v>
      </x:c>
      <x:c r="AG358" s="32" t="n">
        <x:v>0.44</x:v>
      </x:c>
      <x:c r="BI358" s="33" t="s"/>
      <x:c r="BJ358" s="11" t="s">
        <x:v>301</x:v>
      </x:c>
      <x:c r="BK358" s="12" t="str">
        <x:f>=BX358</x:f>
      </x:c>
      <x:c r="BL358" s="12" t="n">
        <x:v>0.438</x:v>
      </x:c>
      <x:c r="BM358" s="12" t="n">
        <x:v>0.312</x:v>
      </x:c>
      <x:c r="BN358" s="12" t="n">
        <x:v>0.25</x:v>
      </x:c>
      <x:c r="BO358" s="12" t="str">
        <x:f>=BW358</x:f>
      </x:c>
      <x:c r="BP358" s="12" t="str">
        <x:f>=CF358</x:f>
      </x:c>
      <x:c r="BQ358" s="12" t="str"/>
      <x:c r="BR358" s="12" t="str">
        <x:v>AW 2020 MSS</x:v>
      </x:c>
      <x:c r="BS358" s="13" t="str"/>
      <x:c r="BT358" s="30" t="n">
        <x:v>5497.98</x:v>
      </x:c>
      <x:c r="BU358" s="30" t="n">
        <x:v>-5458.14951555492703670000</x:v>
      </x:c>
      <x:c r="BV358" s="30" t="str">
        <x:f>=BT358+BU358</x:f>
      </x:c>
      <x:c r="BW358" s="66" t="str">
        <x:f>=BV358/BT358</x:f>
      </x:c>
      <x:c r="BX358" s="66" t="n">
        <x:v>0.75</x:v>
      </x:c>
      <x:c r="BY358" s="30" t="n">
        <x:v>5579.587129438069110000</x:v>
      </x:c>
      <x:c r="BZ358" s="41" t="n">
        <x:v>125</x:v>
      </x:c>
      <x:c r="CA358" s="30" t="n">
        <x:v>1394.896782359517277500</x:v>
      </x:c>
      <x:c r="CC358" s="30" t="n">
        <x:v>5498.446</x:v>
      </x:c>
      <x:c r="CD358" s="30" t="n">
        <x:v>-5458.14951555492703670000</x:v>
      </x:c>
      <x:c r="CE358" s="30" t="str">
        <x:f>=CC358+CD358</x:f>
      </x:c>
      <x:c r="CF358" s="66" t="str">
        <x:f>=CE358/CC358</x:f>
      </x:c>
      <x:c r="CH358" s="66" t="str">
        <x:f>=CI358+CJ358</x:f>
      </x:c>
      <x:c r="CI358" s="66" t="str">
        <x:f>=BX358+(0*7)</x:f>
      </x:c>
      <x:c r="CJ358" s="66" t="str">
        <x:f>=(1-CI358)*0.5</x:f>
      </x:c>
      <x:c r="CK358" s="66" t="str">
        <x:f>=1-CH358</x:f>
      </x:c>
      <x:c r="CM358" s="66" t="str">
        <x:f>=CJ358/(1-CI358)</x:f>
      </x:c>
    </x:row>
    <x:row r="359">
      <x:c r="A359" s="31" t="s">
        <x:v>683</x:v>
      </x:c>
      <x:c r="B359" t="s"/>
      <x:c r="C359" t="s">
        <x:v>684</x:v>
      </x:c>
      <x:c r="D359" t="s">
        <x:v>130</x:v>
      </x:c>
      <x:c r="E359" s="67" t="s">
        <x:v>131</x:v>
      </x:c>
      <x:c r="F359" t="n">
        <x:v>938</x:v>
      </x:c>
      <x:c r="G359" s="32" t="n">
        <x:v>0.0341151385927505330490405117</x:v>
      </x:c>
      <x:c r="H359" s="32" t="n">
        <x:v>0.1140724946695095948827292111</x:v>
      </x:c>
      <x:c r="I359" s="32" t="n">
        <x:v>0.1375266524520255863539445629</x:v>
      </x:c>
      <x:c r="J359" s="32" t="n">
        <x:v>0.2046908315565031982942430704</x:v>
      </x:c>
      <x:c r="K359" s="32" t="n">
        <x:v>0.2953091684434968017057569296</x:v>
      </x:c>
      <x:c r="L359" s="32" t="n">
        <x:v>0.3443496801705756929637526652</x:v>
      </x:c>
      <x:c r="M359" s="32" t="n">
        <x:v>0.368869936034115138592750533</x:v>
      </x:c>
      <x:c r="N359" s="32" t="n">
        <x:v>0.5597014925373134328358208955</x:v>
      </x:c>
      <x:c r="O359" s="23" t="n">
        <x:v>0.7835820895522388059701492537</x:v>
      </x:c>
      <x:c r="P359" s="32" t="n">
        <x:v>0.878464818763326226012793177</x:v>
      </x:c>
      <x:c r="Q359" s="32" t="n">
        <x:v>0.874200426439232409381663113</x:v>
      </x:c>
      <x:c r="R359" s="32" t="n">
        <x:v>0.8859275053304904051172707889</x:v>
      </x:c>
      <x:c r="S359" s="32" t="n">
        <x:v>0.8933901918976545842217484009</x:v>
      </x:c>
      <x:c r="T359" s="32" t="n">
        <x:v>0.9179104477611940298507462687</x:v>
      </x:c>
      <x:c r="U359" s="32" t="n">
        <x:v>0.9253731343283582089552238806</x:v>
      </x:c>
      <x:c r="V359" s="32" t="n">
        <x:v>0.9371002132196162046908315565</x:v>
      </x:c>
      <x:c r="W359" s="32" t="n">
        <x:v>0.9434968017057569296375266525</x:v>
      </x:c>
      <x:c r="X359" s="32" t="n">
        <x:v>0.9413646055437100213219616205</x:v>
      </x:c>
      <x:c r="Y359" s="32" t="n">
        <x:v>0.9371002132196162046908315565</x:v>
      </x:c>
      <x:c r="Z359" s="32" t="n">
        <x:v>0.9371002132196162046908315565</x:v>
      </x:c>
      <x:c r="AA359" s="32" t="n">
        <x:v>0.9402985074626865671641791045</x:v>
      </x:c>
      <x:c r="BI359" s="33" t="s"/>
      <x:c r="BJ359" s="11" t="s">
        <x:v>216</x:v>
      </x:c>
      <x:c r="BK359" s="12" t="str">
        <x:f>=BX359</x:f>
      </x:c>
      <x:c r="BL359" s="12" t="n">
        <x:v>0.9424307036247334754797441365</x:v>
      </x:c>
      <x:c r="BM359" s="12" t="n">
        <x:v>0.0234541577825159914712153518</x:v>
      </x:c>
      <x:c r="BN359" s="12" t="n">
        <x:v>0.0341151385927505330490405117</x:v>
      </x:c>
      <x:c r="BO359" s="12" t="str">
        <x:f>=BW359</x:f>
      </x:c>
      <x:c r="BP359" s="12" t="str">
        <x:f>=CF359</x:f>
      </x:c>
      <x:c r="BQ359" s="12" t="str"/>
      <x:c r="BR359" s="12" t="str">
        <x:v>AW 2020 MSS</x:v>
      </x:c>
      <x:c r="BS359" s="13" t="str"/>
      <x:c r="BT359" s="30" t="n">
        <x:v>15853.88</x:v>
      </x:c>
      <x:c r="BU359" s="30" t="n">
        <x:v>-9177.53899363153854742580</x:v>
      </x:c>
      <x:c r="BV359" s="30" t="str">
        <x:f>=BT359+BU359</x:f>
      </x:c>
      <x:c r="BW359" s="66" t="str">
        <x:f>=BV359/BT359</x:f>
      </x:c>
      <x:c r="BX359" s="66" t="n">
        <x:v>0.9658848614072494669509594883</x:v>
      </x:c>
      <x:c r="BY359" s="30" t="n">
        <x:v>9357.136694465503657140</x:v>
      </x:c>
      <x:c r="BZ359" s="41" t="n">
        <x:v>32</x:v>
      </x:c>
      <x:c r="CA359" s="30" t="n">
        <x:v>319.220015163002256960</x:v>
      </x:c>
      <x:c r="CC359" s="30" t="n">
        <x:v>15915.596425380543710021321962</x:v>
      </x:c>
      <x:c r="CD359" s="30" t="n">
        <x:v>-9177.53899363153854742580</x:v>
      </x:c>
      <x:c r="CE359" s="30" t="str">
        <x:f>=CC359+CD359</x:f>
      </x:c>
      <x:c r="CF359" s="66" t="str">
        <x:f>=CE359/CC359</x:f>
      </x:c>
      <x:c r="CH359" s="66" t="str">
        <x:f>=CI359+CJ359</x:f>
      </x:c>
      <x:c r="CI359" s="66" t="str">
        <x:f>=BX359+(0*7)</x:f>
      </x:c>
      <x:c r="CJ359" s="66" t="str">
        <x:f>=(1-CI359)*0.5</x:f>
      </x:c>
      <x:c r="CK359" s="66" t="str">
        <x:f>=1-CH359</x:f>
      </x:c>
      <x:c r="CM359" s="66" t="str">
        <x:f>=CJ359/(1-CI359)</x:f>
      </x:c>
    </x:row>
    <x:row r="360">
      <x:c r="A360" s="31" t="s"/>
      <x:c r="BI360" s="33" t="s"/>
      <x:c r="BJ360" s="11" t="s"/>
      <x:c r="BS360" s="13" t="s"/>
    </x:row>
    <x:row r="361">
      <x:c r="A361" s="17" t="s">
        <x:v>114</x:v>
      </x:c>
      <x:c r="BI361" s="33" t="s"/>
      <x:c r="BJ361" s="11" t="s"/>
      <x:c r="BS361" s="13" t="s"/>
    </x:row>
    <x:row r="362">
      <x:c r="A362" s="31" t="s">
        <x:v>685</x:v>
      </x:c>
      <x:c r="B362" t="s"/>
      <x:c r="C362" t="s">
        <x:v>686</x:v>
      </x:c>
      <x:c r="D362" t="s">
        <x:v>147</x:v>
      </x:c>
      <x:c r="E362" s="67" t="s">
        <x:v>131</x:v>
      </x:c>
      <x:c r="F362" t="n">
        <x:v>2642</x:v>
      </x:c>
      <x:c r="G362" s="32" t="n">
        <x:v>0.0007570022710068130204390613</x:v>
      </x:c>
      <x:c r="H362" s="32" t="n">
        <x:v>0.0007570022710068130204390613</x:v>
      </x:c>
      <x:c r="I362" s="32" t="n">
        <x:v>0.001135503406510219530658592</x:v>
      </x:c>
      <x:c r="J362" s="32" t="n">
        <x:v>0.0052990158970476911430734292</x:v>
      </x:c>
      <x:c r="K362" s="32" t="n">
        <x:v>0.015518546555639666919000757</x:v>
      </x:c>
      <x:c r="L362" s="32" t="n">
        <x:v>0.0238455715367146101438304315</x:v>
      </x:c>
      <x:c r="M362" s="32" t="n">
        <x:v>0.0367146101438304314912944739</x:v>
      </x:c>
      <x:c r="N362" s="32" t="n">
        <x:v>0.0389856169568508705526116578</x:v>
      </x:c>
      <x:c r="O362" s="32" t="n">
        <x:v>0.0404996214988644965934897805</x:v>
      </x:c>
      <x:c r="P362" s="32" t="n">
        <x:v>0.0427706283118849356548069644</x:v>
      </x:c>
      <x:c r="Q362" s="32" t="n">
        <x:v>0.0431491294473883421650264951</x:v>
      </x:c>
      <x:c r="R362" s="32" t="n">
        <x:v>0.0431491294473883421650264951</x:v>
      </x:c>
      <x:c r="S362" s="32" t="n">
        <x:v>0.0461771385314155942467827403</x:v>
      </x:c>
      <x:c r="T362" s="32" t="n">
        <x:v>0.0484481453444360333080999243</x:v>
      </x:c>
      <x:c r="U362" s="32" t="n">
        <x:v>0.0499621498864496593489780469</x:v>
      </x:c>
      <x:c r="V362" s="32" t="n">
        <x:v>0.0541256623769871309613928842</x:v>
      </x:c>
      <x:c r="W362" s="32" t="n">
        <x:v>0.0575321725965177895533686601</x:v>
      </x:c>
      <x:c r="X362" s="32" t="n">
        <x:v>0.0582891748675246025738077214</x:v>
      </x:c>
      <x:c r="Y362" s="32" t="n">
        <x:v>0.0601816805450416351249053747</x:v>
      </x:c>
      <x:c r="Z362" s="32" t="n">
        <x:v>0.0624526873580620741862225587</x:v>
      </x:c>
      <x:c r="AA362" s="32" t="n">
        <x:v>0.060938682816048448145344436</x:v>
      </x:c>
      <x:c r="AB362" s="32" t="n">
        <x:v>0.0624526873580620741862225587</x:v>
      </x:c>
      <x:c r="AC362" s="32" t="n">
        <x:v>0.062074186222558667676003028</x:v>
      </x:c>
      <x:c r="AD362" s="32" t="n">
        <x:v>0.06320968962906888720666162</x:v>
      </x:c>
      <x:c r="AE362" s="32" t="n">
        <x:v>0.0635881907645722937168811506</x:v>
      </x:c>
      <x:c r="AF362" s="32" t="n">
        <x:v>0.0669947009841029523088569266</x:v>
      </x:c>
      <x:c r="AG362" s="32" t="n">
        <x:v>0.0688872066616199848599545799</x:v>
      </x:c>
      <x:c r="AH362" s="32" t="n">
        <x:v>0.0730507191521574564723694171</x:v>
      </x:c>
      <x:c r="AI362" s="32" t="n">
        <x:v>0.077592732778198334595003785</x:v>
      </x:c>
      <x:c r="AJ362" s="32" t="n">
        <x:v>0.0862982588947766843300529902</x:v>
      </x:c>
      <x:c r="AK362" s="32" t="n">
        <x:v>0.0874337623012869038607115821</x:v>
      </x:c>
      <x:c r="AL362" s="32" t="n">
        <x:v>0.0908402725208175624526873581</x:v>
      </x:c>
      <x:c r="AM362" s="32" t="n">
        <x:v>0.0893262679788039364118092354</x:v>
      </x:c>
      <x:c r="AN362" s="32" t="n">
        <x:v>0.0915972747918243754731264194</x:v>
      </x:c>
      <x:c r="BI362" s="33" t="s"/>
      <x:c r="BJ362" s="11" t="s">
        <x:v>416</x:v>
      </x:c>
      <x:c r="BK362" s="12" t="str">
        <x:f>=BX362</x:f>
      </x:c>
      <x:c r="BL362" s="12" t="n">
        <x:v>0.0908402725208175624526873581</x:v>
      </x:c>
      <x:c r="BM362" s="12" t="n">
        <x:v>0.1778955336866010598031794095</x:v>
      </x:c>
      <x:c r="BN362" s="12" t="n">
        <x:v>0.7312641937925813777441332324</x:v>
      </x:c>
      <x:c r="BO362" s="12" t="str">
        <x:f>=BW362</x:f>
      </x:c>
      <x:c r="BP362" s="12" t="str">
        <x:f>=CF362</x:f>
      </x:c>
      <x:c r="BQ362" s="12" t="str"/>
      <x:c r="BR362" s="12" t="str">
        <x:v>AW 2020 MSS</x:v>
      </x:c>
      <x:c r="BS362" s="13" t="str"/>
      <x:c r="BT362" s="30" t="n">
        <x:v>5737.04</x:v>
      </x:c>
      <x:c r="BU362" s="30" t="n">
        <x:v>-22831.1072</x:v>
      </x:c>
      <x:c r="BV362" s="30" t="str">
        <x:f>=BT362+BU362</x:f>
      </x:c>
      <x:c r="BW362" s="66" t="str">
        <x:f>=BV362/BT362</x:f>
      </x:c>
      <x:c r="BX362" s="66" t="n">
        <x:v>0.2687358062074186222558667676</x:v>
      </x:c>
      <x:c r="BY362" s="30" t="n">
        <x:v>19682.90</x:v>
      </x:c>
      <x:c r="BZ362" s="41" t="n">
        <x:v>1932</x:v>
      </x:c>
      <x:c r="CA362" s="30" t="n">
        <x:v>14393.40</x:v>
      </x:c>
      <x:c r="CC362" s="30" t="n">
        <x:v>11664.325402963427327781983347</x:v>
      </x:c>
      <x:c r="CD362" s="30" t="n">
        <x:v>-22831.1072</x:v>
      </x:c>
      <x:c r="CE362" s="30" t="str">
        <x:f>=CC362+CD362</x:f>
      </x:c>
      <x:c r="CF362" s="66" t="str">
        <x:f>=CE362/CC362</x:f>
      </x:c>
      <x:c r="CH362" s="66" t="str">
        <x:f>=CI362+CJ362</x:f>
      </x:c>
      <x:c r="CI362" s="66" t="str">
        <x:f>=BX362+(0*7)</x:f>
      </x:c>
      <x:c r="CJ362" s="66" t="str">
        <x:f>=(1-CI362)*0.5</x:f>
      </x:c>
      <x:c r="CK362" s="66" t="str">
        <x:f>=1-CH362</x:f>
      </x:c>
      <x:c r="CM362" s="66" t="str">
        <x:f>=CJ362/(1-CI362)</x:f>
      </x:c>
    </x:row>
    <x:row r="363">
      <x:c r="A363" s="31" t="s">
        <x:v>687</x:v>
      </x:c>
      <x:c r="B363" t="s"/>
      <x:c r="C363" t="s">
        <x:v>688</x:v>
      </x:c>
      <x:c r="D363" t="s">
        <x:v>147</x:v>
      </x:c>
      <x:c r="E363" s="67" t="s">
        <x:v>131</x:v>
      </x:c>
      <x:c r="F363" t="n">
        <x:v>756</x:v>
      </x:c>
      <x:c r="G363" s="32" t="n">
        <x:v>0.0264550264550264550264550265</x:v>
      </x:c>
      <x:c r="H363" s="32" t="n">
        <x:v>0.0515873015873015873015873016</x:v>
      </x:c>
      <x:c r="I363" s="32" t="n">
        <x:v>0.0648148148148148148148148148</x:v>
      </x:c>
      <x:c r="J363" s="32" t="n">
        <x:v>0.0833333333333333333333333333</x:v>
      </x:c>
      <x:c r="K363" s="32" t="n">
        <x:v>0.0714285714285714285714285714</x:v>
      </x:c>
      <x:c r="L363" s="32" t="n">
        <x:v>0.0753968253968253968253968254</x:v>
      </x:c>
      <x:c r="M363" s="32" t="n">
        <x:v>0.0753968253968253968253968254</x:v>
      </x:c>
      <x:c r="N363" s="32" t="n">
        <x:v>0.0753968253968253968253968254</x:v>
      </x:c>
      <x:c r="O363" s="32" t="n">
        <x:v>0.0727513227513227513227513228</x:v>
      </x:c>
      <x:c r="P363" s="32" t="n">
        <x:v>0.0793650793650793650793650794</x:v>
      </x:c>
      <x:c r="Q363" s="32" t="n">
        <x:v>0.0846560846560846560846560847</x:v>
      </x:c>
      <x:c r="R363" s="32" t="n">
        <x:v>0.0939153439153439153439153439</x:v>
      </x:c>
      <x:c r="S363" s="32" t="n">
        <x:v>0.1071428571428571428571428571</x:v>
      </x:c>
      <x:c r="T363" s="32" t="n">
        <x:v>0.1097883597883597883597883598</x:v>
      </x:c>
      <x:c r="U363" s="32" t="n">
        <x:v>0.1150793650793650793650793651</x:v>
      </x:c>
      <x:c r="V363" s="32" t="n">
        <x:v>0.1150793650793650793650793651</x:v>
      </x:c>
      <x:c r="W363" s="32" t="n">
        <x:v>0.1283068783068783068783068783</x:v>
      </x:c>
      <x:c r="X363" s="32" t="n">
        <x:v>0.1296296296296296296296296296</x:v>
      </x:c>
      <x:c r="Y363" s="32" t="n">
        <x:v>0.1296296296296296296296296296</x:v>
      </x:c>
      <x:c r="Z363" s="32" t="n">
        <x:v>0.1335978835978835978835978836</x:v>
      </x:c>
      <x:c r="AA363" s="32" t="n">
        <x:v>0.1547619047619047619047619048</x:v>
      </x:c>
      <x:c r="AB363" s="32" t="n">
        <x:v>0.164021164021164021164021164</x:v>
      </x:c>
      <x:c r="AC363" s="32" t="n">
        <x:v>0.1798941798941798941798941799</x:v>
      </x:c>
      <x:c r="AD363" s="32" t="n">
        <x:v>0.1917989417989417989417989418</x:v>
      </x:c>
      <x:c r="AE363" s="32" t="n">
        <x:v>0.1772486772486772486772486772</x:v>
      </x:c>
      <x:c r="AF363" s="32" t="n">
        <x:v>0.1851851851851851851851851852</x:v>
      </x:c>
      <x:c r="AG363" s="32" t="n">
        <x:v>0.1878306878306878306878306878</x:v>
      </x:c>
      <x:c r="AH363" s="32" t="n">
        <x:v>0.1917989417989417989417989418</x:v>
      </x:c>
      <x:c r="AI363" s="32" t="n">
        <x:v>0.1904761904761904761904761905</x:v>
      </x:c>
      <x:c r="AJ363" s="32" t="n">
        <x:v>0.1865079365079365079365079365</x:v>
      </x:c>
      <x:c r="BI363" s="33" t="s"/>
      <x:c r="BJ363" s="11" t="s">
        <x:v>325</x:v>
      </x:c>
      <x:c r="BK363" s="12" t="str">
        <x:f>=BX363</x:f>
      </x:c>
      <x:c r="BL363" s="12" t="n">
        <x:v>0.1984126984126984126984126984</x:v>
      </x:c>
      <x:c r="BM363" s="12" t="n">
        <x:v>0.3346560846560846560846560847</x:v>
      </x:c>
      <x:c r="BN363" s="12" t="n">
        <x:v>0.4669312169312169312169312169</x:v>
      </x:c>
      <x:c r="BO363" s="12" t="str">
        <x:f>=BW363</x:f>
      </x:c>
      <x:c r="BP363" s="12" t="str">
        <x:f>=CF363</x:f>
      </x:c>
      <x:c r="BQ363" s="12" t="str"/>
      <x:c r="BR363" s="12" t="str">
        <x:v>AW 2020 MSS</x:v>
      </x:c>
      <x:c r="BS363" s="13" t="str"/>
      <x:c r="BT363" s="30" t="n">
        <x:v>5905.31</x:v>
      </x:c>
      <x:c r="BU363" s="30" t="n">
        <x:v>-11875.8528</x:v>
      </x:c>
      <x:c r="BV363" s="30" t="str">
        <x:f>=BT363+BU363</x:f>
      </x:c>
      <x:c r="BW363" s="66" t="str">
        <x:f>=BV363/BT363</x:f>
      </x:c>
      <x:c r="BX363" s="66" t="n">
        <x:v>0.5330687830687830687830687831</x:v>
      </x:c>
      <x:c r="BY363" s="30" t="n">
        <x:v>10402.56</x:v>
      </x:c>
      <x:c r="BZ363" s="41" t="n">
        <x:v>353</x:v>
      </x:c>
      <x:c r="CA363" s="30" t="n">
        <x:v>4857.28</x:v>
      </x:c>
      <x:c r="CC363" s="30" t="n">
        <x:v>6645.5354754747354497354497357</x:v>
      </x:c>
      <x:c r="CD363" s="30" t="n">
        <x:v>-11875.8528</x:v>
      </x:c>
      <x:c r="CE363" s="30" t="str">
        <x:f>=CC363+CD363</x:f>
      </x:c>
      <x:c r="CF363" s="66" t="str">
        <x:f>=CE363/CC363</x:f>
      </x:c>
      <x:c r="CH363" s="66" t="str">
        <x:f>=CI363+CJ363</x:f>
      </x:c>
      <x:c r="CI363" s="66" t="str">
        <x:f>=BX363+(0*7)</x:f>
      </x:c>
      <x:c r="CJ363" s="66" t="str">
        <x:f>=(1-CI363)*0.5</x:f>
      </x:c>
      <x:c r="CK363" s="66" t="str">
        <x:f>=1-CH363</x:f>
      </x:c>
      <x:c r="CM363" s="66" t="str">
        <x:f>=CJ363/(1-CI363)</x:f>
      </x:c>
    </x:row>
    <x:row r="364">
      <x:c r="A364" s="31" t="s">
        <x:v>689</x:v>
      </x:c>
      <x:c r="B364" t="s"/>
      <x:c r="C364" t="s">
        <x:v>690</x:v>
      </x:c>
      <x:c r="D364" t="s">
        <x:v>147</x:v>
      </x:c>
      <x:c r="E364" s="67" t="s">
        <x:v>131</x:v>
      </x:c>
      <x:c r="F364" t="n">
        <x:v>484</x:v>
      </x:c>
      <x:c r="G364" s="32" t="n">
        <x:v>0.0123966942148760330578512397</x:v>
      </x:c>
      <x:c r="H364" s="32" t="n">
        <x:v>0.026859504132231404958677686</x:v>
      </x:c>
      <x:c r="I364" s="32" t="n">
        <x:v>0.0330578512396694214876033058</x:v>
      </x:c>
      <x:c r="J364" s="32" t="n">
        <x:v>0.0309917355371900826446280992</x:v>
      </x:c>
      <x:c r="K364" s="32" t="n">
        <x:v>0.0351239669421487603305785124</x:v>
      </x:c>
      <x:c r="L364" s="32" t="n">
        <x:v>0.037190082644628099173553719</x:v>
      </x:c>
      <x:c r="M364" s="32" t="n">
        <x:v>0.0413223140495867768595041322</x:v>
      </x:c>
      <x:c r="N364" s="32" t="n">
        <x:v>0.0413223140495867768595041322</x:v>
      </x:c>
      <x:c r="O364" s="32" t="n">
        <x:v>0.0392561983471074380165289256</x:v>
      </x:c>
      <x:c r="P364" s="32" t="n">
        <x:v>0.0454545454545454545454545455</x:v>
      </x:c>
      <x:c r="Q364" s="32" t="n">
        <x:v>0.064049586776859504132231405</x:v>
      </x:c>
      <x:c r="R364" s="32" t="n">
        <x:v>0.0661157024793388429752066116</x:v>
      </x:c>
      <x:c r="S364" s="32" t="n">
        <x:v>0.0764462809917355371900826446</x:v>
      </x:c>
      <x:c r="T364" s="32" t="n">
        <x:v>0.0826446280991735537190082645</x:v>
      </x:c>
      <x:c r="U364" s="32" t="n">
        <x:v>0.0888429752066115702479338843</x:v>
      </x:c>
      <x:c r="V364" s="32" t="n">
        <x:v>0.0991735537190082644628099174</x:v>
      </x:c>
      <x:c r="W364" s="32" t="n">
        <x:v>0.1136363636363636363636363636</x:v>
      </x:c>
      <x:c r="X364" s="32" t="n">
        <x:v>0.1322314049586776859504132231</x:v>
      </x:c>
      <x:c r="Y364" s="32" t="n">
        <x:v>0.138429752066115702479338843</x:v>
      </x:c>
      <x:c r="Z364" s="32" t="n">
        <x:v>0.1652892561983471074380165289</x:v>
      </x:c>
      <x:c r="AA364" s="32" t="n">
        <x:v>0.1673553719008264462809917355</x:v>
      </x:c>
      <x:c r="AB364" s="32" t="n">
        <x:v>0.1714876033057851239669421488</x:v>
      </x:c>
      <x:c r="AC364" s="32" t="n">
        <x:v>0.1652892561983471074380165289</x:v>
      </x:c>
      <x:c r="AD364" s="32" t="n">
        <x:v>0.1921487603305785123966942149</x:v>
      </x:c>
      <x:c r="AE364" s="32" t="n">
        <x:v>0.2479338842975206611570247934</x:v>
      </x:c>
      <x:c r="AF364" s="32" t="n">
        <x:v>0.2541322314049586776859504132</x:v>
      </x:c>
      <x:c r="AG364" s="32" t="n">
        <x:v>0.2541322314049586776859504132</x:v>
      </x:c>
      <x:c r="AH364" s="32" t="n">
        <x:v>0.2644628099173553719008264463</x:v>
      </x:c>
      <x:c r="AI364" s="32" t="n">
        <x:v>0.2623966942148760330578512397</x:v>
      </x:c>
      <x:c r="BI364" s="33" t="s"/>
      <x:c r="BJ364" s="11" t="s">
        <x:v>205</x:v>
      </x:c>
      <x:c r="BK364" s="12" t="str">
        <x:f>=BX364</x:f>
      </x:c>
      <x:c r="BL364" s="12" t="n">
        <x:v>0.2561983471074380165289256198</x:v>
      </x:c>
      <x:c r="BM364" s="12" t="n">
        <x:v>0.3285123966942148760330578512</x:v>
      </x:c>
      <x:c r="BN364" s="12" t="n">
        <x:v>0.4152892561983471074380165289</x:v>
      </x:c>
      <x:c r="BO364" s="12" t="str">
        <x:f>=BW364</x:f>
      </x:c>
      <x:c r="BP364" s="12" t="str">
        <x:f>=CF364</x:f>
      </x:c>
      <x:c r="BQ364" s="12" t="str"/>
      <x:c r="BR364" s="12" t="str">
        <x:v>AW 2020 MSS</x:v>
      </x:c>
      <x:c r="BS364" s="13" t="str"/>
      <x:c r="BT364" s="30" t="n">
        <x:v>4218.75</x:v>
      </x:c>
      <x:c r="BU364" s="30" t="n">
        <x:v>-6443.0080</x:v>
      </x:c>
      <x:c r="BV364" s="30" t="str">
        <x:f>=BT364+BU364</x:f>
      </x:c>
      <x:c r="BW364" s="66" t="str">
        <x:f>=BV364/BT364</x:f>
      </x:c>
      <x:c r="BX364" s="66" t="n">
        <x:v>0.5847107438016528925619834711</x:v>
      </x:c>
      <x:c r="BY364" s="30" t="n">
        <x:v>5624.08</x:v>
      </x:c>
      <x:c r="BZ364" s="41" t="n">
        <x:v>201</x:v>
      </x:c>
      <x:c r="CA364" s="30" t="n">
        <x:v>2335.62</x:v>
      </x:c>
      <x:c r="CC364" s="30" t="n">
        <x:v>4435.1458772820247933884297526</x:v>
      </x:c>
      <x:c r="CD364" s="30" t="n">
        <x:v>-6443.0080</x:v>
      </x:c>
      <x:c r="CE364" s="30" t="str">
        <x:f>=CC364+CD364</x:f>
      </x:c>
      <x:c r="CF364" s="66" t="str">
        <x:f>=CE364/CC364</x:f>
      </x:c>
      <x:c r="CH364" s="66" t="str">
        <x:f>=CI364+CJ364</x:f>
      </x:c>
      <x:c r="CI364" s="66" t="str">
        <x:f>=BX364+(0*7)</x:f>
      </x:c>
      <x:c r="CJ364" s="66" t="str">
        <x:f>=(1-CI364)*0.5</x:f>
      </x:c>
      <x:c r="CK364" s="66" t="str">
        <x:f>=1-CH364</x:f>
      </x:c>
      <x:c r="CM364" s="66" t="str">
        <x:f>=CJ364/(1-CI364)</x:f>
      </x:c>
    </x:row>
    <x:row r="365">
      <x:c r="A365" s="31" t="s">
        <x:v>691</x:v>
      </x:c>
      <x:c r="B365" t="s"/>
      <x:c r="C365" t="s">
        <x:v>692</x:v>
      </x:c>
      <x:c r="D365" t="s">
        <x:v>118</x:v>
      </x:c>
      <x:c r="E365" s="67" t="s">
        <x:v>131</x:v>
      </x:c>
      <x:c r="F365" t="n">
        <x:v>6028</x:v>
      </x:c>
      <x:c r="G365" s="32" t="n">
        <x:v>0.0064698075646980756469807565</x:v>
      </x:c>
      <x:c r="H365" s="32" t="n">
        <x:v>0.0361645653616456536164565362</x:v>
      </x:c>
      <x:c r="I365" s="32" t="n">
        <x:v>0.0590577305905773059057730591</x:v>
      </x:c>
      <x:c r="J365" s="32" t="n">
        <x:v>0.0628732581287325812873258129</x:v>
      </x:c>
      <x:c r="K365" s="32" t="n">
        <x:v>0.0651957531519575315195753152</x:v>
      </x:c>
      <x:c r="L365" s="32" t="n">
        <x:v>0.0814532183145321831453218315</x:v>
      </x:c>
      <x:c r="M365" s="32" t="n">
        <x:v>0.1011944260119442601194426012</x:v>
      </x:c>
      <x:c r="N365" s="32" t="n">
        <x:v>0.1255806237558062375580623756</x:v>
      </x:c>
      <x:c r="O365" s="32" t="n">
        <x:v>0.1444923689449236894492368945</x:v>
      </x:c>
      <x:c r="P365" s="32" t="n">
        <x:v>0.1446582614465826144658261447</x:v>
      </x:c>
      <x:c r="Q365" s="32" t="n">
        <x:v>0.1428334439283344392833443928</x:v>
      </x:c>
      <x:c r="R365" s="32" t="n">
        <x:v>0.1423357664233576642335766423</x:v>
      </x:c>
      <x:c r="S365" s="32" t="n">
        <x:v>0.1474784339747843397478433975</x:v>
      </x:c>
      <x:c r="T365" s="32" t="n">
        <x:v>0.1534505640345056403450564035</x:v>
      </x:c>
      <x:c r="U365" s="32" t="n">
        <x:v>0.1592568015925680159256801593</x:v>
      </x:c>
      <x:c r="V365" s="32" t="n">
        <x:v>0.1627405441274054412740544127</x:v>
      </x:c>
      <x:c r="W365" s="32" t="n">
        <x:v>0.1617451891174518911745189117</x:v>
      </x:c>
      <x:c r="X365" s="32" t="n">
        <x:v>0.1670537491705374917053749171</x:v>
      </x:c>
      <x:c r="Y365" s="32" t="n">
        <x:v>0.182979429329794293297942933</x:v>
      </x:c>
      <x:c r="Z365" s="32" t="n">
        <x:v>0.1997345719973457199734571997</x:v>
      </x:c>
      <x:c r="AA365" s="32" t="n">
        <x:v>0.2208029197080291970802919708</x:v>
      </x:c>
      <x:c r="AB365" s="32" t="n">
        <x:v>0.2372262773722627737226277372</x:v>
      </x:c>
      <x:c r="BI365" s="33" t="s"/>
      <x:c r="BJ365" s="11" t="s">
        <x:v>330</x:v>
      </x:c>
      <x:c r="BK365" s="12" t="str">
        <x:f>=BX365</x:f>
      </x:c>
      <x:c r="BL365" s="12" t="n">
        <x:v>0.2901459854014598540145985401</x:v>
      </x:c>
      <x:c r="BM365" s="12" t="n">
        <x:v>-0.0004976775049767750497677505</x:v>
      </x:c>
      <x:c r="BN365" s="12" t="n">
        <x:v>0.7103516921035169210351692104</x:v>
      </x:c>
      <x:c r="BO365" s="12" t="str">
        <x:f>=BW365</x:f>
      </x:c>
      <x:c r="BP365" s="12" t="str">
        <x:f>=CF365</x:f>
      </x:c>
      <x:c r="BQ365" s="12" t="str"/>
      <x:c r="BR365" s="12" t="str">
        <x:v>AW 2020 MSS</x:v>
      </x:c>
      <x:c r="BS365" s="13" t="str"/>
      <x:c r="BT365" s="30" t="n">
        <x:v>28463.29</x:v>
      </x:c>
      <x:c r="BU365" s="30" t="n">
        <x:v>-59370.3874</x:v>
      </x:c>
      <x:c r="BV365" s="30" t="str">
        <x:f>=BT365+BU365</x:f>
      </x:c>
      <x:c r="BW365" s="66" t="str">
        <x:f>=BV365/BT365</x:f>
      </x:c>
      <x:c r="BX365" s="66" t="n">
        <x:v>0.2896483078964830789648307896</x:v>
      </x:c>
      <x:c r="BY365" s="30" t="n">
        <x:v>59008.54</x:v>
      </x:c>
      <x:c r="BZ365" s="41" t="n">
        <x:v>4282</x:v>
      </x:c>
      <x:c r="CA365" s="30" t="n">
        <x:v>41916.816237558062375580623755</x:v>
      </x:c>
      <x:c r="CC365" s="30" t="n">
        <x:v>52497.948274612342402123424022</x:v>
      </x:c>
      <x:c r="CD365" s="30" t="n">
        <x:v>-59370.3874</x:v>
      </x:c>
      <x:c r="CE365" s="30" t="str">
        <x:f>=CC365+CD365</x:f>
      </x:c>
      <x:c r="CF365" s="66" t="str">
        <x:f>=CE365/CC365</x:f>
      </x:c>
      <x:c r="CH365" s="66" t="str">
        <x:f>=CI365+CJ365</x:f>
      </x:c>
      <x:c r="CI365" s="66" t="str">
        <x:f>=BX365+(0*7)</x:f>
      </x:c>
      <x:c r="CJ365" s="66" t="str">
        <x:f>=(1-CI365)*0.5</x:f>
      </x:c>
      <x:c r="CK365" s="66" t="str">
        <x:f>=1-CH365</x:f>
      </x:c>
      <x:c r="CM365" s="66" t="str">
        <x:f>=CJ365/(1-CI365)</x:f>
      </x:c>
    </x:row>
    <x:row r="366">
      <x:c r="A366" s="34" t="s"/>
      <x:c r="B366" s="6" t="s"/>
      <x:c r="C366" s="6" t="s"/>
      <x:c r="D366" s="6" t="s"/>
      <x:c r="E366" s="6" t="s"/>
      <x:c r="F366" s="6" t="s"/>
      <x:c r="G366" s="6" t="s"/>
      <x:c r="H366" s="6" t="s"/>
      <x:c r="I366" s="6" t="s"/>
      <x:c r="J366" s="6" t="s"/>
      <x:c r="K366" s="6" t="s"/>
      <x:c r="L366" s="6" t="s"/>
      <x:c r="M366" s="6" t="s"/>
      <x:c r="N366" s="6" t="s"/>
      <x:c r="O366" s="6" t="s"/>
      <x:c r="P366" s="6" t="s"/>
      <x:c r="Q366" s="6" t="s"/>
      <x:c r="R366" s="6" t="s"/>
      <x:c r="S366" s="6" t="s"/>
      <x:c r="T366" s="6" t="s"/>
      <x:c r="U366" s="6" t="s"/>
      <x:c r="V366" s="6" t="s"/>
      <x:c r="W366" s="6" t="s"/>
      <x:c r="X366" s="6" t="s"/>
      <x:c r="Y366" s="6" t="s"/>
      <x:c r="Z366" s="6" t="s"/>
      <x:c r="AA366" s="6" t="s"/>
      <x:c r="AB366" s="6" t="s"/>
      <x:c r="AC366" s="6" t="s"/>
      <x:c r="AD366" s="6" t="s"/>
      <x:c r="AE366" s="6" t="s"/>
      <x:c r="AF366" s="6" t="s"/>
      <x:c r="AG366" s="6" t="s"/>
      <x:c r="AH366" s="6" t="s"/>
      <x:c r="AI366" s="6" t="s"/>
      <x:c r="AJ366" s="6" t="s"/>
      <x:c r="AK366" s="6" t="s"/>
      <x:c r="AL366" s="6" t="s"/>
      <x:c r="AM366" s="6" t="s"/>
      <x:c r="AN366" s="6" t="s"/>
      <x:c r="AO366" s="6" t="s"/>
      <x:c r="AP366" s="6" t="s"/>
      <x:c r="AQ366" s="6" t="s"/>
      <x:c r="AR366" s="6" t="s"/>
      <x:c r="AS366" s="6" t="s"/>
      <x:c r="AT366" s="6" t="s"/>
      <x:c r="AU366" s="6" t="s"/>
      <x:c r="AV366" s="6" t="s"/>
      <x:c r="AW366" s="6" t="s"/>
      <x:c r="AX366" s="6" t="s"/>
      <x:c r="AY366" s="6" t="s"/>
      <x:c r="AZ366" s="6" t="s"/>
      <x:c r="BA366" s="6" t="s"/>
      <x:c r="BB366" s="6" t="s"/>
      <x:c r="BC366" s="6" t="s"/>
      <x:c r="BD366" s="6" t="s"/>
      <x:c r="BE366" s="6" t="s"/>
      <x:c r="BF366" s="6" t="s"/>
      <x:c r="BG366" s="6" t="s"/>
      <x:c r="BH366" s="6" t="s"/>
      <x:c r="BI366" s="8" t="s"/>
      <x:c r="BJ366" s="14" t="s">
        <x:v>36</x:v>
      </x:c>
      <x:c r="BK366" s="15" t="s"/>
      <x:c r="BL366" s="15" t="s"/>
      <x:c r="BM366" s="15" t="s"/>
      <x:c r="BN366" s="15" t="s"/>
      <x:c r="BO366" s="37">
        <x:f>=BV367/BT367</x:f>
      </x:c>
      <x:c r="BP366" s="37">
        <x:f>=CF367</x:f>
      </x:c>
      <x:c r="BQ366" s="6" t="s"/>
      <x:c r="BR366" s="6" t="s"/>
      <x:c r="BS366" s="8" t="s"/>
      <x:c r="BT366" s="20" t="n">
        <x:v>647273.05</x:v>
      </x:c>
      <x:c r="BU366" s="20" t="n">
        <x:v>-557837.14349858521657417210</x:v>
      </x:c>
      <x:c r="BV366" s="20" t="str">
        <x:f>=BT366+BU366</x:f>
      </x:c>
      <x:c r="BW366" s="21" t="n">
        <x:v>0.1381733821629292049558187229</x:v>
      </x:c>
      <x:c r="BY366" s="20" t="n">
        <x:v>-524818.200122252800591930</x:v>
      </x:c>
      <x:c r="BZ366" s="20" t="n">
        <x:v>11575</x:v>
      </x:c>
      <x:c r="CA366" s="20" t="n">
        <x:v>87844.09674661011896421884128</x:v>
      </x:c>
      <x:c r="CC366" s="20" t="n">
        <x:v>680479.54362141770159130600951</x:v>
      </x:c>
      <x:c r="CD366" s="20" t="n">
        <x:v>-557837.14349858521657417210</x:v>
      </x:c>
      <x:c r="CE366" s="20" t="str">
        <x:f>=CC366+CD366</x:f>
      </x:c>
      <x:c r="CF366" s="21" t="n">
        <x:v>0.1802293709964397321100357338</x:v>
      </x:c>
    </x:row>
    <x:row r="367">
      <x:c r="BT367" s="18" t="n">
        <x:v>647273.05</x:v>
      </x:c>
      <x:c r="BU367" s="18" t="n">
        <x:v>-557837.14349858521657417210</x:v>
      </x:c>
      <x:c r="BV367" s="18" t="str">
        <x:f>=BT367+BU367</x:f>
      </x:c>
      <x:c r="BW367" s="19" t="n">
        <x:v>0.1381733821629292049558187229</x:v>
      </x:c>
      <x:c r="BY367" s="18" t="n">
        <x:v>-524818.200122252800591930</x:v>
      </x:c>
      <x:c r="BZ367" s="18" t="n">
        <x:v>11575</x:v>
      </x:c>
      <x:c r="CA367" s="18" t="n">
        <x:v>87844.09674661011896421884128</x:v>
      </x:c>
      <x:c r="CC367" s="18" t="n">
        <x:v>680479.54362141770159130600951</x:v>
      </x:c>
      <x:c r="CD367" s="18" t="n">
        <x:v>-557837.14349858521657417210</x:v>
      </x:c>
      <x:c r="CE367" s="18" t="str">
        <x:f>=CC367+CD367</x:f>
      </x:c>
      <x:c r="CF367" s="19" t="n">
        <x:v>0.1802293709964397321100357338</x:v>
      </x:c>
    </x:row>
    <x:row r="368">
      <x:c r="A368" s="10" t="s">
        <x:v>693</x:v>
      </x:c>
      <x:c r="B368" s="5" t="s"/>
      <x:c r="C368" s="5" t="s"/>
      <x:c r="D368" s="5" t="s"/>
      <x:c r="E368" s="5" t="s"/>
      <x:c r="F368" s="5" t="s"/>
      <x:c r="G368" s="5" t="s"/>
      <x:c r="H368" s="5" t="s"/>
      <x:c r="I368" s="5" t="s"/>
      <x:c r="J368" s="5" t="s"/>
      <x:c r="K368" s="5" t="s"/>
      <x:c r="L368" s="5" t="s"/>
      <x:c r="M368" s="5" t="s"/>
      <x:c r="N368" s="5" t="s"/>
      <x:c r="O368" s="5" t="s"/>
      <x:c r="P368" s="5" t="s"/>
      <x:c r="Q368" s="5" t="s"/>
      <x:c r="R368" s="5" t="s"/>
      <x:c r="S368" s="5" t="s"/>
      <x:c r="T368" s="5" t="s"/>
      <x:c r="U368" s="5" t="s"/>
      <x:c r="V368" s="5" t="s"/>
      <x:c r="W368" s="5" t="s"/>
      <x:c r="X368" s="5" t="s"/>
      <x:c r="Y368" s="5" t="s"/>
      <x:c r="Z368" s="5" t="s"/>
      <x:c r="AA368" s="5" t="s"/>
      <x:c r="AB368" s="5" t="s"/>
      <x:c r="AC368" s="5" t="s"/>
      <x:c r="AD368" s="5" t="s"/>
      <x:c r="AE368" s="5" t="s"/>
      <x:c r="AF368" s="5" t="s"/>
      <x:c r="AG368" s="5" t="s"/>
      <x:c r="AH368" s="5" t="s"/>
      <x:c r="AI368" s="5" t="s"/>
      <x:c r="AJ368" s="5" t="s"/>
      <x:c r="AK368" s="5" t="s"/>
      <x:c r="AL368" s="5" t="s"/>
      <x:c r="AM368" s="5" t="s"/>
      <x:c r="AN368" s="5" t="s"/>
      <x:c r="AO368" s="5" t="s"/>
      <x:c r="AP368" s="5" t="s"/>
      <x:c r="AQ368" s="5" t="s"/>
      <x:c r="AR368" s="5" t="s"/>
      <x:c r="AS368" s="5" t="s"/>
      <x:c r="AT368" s="5" t="s"/>
      <x:c r="AU368" s="5" t="s"/>
      <x:c r="AV368" s="5" t="s"/>
      <x:c r="AW368" s="5" t="s"/>
      <x:c r="AX368" s="5" t="s"/>
      <x:c r="AY368" s="5" t="s"/>
      <x:c r="AZ368" s="5" t="s"/>
      <x:c r="BA368" s="5" t="s"/>
      <x:c r="BB368" s="5" t="s"/>
      <x:c r="BC368" s="5" t="s"/>
      <x:c r="BD368" s="5" t="s"/>
      <x:c r="BE368" s="5" t="s"/>
      <x:c r="BF368" s="5" t="s"/>
      <x:c r="BG368" s="5" t="s"/>
      <x:c r="BH368" s="5" t="s"/>
      <x:c r="BI368" s="7" t="s"/>
      <x:c r="BJ368" s="10" t="s"/>
      <x:c r="BK368" s="5" t="s"/>
      <x:c r="BL368" s="5" t="s"/>
      <x:c r="BM368" s="5" t="s"/>
      <x:c r="BN368" s="5" t="s"/>
      <x:c r="BO368" s="5" t="s"/>
      <x:c r="BP368" s="5" t="s"/>
      <x:c r="BQ368" s="5" t="s"/>
      <x:c r="BR368" s="5" t="s"/>
      <x:c r="BS368" s="7" t="s"/>
      <x:c r="BT368" s="47" t="s">
        <x:v>11</x:v>
      </x:c>
      <x:c r="BU368" s="48"/>
      <x:c r="BV368" s="49"/>
      <x:c r="BW368" s="50"/>
      <x:c r="BX368" s="50"/>
      <x:c r="BY368" s="51"/>
      <x:c r="BZ368" s="52"/>
      <x:c r="CA368" s="51"/>
      <x:c r="CC368" s="57" t="s">
        <x:v>26</x:v>
      </x:c>
      <x:c r="CD368" s="58"/>
      <x:c r="CE368" s="58"/>
      <x:c r="CF368" s="58"/>
      <x:c r="CG368" s="58"/>
      <x:c r="CH368" s="59"/>
      <x:c r="CI368" s="59"/>
      <x:c r="CJ368" s="59"/>
      <x:c r="CK368" s="59"/>
      <x:c r="CL368" s="58"/>
      <x:c r="CM368" s="60"/>
    </x:row>
    <x:row r="369" ht="45.75" customHeight="1">
      <x:c r="A369" s="40" t="s">
        <x:v>43</x:v>
      </x:c>
      <x:c r="B369" s="40" t="s">
        <x:v>44</x:v>
      </x:c>
      <x:c r="C369" s="40" t="s">
        <x:v>45</x:v>
      </x:c>
      <x:c r="D369" s="40" t="s">
        <x:v>46</x:v>
      </x:c>
      <x:c r="E369" s="40" t="s">
        <x:v>47</x:v>
      </x:c>
      <x:c r="F369" s="40" t="s">
        <x:v>102</x:v>
      </x:c>
      <x:c r="G369" s="40" t="s">
        <x:v>48</x:v>
      </x:c>
      <x:c r="H369" s="40" t="s">
        <x:v>49</x:v>
      </x:c>
      <x:c r="I369" s="40" t="s">
        <x:v>50</x:v>
      </x:c>
      <x:c r="J369" s="40" t="s">
        <x:v>51</x:v>
      </x:c>
      <x:c r="K369" s="40" t="s">
        <x:v>52</x:v>
      </x:c>
      <x:c r="L369" s="40" t="s">
        <x:v>53</x:v>
      </x:c>
      <x:c r="M369" s="40" t="s">
        <x:v>54</x:v>
      </x:c>
      <x:c r="N369" s="40" t="s">
        <x:v>55</x:v>
      </x:c>
      <x:c r="O369" s="40" t="s">
        <x:v>56</x:v>
      </x:c>
      <x:c r="P369" s="40" t="s">
        <x:v>57</x:v>
      </x:c>
      <x:c r="Q369" s="40" t="s">
        <x:v>58</x:v>
      </x:c>
      <x:c r="R369" s="40" t="s">
        <x:v>59</x:v>
      </x:c>
      <x:c r="S369" s="40" t="s">
        <x:v>60</x:v>
      </x:c>
      <x:c r="T369" s="40" t="s">
        <x:v>61</x:v>
      </x:c>
      <x:c r="U369" s="40" t="s">
        <x:v>62</x:v>
      </x:c>
      <x:c r="V369" s="40" t="s">
        <x:v>63</x:v>
      </x:c>
      <x:c r="W369" s="40" t="s">
        <x:v>64</x:v>
      </x:c>
      <x:c r="X369" s="40" t="s">
        <x:v>65</x:v>
      </x:c>
      <x:c r="Y369" s="40" t="s">
        <x:v>66</x:v>
      </x:c>
      <x:c r="Z369" s="40" t="s">
        <x:v>67</x:v>
      </x:c>
      <x:c r="AA369" s="40" t="s">
        <x:v>68</x:v>
      </x:c>
      <x:c r="AB369" s="40" t="s">
        <x:v>69</x:v>
      </x:c>
      <x:c r="AC369" s="40" t="s">
        <x:v>70</x:v>
      </x:c>
      <x:c r="AD369" s="40" t="s">
        <x:v>71</x:v>
      </x:c>
      <x:c r="AE369" s="40" t="s">
        <x:v>72</x:v>
      </x:c>
      <x:c r="AF369" s="40" t="s">
        <x:v>73</x:v>
      </x:c>
      <x:c r="AG369" s="40" t="s">
        <x:v>74</x:v>
      </x:c>
      <x:c r="AH369" s="40" t="s">
        <x:v>75</x:v>
      </x:c>
      <x:c r="AI369" s="40" t="s">
        <x:v>76</x:v>
      </x:c>
      <x:c r="AJ369" s="40" t="s">
        <x:v>77</x:v>
      </x:c>
      <x:c r="AK369" s="40" t="s">
        <x:v>78</x:v>
      </x:c>
      <x:c r="AL369" s="40" t="s">
        <x:v>79</x:v>
      </x:c>
      <x:c r="AM369" s="40" t="s">
        <x:v>80</x:v>
      </x:c>
      <x:c r="AN369" s="40" t="s">
        <x:v>81</x:v>
      </x:c>
      <x:c r="AO369" s="40" t="s">
        <x:v>82</x:v>
      </x:c>
      <x:c r="AP369" s="40" t="s">
        <x:v>83</x:v>
      </x:c>
      <x:c r="AQ369" s="40" t="s">
        <x:v>84</x:v>
      </x:c>
      <x:c r="AR369" s="40" t="s">
        <x:v>85</x:v>
      </x:c>
      <x:c r="AS369" s="40" t="s">
        <x:v>86</x:v>
      </x:c>
      <x:c r="AT369" s="40" t="s">
        <x:v>87</x:v>
      </x:c>
      <x:c r="AU369" s="40" t="s">
        <x:v>88</x:v>
      </x:c>
      <x:c r="AV369" s="40" t="s">
        <x:v>89</x:v>
      </x:c>
      <x:c r="AW369" s="40" t="s">
        <x:v>90</x:v>
      </x:c>
      <x:c r="AX369" s="40" t="s">
        <x:v>91</x:v>
      </x:c>
      <x:c r="AY369" s="40" t="s">
        <x:v>92</x:v>
      </x:c>
      <x:c r="AZ369" s="40" t="s">
        <x:v>93</x:v>
      </x:c>
      <x:c r="BA369" s="40" t="s">
        <x:v>94</x:v>
      </x:c>
      <x:c r="BB369" s="40" t="s">
        <x:v>95</x:v>
      </x:c>
      <x:c r="BC369" s="40" t="s">
        <x:v>96</x:v>
      </x:c>
      <x:c r="BD369" s="40" t="s">
        <x:v>97</x:v>
      </x:c>
      <x:c r="BE369" s="40" t="s">
        <x:v>98</x:v>
      </x:c>
      <x:c r="BF369" s="40" t="s">
        <x:v>99</x:v>
      </x:c>
      <x:c r="BG369" s="40" t="s">
        <x:v>100</x:v>
      </x:c>
      <x:c r="BH369" s="40" t="s">
        <x:v>101</x:v>
      </x:c>
      <x:c r="BJ369" s="31" t="s">
        <x:v>103</x:v>
      </x:c>
      <x:c r="BK369" s="32" t="s">
        <x:v>104</x:v>
      </x:c>
      <x:c r="BL369" s="32" t="s">
        <x:v>105</x:v>
      </x:c>
      <x:c r="BM369" s="32" t="s">
        <x:v>106</x:v>
      </x:c>
      <x:c r="BN369" s="32" t="s">
        <x:v>107</x:v>
      </x:c>
      <x:c r="BO369" s="32" t="s">
        <x:v>108</x:v>
      </x:c>
      <x:c r="BP369" s="32" t="s">
        <x:v>109</x:v>
      </x:c>
      <x:c r="BQ369" s="32" t="s">
        <x:v>110</x:v>
      </x:c>
      <x:c r="BR369" s="32" t="s">
        <x:v>111</x:v>
      </x:c>
      <x:c r="BS369" s="33" t="s">
        <x:v>112</x:v>
      </x:c>
      <x:c r="BT369" s="53" t="s">
        <x:v>12</x:v>
      </x:c>
      <x:c r="BU369" s="54" t="s">
        <x:v>13</x:v>
      </x:c>
      <x:c r="BV369" s="54" t="s">
        <x:v>14</x:v>
      </x:c>
      <x:c r="BW369" s="55" t="s">
        <x:v>15</x:v>
      </x:c>
      <x:c r="BX369" s="55" t="s">
        <x:v>27</x:v>
      </x:c>
      <x:c r="BY369" s="56" t="s">
        <x:v>16</x:v>
      </x:c>
      <x:c r="BZ369" s="53" t="s">
        <x:v>17</x:v>
      </x:c>
      <x:c r="CA369" s="56" t="s">
        <x:v>18</x:v>
      </x:c>
      <x:c r="CC369" s="61" t="s">
        <x:v>19</x:v>
      </x:c>
      <x:c r="CD369" s="62" t="s">
        <x:v>20</x:v>
      </x:c>
      <x:c r="CE369" s="62" t="s">
        <x:v>21</x:v>
      </x:c>
      <x:c r="CF369" s="62" t="s">
        <x:v>15</x:v>
      </x:c>
      <x:c r="CG369" s="62"/>
      <x:c r="CH369" s="63" t="s">
        <x:v>22</x:v>
      </x:c>
      <x:c r="CI369" s="63" t="s">
        <x:v>23</x:v>
      </x:c>
      <x:c r="CJ369" s="63" t="s">
        <x:v>25</x:v>
      </x:c>
      <x:c r="CK369" s="63" t="s">
        <x:v>24</x:v>
      </x:c>
      <x:c r="CL369" s="62"/>
      <x:c r="CM369" s="64" t="s">
        <x:v>28</x:v>
      </x:c>
    </x:row>
    <x:row r="370">
      <x:c r="BJ370" s="31" t="s"/>
      <x:c r="BS370" s="33" t="s"/>
    </x:row>
    <x:row r="371">
      <x:c r="A371" s="35" t="s">
        <x:v>150</x:v>
      </x:c>
      <x:c r="BI371" s="33" t="s"/>
      <x:c r="BJ371" s="11" t="s"/>
      <x:c r="BS371" s="13" t="s"/>
    </x:row>
    <x:row r="372">
      <x:c r="A372" s="17" t="s">
        <x:v>127</x:v>
      </x:c>
      <x:c r="BI372" s="33" t="s"/>
      <x:c r="BJ372" s="11" t="s"/>
      <x:c r="BS372" s="13" t="s"/>
    </x:row>
    <x:row r="373">
      <x:c r="A373" s="31" t="s">
        <x:v>694</x:v>
      </x:c>
      <x:c r="B373" t="s"/>
      <x:c r="C373" t="s">
        <x:v>695</x:v>
      </x:c>
      <x:c r="D373" t="s">
        <x:v>274</x:v>
      </x:c>
      <x:c r="E373" s="69" t="s">
        <x:v>153</x:v>
      </x:c>
      <x:c r="F373" t="n">
        <x:v>987</x:v>
      </x:c>
      <x:c r="G373" s="32" t="n">
        <x:v>0.0243161094224924012158054711</x:v>
      </x:c>
      <x:c r="H373" s="32" t="n">
        <x:v>0.0587639311043566362715298886</x:v>
      </x:c>
      <x:c r="I373" s="32" t="n">
        <x:v>0.0972644376899696048632218845</x:v>
      </x:c>
      <x:c r="J373" s="32" t="n">
        <x:v>0.1256332320162107396149949341</x:v>
      </x:c>
      <x:c r="K373" s="32" t="n">
        <x:v>0.1448834853090172239108409321</x:v>
      </x:c>
      <x:c r="L373" s="32" t="n">
        <x:v>0.175278622087132725430597771</x:v>
      </x:c>
      <x:c r="M373" s="32" t="n">
        <x:v>0.1995947315096251266464032421</x:v>
      </x:c>
      <x:c r="N373" s="32" t="n">
        <x:v>0.2188449848024316109422492401</x:v>
      </x:c>
      <x:c r="O373" s="32" t="n">
        <x:v>0.241134751773049645390070922</x:v>
      </x:c>
      <x:c r="P373" s="32" t="n">
        <x:v>0.2401215805471124620060790274</x:v>
      </x:c>
      <x:c r="Q373" s="32" t="n">
        <x:v>0.2391084093211752786220871327</x:v>
      </x:c>
      <x:c r="R373" s="32" t="n">
        <x:v>0.2522796352583586626139817629</x:v>
      </x:c>
      <x:c r="S373" s="32" t="n">
        <x:v>0.3009118541033434650455927052</x:v>
      </x:c>
      <x:c r="T373" s="32" t="n">
        <x:v>0.3515704154002026342451874367</x:v>
      </x:c>
      <x:c r="U373" s="32" t="n">
        <x:v>0.3870314083080040526849037487</x:v>
      </x:c>
      <x:c r="V373" s="32" t="n">
        <x:v>0.4113475177304964539007092199</x:v>
      </x:c>
      <x:c r="W373" s="32" t="n">
        <x:v>0.4427558257345491388044579534</x:v>
      </x:c>
      <x:c r="X373" s="32" t="n">
        <x:v>0.4660587639311043566362715299</x:v>
      </x:c>
      <x:c r="Y373" s="32" t="n">
        <x:v>0.4944275582573454913880445795</x:v>
      </x:c>
      <x:c r="Z373" s="32" t="n">
        <x:v>0.5217831813576494427558257345</x:v>
      </x:c>
      <x:c r="AA373" s="32" t="n">
        <x:v>0.5400202634245187436676798379</x:v>
      </x:c>
      <x:c r="AB373" s="32" t="n">
        <x:v>0.556231003039513677811550152</x:v>
      </x:c>
      <x:c r="AC373" s="32" t="n">
        <x:v>0.5856129685916919959473150963</x:v>
      </x:c>
      <x:c r="AD373" s="32" t="n">
        <x:v>0.6170212765957446808510638298</x:v>
      </x:c>
      <x:c r="AE373" s="32" t="n">
        <x:v>0.6737588652482269503546099291</x:v>
      </x:c>
      <x:c r="AF373" s="23" t="n">
        <x:v>0.712259371833839918946301925</x:v>
      </x:c>
      <x:c r="AG373" s="32" t="n">
        <x:v>0.7467071935157041540020263425</x:v>
      </x:c>
      <x:c r="AH373" s="32" t="n">
        <x:v>0.7730496453900709219858156028</x:v>
      </x:c>
      <x:c r="AI373" s="32" t="n">
        <x:v>0.7821681864235055724417426545</x:v>
      </x:c>
      <x:c r="AJ373" s="32" t="n">
        <x:v>0.8176291793313069908814589666</x:v>
      </x:c>
      <x:c r="AK373" s="32" t="n">
        <x:v>0.8257345491388044579533941236</x:v>
      </x:c>
      <x:c r="AL373" s="32" t="n">
        <x:v>0.8652482269503546099290780142</x:v>
      </x:c>
      <x:c r="AM373" s="32" t="n">
        <x:v>0.9057750759878419452887537994</x:v>
      </x:c>
      <x:c r="AN373" s="32" t="n">
        <x:v>0.9229989868287740628166160081</x:v>
      </x:c>
      <x:c r="AO373" s="32" t="n">
        <x:v>0.9371833839918946301925025329</x:v>
      </x:c>
      <x:c r="AP373" s="32" t="n">
        <x:v>0.9483282674772036474164133739</x:v>
      </x:c>
      <x:c r="AQ373" s="32" t="n">
        <x:v>0.9544072948328267477203647416</x:v>
      </x:c>
      <x:c r="AR373" s="32" t="n">
        <x:v>0.9564336372847011144883485309</x:v>
      </x:c>
      <x:c r="AS373" s="32" t="n">
        <x:v>0.9564336372847011144883485309</x:v>
      </x:c>
      <x:c r="AT373" s="32" t="n">
        <x:v>0.9574468085106382978723404255</x:v>
      </x:c>
      <x:c r="AU373" s="32" t="n">
        <x:v>0.9604863221884498480243161094</x:v>
      </x:c>
      <x:c r="AV373" s="32" t="n">
        <x:v>0.9625126646403242147922998987</x:v>
      </x:c>
      <x:c r="AW373" s="32" t="n">
        <x:v>0.9665653495440729483282674772</x:v>
      </x:c>
      <x:c r="AX373" s="32" t="n">
        <x:v>0.9665653495440729483282674772</x:v>
      </x:c>
      <x:c r="AY373" s="32" t="n">
        <x:v>0.9665653495440729483282674772</x:v>
      </x:c>
      <x:c r="AZ373" s="32" t="n">
        <x:v>0.9655521783181357649442755826</x:v>
      </x:c>
      <x:c r="BA373" s="32" t="n">
        <x:v>0.9675785207700101317122593718</x:v>
      </x:c>
      <x:c r="BI373" s="33" t="s"/>
      <x:c r="BJ373" s="11" t="s">
        <x:v>696</x:v>
      </x:c>
      <x:c r="BK373" s="12" t="str">
        <x:f>=BX373</x:f>
      </x:c>
      <x:c r="BL373" s="12" t="n">
        <x:v>0.9675785207700101317122593718</x:v>
      </x:c>
      <x:c r="BM373" s="12" t="n">
        <x:v>0.0101317122593718338399189463</x:v>
      </x:c>
      <x:c r="BN373" s="12" t="n">
        <x:v>0.0222897669706180344478216819</x:v>
      </x:c>
      <x:c r="BO373" s="12" t="str">
        <x:f>=BW373</x:f>
      </x:c>
      <x:c r="BP373" s="12" t="str">
        <x:f>=CF373</x:f>
      </x:c>
      <x:c r="BQ373" s="12" t="str"/>
      <x:c r="BR373" s="12" t="str">
        <x:v>AW 2020 EOS</x:v>
      </x:c>
      <x:c r="BS373" s="13" t="str"/>
      <x:c r="BT373" s="30" t="n">
        <x:v>9066.47</x:v>
      </x:c>
      <x:c r="BU373" s="30" t="n">
        <x:v>-6105.26340</x:v>
      </x:c>
      <x:c r="BV373" s="30" t="str">
        <x:f>=BT373+BU373</x:f>
      </x:c>
      <x:c r="BW373" s="66" t="str">
        <x:f>=BV373/BT373</x:f>
      </x:c>
      <x:c r="BX373" s="66" t="n">
        <x:v>0.9777102330293819655521783181</x:v>
      </x:c>
      <x:c r="BY373" s="30" t="n">
        <x:v>5556.90</x:v>
      </x:c>
      <x:c r="BZ373" s="41" t="n">
        <x:v>22</x:v>
      </x:c>
      <x:c r="CA373" s="30" t="n">
        <x:v>123.86200607902735562310030395</x:v>
      </x:c>
      <x:c r="CC373" s="30" t="n">
        <x:v>9102.570805143323201621073962</x:v>
      </x:c>
      <x:c r="CD373" s="30" t="n">
        <x:v>-6105.26340</x:v>
      </x:c>
      <x:c r="CE373" s="30" t="str">
        <x:f>=CC373+CD373</x:f>
      </x:c>
      <x:c r="CF373" s="66" t="str">
        <x:f>=CE373/CC373</x:f>
      </x:c>
      <x:c r="CH373" s="66" t="str">
        <x:f>=CI373+CJ373</x:f>
      </x:c>
      <x:c r="CI373" s="66" t="str">
        <x:f>=BX373+(0*7)</x:f>
      </x:c>
      <x:c r="CJ373" s="66" t="str">
        <x:f>=(1-CI373)*0.5</x:f>
      </x:c>
      <x:c r="CK373" s="66" t="str">
        <x:f>=1-CH373</x:f>
      </x:c>
      <x:c r="CM373" s="66" t="str">
        <x:f>=CJ373/(1-CI373)</x:f>
      </x:c>
    </x:row>
    <x:row r="374">
      <x:c r="A374" s="31" t="s">
        <x:v>697</x:v>
      </x:c>
      <x:c r="B374" t="s"/>
      <x:c r="C374" t="s">
        <x:v>698</x:v>
      </x:c>
      <x:c r="D374" t="s">
        <x:v>274</x:v>
      </x:c>
      <x:c r="E374" s="69" t="s">
        <x:v>153</x:v>
      </x:c>
      <x:c r="F374" t="n">
        <x:v>1010</x:v>
      </x:c>
      <x:c r="G374" s="32" t="n">
        <x:v>0.0128712871287128712871287129</x:v>
      </x:c>
      <x:c r="H374" s="32" t="n">
        <x:v>0.0297029702970297029702970297</x:v>
      </x:c>
      <x:c r="I374" s="32" t="n">
        <x:v>0.0504950495049504950495049505</x:v>
      </x:c>
      <x:c r="J374" s="32" t="n">
        <x:v>0.0712871287128712871287128713</x:v>
      </x:c>
      <x:c r="K374" s="32" t="n">
        <x:v>0.096039603960396039603960396</x:v>
      </x:c>
      <x:c r="L374" s="32" t="n">
        <x:v>0.1178217821782178217821782178</x:v>
      </x:c>
      <x:c r="M374" s="32" t="n">
        <x:v>0.1356435643564356435643564356</x:v>
      </x:c>
      <x:c r="N374" s="32" t="n">
        <x:v>0.1455445544554455445544554455</x:v>
      </x:c>
      <x:c r="O374" s="32" t="n">
        <x:v>0.1504950495049504950495049505</x:v>
      </x:c>
      <x:c r="P374" s="32" t="n">
        <x:v>0.1524752475247524752475247525</x:v>
      </x:c>
      <x:c r="Q374" s="32" t="n">
        <x:v>0.1504950495049504950495049505</x:v>
      </x:c>
      <x:c r="R374" s="32" t="n">
        <x:v>0.1584158415841584158415841584</x:v>
      </x:c>
      <x:c r="S374" s="32" t="n">
        <x:v>0.1613861386138613861386138614</x:v>
      </x:c>
      <x:c r="T374" s="32" t="n">
        <x:v>0.1940594059405940594059405941</x:v>
      </x:c>
      <x:c r="U374" s="32" t="n">
        <x:v>0.2287128712871287128712871287</x:v>
      </x:c>
      <x:c r="V374" s="32" t="n">
        <x:v>0.2386138613861386138613861386</x:v>
      </x:c>
      <x:c r="W374" s="32" t="n">
        <x:v>0.2495049504950495049504950495</x:v>
      </x:c>
      <x:c r="X374" s="32" t="n">
        <x:v>0.2653465346534653465346534653</x:v>
      </x:c>
      <x:c r="Y374" s="32" t="n">
        <x:v>0.2940594059405940594059405941</x:v>
      </x:c>
      <x:c r="Z374" s="32" t="n">
        <x:v>0.3099009900990099009900990099</x:v>
      </x:c>
      <x:c r="AA374" s="32" t="n">
        <x:v>0.3217821782178217821782178218</x:v>
      </x:c>
      <x:c r="AB374" s="32" t="n">
        <x:v>0.3316831683168316831683168317</x:v>
      </x:c>
      <x:c r="AC374" s="32" t="n">
        <x:v>0.3475247524752475247524752475</x:v>
      </x:c>
      <x:c r="AD374" s="32" t="n">
        <x:v>0.3603960396039603960396039604</x:v>
      </x:c>
      <x:c r="AE374" s="32" t="n">
        <x:v>0.3811881188118811881188118812</x:v>
      </x:c>
      <x:c r="AF374" s="32" t="n">
        <x:v>0.397029702970297029702970297</x:v>
      </x:c>
      <x:c r="AG374" s="32" t="n">
        <x:v>0.4099009900990099009900990099</x:v>
      </x:c>
      <x:c r="AH374" s="32" t="n">
        <x:v>0.4188118811881188118811881188</x:v>
      </x:c>
      <x:c r="AI374" s="32" t="n">
        <x:v>0.4267326732673267326732673267</x:v>
      </x:c>
      <x:c r="AJ374" s="32" t="n">
        <x:v>0.4396039603960396039603960396</x:v>
      </x:c>
      <x:c r="AK374" s="32" t="n">
        <x:v>0.4445544554455445544554455446</x:v>
      </x:c>
      <x:c r="AL374" s="32" t="n">
        <x:v>0.4485148514851485148514851485</x:v>
      </x:c>
      <x:c r="AM374" s="32" t="n">
        <x:v>0.4475247524752475247524752475</x:v>
      </x:c>
      <x:c r="AN374" s="32" t="n">
        <x:v>0.4524752475247524752475247525</x:v>
      </x:c>
      <x:c r="AO374" s="32" t="n">
        <x:v>0.4514851485148514851485148515</x:v>
      </x:c>
      <x:c r="AP374" s="32" t="n">
        <x:v>0.4534653465346534653465346535</x:v>
      </x:c>
      <x:c r="AQ374" s="32" t="n">
        <x:v>0.4594059405940594059405940594</x:v>
      </x:c>
      <x:c r="AR374" s="32" t="n">
        <x:v>0.4613861386138613861386138614</x:v>
      </x:c>
      <x:c r="AS374" s="32" t="n">
        <x:v>0.4594059405940594059405940594</x:v>
      </x:c>
      <x:c r="AT374" s="32" t="n">
        <x:v>0.4633663366336633663366336634</x:v>
      </x:c>
      <x:c r="AU374" s="32" t="n">
        <x:v>0.4633663366336633663366336634</x:v>
      </x:c>
      <x:c r="AV374" s="32" t="n">
        <x:v>0.4643564356435643564356435644</x:v>
      </x:c>
      <x:c r="AW374" s="32" t="n">
        <x:v>0.4633663366336633663366336634</x:v>
      </x:c>
      <x:c r="AX374" s="32" t="n">
        <x:v>0.4643564356435643564356435644</x:v>
      </x:c>
      <x:c r="AY374" s="32" t="n">
        <x:v>0.4693069306930693069306930693</x:v>
      </x:c>
      <x:c r="AZ374" s="32" t="n">
        <x:v>0.4722772277227722772277227723</x:v>
      </x:c>
      <x:c r="BA374" s="32" t="n">
        <x:v>0.4930693069306930693069306931</x:v>
      </x:c>
      <x:c r="BI374" s="33" t="s"/>
      <x:c r="BJ374" s="11" t="s">
        <x:v>696</x:v>
      </x:c>
      <x:c r="BK374" s="12" t="str">
        <x:f>=BX374</x:f>
      </x:c>
      <x:c r="BL374" s="12" t="n">
        <x:v>0.4752475247524752475247524752</x:v>
      </x:c>
      <x:c r="BM374" s="12" t="n">
        <x:v>0.4544554455445544554455445545</x:v>
      </x:c>
      <x:c r="BN374" s="12" t="n">
        <x:v>0.0702970297029702970297029703</x:v>
      </x:c>
      <x:c r="BO374" s="12" t="str">
        <x:f>=BW374</x:f>
      </x:c>
      <x:c r="BP374" s="12" t="str">
        <x:f>=CF374</x:f>
      </x:c>
      <x:c r="BQ374" s="12" t="str"/>
      <x:c r="BR374" s="12" t="str">
        <x:v>AW 2020 EOS</x:v>
      </x:c>
      <x:c r="BS374" s="13" t="str"/>
      <x:c r="BT374" s="30" t="n">
        <x:v>6345.17</x:v>
      </x:c>
      <x:c r="BU374" s="30" t="n">
        <x:v>-6244.13120</x:v>
      </x:c>
      <x:c r="BV374" s="30" t="str">
        <x:f>=BT374+BU374</x:f>
      </x:c>
      <x:c r="BW374" s="66" t="str">
        <x:f>=BV374/BT374</x:f>
      </x:c>
      <x:c r="BX374" s="66" t="n">
        <x:v>0.9297029702970297029702970297</x:v>
      </x:c>
      <x:c r="BY374" s="30" t="n">
        <x:v>5683.20</x:v>
      </x:c>
      <x:c r="BZ374" s="41" t="n">
        <x:v>71</x:v>
      </x:c>
      <x:c r="CA374" s="30" t="n">
        <x:v>399.51207920792079207920792079</x:v>
      </x:c>
      <x:c r="CC374" s="30" t="n">
        <x:v>6345.6482178217821782178217822</x:v>
      </x:c>
      <x:c r="CD374" s="30" t="n">
        <x:v>-6244.13120</x:v>
      </x:c>
      <x:c r="CE374" s="30" t="str">
        <x:f>=CC374+CD374</x:f>
      </x:c>
      <x:c r="CF374" s="66" t="str">
        <x:f>=CE374/CC374</x:f>
      </x:c>
      <x:c r="CH374" s="66" t="str">
        <x:f>=CI374+CJ374</x:f>
      </x:c>
      <x:c r="CI374" s="66" t="str">
        <x:f>=BX374+(0*7)</x:f>
      </x:c>
      <x:c r="CJ374" s="66" t="str">
        <x:f>=(1-CI374)*0.5</x:f>
      </x:c>
      <x:c r="CK374" s="66" t="str">
        <x:f>=1-CH374</x:f>
      </x:c>
      <x:c r="CM374" s="66" t="str">
        <x:f>=CJ374/(1-CI374)</x:f>
      </x:c>
    </x:row>
    <x:row r="375">
      <x:c r="A375" s="31" t="s">
        <x:v>699</x:v>
      </x:c>
      <x:c r="B375" t="s"/>
      <x:c r="C375" t="s">
        <x:v>700</x:v>
      </x:c>
      <x:c r="D375" t="s">
        <x:v>147</x:v>
      </x:c>
      <x:c r="E375" s="69" t="s">
        <x:v>153</x:v>
      </x:c>
      <x:c r="F375" t="n">
        <x:v>3132</x:v>
      </x:c>
      <x:c r="G375" s="32" t="n">
        <x:v>0.0028735632183908045977011494</x:v>
      </x:c>
      <x:c r="H375" s="32" t="n">
        <x:v>0.0296934865900383141762452107</x:v>
      </x:c>
      <x:c r="I375" s="32" t="n">
        <x:v>0.1107918263090676883780332056</x:v>
      </x:c>
      <x:c r="J375" s="32" t="n">
        <x:v>0.1583652618135376756066411239</x:v>
      </x:c>
      <x:c r="K375" s="32" t="n">
        <x:v>0.2043422733077905491698595147</x:v>
      </x:c>
      <x:c r="L375" s="32" t="n">
        <x:v>0.2538314176245210727969348659</x:v>
      </x:c>
      <x:c r="M375" s="32" t="n">
        <x:v>0.2812899106002554278416347382</x:v>
      </x:c>
      <x:c r="N375" s="32" t="n">
        <x:v>0.2911877394636015325670498084</x:v>
      </x:c>
      <x:c r="O375" s="32" t="n">
        <x:v>0.2915070242656449553001277139</x:v>
      </x:c>
      <x:c r="P375" s="32" t="n">
        <x:v>0.2911877394636015325670498084</x:v>
      </x:c>
      <x:c r="Q375" s="32" t="n">
        <x:v>0.2940613026819923371647509579</x:v>
      </x:c>
      <x:c r="R375" s="32" t="n">
        <x:v>0.2985312899106002554278416347</x:v>
      </x:c>
      <x:c r="S375" s="32" t="n">
        <x:v>0.3036398467432950191570881226</x:v>
      </x:c>
      <x:c r="T375" s="32" t="n">
        <x:v>0.307151979565772669220945083</x:v>
      </x:c>
      <x:c r="U375" s="32" t="n">
        <x:v>0.3093869731800766283524904215</x:v>
      </x:c>
      <x:c r="V375" s="32" t="n">
        <x:v>0.3125798212005108556832694764</x:v>
      </x:c>
      <x:c r="W375" s="32" t="n">
        <x:v>0.3138569604086845466155810983</x:v>
      </x:c>
      <x:c r="X375" s="32" t="n">
        <x:v>0.3180076628352490421455938697</x:v>
      </x:c>
      <x:c r="Y375" s="32" t="n">
        <x:v>0.3339719029374201787994891443</x:v>
      </x:c>
      <x:c r="Z375" s="32" t="n">
        <x:v>0.3512132822477650063856960409</x:v>
      </x:c>
      <x:c r="AA375" s="32" t="n">
        <x:v>0.3700510855683269476372924649</x:v>
      </x:c>
      <x:c r="AB375" s="32" t="n">
        <x:v>0.4118773946360153256704980843</x:v>
      </x:c>
      <x:c r="AC375" s="32" t="n">
        <x:v>0.4664750957854406130268199234</x:v>
      </x:c>
      <x:c r="AD375" s="32" t="n">
        <x:v>0.500638569604086845466155811</x:v>
      </x:c>
      <x:c r="AE375" s="32" t="n">
        <x:v>0.5226692209450830140485312899</x:v>
      </x:c>
      <x:c r="AF375" s="32" t="n">
        <x:v>0.5498084291187739463601532567</x:v>
      </x:c>
      <x:c r="AG375" s="32" t="n">
        <x:v>0.5638569604086845466155810983</x:v>
      </x:c>
      <x:c r="AH375" s="32" t="n">
        <x:v>0.5807790549169859514687100894</x:v>
      </x:c>
      <x:c r="AI375" s="32" t="n">
        <x:v>0.6037675606641123882503192848</x:v>
      </x:c>
      <x:c r="AJ375" s="32" t="n">
        <x:v>0.63314176245210727969348659</x:v>
      </x:c>
      <x:c r="AK375" s="32" t="n">
        <x:v>0.6637931034482758620689655172</x:v>
      </x:c>
      <x:c r="AL375" s="32" t="n">
        <x:v>0.6784802043422733077905491699</x:v>
      </x:c>
      <x:c r="AM375" s="32" t="n">
        <x:v>0.6880587484035759897828863346</x:v>
      </x:c>
      <x:c r="AN375" s="23" t="n">
        <x:v>0.7024265644955300127713920817</x:v>
      </x:c>
      <x:c r="AO375" s="32" t="n">
        <x:v>0.7164750957854406130268199234</x:v>
      </x:c>
      <x:c r="AP375" s="32" t="n">
        <x:v>0.7270114942528735632183908046</x:v>
      </x:c>
      <x:c r="AQ375" s="32" t="n">
        <x:v>0.7302043422733077905491698595</x:v>
      </x:c>
      <x:c r="AR375" s="32" t="n">
        <x:v>0.7321200510855683269476372925</x:v>
      </x:c>
      <x:c r="AS375" s="32" t="n">
        <x:v>0.7369093231162196679438058748</x:v>
      </x:c>
      <x:c r="AT375" s="32" t="n">
        <x:v>0.7394636015325670498084291188</x:v>
      </x:c>
      <x:c r="AU375" s="32" t="n">
        <x:v>0.7394636015325670498084291188</x:v>
      </x:c>
      <x:c r="AV375" s="32" t="n">
        <x:v>0.7391443167305236270753512133</x:v>
      </x:c>
      <x:c r="AW375" s="32" t="n">
        <x:v>0.7388250319284802043422733078</x:v>
      </x:c>
      <x:c r="AX375" s="32" t="n">
        <x:v>0.7407407407407407407407407407</x:v>
      </x:c>
      <x:c r="AY375" s="32" t="n">
        <x:v>0.7455300127713920817369093231</x:v>
      </x:c>
      <x:c r="AZ375" s="32" t="n">
        <x:v>0.7503192848020434227330779055</x:v>
      </x:c>
      <x:c r="BI375" s="33" t="s"/>
      <x:c r="BJ375" s="11" t="s">
        <x:v>318</x:v>
      </x:c>
      <x:c r="BK375" s="12" t="str">
        <x:f>=BX375</x:f>
      </x:c>
      <x:c r="BL375" s="12" t="n">
        <x:v>0.749361430395913154533844189</x:v>
      </x:c>
      <x:c r="BM375" s="12" t="n">
        <x:v>0.0038314176245210727969348659</x:v>
      </x:c>
      <x:c r="BN375" s="12" t="n">
        <x:v>0.2468071519795657726692209451</x:v>
      </x:c>
      <x:c r="BO375" s="12" t="str">
        <x:f>=BW375</x:f>
      </x:c>
      <x:c r="BP375" s="12" t="str">
        <x:f>=CF375</x:f>
      </x:c>
      <x:c r="BQ375" s="12" t="str"/>
      <x:c r="BR375" s="12" t="str">
        <x:v>AW 2020 EOS</x:v>
      </x:c>
      <x:c r="BS375" s="13" t="str"/>
      <x:c r="BT375" s="30" t="n">
        <x:v>19972.96</x:v>
      </x:c>
      <x:c r="BU375" s="30" t="n">
        <x:v>-16503.7748</x:v>
      </x:c>
      <x:c r="BV375" s="30" t="str">
        <x:f>=BT375+BU375</x:f>
      </x:c>
      <x:c r="BW375" s="66" t="str">
        <x:f>=BV375/BT375</x:f>
      </x:c>
      <x:c r="BX375" s="66" t="n">
        <x:v>0.7531928480204342273307790549</x:v>
      </x:c>
      <x:c r="BY375" s="30" t="n">
        <x:v>15966.95</x:v>
      </x:c>
      <x:c r="BZ375" s="41" t="n">
        <x:v>773</x:v>
      </x:c>
      <x:c r="CA375" s="30" t="n">
        <x:v>3940.7574553001277139208173691</x:v>
      </x:c>
      <x:c r="CC375" s="30" t="n">
        <x:v>21997.809134573164112388250319</x:v>
      </x:c>
      <x:c r="CD375" s="30" t="n">
        <x:v>-16503.7748</x:v>
      </x:c>
      <x:c r="CE375" s="30" t="str">
        <x:f>=CC375+CD375</x:f>
      </x:c>
      <x:c r="CF375" s="66" t="str">
        <x:f>=CE375/CC375</x:f>
      </x:c>
      <x:c r="CH375" s="66" t="str">
        <x:f>=CI375+CJ375</x:f>
      </x:c>
      <x:c r="CI375" s="66" t="str">
        <x:f>=BX375+(0*7)</x:f>
      </x:c>
      <x:c r="CJ375" s="66" t="str">
        <x:f>=(1-CI375)*0.5</x:f>
      </x:c>
      <x:c r="CK375" s="66" t="str">
        <x:f>=1-CH375</x:f>
      </x:c>
      <x:c r="CM375" s="66" t="str">
        <x:f>=CJ375/(1-CI375)</x:f>
      </x:c>
    </x:row>
    <x:row r="376">
      <x:c r="A376" s="31" t="s">
        <x:v>701</x:v>
      </x:c>
      <x:c r="B376" t="s"/>
      <x:c r="C376" t="s">
        <x:v>702</x:v>
      </x:c>
      <x:c r="D376" t="s">
        <x:v>118</x:v>
      </x:c>
      <x:c r="E376" s="69" t="s">
        <x:v>153</x:v>
      </x:c>
      <x:c r="F376" t="n">
        <x:v>3155</x:v>
      </x:c>
      <x:c r="G376" s="32" t="n">
        <x:v>0.035182250396196513470681458</x:v>
      </x:c>
      <x:c r="H376" s="32" t="n">
        <x:v>0.0732171156893819334389857369</x:v>
      </x:c>
      <x:c r="I376" s="32" t="n">
        <x:v>0.0751188589540412044374009509</x:v>
      </x:c>
      <x:c r="J376" s="32" t="n">
        <x:v>0.0751188589540412044374009509</x:v>
      </x:c>
      <x:c r="K376" s="32" t="n">
        <x:v>0.0751188589540412044374009509</x:v>
      </x:c>
      <x:c r="L376" s="32" t="n">
        <x:v>0.0751188589540412044374009509</x:v>
      </x:c>
      <x:c r="M376" s="32" t="n">
        <x:v>0.0751188589540412044374009509</x:v>
      </x:c>
      <x:c r="N376" s="32" t="n">
        <x:v>0.0751188589540412044374009509</x:v>
      </x:c>
      <x:c r="O376" s="32" t="n">
        <x:v>0.0751188589540412044374009509</x:v>
      </x:c>
      <x:c r="P376" s="32" t="n">
        <x:v>0.0751188589540412044374009509</x:v>
      </x:c>
      <x:c r="Q376" s="32" t="n">
        <x:v>0.0751188589540412044374009509</x:v>
      </x:c>
      <x:c r="R376" s="32" t="n">
        <x:v>0.0751188589540412044374009509</x:v>
      </x:c>
      <x:c r="S376" s="32" t="n">
        <x:v>0.0751188589540412044374009509</x:v>
      </x:c>
      <x:c r="T376" s="32" t="n">
        <x:v>0.0776545166402535657686212361</x:v>
      </x:c>
      <x:c r="U376" s="32" t="n">
        <x:v>0.0973058637083993660855784469</x:v>
      </x:c>
      <x:c r="V376" s="32" t="n">
        <x:v>0.1188589540412044374009508716</x:v>
      </x:c>
      <x:c r="W376" s="32" t="n">
        <x:v>0.1920760697305863708399366086</x:v>
      </x:c>
      <x:c r="X376" s="32" t="n">
        <x:v>0.3169572107765451664025356577</x:v>
      </x:c>
      <x:c r="Y376" s="32" t="n">
        <x:v>0.3980982567353407290015847861</x:v>
      </x:c>
      <x:c r="Z376" s="32" t="n">
        <x:v>0.4656101426307448494453248811</x:v>
      </x:c>
      <x:c r="AA376" s="32" t="n">
        <x:v>0.5213946117274167987321711569</x:v>
      </x:c>
      <x:c r="AB376" s="32" t="n">
        <x:v>0.554675118858954041204437401</x:v>
      </x:c>
      <x:c r="AC376" s="32" t="n">
        <x:v>0.5851030110935023771790808241</x:v>
      </x:c>
      <x:c r="AD376" s="32" t="n">
        <x:v>0.6418383518225039619651347068</x:v>
      </x:c>
      <x:c r="AE376" s="23" t="n">
        <x:v>0.7039619651347068145800316957</x:v>
      </x:c>
      <x:c r="AF376" s="32" t="n">
        <x:v>0.7499207606973058637083993661</x:v>
      </x:c>
      <x:c r="AG376" s="32" t="n">
        <x:v>0.7708399366085578446909667195</x:v>
      </x:c>
      <x:c r="AH376" s="32" t="n">
        <x:v>0.7866877971473851030110935024</x:v>
      </x:c>
      <x:c r="AI376" s="32" t="n">
        <x:v>0.8031695721077654516640253566</x:v>
      </x:c>
      <x:c r="AJ376" s="32" t="n">
        <x:v>0.8228209191759112519809825674</x:v>
      </x:c>
      <x:c r="AK376" s="32" t="n">
        <x:v>0.8332805071315372424722662441</x:v>
      </x:c>
      <x:c r="AL376" s="32" t="n">
        <x:v>0.8431061806656101426307448494</x:v>
      </x:c>
      <x:c r="AM376" s="32" t="n">
        <x:v>0.8459587955625990491283676704</x:v>
      </x:c>
      <x:c r="AN376" s="32" t="n">
        <x:v>0.8469096671949286846275752773</x:v>
      </x:c>
      <x:c r="AO376" s="32" t="n">
        <x:v>0.8484944532488114104595879556</x:v>
      </x:c>
      <x:c r="AP376" s="32" t="n">
        <x:v>0.8484944532488114104595879556</x:v>
      </x:c>
      <x:c r="AQ376" s="32" t="n">
        <x:v>0.8484944532488114104595879556</x:v>
      </x:c>
      <x:c r="AR376" s="32" t="n">
        <x:v>0.8488114104595879556259904913</x:v>
      </x:c>
      <x:c r="AS376" s="32" t="n">
        <x:v>0.8488114104595879556259904913</x:v>
      </x:c>
      <x:c r="AT376" s="32" t="n">
        <x:v>0.8497622820919175911251980983</x:v>
      </x:c>
      <x:c r="AU376" s="32" t="n">
        <x:v>0.8510301109350237717908082409</x:v>
      </x:c>
      <x:c r="BI376" s="33" t="s"/>
      <x:c r="BJ376" s="11" t="s">
        <x:v>372</x:v>
      </x:c>
      <x:c r="BK376" s="12" t="str">
        <x:f>=BX376</x:f>
      </x:c>
      <x:c r="BL376" s="12" t="n">
        <x:v>0.8538827258320126782884310618</x:v>
      </x:c>
      <x:c r="BM376" s="12" t="n">
        <x:v>0.0478605388272583201267828843</x:v>
      </x:c>
      <x:c r="BN376" s="12" t="n">
        <x:v>0.0982567353407290015847860539</x:v>
      </x:c>
      <x:c r="BO376" s="12" t="str">
        <x:f>=BW376</x:f>
      </x:c>
      <x:c r="BP376" s="12" t="str">
        <x:f>=CF376</x:f>
      </x:c>
      <x:c r="BQ376" s="12" t="str"/>
      <x:c r="BR376" s="12" t="str">
        <x:v>AW 2020 EOS</x:v>
      </x:c>
      <x:c r="BS376" s="13" t="str"/>
      <x:c r="BT376" s="30" t="n">
        <x:v>9904.78</x:v>
      </x:c>
      <x:c r="BU376" s="30" t="n">
        <x:v>-6630.1402</x:v>
      </x:c>
      <x:c r="BV376" s="30" t="str">
        <x:f>=BT376+BU376</x:f>
      </x:c>
      <x:c r="BW376" s="66" t="str">
        <x:f>=BV376/BT376</x:f>
      </x:c>
      <x:c r="BX376" s="66" t="n">
        <x:v>0.9017432646592709984152139461</x:v>
      </x:c>
      <x:c r="BY376" s="30" t="n">
        <x:v>6253.31</x:v>
      </x:c>
      <x:c r="BZ376" s="41" t="n">
        <x:v>310</x:v>
      </x:c>
      <x:c r="CA376" s="30" t="n">
        <x:v>614.42982567353407290015847862</x:v>
      </x:c>
      <x:c r="CC376" s="30" t="n">
        <x:v>10088.612097402754358161648178</x:v>
      </x:c>
      <x:c r="CD376" s="30" t="n">
        <x:v>-6630.1402</x:v>
      </x:c>
      <x:c r="CE376" s="30" t="str">
        <x:f>=CC376+CD376</x:f>
      </x:c>
      <x:c r="CF376" s="66" t="str">
        <x:f>=CE376/CC376</x:f>
      </x:c>
      <x:c r="CH376" s="66" t="str">
        <x:f>=CI376+CJ376</x:f>
      </x:c>
      <x:c r="CI376" s="66" t="str">
        <x:f>=BX376+(0*7)</x:f>
      </x:c>
      <x:c r="CJ376" s="66" t="str">
        <x:f>=(1-CI376)*0.5</x:f>
      </x:c>
      <x:c r="CK376" s="66" t="str">
        <x:f>=1-CH376</x:f>
      </x:c>
      <x:c r="CM376" s="66" t="str">
        <x:f>=CJ376/(1-CI376)</x:f>
      </x:c>
    </x:row>
    <x:row r="377">
      <x:c r="A377" s="31" t="s">
        <x:v>703</x:v>
      </x:c>
      <x:c r="B377" t="s"/>
      <x:c r="C377" t="s">
        <x:v>704</x:v>
      </x:c>
      <x:c r="D377" t="s">
        <x:v>147</x:v>
      </x:c>
      <x:c r="E377" s="69" t="s">
        <x:v>153</x:v>
      </x:c>
      <x:c r="F377" t="n">
        <x:v>2123</x:v>
      </x:c>
      <x:c r="G377" s="32" t="n">
        <x:v>0.0037682524729156853509185115</x:v>
      </x:c>
      <x:c r="H377" s="32" t="n">
        <x:v>0.0098916627414036740461610928</x:v>
      </x:c>
      <x:c r="I377" s="32" t="n">
        <x:v>0.0103626943005181347150259067</x:v>
      </x:c>
      <x:c r="J377" s="32" t="n">
        <x:v>0.0103626943005181347150259067</x:v>
      </x:c>
      <x:c r="K377" s="32" t="n">
        <x:v>0.0103626943005181347150259067</x:v>
      </x:c>
      <x:c r="L377" s="32" t="n">
        <x:v>0.0103626943005181347150259067</x:v>
      </x:c>
      <x:c r="M377" s="32" t="n">
        <x:v>0.0103626943005181347150259067</x:v>
      </x:c>
      <x:c r="N377" s="32" t="n">
        <x:v>0.0103626943005181347150259067</x:v>
      </x:c>
      <x:c r="O377" s="32" t="n">
        <x:v>0.0103626943005181347150259067</x:v>
      </x:c>
      <x:c r="P377" s="32" t="n">
        <x:v>0.0103626943005181347150259067</x:v>
      </x:c>
      <x:c r="Q377" s="32" t="n">
        <x:v>0.0103626943005181347150259067</x:v>
      </x:c>
      <x:c r="R377" s="32" t="n">
        <x:v>0.0103626943005181347150259067</x:v>
      </x:c>
      <x:c r="S377" s="32" t="n">
        <x:v>0.0103626943005181347150259067</x:v>
      </x:c>
      <x:c r="T377" s="32" t="n">
        <x:v>0.0131888836552048987282147904</x:v>
      </x:c>
      <x:c r="U377" s="32" t="n">
        <x:v>0.0183702308054639660857277438</x:v>
      </x:c>
      <x:c r="V377" s="32" t="n">
        <x:v>0.0400376825247291568535091851</x:v>
      </x:c>
      <x:c r="W377" s="32" t="n">
        <x:v>0.0932642487046632124352331606</x:v>
      </x:c>
      <x:c r="X377" s="32" t="n">
        <x:v>0.1610927932171455487517663683</x:v>
      </x:c>
      <x:c r="Y377" s="32" t="n">
        <x:v>0.22939236928874234573716439</x:v>
      </x:c>
      <x:c r="Z377" s="32" t="n">
        <x:v>0.2878002826189354686764013189</x:v>
      </x:c>
      <x:c r="AA377" s="32" t="n">
        <x:v>0.3429109750353273669335845502</x:v>
      </x:c>
      <x:c r="AB377" s="32" t="n">
        <x:v>0.3744700894959962317475270843</x:v>
      </x:c>
      <x:c r="AC377" s="32" t="n">
        <x:v>0.4022609514837494112105511069</x:v>
      </x:c>
      <x:c r="AD377" s="32" t="n">
        <x:v>0.4295807819123881300047103156</x:v>
      </x:c>
      <x:c r="AE377" s="32" t="n">
        <x:v>0.4470089495996231747527084315</x:v>
      </x:c>
      <x:c r="AF377" s="32" t="n">
        <x:v>0.4573716439001413094677343382</x:v>
      </x:c>
      <x:c r="AG377" s="32" t="n">
        <x:v>0.4625529910504003768252472916</x:v>
      </x:c>
      <x:c r="AH377" s="32" t="n">
        <x:v>0.4705605275553462081959491286</x:v>
      </x:c>
      <x:c r="AI377" s="32" t="n">
        <x:v>0.4780970325011775788977861517</x:v>
      </x:c>
      <x:c r="AJ377" s="32" t="n">
        <x:v>0.483278379651436646255299105</x:v>
      </x:c>
      <x:c r="AK377" s="32" t="n">
        <x:v>0.4870466321243523316062176166</x:v>
      </x:c>
      <x:c r="AL377" s="32" t="n">
        <x:v>0.4936410739519547809703250118</x:v>
      </x:c>
      <x:c r="AM377" s="32" t="n">
        <x:v>0.4959962317475270843146490815</x:v>
      </x:c>
      <x:c r="AN377" s="32" t="n">
        <x:v>0.4992934526613283089967027791</x:v>
      </x:c>
      <x:c r="AO377" s="32" t="n">
        <x:v>0.5025906735751295336787564767</x:v>
      </x:c>
      <x:c r="AP377" s="32" t="n">
        <x:v>0.5025906735751295336787564767</x:v>
      </x:c>
      <x:c r="AQ377" s="32" t="n">
        <x:v>0.5040037682524729156853509185</x:v>
      </x:c>
      <x:c r="AR377" s="32" t="n">
        <x:v>0.5044747998115873763542157325</x:v>
      </x:c>
      <x:c r="AS377" s="32" t="n">
        <x:v>0.5058878944889307583608101743</x:v>
      </x:c>
      <x:c r="AT377" s="32" t="n">
        <x:v>0.5124823363165332077249175695</x:v>
      </x:c>
      <x:c r="AU377" s="32" t="n">
        <x:v>0.5176636834667922750824305228</x:v>
      </x:c>
      <x:c r="BI377" s="33" t="s"/>
      <x:c r="BJ377" s="11" t="s">
        <x:v>372</x:v>
      </x:c>
      <x:c r="BK377" s="12" t="str">
        <x:f>=BX377</x:f>
      </x:c>
      <x:c r="BL377" s="12" t="n">
        <x:v>0.5228450306170513424399434762</x:v>
      </x:c>
      <x:c r="BM377" s="12" t="n">
        <x:v>0.3532736693358455016486104569</x:v>
      </x:c>
      <x:c r="BN377" s="12" t="n">
        <x:v>0.1238813000471031559114460669</x:v>
      </x:c>
      <x:c r="BO377" s="12" t="str">
        <x:f>=BW377</x:f>
      </x:c>
      <x:c r="BP377" s="12" t="str">
        <x:f>=CF377</x:f>
      </x:c>
      <x:c r="BQ377" s="12" t="str"/>
      <x:c r="BR377" s="12" t="str">
        <x:v>AW 2020 EOS</x:v>
      </x:c>
      <x:c r="BS377" s="13" t="str"/>
      <x:c r="BT377" s="30" t="n">
        <x:v>13684.14</x:v>
      </x:c>
      <x:c r="BU377" s="30" t="n">
        <x:v>-11778.1822</x:v>
      </x:c>
      <x:c r="BV377" s="30" t="str">
        <x:f>=BT377+BU377</x:f>
      </x:c>
      <x:c r="BW377" s="66" t="str">
        <x:f>=BV377/BT377</x:f>
      </x:c>
      <x:c r="BX377" s="66" t="n">
        <x:v>0.8761186999528968440885539331</x:v>
      </x:c>
      <x:c r="BY377" s="30" t="n">
        <x:v>11414.30</x:v>
      </x:c>
      <x:c r="BZ377" s="41" t="n">
        <x:v>263</x:v>
      </x:c>
      <x:c r="CA377" s="30" t="n">
        <x:v>1414.0183231276495525200188413</x:v>
      </x:c>
      <x:c r="CC377" s="30" t="n">
        <x:v>13684.657192651907677814413566</x:v>
      </x:c>
      <x:c r="CD377" s="30" t="n">
        <x:v>-11778.1822</x:v>
      </x:c>
      <x:c r="CE377" s="30" t="str">
        <x:f>=CC377+CD377</x:f>
      </x:c>
      <x:c r="CF377" s="66" t="str">
        <x:f>=CE377/CC377</x:f>
      </x:c>
      <x:c r="CH377" s="66" t="str">
        <x:f>=CI377+CJ377</x:f>
      </x:c>
      <x:c r="CI377" s="66" t="str">
        <x:f>=BX377+(0*7)</x:f>
      </x:c>
      <x:c r="CJ377" s="66" t="str">
        <x:f>=(1-CI377)*0.5</x:f>
      </x:c>
      <x:c r="CK377" s="66" t="str">
        <x:f>=1-CH377</x:f>
      </x:c>
      <x:c r="CM377" s="66" t="str">
        <x:f>=CJ377/(1-CI377)</x:f>
      </x:c>
    </x:row>
    <x:row r="378">
      <x:c r="A378" s="31" t="s">
        <x:v>705</x:v>
      </x:c>
      <x:c r="B378" t="s"/>
      <x:c r="C378" t="s">
        <x:v>706</x:v>
      </x:c>
      <x:c r="D378" t="s">
        <x:v>274</x:v>
      </x:c>
      <x:c r="E378" s="69" t="s">
        <x:v>153</x:v>
      </x:c>
      <x:c r="F378" t="n">
        <x:v>2052</x:v>
      </x:c>
      <x:c r="G378" s="32" t="n">
        <x:v>0.003411306042884990253411306</x:v>
      </x:c>
      <x:c r="H378" s="32" t="n">
        <x:v>0.0955165692007797270955165692</x:v>
      </x:c>
      <x:c r="I378" s="32" t="n">
        <x:v>0.0935672514619883040935672515</x:v>
      </x:c>
      <x:c r="J378" s="32" t="n">
        <x:v>0.0852826510721247563352826511</x:v>
      </x:c>
      <x:c r="K378" s="32" t="n">
        <x:v>0.0989278752436647173489278752</x:v>
      </x:c>
      <x:c r="L378" s="32" t="n">
        <x:v>0.1135477582846003898635477583</x:v>
      </x:c>
      <x:c r="M378" s="32" t="n">
        <x:v>0.1588693957115009746588693957</x:v>
      </x:c>
      <x:c r="N378" s="32" t="n">
        <x:v>0.3031189083820662768031189084</x:v>
      </x:c>
      <x:c r="O378" s="32" t="n">
        <x:v>0.4113060428849902534113060429</x:v>
      </x:c>
      <x:c r="P378" s="32" t="n">
        <x:v>0.4537037037037037037037037037</x:v>
      </x:c>
      <x:c r="Q378" s="32" t="n">
        <x:v>0.4751461988304093567251461988</x:v>
      </x:c>
      <x:c r="R378" s="32" t="n">
        <x:v>0.5019493177387914230019493177</x:v>
      </x:c>
      <x:c r="S378" s="32" t="n">
        <x:v>0.5497076023391812865497076023</x:v>
      </x:c>
      <x:c r="T378" s="32" t="n">
        <x:v>0.5755360623781676413255360624</x:v>
      </x:c>
      <x:c r="U378" s="32" t="n">
        <x:v>0.6086744639376218323586744639</x:v>
      </x:c>
      <x:c r="V378" s="32" t="n">
        <x:v>0.6398635477582846003898635478</x:v>
      </x:c>
      <x:c r="W378" s="32" t="n">
        <x:v>0.6842105263157894736842105263</x:v>
      </x:c>
      <x:c r="X378" s="23" t="n">
        <x:v>0.7295321637426900584795321637</x:v>
      </x:c>
      <x:c r="Y378" s="32" t="n">
        <x:v>0.7850877192982456140350877193</x:v>
      </x:c>
      <x:c r="Z378" s="32" t="n">
        <x:v>0.8153021442495126705653021442</x:v>
      </x:c>
      <x:c r="AA378" s="32" t="n">
        <x:v>0.8250487329434697855750487329</x:v>
      </x:c>
      <x:c r="AB378" s="32" t="n">
        <x:v>0.8406432748538011695906432749</x:v>
      </x:c>
      <x:c r="AC378" s="32" t="n">
        <x:v>0.8576998050682261208576998051</x:v>
      </x:c>
      <x:c r="AD378" s="32" t="n">
        <x:v>0.8664717348927875243664717349</x:v>
      </x:c>
      <x:c r="AE378" s="32" t="n">
        <x:v>0.8718323586744639376218323587</x:v>
      </x:c>
      <x:c r="AF378" s="32" t="n">
        <x:v>0.8747563352826510721247563353</x:v>
      </x:c>
      <x:c r="AG378" s="32" t="n">
        <x:v>0.8786549707602339181286549708</x:v>
      </x:c>
      <x:c r="AH378" s="32" t="n">
        <x:v>0.8801169590643274853801169591</x:v>
      </x:c>
      <x:c r="AI378" s="32" t="n">
        <x:v>0.8835282651072124756335282651</x:v>
      </x:c>
      <x:c r="AJ378" s="32" t="n">
        <x:v>0.8849902534113060428849902534</x:v>
      </x:c>
      <x:c r="AK378" s="32" t="n">
        <x:v>0.8849902534113060428849902534</x:v>
      </x:c>
      <x:c r="AL378" s="32" t="n">
        <x:v>0.8869395711500974658869395712</x:v>
      </x:c>
      <x:c r="AM378" s="32" t="n">
        <x:v>0.88791423001949317738791423</x:v>
      </x:c>
      <x:c r="AN378" s="32" t="n">
        <x:v>0.8874269005847953216374269006</x:v>
      </x:c>
      <x:c r="AO378" s="32" t="n">
        <x:v>0.8884015594541910331384015595</x:v>
      </x:c>
      <x:c r="AP378" s="32" t="n">
        <x:v>0.8893762183235867446393762183</x:v>
      </x:c>
      <x:c r="AQ378" s="32" t="n">
        <x:v>0.8898635477582846003898635478</x:v>
      </x:c>
      <x:c r="AR378" s="32" t="n">
        <x:v>0.8996101364522417153996101365</x:v>
      </x:c>
      <x:c r="AS378" s="32" t="n">
        <x:v>0.910331384015594541910331384</x:v>
      </x:c>
      <x:c r="AT378" s="32" t="n">
        <x:v>0.9171539961013645224171539961</x:v>
      </x:c>
      <x:c r="BI378" s="33" t="s"/>
      <x:c r="BJ378" s="11" t="s">
        <x:v>242</x:v>
      </x:c>
      <x:c r="BK378" s="12" t="str">
        <x:f>=BX378</x:f>
      </x:c>
      <x:c r="BL378" s="12" t="n">
        <x:v>0.9176413255360623781676413255</x:v>
      </x:c>
      <x:c r="BM378" s="12" t="n">
        <x:v>0.0618908382066276803118908382</x:v>
      </x:c>
      <x:c r="BN378" s="12" t="n">
        <x:v>0.0204678362573099415204678363</x:v>
      </x:c>
      <x:c r="BO378" s="12" t="str">
        <x:f>=BW378</x:f>
      </x:c>
      <x:c r="BP378" s="12" t="str">
        <x:f>=CF378</x:f>
      </x:c>
      <x:c r="BQ378" s="12" t="str"/>
      <x:c r="BR378" s="12" t="str">
        <x:v>AW 2020 EOS</x:v>
      </x:c>
      <x:c r="BS378" s="13" t="str"/>
      <x:c r="BT378" s="30" t="n">
        <x:v>23809.71</x:v>
      </x:c>
      <x:c r="BU378" s="30" t="n">
        <x:v>-16026.66120</x:v>
      </x:c>
      <x:c r="BV378" s="30" t="str">
        <x:f>=BT378+BU378</x:f>
      </x:c>
      <x:c r="BW378" s="66" t="str">
        <x:f>=BV378/BT378</x:f>
      </x:c>
      <x:c r="BX378" s="66" t="n">
        <x:v>0.9795321637426900584795321637</x:v>
      </x:c>
      <x:c r="BY378" s="30" t="n">
        <x:v>14680.20</x:v>
      </x:c>
      <x:c r="BZ378" s="41" t="n">
        <x:v>42</x:v>
      </x:c>
      <x:c r="CA378" s="30" t="n">
        <x:v>300.47192982456140350877192983</x:v>
      </x:c>
      <x:c r="CC378" s="30" t="n">
        <x:v>23810.627153996101364522417154</x:v>
      </x:c>
      <x:c r="CD378" s="30" t="n">
        <x:v>-16026.66120</x:v>
      </x:c>
      <x:c r="CE378" s="30" t="str">
        <x:f>=CC378+CD378</x:f>
      </x:c>
      <x:c r="CF378" s="66" t="str">
        <x:f>=CE378/CC378</x:f>
      </x:c>
      <x:c r="CH378" s="66" t="str">
        <x:f>=CI378+CJ378</x:f>
      </x:c>
      <x:c r="CI378" s="66" t="str">
        <x:f>=BX378+(0*7)</x:f>
      </x:c>
      <x:c r="CJ378" s="66" t="str">
        <x:f>=(1-CI378)*0.5</x:f>
      </x:c>
      <x:c r="CK378" s="66" t="str">
        <x:f>=1-CH378</x:f>
      </x:c>
      <x:c r="CM378" s="66" t="str">
        <x:f>=CJ378/(1-CI378)</x:f>
      </x:c>
    </x:row>
    <x:row r="379">
      <x:c r="A379" s="31" t="s">
        <x:v>707</x:v>
      </x:c>
      <x:c r="B379" t="s"/>
      <x:c r="C379" t="s">
        <x:v>708</x:v>
      </x:c>
      <x:c r="D379" t="s">
        <x:v>274</x:v>
      </x:c>
      <x:c r="E379" s="69" t="s">
        <x:v>153</x:v>
      </x:c>
      <x:c r="F379" t="n">
        <x:v>1952</x:v>
      </x:c>
      <x:c r="G379" s="32" t="n">
        <x:v>0.0051229508196721311475409836</x:v>
      </x:c>
      <x:c r="H379" s="32" t="n">
        <x:v>0.0040983606557377049180327869</x:v>
      </x:c>
      <x:c r="I379" s="32" t="n">
        <x:v>0.0010245901639344262295081967</x:v>
      </x:c>
      <x:c r="J379" s="32" t="n">
        <x:v>0.0020491803278688524590163934</x:v>
      </x:c>
      <x:c r="K379" s="32" t="n">
        <x:v>0.0169057377049180327868852459</x:v>
      </x:c>
      <x:c r="L379" s="32" t="n">
        <x:v>0.0486680327868852459016393443</x:v>
      </x:c>
      <x:c r="M379" s="32" t="n">
        <x:v>0.1086065573770491803278688525</x:v>
      </x:c>
      <x:c r="N379" s="32" t="n">
        <x:v>0.1716188524590163934426229508</x:v>
      </x:c>
      <x:c r="O379" s="32" t="n">
        <x:v>0.2254098360655737704918032787</x:v>
      </x:c>
      <x:c r="P379" s="32" t="n">
        <x:v>0.2587090163934426229508196721</x:v>
      </x:c>
      <x:c r="Q379" s="32" t="n">
        <x:v>0.3186475409836065573770491803</x:v>
      </x:c>
      <x:c r="R379" s="32" t="n">
        <x:v>0.3872950819672131147540983607</x:v>
      </x:c>
      <x:c r="S379" s="32" t="n">
        <x:v>0.4482581967213114754098360656</x:v>
      </x:c>
      <x:c r="T379" s="32" t="n">
        <x:v>0.5189549180327868852459016393</x:v>
      </x:c>
      <x:c r="U379" s="32" t="n">
        <x:v>0.6080942622950819672131147541</x:v>
      </x:c>
      <x:c r="V379" s="32" t="n">
        <x:v>0.6685450819672131147540983607</x:v>
      </x:c>
      <x:c r="W379" s="23" t="n">
        <x:v>0.7028688524590163934426229508</x:v>
      </x:c>
      <x:c r="X379" s="32" t="n">
        <x:v>0.7479508196721311475409836066</x:v>
      </x:c>
      <x:c r="Y379" s="32" t="n">
        <x:v>0.7699795081967213114754098361</x:v>
      </x:c>
      <x:c r="Z379" s="32" t="n">
        <x:v>0.7873975409836065573770491803</x:v>
      </x:c>
      <x:c r="AA379" s="32" t="n">
        <x:v>0.8058401639344262295081967213</x:v>
      </x:c>
      <x:c r="AB379" s="32" t="n">
        <x:v>0.8104508196721311475409836066</x:v>
      </x:c>
      <x:c r="AC379" s="32" t="n">
        <x:v>0.8104508196721311475409836066</x:v>
      </x:c>
      <x:c r="AD379" s="32" t="n">
        <x:v>0.8155737704918032786885245902</x:v>
      </x:c>
      <x:c r="AE379" s="32" t="n">
        <x:v>0.8201844262295081967213114754</x:v>
      </x:c>
      <x:c r="AF379" s="32" t="n">
        <x:v>0.8227459016393442622950819672</x:v>
      </x:c>
      <x:c r="AG379" s="32" t="n">
        <x:v>0.8273565573770491803278688525</x:v>
      </x:c>
      <x:c r="AH379" s="32" t="n">
        <x:v>0.8288934426229508196721311475</x:v>
      </x:c>
      <x:c r="AI379" s="32" t="n">
        <x:v>0.8345286885245901639344262295</x:v>
      </x:c>
      <x:c r="AJ379" s="32" t="n">
        <x:v>0.8422131147540983606557377049</x:v>
      </x:c>
      <x:c r="AK379" s="32" t="n">
        <x:v>0.8468237704918032786885245902</x:v>
      </x:c>
      <x:c r="AL379" s="32" t="n">
        <x:v>0.850922131147540983606557377</x:v>
      </x:c>
      <x:c r="AM379" s="32" t="n">
        <x:v>0.8550204918032786885245901639</x:v>
      </x:c>
      <x:c r="AN379" s="32" t="n">
        <x:v>0.8550204918032786885245901639</x:v>
      </x:c>
      <x:c r="AO379" s="32" t="n">
        <x:v>0.856557377049180327868852459</x:v>
      </x:c>
      <x:c r="AP379" s="32" t="n">
        <x:v>0.8570696721311475409836065574</x:v>
      </x:c>
      <x:c r="AQ379" s="32" t="n">
        <x:v>0.8575819672131147540983606557</x:v>
      </x:c>
      <x:c r="AR379" s="32" t="n">
        <x:v>0.8580942622950819672131147541</x:v>
      </x:c>
      <x:c r="AS379" s="32" t="n">
        <x:v>0.8606557377049180327868852459</x:v>
      </x:c>
      <x:c r="BI379" s="33" t="s"/>
      <x:c r="BJ379" s="11" t="s">
        <x:v>375</x:v>
      </x:c>
      <x:c r="BK379" s="12" t="str">
        <x:f>=BX379</x:f>
      </x:c>
      <x:c r="BL379" s="12" t="n">
        <x:v>0.8627049180327868852459016393</x:v>
      </x:c>
      <x:c r="BM379" s="12" t="n">
        <x:v>0.1075819672131147540983606557</x:v>
      </x:c>
      <x:c r="BN379" s="12" t="n">
        <x:v>0.0297131147540983606557377049</x:v>
      </x:c>
      <x:c r="BO379" s="12" t="str">
        <x:f>=BW379</x:f>
      </x:c>
      <x:c r="BP379" s="12" t="str">
        <x:f>=CF379</x:f>
      </x:c>
      <x:c r="BQ379" s="12" t="str"/>
      <x:c r="BR379" s="12" t="str">
        <x:v>AW 2020 EOS</x:v>
      </x:c>
      <x:c r="BS379" s="13" t="str"/>
      <x:c r="BT379" s="30" t="n">
        <x:v>28616.46</x:v>
      </x:c>
      <x:c r="BU379" s="30" t="n">
        <x:v>-20781.00970</x:v>
      </x:c>
      <x:c r="BV379" s="30" t="str">
        <x:f>=BT379+BU379</x:f>
      </x:c>
      <x:c r="BW379" s="66" t="str">
        <x:f>=BV379/BT379</x:f>
      </x:c>
      <x:c r="BX379" s="66" t="n">
        <x:v>0.9702868852459016393442622951</x:v>
      </x:c>
      <x:c r="BY379" s="30" t="n">
        <x:v>19157.45</x:v>
      </x:c>
      <x:c r="BZ379" s="41" t="n">
        <x:v>58</x:v>
      </x:c>
      <x:c r="CA379" s="30" t="n">
        <x:v>569.22751024590163934426229506</x:v>
      </x:c>
      <x:c r="CC379" s="30" t="n">
        <x:v>28617.320655737704918032786885</x:v>
      </x:c>
      <x:c r="CD379" s="30" t="n">
        <x:v>-20781.00970</x:v>
      </x:c>
      <x:c r="CE379" s="30" t="str">
        <x:f>=CC379+CD379</x:f>
      </x:c>
      <x:c r="CF379" s="66" t="str">
        <x:f>=CE379/CC379</x:f>
      </x:c>
      <x:c r="CH379" s="66" t="str">
        <x:f>=CI379+CJ379</x:f>
      </x:c>
      <x:c r="CI379" s="66" t="str">
        <x:f>=BX379+(0*7)</x:f>
      </x:c>
      <x:c r="CJ379" s="66" t="str">
        <x:f>=(1-CI379)*0.5</x:f>
      </x:c>
      <x:c r="CK379" s="66" t="str">
        <x:f>=1-CH379</x:f>
      </x:c>
      <x:c r="CM379" s="66" t="str">
        <x:f>=CJ379/(1-CI379)</x:f>
      </x:c>
    </x:row>
    <x:row r="380">
      <x:c r="A380" s="31" t="s">
        <x:v>709</x:v>
      </x:c>
      <x:c r="B380" t="s"/>
      <x:c r="C380" t="s">
        <x:v>710</x:v>
      </x:c>
      <x:c r="D380" t="s">
        <x:v>274</x:v>
      </x:c>
      <x:c r="E380" s="69" t="s">
        <x:v>153</x:v>
      </x:c>
      <x:c r="F380" t="n">
        <x:v>3425</x:v>
      </x:c>
      <x:c r="G380" s="32" t="n">
        <x:v>0.0087591240875912408759124088</x:v>
      </x:c>
      <x:c r="H380" s="32" t="n">
        <x:v>0.0537226277372262773722627737</x:v>
      </x:c>
      <x:c r="I380" s="32" t="n">
        <x:v>0.1167883211678832116788321168</x:v>
      </x:c>
      <x:c r="J380" s="32" t="n">
        <x:v>0.1559124087591240875912408759</x:v>
      </x:c>
      <x:c r="K380" s="32" t="n">
        <x:v>0.2061313868613138686131386861</x:v>
      </x:c>
      <x:c r="L380" s="32" t="n">
        <x:v>0.2826277372262773722627737226</x:v>
      </x:c>
      <x:c r="M380" s="32" t="n">
        <x:v>0.3331386861313868613138686131</x:v>
      </x:c>
      <x:c r="N380" s="32" t="n">
        <x:v>0.3889051094890510948905109489</x:v>
      </x:c>
      <x:c r="O380" s="32" t="n">
        <x:v>0.4283211678832116788321167883</x:v>
      </x:c>
      <x:c r="P380" s="32" t="n">
        <x:v>0.4630656934306569343065693431</x:v>
      </x:c>
      <x:c r="Q380" s="32" t="n">
        <x:v>0.508029197080291970802919708</x:v>
      </x:c>
      <x:c r="R380" s="32" t="n">
        <x:v>0.5655474452554744525547445255</x:v>
      </x:c>
      <x:c r="S380" s="32" t="n">
        <x:v>0.6195620437956204379562043796</x:v>
      </x:c>
      <x:c r="T380" s="32" t="n">
        <x:v>0.6767883211678832116788321168</x:v>
      </x:c>
      <x:c r="U380" s="23" t="n">
        <x:v>0.7357664233576642335766423358</x:v>
      </x:c>
      <x:c r="V380" s="32" t="n">
        <x:v>0.795036496350364963503649635</x:v>
      </x:c>
      <x:c r="W380" s="32" t="n">
        <x:v>0.8312408759124087591240875912</x:v>
      </x:c>
      <x:c r="X380" s="32" t="n">
        <x:v>0.8569343065693430656934306569</x:v>
      </x:c>
      <x:c r="Y380" s="32" t="n">
        <x:v>0.8694890510948905109489051095</x:v>
      </x:c>
      <x:c r="Z380" s="32" t="n">
        <x:v>0.8697810218978102189781021898</x:v>
      </x:c>
      <x:c r="AA380" s="32" t="n">
        <x:v>0.8791240875912408759124087591</x:v>
      </x:c>
      <x:c r="AB380" s="32" t="n">
        <x:v>0.8835036496350364963503649635</x:v>
      </x:c>
      <x:c r="AC380" s="32" t="n">
        <x:v>0.8884671532846715328467153285</x:v>
      </x:c>
      <x:c r="AD380" s="32" t="n">
        <x:v>0.8893430656934306569343065693</x:v>
      </x:c>
      <x:c r="AE380" s="32" t="n">
        <x:v>0.8922627737226277372262773723</x:v>
      </x:c>
      <x:c r="AF380" s="32" t="n">
        <x:v>0.8934306569343065693430656934</x:v>
      </x:c>
      <x:c r="AG380" s="32" t="n">
        <x:v>0.8937226277372262773722627737</x:v>
      </x:c>
      <x:c r="AH380" s="32" t="n">
        <x:v>0.894014598540145985401459854</x:v>
      </x:c>
      <x:c r="AI380" s="32" t="n">
        <x:v>0.8937226277372262773722627737</x:v>
      </x:c>
      <x:c r="AJ380" s="32" t="n">
        <x:v>0.8937226277372262773722627737</x:v>
      </x:c>
      <x:c r="AK380" s="32" t="n">
        <x:v>0.8937226277372262773722627737</x:v>
      </x:c>
      <x:c r="AL380" s="32" t="n">
        <x:v>0.8937226277372262773722627737</x:v>
      </x:c>
      <x:c r="AM380" s="32" t="n">
        <x:v>0.8937226277372262773722627737</x:v>
      </x:c>
      <x:c r="AN380" s="32" t="n">
        <x:v>0.8943065693430656934306569343</x:v>
      </x:c>
      <x:c r="AO380" s="32" t="n">
        <x:v>0.8951824817518248175182481752</x:v>
      </x:c>
      <x:c r="AP380" s="32" t="n">
        <x:v>0.8966423357664233576642335766</x:v>
      </x:c>
      <x:c r="BI380" s="33" t="s"/>
      <x:c r="BJ380" s="11" t="s">
        <x:v>711</x:v>
      </x:c>
      <x:c r="BK380" s="12" t="str">
        <x:f>=BX380</x:f>
      </x:c>
      <x:c r="BL380" s="12" t="n">
        <x:v>0.8969343065693430656934306569</x:v>
      </x:c>
      <x:c r="BM380" s="12" t="n">
        <x:v>0.0890510948905109489051094891</x:v>
      </x:c>
      <x:c r="BN380" s="12" t="n">
        <x:v>0.014014598540145985401459854</x:v>
      </x:c>
      <x:c r="BO380" s="12" t="str">
        <x:f>=BW380</x:f>
      </x:c>
      <x:c r="BP380" s="12" t="str">
        <x:f>=CF380</x:f>
      </x:c>
      <x:c r="BQ380" s="12" t="str"/>
      <x:c r="BR380" s="12" t="str">
        <x:v>AW 2020 EOS</x:v>
      </x:c>
      <x:c r="BS380" s="13" t="str"/>
      <x:c r="BT380" s="30" t="n">
        <x:v>27964.38</x:v>
      </x:c>
      <x:c r="BU380" s="30" t="n">
        <x:v>-18944.50640</x:v>
      </x:c>
      <x:c r="BV380" s="30" t="str">
        <x:f>=BT380+BU380</x:f>
      </x:c>
      <x:c r="BW380" s="66" t="str">
        <x:f>=BV380/BT380</x:f>
      </x:c>
      <x:c r="BX380" s="66" t="n">
        <x:v>0.985985401459854014598540146</x:v>
      </x:c>
      <x:c r="BY380" s="30" t="n">
        <x:v>17180.40</x:v>
      </x:c>
      <x:c r="BZ380" s="41" t="n">
        <x:v>48</x:v>
      </x:c>
      <x:c r="CA380" s="30" t="n">
        <x:v>240.77640875912408759124087591</x:v>
      </x:c>
      <x:c r="CC380" s="30" t="n">
        <x:v>27965.276058394160583941605839</x:v>
      </x:c>
      <x:c r="CD380" s="30" t="n">
        <x:v>-18944.50640</x:v>
      </x:c>
      <x:c r="CE380" s="30" t="str">
        <x:f>=CC380+CD380</x:f>
      </x:c>
      <x:c r="CF380" s="66" t="str">
        <x:f>=CE380/CC380</x:f>
      </x:c>
      <x:c r="CH380" s="66" t="str">
        <x:f>=CI380+CJ380</x:f>
      </x:c>
      <x:c r="CI380" s="66" t="str">
        <x:f>=BX380+(0*7)</x:f>
      </x:c>
      <x:c r="CJ380" s="66" t="str">
        <x:f>=(1-CI380)*0.5</x:f>
      </x:c>
      <x:c r="CK380" s="66" t="str">
        <x:f>=1-CH380</x:f>
      </x:c>
      <x:c r="CM380" s="66" t="str">
        <x:f>=CJ380/(1-CI380)</x:f>
      </x:c>
    </x:row>
    <x:row r="381">
      <x:c r="A381" s="31" t="s">
        <x:v>712</x:v>
      </x:c>
      <x:c r="B381" t="s"/>
      <x:c r="C381" t="s">
        <x:v>713</x:v>
      </x:c>
      <x:c r="D381" t="s">
        <x:v>274</x:v>
      </x:c>
      <x:c r="E381" s="69" t="s">
        <x:v>153</x:v>
      </x:c>
      <x:c r="F381" t="n">
        <x:v>5328</x:v>
      </x:c>
      <x:c r="G381" s="32" t="n">
        <x:v>0.0101351351351351351351351351</x:v>
      </x:c>
      <x:c r="H381" s="32" t="n">
        <x:v>0.0227102102102102102102102102</x:v>
      </x:c>
      <x:c r="I381" s="32" t="n">
        <x:v>0.0320945945945945945945945946</x:v>
      </x:c>
      <x:c r="J381" s="32" t="n">
        <x:v>0.0478603603603603603603603604</x:v>
      </x:c>
      <x:c r="K381" s="32" t="n">
        <x:v>0.0538663663663663663663663664</x:v>
      </x:c>
      <x:c r="L381" s="32" t="n">
        <x:v>0.0611861861861861861861861862</x:v>
      </x:c>
      <x:c r="M381" s="32" t="n">
        <x:v>0.0696321321321321321321321321</x:v>
      </x:c>
      <x:c r="N381" s="32" t="n">
        <x:v>0.0818318318318318318318318318</x:v>
      </x:c>
      <x:c r="O381" s="32" t="n">
        <x:v>0.1114864864864864864864864865</x:v>
      </x:c>
      <x:c r="P381" s="32" t="n">
        <x:v>0.1758633633633633633633633634</x:v>
      </x:c>
      <x:c r="Q381" s="32" t="n">
        <x:v>0.264451951951951951951951952</x:v>
      </x:c>
      <x:c r="R381" s="32" t="n">
        <x:v>0.3382132132132132132132132132</x:v>
      </x:c>
      <x:c r="S381" s="32" t="n">
        <x:v>0.3875750750750750750750750751</x:v>
      </x:c>
      <x:c r="T381" s="32" t="n">
        <x:v>0.4266141141141141141141141141</x:v>
      </x:c>
      <x:c r="U381" s="32" t="n">
        <x:v>0.449512012012012012012012012</x:v>
      </x:c>
      <x:c r="V381" s="32" t="n">
        <x:v>0.4652777777777777777777777778</x:v>
      </x:c>
      <x:c r="W381" s="32" t="n">
        <x:v>0.4786036036036036036036036036</x:v>
      </x:c>
      <x:c r="X381" s="32" t="n">
        <x:v>0.4902402402402402402402402402</x:v>
      </x:c>
      <x:c r="Y381" s="32" t="n">
        <x:v>0.5005630630630630630630630631</x:v>
      </x:c>
      <x:c r="Z381" s="32" t="n">
        <x:v>0.5063813813813813813813813814</x:v>
      </x:c>
      <x:c r="AA381" s="32" t="n">
        <x:v>0.5121996996996996996996996997</x:v>
      </x:c>
      <x:c r="AB381" s="32" t="n">
        <x:v>0.5178303303303303303303303303</x:v>
      </x:c>
      <x:c r="AC381" s="32" t="n">
        <x:v>0.5206456456456456456456456456</x:v>
      </x:c>
      <x:c r="AD381" s="32" t="n">
        <x:v>0.5257132132132132132132132132</x:v>
      </x:c>
      <x:c r="AE381" s="32" t="n">
        <x:v>0.5305930930930930930930930931</x:v>
      </x:c>
      <x:c r="AF381" s="32" t="n">
        <x:v>0.5335960960960960960960960961</x:v>
      </x:c>
      <x:c r="AG381" s="32" t="n">
        <x:v>0.5341591591591591591591591592</x:v>
      </x:c>
      <x:c r="AH381" s="32" t="n">
        <x:v>0.5345345345345345345345345345</x:v>
      </x:c>
      <x:c r="AI381" s="32" t="n">
        <x:v>0.5339714714714714714714714715</x:v>
      </x:c>
      <x:c r="AJ381" s="32" t="n">
        <x:v>0.5364114114114114114114114114</x:v>
      </x:c>
      <x:c r="AK381" s="32" t="n">
        <x:v>0.5392267267267267267267267267</x:v>
      </x:c>
      <x:c r="AL381" s="32" t="n">
        <x:v>0.5463588588588588588588588589</x:v>
      </x:c>
      <x:c r="BI381" s="33" t="s"/>
      <x:c r="BJ381" s="11" t="s">
        <x:v>197</x:v>
      </x:c>
      <x:c r="BK381" s="12" t="str">
        <x:f>=BX381</x:f>
      </x:c>
      <x:c r="BL381" s="12" t="n">
        <x:v>0.5497372372372372372372372372</x:v>
      </x:c>
      <x:c r="BM381" s="12" t="n">
        <x:v>0.3656156156156156156156156156</x:v>
      </x:c>
      <x:c r="BN381" s="12" t="n">
        <x:v>0.0846471471471471471471471471</x:v>
      </x:c>
      <x:c r="BO381" s="12" t="str">
        <x:f>=BW381</x:f>
      </x:c>
      <x:c r="BP381" s="12" t="str">
        <x:f>=CF381</x:f>
      </x:c>
      <x:c r="BQ381" s="12" t="str"/>
      <x:c r="BR381" s="12" t="str">
        <x:v>AW 2020 EOS</x:v>
      </x:c>
      <x:c r="BS381" s="13" t="str"/>
      <x:c r="BT381" s="30" t="n">
        <x:v>54370.96</x:v>
      </x:c>
      <x:c r="BU381" s="30" t="n">
        <x:v>-45244.82940</x:v>
      </x:c>
      <x:c r="BV381" s="30" t="str">
        <x:f>=BT381+BU381</x:f>
      </x:c>
      <x:c r="BW381" s="66" t="str">
        <x:f>=BV381/BT381</x:f>
      </x:c>
      <x:c r="BX381" s="66" t="n">
        <x:v>0.9153528528528528528528528529</x:v>
      </x:c>
      <x:c r="BY381" s="30" t="n">
        <x:v>41523.90</x:v>
      </x:c>
      <x:c r="BZ381" s="41" t="n">
        <x:v>451</x:v>
      </x:c>
      <x:c r="CA381" s="30" t="n">
        <x:v>3514.8796734234234234234234234</x:v>
      </x:c>
      <x:c r="CC381" s="30" t="n">
        <x:v>54371.504857357357357357357357</x:v>
      </x:c>
      <x:c r="CD381" s="30" t="n">
        <x:v>-45244.82940</x:v>
      </x:c>
      <x:c r="CE381" s="30" t="str">
        <x:f>=CC381+CD381</x:f>
      </x:c>
      <x:c r="CF381" s="66" t="str">
        <x:f>=CE381/CC381</x:f>
      </x:c>
      <x:c r="CH381" s="66" t="str">
        <x:f>=CI381+CJ381</x:f>
      </x:c>
      <x:c r="CI381" s="66" t="str">
        <x:f>=BX381+(0*7)</x:f>
      </x:c>
      <x:c r="CJ381" s="66" t="str">
        <x:f>=(1-CI381)*0.5</x:f>
      </x:c>
      <x:c r="CK381" s="66" t="str">
        <x:f>=1-CH381</x:f>
      </x:c>
      <x:c r="CM381" s="66" t="str">
        <x:f>=CJ381/(1-CI381)</x:f>
      </x:c>
    </x:row>
    <x:row r="382">
      <x:c r="A382" s="31" t="s">
        <x:v>714</x:v>
      </x:c>
      <x:c r="B382" t="s"/>
      <x:c r="C382" t="s">
        <x:v>715</x:v>
      </x:c>
      <x:c r="D382" t="s">
        <x:v>274</x:v>
      </x:c>
      <x:c r="E382" s="69" t="s">
        <x:v>153</x:v>
      </x:c>
      <x:c r="F382" t="n">
        <x:v>975</x:v>
      </x:c>
      <x:c r="G382" s="32" t="n">
        <x:v>0.0235897435897435897435897436</x:v>
      </x:c>
      <x:c r="H382" s="32" t="n">
        <x:v>0.0471794871794871794871794872</x:v>
      </x:c>
      <x:c r="I382" s="32" t="n">
        <x:v>0.0871794871794871794871794872</x:v>
      </x:c>
      <x:c r="J382" s="32" t="n">
        <x:v>0.1456410256410256410256410256</x:v>
      </x:c>
      <x:c r="K382" s="32" t="n">
        <x:v>0.2369230769230769230769230769</x:v>
      </x:c>
      <x:c r="L382" s="32" t="n">
        <x:v>0.3128205128205128205128205128</x:v>
      </x:c>
      <x:c r="M382" s="32" t="n">
        <x:v>0.4235897435897435897435897436</x:v>
      </x:c>
      <x:c r="N382" s="32" t="n">
        <x:v>0.5158974358974358974358974359</x:v>
      </x:c>
      <x:c r="O382" s="32" t="n">
        <x:v>0.6153846153846153846153846154</x:v>
      </x:c>
      <x:c r="P382" s="23" t="n">
        <x:v>0.7107692307692307692307692308</x:v>
      </x:c>
      <x:c r="Q382" s="32" t="n">
        <x:v>0.7641025641025641025641025641</x:v>
      </x:c>
      <x:c r="R382" s="32" t="n">
        <x:v>0.7866666666666666666666666667</x:v>
      </x:c>
      <x:c r="S382" s="32" t="n">
        <x:v>0.7907692307692307692307692308</x:v>
      </x:c>
      <x:c r="T382" s="32" t="n">
        <x:v>0.8</x:v>
      </x:c>
      <x:c r="U382" s="32" t="n">
        <x:v>0.8102564102564102564102564103</x:v>
      </x:c>
      <x:c r="V382" s="32" t="n">
        <x:v>0.8369230769230769230769230769</x:v>
      </x:c>
      <x:c r="W382" s="32" t="n">
        <x:v>0.8461538461538461538461538462</x:v>
      </x:c>
      <x:c r="X382" s="32" t="n">
        <x:v>0.8523076923076923076923076923</x:v>
      </x:c>
      <x:c r="Y382" s="32" t="n">
        <x:v>0.8625641025641025641025641026</x:v>
      </x:c>
      <x:c r="Z382" s="32" t="n">
        <x:v>0.8707692307692307692307692308</x:v>
      </x:c>
      <x:c r="AA382" s="32" t="n">
        <x:v>0.881025641025641025641025641</x:v>
      </x:c>
      <x:c r="AB382" s="32" t="n">
        <x:v>0.8912820512820512820512820513</x:v>
      </x:c>
      <x:c r="AC382" s="32" t="n">
        <x:v>0.8994871794871794871794871795</x:v>
      </x:c>
      <x:c r="AD382" s="32" t="n">
        <x:v>0.9179487179487179487179487179</x:v>
      </x:c>
      <x:c r="AE382" s="32" t="n">
        <x:v>0.9353846153846153846153846154</x:v>
      </x:c>
      <x:c r="AF382" s="32" t="n">
        <x:v>0.9374358974358974358974358974</x:v>
      </x:c>
      <x:c r="AG382" s="32" t="n">
        <x:v>0.9394871794871794871794871795</x:v>
      </x:c>
      <x:c r="AH382" s="32" t="n">
        <x:v>0.9384615384615384615384615385</x:v>
      </x:c>
      <x:c r="AI382" s="32" t="n">
        <x:v>0.9374358974358974358974358974</x:v>
      </x:c>
      <x:c r="AJ382" s="32" t="n">
        <x:v>0.9374358974358974358974358974</x:v>
      </x:c>
      <x:c r="AK382" s="22" t="n">
        <x:v>0.9435897435897435897435897436</x:v>
      </x:c>
      <x:c r="BI382" s="33" t="s"/>
      <x:c r="BJ382" s="11" t="s">
        <x:v>325</x:v>
      </x:c>
      <x:c r="BK382" s="12" t="str">
        <x:f>=BX382</x:f>
      </x:c>
      <x:c r="BL382" s="12" t="n">
        <x:v>0.9343589743589743589743589744</x:v>
      </x:c>
      <x:c r="BM382" s="12" t="n">
        <x:v>0.0246153846153846153846153846</x:v>
      </x:c>
      <x:c r="BN382" s="12" t="n">
        <x:v>0.041025641025641025641025641</x:v>
      </x:c>
      <x:c r="BO382" s="12" t="str">
        <x:f>=BW382</x:f>
      </x:c>
      <x:c r="BP382" s="12" t="str">
        <x:f>=CF382</x:f>
      </x:c>
      <x:c r="BQ382" s="12" t="str"/>
      <x:c r="BR382" s="12" t="str">
        <x:v>AW 2020 EOS</x:v>
      </x:c>
      <x:c r="BS382" s="13" t="str"/>
      <x:c r="BT382" s="30" t="n">
        <x:v>16225.85</x:v>
      </x:c>
      <x:c r="BU382" s="30" t="n">
        <x:v>-10540.92000</x:v>
      </x:c>
      <x:c r="BV382" s="30" t="str">
        <x:f>=BT382+BU382</x:f>
      </x:c>
      <x:c r="BW382" s="66" t="str">
        <x:f>=BV382/BT382</x:f>
      </x:c>
      <x:c r="BX382" s="66" t="n">
        <x:v>0.958974358974358974358974359</x:v>
      </x:c>
      <x:c r="BY382" s="30" t="n">
        <x:v>9720.00</x:v>
      </x:c>
      <x:c r="BZ382" s="41" t="n">
        <x:v>40</x:v>
      </x:c>
      <x:c r="CA382" s="30" t="n">
        <x:v>398.76923076923076923076923076</x:v>
      </x:c>
      <x:c r="CC382" s="30" t="n">
        <x:v>16301.736885206810256410256410</x:v>
      </x:c>
      <x:c r="CD382" s="30" t="n">
        <x:v>-10540.92000</x:v>
      </x:c>
      <x:c r="CE382" s="30" t="str">
        <x:f>=CC382+CD382</x:f>
      </x:c>
      <x:c r="CF382" s="66" t="str">
        <x:f>=CE382/CC382</x:f>
      </x:c>
      <x:c r="CH382" s="66" t="str">
        <x:f>=CI382+CJ382</x:f>
      </x:c>
      <x:c r="CI382" s="66" t="str">
        <x:f>=BX382+(0*7)</x:f>
      </x:c>
      <x:c r="CJ382" s="66" t="str">
        <x:f>=(1-CI382)*0.5</x:f>
      </x:c>
      <x:c r="CK382" s="66" t="str">
        <x:f>=1-CH382</x:f>
      </x:c>
      <x:c r="CM382" s="66" t="str">
        <x:f>=CJ382/(1-CI382)</x:f>
      </x:c>
    </x:row>
    <x:row r="383">
      <x:c r="A383" s="31" t="s">
        <x:v>716</x:v>
      </x:c>
      <x:c r="B383" t="s"/>
      <x:c r="C383" t="s">
        <x:v>717</x:v>
      </x:c>
      <x:c r="D383" t="s">
        <x:v>118</x:v>
      </x:c>
      <x:c r="E383" s="69" t="s">
        <x:v>153</x:v>
      </x:c>
      <x:c r="F383" t="n">
        <x:v>1791</x:v>
      </x:c>
      <x:c r="G383" s="32" t="n">
        <x:v>0.0614182021217197096594081519</x:v>
      </x:c>
      <x:c r="H383" s="32" t="n">
        <x:v>0.1859296482412060301507537688</x:v>
      </x:c>
      <x:c r="I383" s="32" t="n">
        <x:v>0.3394751535455053042992741485</x:v>
      </x:c>
      <x:c r="J383" s="32" t="n">
        <x:v>0.4790619765494137353433835846</x:v>
      </x:c>
      <x:c r="K383" s="32" t="n">
        <x:v>0.5689558905639307649357900614</x:v>
      </x:c>
      <x:c r="L383" s="32" t="n">
        <x:v>0.6454494695700725851479620324</x:v>
      </x:c>
      <x:c r="M383" s="32" t="n">
        <x:v>0.6962590731434952540480178671</x:v>
      </x:c>
      <x:c r="N383" s="23" t="n">
        <x:v>0.7275265214963707426018983808</x:v>
      </x:c>
      <x:c r="O383" s="32" t="n">
        <x:v>0.7571189279731993299832495812</x:v>
      </x:c>
      <x:c r="P383" s="32" t="n">
        <x:v>0.7777777777777777777777777778</x:v>
      </x:c>
      <x:c r="Q383" s="32" t="n">
        <x:v>0.7984366275823562255723059743</x:v>
      </x:c>
      <x:c r="R383" s="32" t="n">
        <x:v>0.8051367950865438302624232272</x:v>
      </x:c>
      <x:c r="S383" s="32" t="n">
        <x:v>0.8090452261306532663316582915</x:v>
      </x:c>
      <x:c r="T383" s="32" t="n">
        <x:v>0.8257956448911222780569514238</x:v>
      </x:c>
      <x:c r="U383" s="32" t="n">
        <x:v>0.8358458961474036850921273032</x:v>
      </x:c>
      <x:c r="V383" s="32" t="n">
        <x:v>0.8470128419877163595756560581</x:v>
      </x:c>
      <x:c r="W383" s="32" t="n">
        <x:v>0.858179787828029034059184813</x:v>
      </x:c>
      <x:c r="X383" s="32" t="n">
        <x:v>0.8699050809603573422668900056</x:v>
      </x:c>
      <x:c r="Y383" s="32" t="n">
        <x:v>0.8849804578447794528196538247</x:v>
      </x:c>
      <x:c r="Z383" s="32" t="n">
        <x:v>0.8922389726409826912339475154</x:v>
      </x:c>
      <x:c r="AA383" s="32" t="n">
        <x:v>0.8983807928531546621998883305</x:v>
      </x:c>
      <x:c r="AB383" s="32" t="n">
        <x:v>0.9006141820212171970965940815</x:v>
      </x:c>
      <x:c r="AC383" s="32" t="n">
        <x:v>0.9056393076493579006141820212</x:v>
      </x:c>
      <x:c r="AD383" s="32" t="n">
        <x:v>0.9123394751535455053042992741</x:v>
      </x:c>
      <x:c r="AE383" s="32" t="n">
        <x:v>0.9112227805695142378559463987</x:v>
      </x:c>
      <x:c r="AF383" s="32" t="n">
        <x:v>0.9117811278615298715801228364</x:v>
      </x:c>
      <x:c r="AG383" s="32" t="n">
        <x:v>0.9117811278615298715801228364</x:v>
      </x:c>
      <x:c r="AH383" s="32" t="n">
        <x:v>0.9117811278615298715801228364</x:v>
      </x:c>
      <x:c r="AI383" s="22" t="n">
        <x:v>0.9296482412060301507537688442</x:v>
      </x:c>
      <x:c r="BI383" s="33" t="s"/>
      <x:c r="BJ383" s="11" t="s">
        <x:v>265</x:v>
      </x:c>
      <x:c r="BK383" s="12" t="str">
        <x:f>=BX383</x:f>
      </x:c>
      <x:c r="BL383" s="12" t="n">
        <x:v>0.9117811278615298715801228364</x:v>
      </x:c>
      <x:c r="BM383" s="12" t="n">
        <x:v>0.0563930764935790061418202122</x:v>
      </x:c>
      <x:c r="BN383" s="12" t="n">
        <x:v>0.0318257956448911222780569514</x:v>
      </x:c>
      <x:c r="BO383" s="12" t="str">
        <x:f>=BW383</x:f>
      </x:c>
      <x:c r="BP383" s="12" t="str">
        <x:f>=CF383</x:f>
      </x:c>
      <x:c r="BQ383" s="12" t="str"/>
      <x:c r="BR383" s="12" t="str">
        <x:v>AW 2020 EOS</x:v>
      </x:c>
      <x:c r="BS383" s="13" t="str"/>
      <x:c r="BT383" s="30" t="n">
        <x:v>9306.98</x:v>
      </x:c>
      <x:c r="BU383" s="30" t="n">
        <x:v>-6301.1859</x:v>
      </x:c>
      <x:c r="BV383" s="30" t="str">
        <x:f>=BT383+BU383</x:f>
      </x:c>
      <x:c r="BW383" s="66" t="str">
        <x:f>=BV383/BT383</x:f>
      </x:c>
      <x:c r="BX383" s="66" t="n">
        <x:v>0.9681742043551088777219430486</x:v>
      </x:c>
      <x:c r="BY383" s="30" t="n">
        <x:v>6303.12</x:v>
      </x:c>
      <x:c r="BZ383" s="41" t="n">
        <x:v>57</x:v>
      </x:c>
      <x:c r="CA383" s="30" t="n">
        <x:v>200.60180904522613065326633166</x:v>
      </x:c>
      <x:c r="CC383" s="30" t="n">
        <x:v>9307.891781127861529871580123</x:v>
      </x:c>
      <x:c r="CD383" s="30" t="n">
        <x:v>-6301.1859</x:v>
      </x:c>
      <x:c r="CE383" s="30" t="str">
        <x:f>=CC383+CD383</x:f>
      </x:c>
      <x:c r="CF383" s="66" t="str">
        <x:f>=CE383/CC383</x:f>
      </x:c>
      <x:c r="CH383" s="66" t="str">
        <x:f>=CI383+CJ383</x:f>
      </x:c>
      <x:c r="CI383" s="66" t="str">
        <x:f>=BX383+(0*7)</x:f>
      </x:c>
      <x:c r="CJ383" s="66" t="str">
        <x:f>=(1-CI383)*0.5</x:f>
      </x:c>
      <x:c r="CK383" s="66" t="str">
        <x:f>=1-CH383</x:f>
      </x:c>
      <x:c r="CM383" s="66" t="str">
        <x:f>=CJ383/(1-CI383)</x:f>
      </x:c>
    </x:row>
    <x:row r="384">
      <x:c r="A384" s="31" t="s">
        <x:v>718</x:v>
      </x:c>
      <x:c r="B384" t="s"/>
      <x:c r="C384" t="s">
        <x:v>719</x:v>
      </x:c>
      <x:c r="D384" t="s">
        <x:v>274</x:v>
      </x:c>
      <x:c r="E384" s="69" t="s">
        <x:v>153</x:v>
      </x:c>
      <x:c r="F384" t="n">
        <x:v>972</x:v>
      </x:c>
      <x:c r="G384" s="32" t="n">
        <x:v>0.0606995884773662551440329218</x:v>
      </x:c>
      <x:c r="H384" s="32" t="n">
        <x:v>0.1851851851851851851851851852</x:v>
      </x:c>
      <x:c r="I384" s="32" t="n">
        <x:v>0.3076131687242798353909465021</x:v>
      </x:c>
      <x:c r="J384" s="32" t="n">
        <x:v>0.3611111111111111111111111111</x:v>
      </x:c>
      <x:c r="K384" s="32" t="n">
        <x:v>0.5637860082304526748971193416</x:v>
      </x:c>
      <x:c r="L384" s="32" t="n">
        <x:v>0.6820987654320987654320987654</x:v>
      </x:c>
      <x:c r="M384" s="23" t="n">
        <x:v>0.7633744855967078189300411523</x:v>
      </x:c>
      <x:c r="N384" s="32" t="n">
        <x:v>0.8024691358024691358024691358</x:v>
      </x:c>
      <x:c r="O384" s="32" t="n">
        <x:v>0.8220164609053497942386831276</x:v>
      </x:c>
      <x:c r="P384" s="32" t="n">
        <x:v>0.8425925925925925925925925926</x:v>
      </x:c>
      <x:c r="Q384" s="32" t="n">
        <x:v>0.8518518518518518518518518519</x:v>
      </x:c>
      <x:c r="R384" s="32" t="n">
        <x:v>0.8631687242798353909465020576</x:v>
      </x:c>
      <x:c r="S384" s="32" t="n">
        <x:v>0.8765432098765432098765432099</x:v>
      </x:c>
      <x:c r="T384" s="32" t="n">
        <x:v>0.8868312757201646090534979424</x:v>
      </x:c>
      <x:c r="U384" s="32" t="n">
        <x:v>0.8971193415637860082304526749</x:v>
      </x:c>
      <x:c r="V384" s="32" t="n">
        <x:v>0.9012345679012345679012345679</x:v>
      </x:c>
      <x:c r="W384" s="32" t="n">
        <x:v>0.9115226337448559670781893004</x:v>
      </x:c>
      <x:c r="X384" s="32" t="n">
        <x:v>0.9146090534979423868312757202</x:v>
      </x:c>
      <x:c r="Y384" s="32" t="n">
        <x:v>0.9166666666666666666666666667</x:v>
      </x:c>
      <x:c r="Z384" s="32" t="n">
        <x:v>0.9166666666666666666666666667</x:v>
      </x:c>
      <x:c r="AA384" s="32" t="n">
        <x:v>0.9156378600823045267489711934</x:v>
      </x:c>
      <x:c r="AB384" s="32" t="n">
        <x:v>0.9259259259259259259259259259</x:v>
      </x:c>
      <x:c r="AC384" s="32" t="n">
        <x:v>0.9290123456790123456790123457</x:v>
      </x:c>
      <x:c r="AD384" s="32" t="n">
        <x:v>0.9320987654320987654320987654</x:v>
      </x:c>
      <x:c r="AE384" s="32" t="n">
        <x:v>0.9320987654320987654320987654</x:v>
      </x:c>
      <x:c r="AF384" s="32" t="n">
        <x:v>0.9310699588477366255144032922</x:v>
      </x:c>
      <x:c r="AG384" s="32" t="n">
        <x:v>0.9310699588477366255144032922</x:v>
      </x:c>
      <x:c r="AH384" s="32" t="n">
        <x:v>0.9310699588477366255144032922</x:v>
      </x:c>
      <x:c r="AI384" s="22" t="n">
        <x:v>0.9423868312757201646090534979</x:v>
      </x:c>
      <x:c r="BI384" s="33" t="s"/>
      <x:c r="BJ384" s="11" t="s">
        <x:v>265</x:v>
      </x:c>
      <x:c r="BK384" s="12" t="str">
        <x:f>=BX384</x:f>
      </x:c>
      <x:c r="BL384" s="12" t="n">
        <x:v>0.9300411522633744855967078189</x:v>
      </x:c>
      <x:c r="BM384" s="12" t="n">
        <x:v>0.0267489711934156378600823045</x:v>
      </x:c>
      <x:c r="BN384" s="12" t="n">
        <x:v>0.0432098765432098765432098765</x:v>
      </x:c>
      <x:c r="BO384" s="12" t="str">
        <x:f>=BW384</x:f>
      </x:c>
      <x:c r="BP384" s="12" t="str">
        <x:f>=CF384</x:f>
      </x:c>
      <x:c r="BQ384" s="12" t="str"/>
      <x:c r="BR384" s="12" t="str">
        <x:v>AW 2020 EOS</x:v>
      </x:c>
      <x:c r="BS384" s="13" t="str"/>
      <x:c r="BT384" s="30" t="n">
        <x:v>13318.58</x:v>
      </x:c>
      <x:c r="BU384" s="30" t="n">
        <x:v>-9416.80400</x:v>
      </x:c>
      <x:c r="BV384" s="30" t="str">
        <x:f>=BT384+BU384</x:f>
      </x:c>
      <x:c r="BW384" s="66" t="str">
        <x:f>=BV384/BT384</x:f>
      </x:c>
      <x:c r="BX384" s="66" t="n">
        <x:v>0.9567901234567901234567901235</x:v>
      </x:c>
      <x:c r="BY384" s="30" t="n">
        <x:v>8666.00</x:v>
      </x:c>
      <x:c r="BZ384" s="41" t="n">
        <x:v>42</x:v>
      </x:c>
      <x:c r="CA384" s="30" t="n">
        <x:v>374.45679012345679012345679011</x:v>
      </x:c>
      <x:c r="CC384" s="30" t="n">
        <x:v>13387.776184520190329218106996</x:v>
      </x:c>
      <x:c r="CD384" s="30" t="n">
        <x:v>-9416.80400</x:v>
      </x:c>
      <x:c r="CE384" s="30" t="str">
        <x:f>=CC384+CD384</x:f>
      </x:c>
      <x:c r="CF384" s="66" t="str">
        <x:f>=CE384/CC384</x:f>
      </x:c>
      <x:c r="CH384" s="66" t="str">
        <x:f>=CI384+CJ384</x:f>
      </x:c>
      <x:c r="CI384" s="66" t="str">
        <x:f>=BX384+(0*7)</x:f>
      </x:c>
      <x:c r="CJ384" s="66" t="str">
        <x:f>=(1-CI384)*0.5</x:f>
      </x:c>
      <x:c r="CK384" s="66" t="str">
        <x:f>=1-CH384</x:f>
      </x:c>
      <x:c r="CM384" s="66" t="str">
        <x:f>=CJ384/(1-CI384)</x:f>
      </x:c>
    </x:row>
    <x:row r="385">
      <x:c r="A385" s="31" t="s"/>
      <x:c r="BI385" s="33" t="s"/>
      <x:c r="BJ385" s="11" t="s"/>
      <x:c r="BS385" s="13" t="s"/>
    </x:row>
    <x:row r="386">
      <x:c r="A386" s="17" t="s">
        <x:v>114</x:v>
      </x:c>
      <x:c r="BI386" s="33" t="s"/>
      <x:c r="BJ386" s="11" t="s"/>
      <x:c r="BS386" s="13" t="s"/>
    </x:row>
    <x:row r="387">
      <x:c r="A387" s="31" t="s">
        <x:v>345</x:v>
      </x:c>
      <x:c r="B387" t="s"/>
      <x:c r="C387" t="s">
        <x:v>344</x:v>
      </x:c>
      <x:c r="D387" t="s">
        <x:v>147</x:v>
      </x:c>
      <x:c r="E387" s="69" t="s">
        <x:v>153</x:v>
      </x:c>
      <x:c r="F387" t="n">
        <x:v>6027</x:v>
      </x:c>
      <x:c r="G387" s="32" t="n">
        <x:v>0.0054753608760577401692384271</x:v>
      </x:c>
      <x:c r="H387" s="32" t="n">
        <x:v>0.0386593661854985896797743488</x:v>
      </x:c>
      <x:c r="I387" s="32" t="n">
        <x:v>0.0939107350257176041148166584</x:v>
      </x:c>
      <x:c r="J387" s="32" t="n">
        <x:v>0.1863281898125103700016592003</x:v>
      </x:c>
      <x:c r="K387" s="32" t="n">
        <x:v>0.3230462916874066699850671976</x:v>
      </x:c>
      <x:c r="L387" s="32" t="n">
        <x:v>0.4723743155798904927824788452</x:v>
      </x:c>
      <x:c r="M387" s="32" t="n">
        <x:v>0.469055915048946407831425253</x:v>
      </x:c>
      <x:c r="N387" s="32" t="n">
        <x:v>0.4868093578894972623195619711</x:v>
      </x:c>
      <x:c r="O387" s="32" t="n">
        <x:v>0.5229799236767877882860461258</x:v>
      </x:c>
      <x:c r="P387" s="32" t="n">
        <x:v>0.5501908080305292848846855815</x:v>
      </x:c>
      <x:c r="BI387" s="33" t="s"/>
      <x:c r="BJ387" s="11" t="s">
        <x:v>148</x:v>
      </x:c>
      <x:c r="BK387" s="12" t="str">
        <x:f>=BX387</x:f>
      </x:c>
      <x:c r="BL387" s="12" t="n">
        <x:v>0.3938941430230628836900613904</x:v>
      </x:c>
      <x:c r="BM387" s="12" t="n">
        <x:v>0.1645926663348266135722581716</x:v>
      </x:c>
      <x:c r="BN387" s="12" t="n">
        <x:v>0.441513190642110502737680438</x:v>
      </x:c>
      <x:c r="BO387" s="12" t="str">
        <x:f>=BW387</x:f>
      </x:c>
      <x:c r="BP387" s="12" t="str">
        <x:f>=CF387</x:f>
      </x:c>
      <x:c r="BQ387" s="12" t="str"/>
      <x:c r="BR387" s="12" t="str">
        <x:v>AW 2020 EOS</x:v>
      </x:c>
      <x:c r="BS387" s="13" t="str"/>
      <x:c r="BT387" s="30" t="n">
        <x:v>18862.75</x:v>
      </x:c>
      <x:c r="BU387" s="30" t="n">
        <x:v>-26042.4710</x:v>
      </x:c>
      <x:c r="BV387" s="30" t="str">
        <x:f>=BT387+BU387</x:f>
      </x:c>
      <x:c r="BW387" s="66" t="str">
        <x:f>=BV387/BT387</x:f>
      </x:c>
      <x:c r="BX387" s="66" t="n">
        <x:v>0.558486809357889497262319562</x:v>
      </x:c>
      <x:c r="BY387" s="30" t="n">
        <x:v>22329.86</x:v>
      </x:c>
      <x:c r="BZ387" s="41" t="n">
        <x:v>2661</x:v>
      </x:c>
      <x:c r="CA387" s="30" t="n">
        <x:v>9858.927735191637630662020906</x:v>
      </x:c>
      <x:c r="CC387" s="30" t="n">
        <x:v>22697.786925740408163265306122</x:v>
      </x:c>
      <x:c r="CD387" s="30" t="n">
        <x:v>-26042.4710</x:v>
      </x:c>
      <x:c r="CE387" s="30" t="str">
        <x:f>=CC387+CD387</x:f>
      </x:c>
      <x:c r="CF387" s="66" t="str">
        <x:f>=CE387/CC387</x:f>
      </x:c>
      <x:c r="CH387" s="66" t="str">
        <x:f>=CI387+CJ387</x:f>
      </x:c>
      <x:c r="CI387" s="66" t="str">
        <x:f>=BX387+(0*7)</x:f>
      </x:c>
      <x:c r="CJ387" s="66" t="str">
        <x:f>=(1-CI387)*0.5</x:f>
      </x:c>
      <x:c r="CK387" s="66" t="str">
        <x:f>=1-CH387</x:f>
      </x:c>
      <x:c r="CM387" s="66" t="str">
        <x:f>=CJ387/(1-CI387)</x:f>
      </x:c>
    </x:row>
    <x:row r="388">
      <x:c r="A388" s="31" t="s">
        <x:v>346</x:v>
      </x:c>
      <x:c r="B388" t="s"/>
      <x:c r="C388" t="s">
        <x:v>347</x:v>
      </x:c>
      <x:c r="D388" t="s">
        <x:v>147</x:v>
      </x:c>
      <x:c r="E388" s="69" t="s">
        <x:v>153</x:v>
      </x:c>
      <x:c r="F388" t="n">
        <x:v>6292</x:v>
      </x:c>
      <x:c r="G388" s="32" t="n">
        <x:v>0.0087412587412587412587412587</x:v>
      </x:c>
      <x:c r="H388" s="32" t="n">
        <x:v>0.0449777495232040686586141132</x:v>
      </x:c>
      <x:c r="I388" s="32" t="n">
        <x:v>0.0859821996185632549268912905</x:v>
      </x:c>
      <x:c r="J388" s="32" t="n">
        <x:v>0.1179275270184361093452002543</x:v>
      </x:c>
      <x:c r="K388" s="32" t="n">
        <x:v>0.1719643992371265098537825811</x:v>
      </x:c>
      <x:c r="L388" s="32" t="n">
        <x:v>0.2202797202797202797202797203</x:v>
      </x:c>
      <x:c r="M388" s="32" t="n">
        <x:v>0.2434837889383343928798474253</x:v>
      </x:c>
      <x:c r="N388" s="32" t="n">
        <x:v>0.2450731087094723458359821996</x:v>
      </x:c>
      <x:c r="O388" s="32" t="n">
        <x:v>0.2579465988556897647806738716</x:v>
      </x:c>
      <x:c r="P388" s="32" t="n">
        <x:v>0.2875079465988556897647806739</x:v>
      </x:c>
      <x:c r="BI388" s="33" t="s"/>
      <x:c r="BJ388" s="11" t="s">
        <x:v>148</x:v>
      </x:c>
      <x:c r="BK388" s="12" t="str">
        <x:f>=BX388</x:f>
      </x:c>
      <x:c r="BL388" s="12" t="n">
        <x:v>0.3483788938334392879847425302</x:v>
      </x:c>
      <x:c r="BM388" s="12" t="n">
        <x:v>0.0354418308963763509218054673</x:v>
      </x:c>
      <x:c r="BN388" s="12" t="n">
        <x:v>0.6161792752701843610934520025</x:v>
      </x:c>
      <x:c r="BO388" s="12" t="str">
        <x:f>=BW388</x:f>
      </x:c>
      <x:c r="BP388" s="12" t="str">
        <x:f>=CF388</x:f>
      </x:c>
      <x:c r="BQ388" s="12" t="str"/>
      <x:c r="BR388" s="12" t="str">
        <x:v>AW 2020 EOS</x:v>
      </x:c>
      <x:c r="BS388" s="13" t="str"/>
      <x:c r="BT388" s="30" t="n">
        <x:v>16400.75</x:v>
      </x:c>
      <x:c r="BU388" s="30" t="n">
        <x:v>-27678.7288</x:v>
      </x:c>
      <x:c r="BV388" s="30" t="str">
        <x:f>=BT388+BU388</x:f>
      </x:c>
      <x:c r="BW388" s="66" t="str">
        <x:f>=BV388/BT388</x:f>
      </x:c>
      <x:c r="BX388" s="66" t="n">
        <x:v>0.3838207247298156389065479975</x:v>
      </x:c>
      <x:c r="BY388" s="30" t="n">
        <x:v>23750.25</x:v>
      </x:c>
      <x:c r="BZ388" s="41" t="n">
        <x:v>3877</x:v>
      </x:c>
      <x:c r="CA388" s="30" t="n">
        <x:v>14634.411832485696122059758424</x:v>
      </x:c>
      <x:c r="CC388" s="30" t="n">
        <x:v>25526.980418847325969485060391</x:v>
      </x:c>
      <x:c r="CD388" s="30" t="n">
        <x:v>-27678.7288</x:v>
      </x:c>
      <x:c r="CE388" s="30" t="str">
        <x:f>=CC388+CD388</x:f>
      </x:c>
      <x:c r="CF388" s="66" t="str">
        <x:f>=CE388/CC388</x:f>
      </x:c>
      <x:c r="CH388" s="66" t="str">
        <x:f>=CI388+CJ388</x:f>
      </x:c>
      <x:c r="CI388" s="66" t="str">
        <x:f>=BX388+(0*7)</x:f>
      </x:c>
      <x:c r="CJ388" s="66" t="str">
        <x:f>=(1-CI388)*0.5</x:f>
      </x:c>
      <x:c r="CK388" s="66" t="str">
        <x:f>=1-CH388</x:f>
      </x:c>
      <x:c r="CM388" s="66" t="str">
        <x:f>=CJ388/(1-CI388)</x:f>
      </x:c>
    </x:row>
    <x:row r="389">
      <x:c r="A389" s="31" t="s">
        <x:v>343</x:v>
      </x:c>
      <x:c r="B389" t="s"/>
      <x:c r="C389" t="s">
        <x:v>344</x:v>
      </x:c>
      <x:c r="D389" t="s">
        <x:v>147</x:v>
      </x:c>
      <x:c r="E389" s="69" t="s">
        <x:v>153</x:v>
      </x:c>
      <x:c r="F389" t="n">
        <x:v>8515</x:v>
      </x:c>
      <x:c r="G389" s="32" t="n">
        <x:v>0.2440399295361127422196124486</x:v>
      </x:c>
      <x:c r="H389" s="32" t="n">
        <x:v>0.5290663534938344098649442161</x:v>
      </x:c>
      <x:c r="I389" s="32" t="n">
        <x:v>0.5594832648267762771579565473</x:v>
      </x:c>
      <x:c r="J389" s="32" t="n">
        <x:v>0.5915443335290663534938344099</x:v>
      </x:c>
      <x:c r="K389" s="32" t="n">
        <x:v>0.6160892542571931884908984146</x:v>
      </x:c>
      <x:c r="L389" s="32" t="n">
        <x:v>0.6250146799765120375807398708</x:v>
      </x:c>
      <x:c r="M389" s="32" t="n">
        <x:v>0.6559013505578391074574280681</x:v>
      </x:c>
      <x:c r="N389" s="32" t="n">
        <x:v>0.6946564885496183206106870229</x:v>
      </x:c>
      <x:c r="O389" s="23" t="n">
        <x:v>0.7303581914268937169700528479</x:v>
      </x:c>
      <x:c r="BI389" s="33" t="s"/>
      <x:c r="BJ389" s="11" t="s">
        <x:v>161</x:v>
      </x:c>
      <x:c r="BK389" s="12" t="str">
        <x:f>=BX389</x:f>
      </x:c>
      <x:c r="BL389" s="12" t="n">
        <x:v>0.1763945977686435701702877275</x:v>
      </x:c>
      <x:c r="BM389" s="12" t="n">
        <x:v>0.7013505578391074574280681151</x:v>
      </x:c>
      <x:c r="BN389" s="12" t="n">
        <x:v>0.1222548443922489724016441574</x:v>
      </x:c>
      <x:c r="BO389" s="12" t="str">
        <x:f>=BW389</x:f>
      </x:c>
      <x:c r="BP389" s="12" t="str">
        <x:f>=CF389</x:f>
      </x:c>
      <x:c r="BQ389" s="12" t="str"/>
      <x:c r="BR389" s="12" t="str">
        <x:v>AW 2020 EOS</x:v>
      </x:c>
      <x:c r="BS389" s="13" t="str"/>
      <x:c r="BT389" s="30" t="n">
        <x:v>28566.84</x:v>
      </x:c>
      <x:c r="BU389" s="30" t="n">
        <x:v>-35003.3366</x:v>
      </x:c>
      <x:c r="BV389" s="30" t="str">
        <x:f>=BT389+BU389</x:f>
      </x:c>
      <x:c r="BW389" s="66" t="str">
        <x:f>=BV389/BT389</x:f>
      </x:c>
      <x:c r="BX389" s="66" t="n">
        <x:v>0.8777451556077510275983558426</x:v>
      </x:c>
      <x:c r="BY389" s="30" t="n">
        <x:v>29949.88</x:v>
      </x:c>
      <x:c r="BZ389" s="41" t="n">
        <x:v>1041</x:v>
      </x:c>
      <x:c r="CA389" s="30" t="n">
        <x:v>3661.5179189665296535525543159</x:v>
      </x:c>
      <x:c r="CC389" s="30" t="n">
        <x:v>28567.009230769230769230769231</x:v>
      </x:c>
      <x:c r="CD389" s="30" t="n">
        <x:v>-35003.3366</x:v>
      </x:c>
      <x:c r="CE389" s="30" t="str">
        <x:f>=CC389+CD389</x:f>
      </x:c>
      <x:c r="CF389" s="66" t="str">
        <x:f>=CE389/CC389</x:f>
      </x:c>
      <x:c r="CH389" s="66" t="str">
        <x:f>=CI389+CJ389</x:f>
      </x:c>
      <x:c r="CI389" s="66" t="str">
        <x:f>=BX389+(0*7)</x:f>
      </x:c>
      <x:c r="CJ389" s="66" t="str">
        <x:f>=(1-CI389)*0.5</x:f>
      </x:c>
      <x:c r="CK389" s="66" t="str">
        <x:f>=1-CH389</x:f>
      </x:c>
      <x:c r="CM389" s="66" t="str">
        <x:f>=CJ389/(1-CI389)</x:f>
      </x:c>
    </x:row>
    <x:row r="390">
      <x:c r="BI390" s="33" t="s"/>
      <x:c r="BJ390" s="11" t="s"/>
      <x:c r="BS390" s="13" t="s"/>
      <x:c r="BT390" s="20" t="n">
        <x:v>296416.78</x:v>
      </x:c>
      <x:c r="BU390" s="20" t="n">
        <x:v>-263241.94480</x:v>
      </x:c>
      <x:c r="BV390" s="20" t="str">
        <x:f>=BT390+BU390</x:f>
      </x:c>
      <x:c r="BW390" s="21" t="n">
        <x:v>0.1119195586700590971941601957</x:v>
      </x:c>
      <x:c r="BY390" s="20" t="n">
        <x:v>-238135.72</x:v>
      </x:c>
      <x:c r="BZ390" s="20" t="n">
        <x:v>9756</x:v>
      </x:c>
      <x:c r="CA390" s="20" t="n">
        <x:v>48668.763288084464555052790346</x:v>
      </x:c>
      <x:c r="CC390" s="20" t="n">
        <x:v>311773.20759929008276953845431</x:v>
      </x:c>
      <x:c r="CD390" s="20" t="n">
        <x:v>-263241.94480</x:v>
      </x:c>
      <x:c r="CE390" s="20" t="str">
        <x:f>=CC390+CD390</x:f>
      </x:c>
      <x:c r="CF390" s="21" t="n">
        <x:v>0.1556620697878100477130611792</x:v>
      </x:c>
    </x:row>
    <x:row r="391">
      <x:c r="A391" s="35" t="s">
        <x:v>126</x:v>
      </x:c>
      <x:c r="BI391" s="33" t="s"/>
      <x:c r="BJ391" s="11" t="s"/>
      <x:c r="BS391" s="13" t="s"/>
    </x:row>
    <x:row r="392">
      <x:c r="A392" s="17" t="s">
        <x:v>127</x:v>
      </x:c>
      <x:c r="BI392" s="33" t="s"/>
      <x:c r="BJ392" s="11" t="s"/>
      <x:c r="BS392" s="13" t="s"/>
    </x:row>
    <x:row r="393">
      <x:c r="A393" s="31" t="s">
        <x:v>720</x:v>
      </x:c>
      <x:c r="B393" t="s"/>
      <x:c r="C393" t="s">
        <x:v>721</x:v>
      </x:c>
      <x:c r="D393" t="s">
        <x:v>130</x:v>
      </x:c>
      <x:c r="E393" s="67" t="s">
        <x:v>131</x:v>
      </x:c>
      <x:c r="F393" t="n">
        <x:v>491</x:v>
      </x:c>
      <x:c r="G393" s="32" t="n">
        <x:v>0.0407331975560081466395112016</x:v>
      </x:c>
      <x:c r="H393" s="32" t="n">
        <x:v>0.0407331975560081466395112016</x:v>
      </x:c>
      <x:c r="I393" s="32" t="n">
        <x:v>0.1446028513238289205702647658</x:v>
      </x:c>
      <x:c r="J393" s="32" t="n">
        <x:v>0.1955193482688391038696537678</x:v>
      </x:c>
      <x:c r="K393" s="32" t="n">
        <x:v>0.2525458248472505091649694501</x:v>
      </x:c>
      <x:c r="L393" s="32" t="n">
        <x:v>0.2342158859470468431771894094</x:v>
      </x:c>
      <x:c r="M393" s="32" t="n">
        <x:v>0.226069246435845213849287169</x:v>
      </x:c>
      <x:c r="N393" s="32" t="n">
        <x:v>0.2199592668024439918533604888</x:v>
      </x:c>
      <x:c r="O393" s="32" t="n">
        <x:v>0.2179226069246435845213849287</x:v>
      </x:c>
      <x:c r="P393" s="32" t="n">
        <x:v>0.2179226069246435845213849287</x:v>
      </x:c>
      <x:c r="Q393" s="32" t="n">
        <x:v>0.2179226069246435845213849287</x:v>
      </x:c>
      <x:c r="R393" s="32" t="n">
        <x:v>0.2179226069246435845213849287</x:v>
      </x:c>
      <x:c r="S393" s="32" t="n">
        <x:v>0.2179226069246435845213849287</x:v>
      </x:c>
      <x:c r="T393" s="32" t="n">
        <x:v>0.2179226069246435845213849287</x:v>
      </x:c>
      <x:c r="U393" s="32" t="n">
        <x:v>0.2179226069246435845213849287</x:v>
      </x:c>
      <x:c r="V393" s="32" t="n">
        <x:v>0.2179226069246435845213849287</x:v>
      </x:c>
      <x:c r="W393" s="32" t="n">
        <x:v>0.2179226069246435845213849287</x:v>
      </x:c>
      <x:c r="X393" s="32" t="n">
        <x:v>0.2179226069246435845213849287</x:v>
      </x:c>
      <x:c r="Y393" s="32" t="n">
        <x:v>0.2179226069246435845213849287</x:v>
      </x:c>
      <x:c r="Z393" s="32" t="n">
        <x:v>0.224032586558044806517311609</x:v>
      </x:c>
      <x:c r="AA393" s="32" t="n">
        <x:v>0.224032586558044806517311609</x:v>
      </x:c>
      <x:c r="AB393" s="32" t="n">
        <x:v>0.224032586558044806517311609</x:v>
      </x:c>
      <x:c r="AC393" s="32" t="n">
        <x:v>0.2423625254582484725050916497</x:v>
      </x:c>
      <x:c r="AD393" s="32" t="n">
        <x:v>0.2810590631364562118126272912</x:v>
      </x:c>
      <x:c r="AE393" s="32" t="n">
        <x:v>0.299389002036659877800407332</x:v>
      </x:c>
      <x:c r="AF393" s="32" t="n">
        <x:v>0.3034623217922606924643584521</x:v>
      </x:c>
      <x:c r="AG393" s="32" t="n">
        <x:v>0.2892057026476578411405295316</x:v>
      </x:c>
      <x:c r="AH393" s="32" t="n">
        <x:v>0.2892057026476578411405295316</x:v>
      </x:c>
      <x:c r="AI393" s="32" t="n">
        <x:v>0.299389002036659877800407332</x:v>
      </x:c>
      <x:c r="AJ393" s="32" t="n">
        <x:v>0.3054989816700610997963340122</x:v>
      </x:c>
      <x:c r="AK393" s="32" t="n">
        <x:v>0.299389002036659877800407332</x:v>
      </x:c>
      <x:c r="AL393" s="32" t="n">
        <x:v>0.3014256619144602851323828921</x:v>
      </x:c>
      <x:c r="AM393" s="32" t="n">
        <x:v>0.299389002036659877800407332</x:v>
      </x:c>
      <x:c r="AN393" s="32" t="n">
        <x:v>0.5193482688391038696537678208</x:v>
      </x:c>
      <x:c r="AO393" s="23" t="n">
        <x:v>0.7230142566191446028513238289</x:v>
      </x:c>
      <x:c r="AP393" s="32" t="n">
        <x:v>0.8126272912423625254582484725</x:v>
      </x:c>
      <x:c r="AQ393" s="32" t="n">
        <x:v>0.8981670061099796334012219959</x:v>
      </x:c>
      <x:c r="AR393" s="32" t="n">
        <x:v>0.9042769857433808553971486762</x:v>
      </x:c>
      <x:c r="AS393" s="32" t="n">
        <x:v>0.9185336048879837067209775967</x:v>
      </x:c>
      <x:c r="AT393" s="32" t="n">
        <x:v>0.9348268839103869653767820774</x:v>
      </x:c>
      <x:c r="AU393" s="32" t="n">
        <x:v>0.9368635437881873727087576375</x:v>
      </x:c>
      <x:c r="AV393" s="32" t="n">
        <x:v>0.9429735234215885947046843177</x:v>
      </x:c>
      <x:c r="AW393" s="32" t="n">
        <x:v>0.9450101832993890020366598778</x:v>
      </x:c>
      <x:c r="AX393" s="32" t="n">
        <x:v>0.951120162932790224032586558</x:v>
      </x:c>
      <x:c r="AY393" s="32" t="n">
        <x:v>0.9531568228105906313645621181</x:v>
      </x:c>
      <x:c r="AZ393" s="32" t="n">
        <x:v>0.9531568228105906313645621181</x:v>
      </x:c>
      <x:c r="BA393" s="32" t="n">
        <x:v>0.9592668024439918533604887984</x:v>
      </x:c>
      <x:c r="BB393" s="32" t="n">
        <x:v>0.9592668024439918533604887984</x:v>
      </x:c>
      <x:c r="BC393" s="32" t="n">
        <x:v>0.9613034623217922606924643585</x:v>
      </x:c>
      <x:c r="BI393" s="33" t="s"/>
      <x:c r="BJ393" s="11" t="s">
        <x:v>722</x:v>
      </x:c>
      <x:c r="BK393" s="12" t="str">
        <x:f>=BX393</x:f>
      </x:c>
      <x:c r="BL393" s="12" t="n">
        <x:v>0.9735234215885947046843177189</x:v>
      </x:c>
      <x:c r="BM393" s="12" t="n">
        <x:v>0.0061099796334012219959266802</x:v>
      </x:c>
      <x:c r="BN393" s="12" t="n">
        <x:v>0.0203665987780040733197556008</x:v>
      </x:c>
      <x:c r="BO393" s="12" t="str">
        <x:f>=BW393</x:f>
      </x:c>
      <x:c r="BP393" s="12" t="str">
        <x:f>=CF393</x:f>
      </x:c>
      <x:c r="BQ393" s="12" t="str"/>
      <x:c r="BR393" s="12" t="str">
        <x:v>AW 2020 EOS</x:v>
      </x:c>
      <x:c r="BS393" s="13" t="str"/>
      <x:c r="BT393" s="30" t="n">
        <x:v>4549.30</x:v>
      </x:c>
      <x:c r="BU393" s="30" t="n">
        <x:v>-2824.18738533858522050715</x:v>
      </x:c>
      <x:c r="BV393" s="30" t="str">
        <x:f>=BT393+BU393</x:f>
      </x:c>
      <x:c r="BW393" s="66" t="str">
        <x:f>=BV393/BT393</x:f>
      </x:c>
      <x:c r="BX393" s="66" t="n">
        <x:v>0.9796334012219959266802443992</x:v>
      </x:c>
      <x:c r="BY393" s="30" t="n">
        <x:v>2883.541325091324969595</x:v>
      </x:c>
      <x:c r="BZ393" s="41" t="n">
        <x:v>10</x:v>
      </x:c>
      <x:c r="CA393" s="30" t="n">
        <x:v>58.727929227929225450</x:v>
      </x:c>
      <x:c r="CC393" s="30" t="n">
        <x:v>4567.8255776314663951120162934</x:v>
      </x:c>
      <x:c r="CD393" s="30" t="n">
        <x:v>-2824.18738533858522050715</x:v>
      </x:c>
      <x:c r="CE393" s="30" t="str">
        <x:f>=CC393+CD393</x:f>
      </x:c>
      <x:c r="CF393" s="66" t="str">
        <x:f>=CE393/CC393</x:f>
      </x:c>
      <x:c r="CH393" s="66" t="str">
        <x:f>=CI393+CJ393</x:f>
      </x:c>
      <x:c r="CI393" s="66" t="str">
        <x:f>=BX393+(0*7)</x:f>
      </x:c>
      <x:c r="CJ393" s="66" t="str">
        <x:f>=(1-CI393)*0.5</x:f>
      </x:c>
      <x:c r="CK393" s="66" t="str">
        <x:f>=1-CH393</x:f>
      </x:c>
      <x:c r="CM393" s="66" t="str">
        <x:f>=CJ393/(1-CI393)</x:f>
      </x:c>
    </x:row>
    <x:row r="394">
      <x:c r="A394" s="31" t="s">
        <x:v>723</x:v>
      </x:c>
      <x:c r="B394" t="s"/>
      <x:c r="C394" t="s">
        <x:v>724</x:v>
      </x:c>
      <x:c r="D394" t="s">
        <x:v>452</x:v>
      </x:c>
      <x:c r="E394" s="67" t="s">
        <x:v>131</x:v>
      </x:c>
      <x:c r="F394" t="n">
        <x:v>799</x:v>
      </x:c>
      <x:c r="G394" s="32" t="n">
        <x:v>0.0012515644555694618272841051</x:v>
      </x:c>
      <x:c r="H394" s="32" t="n">
        <x:v>0.1026282853566958698372966208</x:v>
      </x:c>
      <x:c r="I394" s="32" t="n">
        <x:v>0.1889862327909887359198998748</x:v>
      </x:c>
      <x:c r="J394" s="32" t="n">
        <x:v>0.3629536921151439299123904881</x:v>
      </x:c>
      <x:c r="K394" s="32" t="n">
        <x:v>0.4580725907384230287859824781</x:v>
      </x:c>
      <x:c r="L394" s="32" t="n">
        <x:v>0.5156445556946182728410513141</x:v>
      </x:c>
      <x:c r="M394" s="32" t="n">
        <x:v>0.5056320400500625782227784731</x:v>
      </x:c>
      <x:c r="N394" s="32" t="n">
        <x:v>0.4405506883604505632040050063</x:v>
      </x:c>
      <x:c r="O394" s="32" t="n">
        <x:v>0.4367959949937421777221526909</x:v>
      </x:c>
      <x:c r="P394" s="32" t="n">
        <x:v>0.4305381727158948685857321652</x:v>
      </x:c>
      <x:c r="Q394" s="32" t="n">
        <x:v>0.4355444305381727158948685857</x:v>
      </x:c>
      <x:c r="R394" s="32" t="n">
        <x:v>0.4405506883604505632040050063</x:v>
      </x:c>
      <x:c r="S394" s="32" t="n">
        <x:v>0.4430538172715894868585732165</x:v>
      </x:c>
      <x:c r="T394" s="32" t="n">
        <x:v>0.4418022528160200250312891114</x:v>
      </x:c>
      <x:c r="U394" s="32" t="n">
        <x:v>0.4418022528160200250312891114</x:v>
      </x:c>
      <x:c r="V394" s="32" t="n">
        <x:v>0.4730913642052565707133917397</x:v>
      </x:c>
      <x:c r="W394" s="32" t="n">
        <x:v>0.5244055068836045056320400501</x:v>
      </x:c>
      <x:c r="X394" s="32" t="n">
        <x:v>0.5106382978723404255319148936</x:v>
      </x:c>
      <x:c r="Y394" s="32" t="n">
        <x:v>0.533166458072590738423028786</x:v>
      </x:c>
      <x:c r="Z394" s="32" t="n">
        <x:v>0.5757196495619524405506883605</x:v>
      </x:c>
      <x:c r="AA394" s="32" t="n">
        <x:v>0.6483103879849812265331664581</x:v>
      </x:c>
      <x:c r="AB394" s="23" t="n">
        <x:v>0.7209011264080100125156445557</x:v>
      </x:c>
      <x:c r="AC394" s="32" t="n">
        <x:v>0.7321652065081351689612015019</x:v>
      </x:c>
      <x:c r="AD394" s="32" t="n">
        <x:v>0.723404255319148936170212766</x:v>
      </x:c>
      <x:c r="AE394" s="32" t="n">
        <x:v>0.7609511889862327909887359199</x:v>
      </x:c>
      <x:c r="AF394" s="32" t="n">
        <x:v>0.7647058823529411764705882353</x:v>
      </x:c>
      <x:c r="AG394" s="32" t="n">
        <x:v>0.7822277847309136420525657071</x:v>
      </x:c>
      <x:c r="AH394" s="32" t="n">
        <x:v>0.8072590738423028785982478098</x:v>
      </x:c>
      <x:c r="AI394" s="32" t="n">
        <x:v>0.838548185231539424280350438</x:v>
      </x:c>
      <x:c r="AJ394" s="32" t="n">
        <x:v>0.8260325406758448060075093867</x:v>
      </x:c>
      <x:c r="AK394" s="32" t="n">
        <x:v>0.828535669586983729662077597</x:v>
      </x:c>
      <x:c r="AL394" s="32" t="n">
        <x:v>0.8410513141426783479349186483</x:v>
      </x:c>
      <x:c r="AM394" s="32" t="n">
        <x:v>0.8423028785982478097622027534</x:v>
      </x:c>
      <x:c r="AN394" s="32" t="n">
        <x:v>0.8360450563204005006257822278</x:v>
      </x:c>
      <x:c r="AO394" s="32" t="n">
        <x:v>0.8460575719649561952440550688</x:v>
      </x:c>
      <x:c r="AP394" s="32" t="n">
        <x:v>0.8535669586983729662077596996</x:v>
      </x:c>
      <x:c r="AQ394" s="32" t="n">
        <x:v>0.8610763454317897371714643304</x:v>
      </x:c>
      <x:c r="AR394" s="32" t="n">
        <x:v>0.8660826032540675844806007509</x:v>
      </x:c>
      <x:c r="AS394" s="32" t="n">
        <x:v>0.8773466833541927409261576971</x:v>
      </x:c>
      <x:c r="AT394" s="32" t="n">
        <x:v>0.8836045056320400500625782228</x:v>
      </x:c>
      <x:c r="AU394" s="32" t="n">
        <x:v>0.8811013767209011264080100125</x:v>
      </x:c>
      <x:c r="AV394" s="32" t="n">
        <x:v>0.886107634543178973717146433</x:v>
      </x:c>
      <x:c r="AW394" s="32" t="n">
        <x:v>0.886107634543178973717146433</x:v>
      </x:c>
      <x:c r="AX394" s="32" t="n">
        <x:v>0.8911138923654568210262828536</x:v>
      </x:c>
      <x:c r="AY394" s="32" t="n">
        <x:v>0.8923654568210262828535669587</x:v>
      </x:c>
      <x:c r="AZ394" s="32" t="n">
        <x:v>0.8886107634543178973717146433</x:v>
      </x:c>
      <x:c r="BA394" s="32" t="n">
        <x:v>0.8911138923654568210262828536</x:v>
      </x:c>
      <x:c r="BI394" s="33" t="s"/>
      <x:c r="BJ394" s="11" t="s">
        <x:v>696</x:v>
      </x:c>
      <x:c r="BK394" s="12" t="str">
        <x:f>=BX394</x:f>
      </x:c>
      <x:c r="BL394" s="12" t="n">
        <x:v>0.8873591989987484355444305382</x:v>
      </x:c>
      <x:c r="BM394" s="12" t="n">
        <x:v>0.0538172715894868585732165207</x:v>
      </x:c>
      <x:c r="BN394" s="12" t="n">
        <x:v>0.0588235294117647058823529412</x:v>
      </x:c>
      <x:c r="BO394" s="12" t="str">
        <x:f>=BW394</x:f>
      </x:c>
      <x:c r="BP394" s="12" t="str">
        <x:f>=CF394</x:f>
      </x:c>
      <x:c r="BQ394" s="12" t="str"/>
      <x:c r="BR394" s="12" t="str">
        <x:v>AW 2020 EOS</x:v>
      </x:c>
      <x:c r="BS394" s="13" t="str"/>
      <x:c r="BT394" s="30" t="n">
        <x:v>3873.35</x:v>
      </x:c>
      <x:c r="BU394" s="30" t="n">
        <x:v>-2608.0159</x:v>
      </x:c>
      <x:c r="BV394" s="30" t="str">
        <x:f>=BT394+BU394</x:f>
      </x:c>
      <x:c r="BW394" s="66" t="str">
        <x:f>=BV394/BT394</x:f>
      </x:c>
      <x:c r="BX394" s="66" t="n">
        <x:v>0.9411764705882352941176470588</x:v>
      </x:c>
      <x:c r="BY394" s="30" t="n">
        <x:v>2149.31</x:v>
      </x:c>
      <x:c r="BZ394" s="41" t="n">
        <x:v>47</x:v>
      </x:c>
      <x:c r="CA394" s="30" t="n">
        <x:v>126.43</x:v>
      </x:c>
      <x:c r="CC394" s="30" t="n">
        <x:v>3875.8661155173654568210262827</x:v>
      </x:c>
      <x:c r="CD394" s="30" t="n">
        <x:v>-2608.0159</x:v>
      </x:c>
      <x:c r="CE394" s="30" t="str">
        <x:f>=CC394+CD394</x:f>
      </x:c>
      <x:c r="CF394" s="66" t="str">
        <x:f>=CE394/CC394</x:f>
      </x:c>
      <x:c r="CH394" s="66" t="str">
        <x:f>=CI394+CJ394</x:f>
      </x:c>
      <x:c r="CI394" s="66" t="str">
        <x:f>=BX394+(0*7)</x:f>
      </x:c>
      <x:c r="CJ394" s="66" t="str">
        <x:f>=(1-CI394)*0.5</x:f>
      </x:c>
      <x:c r="CK394" s="66" t="str">
        <x:f>=1-CH394</x:f>
      </x:c>
      <x:c r="CM394" s="66" t="str">
        <x:f>=CJ394/(1-CI394)</x:f>
      </x:c>
    </x:row>
    <x:row r="395">
      <x:c r="A395" s="31" t="s">
        <x:v>725</x:v>
      </x:c>
      <x:c r="B395" t="s"/>
      <x:c r="C395" t="s">
        <x:v>726</x:v>
      </x:c>
      <x:c r="D395" t="s">
        <x:v>452</x:v>
      </x:c>
      <x:c r="E395" s="67" t="s">
        <x:v>131</x:v>
      </x:c>
      <x:c r="F395" t="n">
        <x:v>756</x:v>
      </x:c>
      <x:c r="G395" s="32" t="n">
        <x:v>0.0013227513227513227513227513</x:v>
      </x:c>
      <x:c r="H395" s="32" t="n">
        <x:v>0.1084656084656084656084656085</x:v>
      </x:c>
      <x:c r="I395" s="32" t="n">
        <x:v>0.2076719576719576719576719577</x:v>
      </x:c>
      <x:c r="J395" s="32" t="n">
        <x:v>0.3888888888888888888888888889</x:v>
      </x:c>
      <x:c r="K395" s="32" t="n">
        <x:v>0.4828042328042328042328042328</x:v>
      </x:c>
      <x:c r="L395" s="32" t="n">
        <x:v>0.5502645502645502645502645503</x:v>
      </x:c>
      <x:c r="M395" s="32" t="n">
        <x:v>0.5343915343915343915343915344</x:v>
      </x:c>
      <x:c r="N395" s="32" t="n">
        <x:v>0.4669312169312169312169312169</x:v>
      </x:c>
      <x:c r="O395" s="32" t="n">
        <x:v>0.462962962962962962962962963</x:v>
      </x:c>
      <x:c r="P395" s="32" t="n">
        <x:v>0.4563492063492063492063492063</x:v>
      </x:c>
      <x:c r="Q395" s="32" t="n">
        <x:v>0.462962962962962962962962963</x:v>
      </x:c>
      <x:c r="R395" s="32" t="n">
        <x:v>0.4722222222222222222222222222</x:v>
      </x:c>
      <x:c r="S395" s="32" t="n">
        <x:v>0.4748677248677248677248677249</x:v>
      </x:c>
      <x:c r="T395" s="32" t="n">
        <x:v>0.4722222222222222222222222222</x:v>
      </x:c>
      <x:c r="U395" s="32" t="n">
        <x:v>0.4695767195767195767195767196</x:v>
      </x:c>
      <x:c r="V395" s="32" t="n">
        <x:v>0.496031746031746031746031746</x:v>
      </x:c>
      <x:c r="W395" s="32" t="n">
        <x:v>0.5515873015873015873015873016</x:v>
      </x:c>
      <x:c r="X395" s="32" t="n">
        <x:v>0.5476190476190476190476190476</x:v>
      </x:c>
      <x:c r="Y395" s="32" t="n">
        <x:v>0.5608465608465608465608465608</x:v>
      </x:c>
      <x:c r="Z395" s="32" t="n">
        <x:v>0.6031746031746031746031746032</x:v>
      </x:c>
      <x:c r="AA395" s="32" t="n">
        <x:v>0.6759259259259259259259259259</x:v>
      </x:c>
      <x:c r="AB395" s="23" t="n">
        <x:v>0.753968253968253968253968254</x:v>
      </x:c>
      <x:c r="AC395" s="32" t="n">
        <x:v>0.7592592592592592592592592593</x:v>
      </x:c>
      <x:c r="AD395" s="32" t="n">
        <x:v>0.7566137566137566137566137566</x:v>
      </x:c>
      <x:c r="AE395" s="32" t="n">
        <x:v>0.7751322751322751322751322751</x:v>
      </x:c>
      <x:c r="AF395" s="32" t="n">
        <x:v>0.7671957671957671957671957672</x:v>
      </x:c>
      <x:c r="AG395" s="32" t="n">
        <x:v>0.7791005291005291005291005291</x:v>
      </x:c>
      <x:c r="AH395" s="32" t="n">
        <x:v>0.8095238095238095238095238095</x:v>
      </x:c>
      <x:c r="AI395" s="32" t="n">
        <x:v>0.8214285714285714285714285714</x:v>
      </x:c>
      <x:c r="AJ395" s="32" t="n">
        <x:v>0.8161375661375661375661375661</x:v>
      </x:c>
      <x:c r="AK395" s="32" t="n">
        <x:v>0.8174603174603174603174603175</x:v>
      </x:c>
      <x:c r="AL395" s="32" t="n">
        <x:v>0.8333333333333333333333333333</x:v>
      </x:c>
      <x:c r="AM395" s="32" t="n">
        <x:v>0.8373015873015873015873015873</x:v>
      </x:c>
      <x:c r="AN395" s="32" t="n">
        <x:v>0.8306878306878306878306878307</x:v>
      </x:c>
      <x:c r="AO395" s="32" t="n">
        <x:v>0.8373015873015873015873015873</x:v>
      </x:c>
      <x:c r="AP395" s="32" t="n">
        <x:v>0.8452380952380952380952380952</x:v>
      </x:c>
      <x:c r="AQ395" s="32" t="n">
        <x:v>0.8518518518518518518518518519</x:v>
      </x:c>
      <x:c r="AR395" s="32" t="n">
        <x:v>0.8518518518518518518518518519</x:v>
      </x:c>
      <x:c r="AS395" s="32" t="n">
        <x:v>0.8624338624338624338624338624</x:v>
      </x:c>
      <x:c r="AT395" s="32" t="n">
        <x:v>0.8664021164021164021164021164</x:v>
      </x:c>
      <x:c r="AU395" s="32" t="n">
        <x:v>0.8650793650793650793650793651</x:v>
      </x:c>
      <x:c r="AV395" s="32" t="n">
        <x:v>0.8703703703703703703703703704</x:v>
      </x:c>
      <x:c r="AW395" s="32" t="n">
        <x:v>0.869047619047619047619047619</x:v>
      </x:c>
      <x:c r="AX395" s="32" t="n">
        <x:v>0.8703703703703703703703703704</x:v>
      </x:c>
      <x:c r="AY395" s="32" t="n">
        <x:v>0.8703703703703703703703703704</x:v>
      </x:c>
      <x:c r="AZ395" s="32" t="n">
        <x:v>0.8716931216931216931216931217</x:v>
      </x:c>
      <x:c r="BA395" s="32" t="n">
        <x:v>0.8756613756613756613756613757</x:v>
      </x:c>
      <x:c r="BI395" s="33" t="s"/>
      <x:c r="BJ395" s="11" t="s">
        <x:v>696</x:v>
      </x:c>
      <x:c r="BK395" s="12" t="str">
        <x:f>=BX395</x:f>
      </x:c>
      <x:c r="BL395" s="12" t="n">
        <x:v>0.8716931216931216931216931217</x:v>
      </x:c>
      <x:c r="BM395" s="12" t="n">
        <x:v>0.0343915343915343915343915344</x:v>
      </x:c>
      <x:c r="BN395" s="12" t="n">
        <x:v>0.0939153439153439153439153439</x:v>
      </x:c>
      <x:c r="BO395" s="12" t="str">
        <x:f>=BW395</x:f>
      </x:c>
      <x:c r="BP395" s="12" t="str">
        <x:f>=CF395</x:f>
      </x:c>
      <x:c r="BQ395" s="12" t="str"/>
      <x:c r="BR395" s="12" t="str">
        <x:v>AW 2020 EOS</x:v>
      </x:c>
      <x:c r="BS395" s="13" t="str"/>
      <x:c r="BT395" s="30" t="n">
        <x:v>5342.65</x:v>
      </x:c>
      <x:c r="BU395" s="30" t="n">
        <x:v>-3873.0636</x:v>
      </x:c>
      <x:c r="BV395" s="30" t="str">
        <x:f>=BT395+BU395</x:f>
      </x:c>
      <x:c r="BW395" s="66" t="str">
        <x:f>=BV395/BT395</x:f>
      </x:c>
      <x:c r="BX395" s="66" t="n">
        <x:v>0.9060846560846560846560846561</x:v>
      </x:c>
      <x:c r="BY395" s="30" t="n">
        <x:v>3250.80</x:v>
      </x:c>
      <x:c r="BZ395" s="41" t="n">
        <x:v>71</x:v>
      </x:c>
      <x:c r="CA395" s="30" t="n">
        <x:v>305.30</x:v>
      </x:c>
      <x:c r="CC395" s="30" t="n">
        <x:v>5445.9007637506613756613756615</x:v>
      </x:c>
      <x:c r="CD395" s="30" t="n">
        <x:v>-3873.0636</x:v>
      </x:c>
      <x:c r="CE395" s="30" t="str">
        <x:f>=CC395+CD395</x:f>
      </x:c>
      <x:c r="CF395" s="66" t="str">
        <x:f>=CE395/CC395</x:f>
      </x:c>
      <x:c r="CH395" s="66" t="str">
        <x:f>=CI395+CJ395</x:f>
      </x:c>
      <x:c r="CI395" s="66" t="str">
        <x:f>=BX395+(0*7)</x:f>
      </x:c>
      <x:c r="CJ395" s="66" t="str">
        <x:f>=(1-CI395)*0.5</x:f>
      </x:c>
      <x:c r="CK395" s="66" t="str">
        <x:f>=1-CH395</x:f>
      </x:c>
      <x:c r="CM395" s="66" t="str">
        <x:f>=CJ395/(1-CI395)</x:f>
      </x:c>
    </x:row>
    <x:row r="396">
      <x:c r="A396" s="31" t="s">
        <x:v>727</x:v>
      </x:c>
      <x:c r="B396" t="s"/>
      <x:c r="C396" t="s">
        <x:v>728</x:v>
      </x:c>
      <x:c r="D396" t="s">
        <x:v>452</x:v>
      </x:c>
      <x:c r="E396" s="67" t="s">
        <x:v>131</x:v>
      </x:c>
      <x:c r="F396" t="n">
        <x:v>738</x:v>
      </x:c>
      <x:c r="G396" s="32" t="n">
        <x:v>0.0013550135501355013550135501</x:v>
      </x:c>
      <x:c r="H396" s="32" t="n">
        <x:v>0.0542005420054200542005420054</x:v>
      </x:c>
      <x:c r="I396" s="32" t="n">
        <x:v>0.1178861788617886178861788618</x:v>
      </x:c>
      <x:c r="J396" s="32" t="n">
        <x:v>0.1775067750677506775067750678</x:v>
      </x:c>
      <x:c r="K396" s="32" t="n">
        <x:v>0.2330623306233062330623306233</x:v>
      </x:c>
      <x:c r="L396" s="32" t="n">
        <x:v>0.2655826558265582655826558266</x:v>
      </x:c>
      <x:c r="M396" s="32" t="n">
        <x:v>0.3224932249322493224932249322</x:v>
      </x:c>
      <x:c r="N396" s="32" t="n">
        <x:v>0.280487804878048780487804878</x:v>
      </x:c>
      <x:c r="O396" s="32" t="n">
        <x:v>0.2682926829268292682926829268</x:v>
      </x:c>
      <x:c r="P396" s="32" t="n">
        <x:v>0.2669376693766937669376693767</x:v>
      </x:c>
      <x:c r="Q396" s="32" t="n">
        <x:v>0.2682926829268292682926829268</x:v>
      </x:c>
      <x:c r="R396" s="32" t="n">
        <x:v>0.2777777777777777777777777778</x:v>
      </x:c>
      <x:c r="S396" s="32" t="n">
        <x:v>0.2764227642276422764227642276</x:v>
      </x:c>
      <x:c r="T396" s="32" t="n">
        <x:v>0.2737127371273712737127371274</x:v>
      </x:c>
      <x:c r="U396" s="32" t="n">
        <x:v>0.2913279132791327913279132791</x:v>
      </x:c>
      <x:c r="V396" s="32" t="n">
        <x:v>0.3075880758807588075880758808</x:v>
      </x:c>
      <x:c r="W396" s="32" t="n">
        <x:v>0.3360433604336043360433604336</x:v>
      </x:c>
      <x:c r="X396" s="32" t="n">
        <x:v>0.3577235772357723577235772358</x:v>
      </x:c>
      <x:c r="Y396" s="32" t="n">
        <x:v>0.3753387533875338753387533875</x:v>
      </x:c>
      <x:c r="Z396" s="32" t="n">
        <x:v>0.4010840108401084010840108401</x:v>
      </x:c>
      <x:c r="AA396" s="32" t="n">
        <x:v>0.4132791327913279132791327913</x:v>
      </x:c>
      <x:c r="AB396" s="32" t="n">
        <x:v>0.4539295392953929539295392954</x:v>
      </x:c>
      <x:c r="AC396" s="32" t="n">
        <x:v>0.4688346883468834688346883469</x:v>
      </x:c>
      <x:c r="AD396" s="32" t="n">
        <x:v>0.4661246612466124661246612466</x:v>
      </x:c>
      <x:c r="AE396" s="32" t="n">
        <x:v>0.4674796747967479674796747967</x:v>
      </x:c>
      <x:c r="AF396" s="32" t="n">
        <x:v>0.4810298102981029810298102981</x:v>
      </x:c>
      <x:c r="AG396" s="32" t="n">
        <x:v>0.5027100271002710027100271003</x:v>
      </x:c>
      <x:c r="AH396" s="32" t="n">
        <x:v>0.5284552845528455284552845528</x:v>
      </x:c>
      <x:c r="AI396" s="32" t="n">
        <x:v>0.5514905149051490514905149051</x:v>
      </x:c>
      <x:c r="AJ396" s="32" t="n">
        <x:v>0.5663956639566395663956639566</x:v>
      </x:c>
      <x:c r="AK396" s="32" t="n">
        <x:v>0.5582655826558265582655826558</x:v>
      </x:c>
      <x:c r="AL396" s="32" t="n">
        <x:v>0.5650406504065040650406504065</x:v>
      </x:c>
      <x:c r="AM396" s="32" t="n">
        <x:v>0.5663956639566395663956639566</x:v>
      </x:c>
      <x:c r="AN396" s="32" t="n">
        <x:v>0.5745257452574525745257452575</x:v>
      </x:c>
      <x:c r="AO396" s="32" t="n">
        <x:v>0.5731707317073170731707317073</x:v>
      </x:c>
      <x:c r="AP396" s="32" t="n">
        <x:v>0.5677506775067750677506775068</x:v>
      </x:c>
      <x:c r="AQ396" s="32" t="n">
        <x:v>0.5691056910569105691056910569</x:v>
      </x:c>
      <x:c r="AR396" s="32" t="n">
        <x:v>0.5718157181571815718157181572</x:v>
      </x:c>
      <x:c r="AS396" s="32" t="n">
        <x:v>0.5813008130081300813008130081</x:v>
      </x:c>
      <x:c r="AT396" s="32" t="n">
        <x:v>0.5840108401084010840108401084</x:v>
      </x:c>
      <x:c r="AU396" s="32" t="n">
        <x:v>0.5826558265582655826558265583</x:v>
      </x:c>
      <x:c r="AV396" s="32" t="n">
        <x:v>0.5880758807588075880758807588</x:v>
      </x:c>
      <x:c r="AW396" s="32" t="n">
        <x:v>0.5934959349593495934959349593</x:v>
      </x:c>
      <x:c r="AX396" s="32" t="n">
        <x:v>0.5948509485094850948509485095</x:v>
      </x:c>
      <x:c r="AY396" s="32" t="n">
        <x:v>0.5948509485094850948509485095</x:v>
      </x:c>
      <x:c r="AZ396" s="32" t="n">
        <x:v>0.5989159891598915989159891599</x:v>
      </x:c>
      <x:c r="BA396" s="32" t="n">
        <x:v>0.5989159891598915989159891599</x:v>
      </x:c>
      <x:c r="BI396" s="33" t="s"/>
      <x:c r="BJ396" s="11" t="s">
        <x:v>696</x:v>
      </x:c>
      <x:c r="BK396" s="12" t="str">
        <x:f>=BX396</x:f>
      </x:c>
      <x:c r="BL396" s="12" t="n">
        <x:v>0.5975609756097560975609756098</x:v>
      </x:c>
      <x:c r="BM396" s="12" t="n">
        <x:v>0.2669376693766937669376693767</x:v>
      </x:c>
      <x:c r="BN396" s="12" t="n">
        <x:v>0.1355013550135501355013550136</x:v>
      </x:c>
      <x:c r="BO396" s="12" t="str">
        <x:f>=BW396</x:f>
      </x:c>
      <x:c r="BP396" s="12" t="str">
        <x:f>=CF396</x:f>
      </x:c>
      <x:c r="BQ396" s="12" t="str"/>
      <x:c r="BR396" s="12" t="str">
        <x:v>AW 2020 EOS</x:v>
      </x:c>
      <x:c r="BS396" s="13" t="str"/>
      <x:c r="BT396" s="30" t="n">
        <x:v>6796.66</x:v>
      </x:c>
      <x:c r="BU396" s="30" t="n">
        <x:v>-6362.1504</x:v>
      </x:c>
      <x:c r="BV396" s="30" t="str">
        <x:f>=BT396+BU396</x:f>
      </x:c>
      <x:c r="BW396" s="66" t="str">
        <x:f>=BV396/BT396</x:f>
      </x:c>
      <x:c r="BX396" s="66" t="n">
        <x:v>0.8644986449864498644986449864</x:v>
      </x:c>
      <x:c r="BY396" s="30" t="n">
        <x:v>5158.62</x:v>
      </x:c>
      <x:c r="BZ396" s="41" t="n">
        <x:v>100</x:v>
      </x:c>
      <x:c r="CA396" s="30" t="n">
        <x:v>699.00</x:v>
      </x:c>
      <x:c r="CC396" s="30" t="n">
        <x:v>6797.2575609756097560975609756</x:v>
      </x:c>
      <x:c r="CD396" s="30" t="n">
        <x:v>-6362.1504</x:v>
      </x:c>
      <x:c r="CE396" s="30" t="str">
        <x:f>=CC396+CD396</x:f>
      </x:c>
      <x:c r="CF396" s="66" t="str">
        <x:f>=CE396/CC396</x:f>
      </x:c>
      <x:c r="CH396" s="66" t="str">
        <x:f>=CI396+CJ396</x:f>
      </x:c>
      <x:c r="CI396" s="66" t="str">
        <x:f>=BX396+(0*7)</x:f>
      </x:c>
      <x:c r="CJ396" s="66" t="str">
        <x:f>=(1-CI396)*0.5</x:f>
      </x:c>
      <x:c r="CK396" s="66" t="str">
        <x:f>=1-CH396</x:f>
      </x:c>
      <x:c r="CM396" s="66" t="str">
        <x:f>=CJ396/(1-CI396)</x:f>
      </x:c>
    </x:row>
    <x:row r="397">
      <x:c r="A397" s="31" t="s"/>
      <x:c r="BI397" s="33" t="s"/>
      <x:c r="BJ397" s="11" t="s"/>
      <x:c r="BS397" s="13" t="s"/>
    </x:row>
    <x:row r="398">
      <x:c r="A398" s="17" t="s">
        <x:v>114</x:v>
      </x:c>
      <x:c r="BI398" s="33" t="s"/>
      <x:c r="BJ398" s="11" t="s"/>
      <x:c r="BS398" s="13" t="s"/>
    </x:row>
    <x:row r="399">
      <x:c r="A399" s="31" t="s">
        <x:v>729</x:v>
      </x:c>
      <x:c r="B399" t="s"/>
      <x:c r="C399" t="s">
        <x:v>730</x:v>
      </x:c>
      <x:c r="D399" t="s">
        <x:v>193</x:v>
      </x:c>
      <x:c r="E399" s="67" t="s">
        <x:v>131</x:v>
      </x:c>
      <x:c r="F399" t="n">
        <x:v>796</x:v>
      </x:c>
      <x:c r="G399" s="32" t="n">
        <x:v>0</x:v>
      </x:c>
      <x:c r="H399" s="32" t="n">
        <x:v>0.0025125628140703517587939698</x:v>
      </x:c>
      <x:c r="I399" s="32" t="n">
        <x:v>0.0050251256281407035175879397</x:v>
      </x:c>
      <x:c r="J399" s="32" t="n">
        <x:v>0.0075376884422110552763819095</x:v>
      </x:c>
      <x:c r="K399" s="32" t="n">
        <x:v>0.0087939698492462311557788945</x:v>
      </x:c>
      <x:c r="L399" s="32" t="n">
        <x:v>0.1080402010050251256281407035</x:v>
      </x:c>
      <x:c r="M399" s="32" t="n">
        <x:v>0.1080402010050251256281407035</x:v>
      </x:c>
      <x:c r="N399" s="32" t="n">
        <x:v>0.1356783919597989949748743719</x:v>
      </x:c>
      <x:c r="O399" s="32" t="n">
        <x:v>0.1532663316582914572864321608</x:v>
      </x:c>
      <x:c r="P399" s="32" t="n">
        <x:v>0.1645728643216080402010050251</x:v>
      </x:c>
      <x:c r="Q399" s="32" t="n">
        <x:v>0.1783919597989949748743718593</x:v>
      </x:c>
      <x:c r="R399" s="32" t="n">
        <x:v>0.1871859296482412060301507538</x:v>
      </x:c>
      <x:c r="S399" s="32" t="n">
        <x:v>0.2010050251256281407035175879</x:v>
      </x:c>
      <x:c r="T399" s="32" t="n">
        <x:v>0.2010050251256281407035175879</x:v>
      </x:c>
      <x:c r="U399" s="32" t="n">
        <x:v>0.2010050251256281407035175879</x:v>
      </x:c>
      <x:c r="V399" s="32" t="n">
        <x:v>0.1972361809045226130653266332</x:v>
      </x:c>
      <x:c r="W399" s="32" t="n">
        <x:v>0.1959798994974874371859296482</x:v>
      </x:c>
      <x:c r="X399" s="32" t="n">
        <x:v>0.1947236180904522613065326633</x:v>
      </x:c>
      <x:c r="Y399" s="32" t="n">
        <x:v>0.1947236180904522613065326633</x:v>
      </x:c>
      <x:c r="Z399" s="32" t="n">
        <x:v>0.1947236180904522613065326633</x:v>
      </x:c>
      <x:c r="AA399" s="32" t="n">
        <x:v>0.1934673366834170854271356784</x:v>
      </x:c>
      <x:c r="AB399" s="32" t="n">
        <x:v>0.1972361809045226130653266332</x:v>
      </x:c>
      <x:c r="AC399" s="32" t="n">
        <x:v>0.1984924623115577889447236181</x:v>
      </x:c>
      <x:c r="AD399" s="32" t="n">
        <x:v>0.1972361809045226130653266332</x:v>
      </x:c>
      <x:c r="AE399" s="32" t="n">
        <x:v>0.1972361809045226130653266332</x:v>
      </x:c>
      <x:c r="AF399" s="32" t="n">
        <x:v>0.1972361809045226130653266332</x:v>
      </x:c>
      <x:c r="AG399" s="32" t="n">
        <x:v>0.1984924623115577889447236181</x:v>
      </x:c>
      <x:c r="AH399" s="32" t="n">
        <x:v>0.1984924623115577889447236181</x:v>
      </x:c>
      <x:c r="AI399" s="32" t="n">
        <x:v>0.1972361809045226130653266332</x:v>
      </x:c>
      <x:c r="AJ399" s="32" t="n">
        <x:v>0.2022613065326633165829145729</x:v>
      </x:c>
      <x:c r="AK399" s="32" t="n">
        <x:v>0.2010050251256281407035175879</x:v>
      </x:c>
      <x:c r="AL399" s="32" t="n">
        <x:v>0.2035175879396984924623115578</x:v>
      </x:c>
      <x:c r="AM399" s="32" t="n">
        <x:v>0.2097989949748743718592964824</x:v>
      </x:c>
      <x:c r="AN399" s="32" t="n">
        <x:v>0.2135678391959798994974874372</x:v>
      </x:c>
      <x:c r="AO399" s="32" t="n">
        <x:v>0.2135678391959798994974874372</x:v>
      </x:c>
      <x:c r="AP399" s="32" t="n">
        <x:v>0.2185929648241206030150753769</x:v>
      </x:c>
      <x:c r="AQ399" s="32" t="n">
        <x:v>0.2185929648241206030150753769</x:v>
      </x:c>
      <x:c r="AR399" s="32" t="n">
        <x:v>0.2185929648241206030150753769</x:v>
      </x:c>
      <x:c r="AS399" s="32" t="n">
        <x:v>0.2211055276381909547738693467</x:v>
      </x:c>
      <x:c r="AT399" s="32" t="n">
        <x:v>0.2211055276381909547738693467</x:v>
      </x:c>
      <x:c r="AU399" s="32" t="n">
        <x:v>0.2198492462311557788944723618</x:v>
      </x:c>
      <x:c r="AV399" s="32" t="n">
        <x:v>0.2211055276381909547738693467</x:v>
      </x:c>
      <x:c r="AW399" s="32" t="n">
        <x:v>0.2185929648241206030150753769</x:v>
      </x:c>
      <x:c r="AX399" s="32" t="n">
        <x:v>0.2185929648241206030150753769</x:v>
      </x:c>
      <x:c r="AY399" s="32" t="n">
        <x:v>0.2198492462311557788944723618</x:v>
      </x:c>
      <x:c r="AZ399" s="32" t="n">
        <x:v>0.2211055276381909547738693467</x:v>
      </x:c>
      <x:c r="BA399" s="32" t="n">
        <x:v>0.2185929648241206030150753769</x:v>
      </x:c>
      <x:c r="BB399" s="32" t="n">
        <x:v>0.2185929648241206030150753769</x:v>
      </x:c>
      <x:c r="BC399" s="32" t="n">
        <x:v>0.2185929648241206030150753769</x:v>
      </x:c>
      <x:c r="BD399" s="32" t="n">
        <x:v>0.2185929648241206030150753769</x:v>
      </x:c>
      <x:c r="BE399" s="32" t="n">
        <x:v>0.2198492462311557788944723618</x:v>
      </x:c>
      <x:c r="BF399" s="32" t="n">
        <x:v>0.2198492462311557788944723618</x:v>
      </x:c>
      <x:c r="BG399" s="32" t="n">
        <x:v>0.2248743718592964824120603015</x:v>
      </x:c>
      <x:c r="BI399" s="33" t="s"/>
      <x:c r="BJ399" s="11" t="s">
        <x:v>731</x:v>
      </x:c>
      <x:c r="BK399" s="12" t="str">
        <x:f>=BX399</x:f>
      </x:c>
      <x:c r="BL399" s="12" t="n">
        <x:v>0.2399497487437185929648241206</x:v>
      </x:c>
      <x:c r="BM399" s="12" t="n">
        <x:v>0.5301507537688442211055276382</x:v>
      </x:c>
      <x:c r="BN399" s="12" t="n">
        <x:v>0.2298994974874371859296482412</x:v>
      </x:c>
      <x:c r="BO399" s="12" t="str">
        <x:f>=BW399</x:f>
      </x:c>
      <x:c r="BP399" s="12" t="str">
        <x:f>=CF399</x:f>
      </x:c>
      <x:c r="BQ399" s="12" t="str"/>
      <x:c r="BR399" s="12" t="str">
        <x:v>AW 2020 EOS</x:v>
      </x:c>
      <x:c r="BS399" s="13" t="str"/>
      <x:c r="BT399" s="30" t="n">
        <x:v>8051.75</x:v>
      </x:c>
      <x:c r="BU399" s="30" t="n">
        <x:v>-14301.2544</x:v>
      </x:c>
      <x:c r="BV399" s="30" t="str">
        <x:f>=BT399+BU399</x:f>
      </x:c>
      <x:c r="BW399" s="66" t="str">
        <x:f>=BV399/BT399</x:f>
      </x:c>
      <x:c r="BX399" s="66" t="n">
        <x:v>0.7701005025125628140703517588</x:v>
      </x:c>
      <x:c r="BY399" s="30" t="n">
        <x:v>11900.20</x:v>
      </x:c>
      <x:c r="BZ399" s="41" t="n">
        <x:v>183</x:v>
      </x:c>
      <x:c r="CA399" s="30" t="n">
        <x:v>2735.85</x:v>
      </x:c>
      <x:c r="CC399" s="30" t="n">
        <x:v>8051.984924623115577889447236</x:v>
      </x:c>
      <x:c r="CD399" s="30" t="n">
        <x:v>-14301.2544</x:v>
      </x:c>
      <x:c r="CE399" s="30" t="str">
        <x:f>=CC399+CD399</x:f>
      </x:c>
      <x:c r="CF399" s="66" t="str">
        <x:f>=CE399/CC399</x:f>
      </x:c>
      <x:c r="CH399" s="66" t="str">
        <x:f>=CI399+CJ399</x:f>
      </x:c>
      <x:c r="CI399" s="66" t="str">
        <x:f>=BX399+(0*7)</x:f>
      </x:c>
      <x:c r="CJ399" s="66" t="str">
        <x:f>=(1-CI399)*0.5</x:f>
      </x:c>
      <x:c r="CK399" s="66" t="str">
        <x:f>=1-CH399</x:f>
      </x:c>
      <x:c r="CM399" s="66" t="str">
        <x:f>=CJ399/(1-CI399)</x:f>
      </x:c>
    </x:row>
    <x:row r="400">
      <x:c r="A400" s="31" t="s">
        <x:v>732</x:v>
      </x:c>
      <x:c r="B400" t="s"/>
      <x:c r="C400" t="s">
        <x:v>733</x:v>
      </x:c>
      <x:c r="D400" t="s">
        <x:v>193</x:v>
      </x:c>
      <x:c r="E400" s="67" t="s">
        <x:v>131</x:v>
      </x:c>
      <x:c r="F400" t="n">
        <x:v>798</x:v>
      </x:c>
      <x:c r="G400" s="32" t="n">
        <x:v>0.0062656641604010025062656642</x:v>
      </x:c>
      <x:c r="H400" s="32" t="n">
        <x:v>0.0852130325814536340852130326</x:v>
      </x:c>
      <x:c r="I400" s="32" t="n">
        <x:v>0.0989974937343358395989974937</x:v>
      </x:c>
      <x:c r="J400" s="32" t="n">
        <x:v>0.1040100250626566416040100251</x:v>
      </x:c>
      <x:c r="K400" s="32" t="n">
        <x:v>0.0989974937343358395989974937</x:v>
      </x:c>
      <x:c r="L400" s="32" t="n">
        <x:v>0.0989974937343358395989974937</x:v>
      </x:c>
      <x:c r="M400" s="32" t="n">
        <x:v>0.0939849624060150375939849624</x:v>
      </x:c>
      <x:c r="N400" s="32" t="n">
        <x:v>0.0977443609022556390977443609</x:v>
      </x:c>
      <x:c r="O400" s="32" t="n">
        <x:v>0.1228070175438596491228070175</x:v>
      </x:c>
      <x:c r="P400" s="32" t="n">
        <x:v>0.1390977443609022556390977444</x:v>
      </x:c>
      <x:c r="Q400" s="32" t="n">
        <x:v>0.1616541353383458646616541353</x:v>
      </x:c>
      <x:c r="R400" s="32" t="n">
        <x:v>0.179197994987468671679197995</x:v>
      </x:c>
      <x:c r="S400" s="32" t="n">
        <x:v>0.1729323308270676691729323308</x:v>
      </x:c>
      <x:c r="T400" s="32" t="n">
        <x:v>0.1754385964912280701754385965</x:v>
      </x:c>
      <x:c r="U400" s="32" t="n">
        <x:v>0.194235588972431077694235589</x:v>
      </x:c>
      <x:c r="V400" s="32" t="n">
        <x:v>0.2055137844611528822055137845</x:v>
      </x:c>
      <x:c r="W400" s="32" t="n">
        <x:v>0.2167919799498746867167919799</x:v>
      </x:c>
      <x:c r="X400" s="32" t="n">
        <x:v>0.2243107769423558897243107769</x:v>
      </x:c>
      <x:c r="Y400" s="32" t="n">
        <x:v>0.2431077694235588972431077694</x:v>
      </x:c>
      <x:c r="Z400" s="32" t="n">
        <x:v>0.2431077694235588972431077694</x:v>
      </x:c>
      <x:c r="AA400" s="32" t="n">
        <x:v>0.2593984962406015037593984962</x:v>
      </x:c>
      <x:c r="AB400" s="32" t="n">
        <x:v>0.2932330827067669172932330827</x:v>
      </x:c>
      <x:c r="AC400" s="32" t="n">
        <x:v>0.2994987468671679197994987469</x:v>
      </x:c>
      <x:c r="AD400" s="32" t="n">
        <x:v>0.305764411027568922305764411</x:v>
      </x:c>
      <x:c r="AE400" s="32" t="n">
        <x:v>0.3295739348370927318295739348</x:v>
      </x:c>
      <x:c r="AF400" s="32" t="n">
        <x:v>0.3458646616541353383458646617</x:v>
      </x:c>
      <x:c r="AG400" s="32" t="n">
        <x:v>0.3345864661654135338345864662</x:v>
      </x:c>
      <x:c r="AH400" s="32" t="n">
        <x:v>0.3345864661654135338345864662</x:v>
      </x:c>
      <x:c r="AI400" s="32" t="n">
        <x:v>0.3308270676691729323308270677</x:v>
      </x:c>
      <x:c r="AJ400" s="32" t="n">
        <x:v>0.328320802005012531328320802</x:v>
      </x:c>
      <x:c r="AK400" s="32" t="n">
        <x:v>0.3295739348370927318295739348</x:v>
      </x:c>
      <x:c r="AL400" s="32" t="n">
        <x:v>0.328320802005012531328320802</x:v>
      </x:c>
      <x:c r="AM400" s="32" t="n">
        <x:v>0.3308270676691729323308270677</x:v>
      </x:c>
      <x:c r="AN400" s="32" t="n">
        <x:v>0.328320802005012531328320802</x:v>
      </x:c>
      <x:c r="AO400" s="32" t="n">
        <x:v>0.328320802005012531328320802</x:v>
      </x:c>
      <x:c r="AP400" s="32" t="n">
        <x:v>0.3295739348370927318295739348</x:v>
      </x:c>
      <x:c r="AQ400" s="32" t="n">
        <x:v>0.3258145363408521303258145363</x:v>
      </x:c>
      <x:c r="AR400" s="32" t="n">
        <x:v>0.3270676691729323308270676692</x:v>
      </x:c>
      <x:c r="AS400" s="32" t="n">
        <x:v>0.3308270676691729323308270677</x:v>
      </x:c>
      <x:c r="AT400" s="32" t="n">
        <x:v>0.3308270676691729323308270677</x:v>
      </x:c>
      <x:c r="AU400" s="32" t="n">
        <x:v>0.3333333333333333333333333333</x:v>
      </x:c>
      <x:c r="AV400" s="32" t="n">
        <x:v>0.3471177944862155388471177945</x:v>
      </x:c>
      <x:c r="BI400" s="33" t="s"/>
      <x:c r="BJ400" s="11" t="s">
        <x:v>406</x:v>
      </x:c>
      <x:c r="BK400" s="12" t="str">
        <x:f>=BX400</x:f>
      </x:c>
      <x:c r="BL400" s="12" t="n">
        <x:v>0.3458646616541353383458646617</x:v>
      </x:c>
      <x:c r="BM400" s="12" t="n">
        <x:v>0.4962406015037593984962406015</x:v>
      </x:c>
      <x:c r="BN400" s="12" t="n">
        <x:v>0.1578947368421052631578947368</x:v>
      </x:c>
      <x:c r="BO400" s="12" t="str">
        <x:f>=BW400</x:f>
      </x:c>
      <x:c r="BP400" s="12" t="str">
        <x:f>=CF400</x:f>
      </x:c>
      <x:c r="BQ400" s="12" t="str"/>
      <x:c r="BR400" s="12" t="str">
        <x:v>AW 2020 EOS</x:v>
      </x:c>
      <x:c r="BS400" s="13" t="str"/>
      <x:c r="BT400" s="30" t="n">
        <x:v>11961.44</x:v>
      </x:c>
      <x:c r="BU400" s="30" t="n">
        <x:v>-14258.8236</x:v>
      </x:c>
      <x:c r="BV400" s="30" t="str">
        <x:f>=BT400+BU400</x:f>
      </x:c>
      <x:c r="BW400" s="66" t="str">
        <x:f>=BV400/BT400</x:f>
      </x:c>
      <x:c r="BX400" s="66" t="n">
        <x:v>0.8421052631578947368421052632</x:v>
      </x:c>
      <x:c r="BY400" s="30" t="n">
        <x:v>12688.20</x:v>
      </x:c>
      <x:c r="BZ400" s="41" t="n">
        <x:v>126</x:v>
      </x:c>
      <x:c r="CA400" s="30" t="n">
        <x:v>2003.40</x:v>
      </x:c>
      <x:c r="CC400" s="30" t="n">
        <x:v>11961.782105263157894736842105</x:v>
      </x:c>
      <x:c r="CD400" s="30" t="n">
        <x:v>-14258.8236</x:v>
      </x:c>
      <x:c r="CE400" s="30" t="str">
        <x:f>=CC400+CD400</x:f>
      </x:c>
      <x:c r="CF400" s="66" t="str">
        <x:f>=CE400/CC400</x:f>
      </x:c>
      <x:c r="CH400" s="66" t="str">
        <x:f>=CI400+CJ400</x:f>
      </x:c>
      <x:c r="CI400" s="66" t="str">
        <x:f>=BX400+(0*7)</x:f>
      </x:c>
      <x:c r="CJ400" s="66" t="str">
        <x:f>=(1-CI400)*0.5</x:f>
      </x:c>
      <x:c r="CK400" s="66" t="str">
        <x:f>=1-CH400</x:f>
      </x:c>
      <x:c r="CM400" s="66" t="str">
        <x:f>=CJ400/(1-CI400)</x:f>
      </x:c>
    </x:row>
    <x:row r="401">
      <x:c r="A401" s="31" t="s">
        <x:v>734</x:v>
      </x:c>
      <x:c r="B401" t="s"/>
      <x:c r="C401" t="s">
        <x:v>735</x:v>
      </x:c>
      <x:c r="D401" t="s">
        <x:v>193</x:v>
      </x:c>
      <x:c r="E401" s="67" t="s">
        <x:v>131</x:v>
      </x:c>
      <x:c r="F401" t="n">
        <x:v>789</x:v>
      </x:c>
      <x:c r="G401" s="32" t="n">
        <x:v>0.0646387832699619771863117871</x:v>
      </x:c>
      <x:c r="H401" s="32" t="n">
        <x:v>0.0785804816223067173637515843</x:v>
      </x:c>
      <x:c r="I401" s="32" t="n">
        <x:v>0.079847908745247148288973384</x:v>
      </x:c>
      <x:c r="J401" s="32" t="n">
        <x:v>0.079847908745247148288973384</x:v>
      </x:c>
      <x:c r="K401" s="32" t="n">
        <x:v>0.0811153358681875792141951838</x:v>
      </x:c>
      <x:c r="L401" s="32" t="n">
        <x:v>0.0811153358681875792141951838</x:v>
      </x:c>
      <x:c r="M401" s="32" t="n">
        <x:v>0.0975918884664131812420785805</x:v>
      </x:c>
      <x:c r="N401" s="32" t="n">
        <x:v>0.1166032953105196451204055767</x:v>
      </x:c>
      <x:c r="O401" s="32" t="n">
        <x:v>0.1204055766793409378960709759</x:v>
      </x:c>
      <x:c r="P401" s="32" t="n">
        <x:v>0.1292775665399239543726235741</x:v>
      </x:c>
      <x:c r="Q401" s="32" t="n">
        <x:v>0.1432192648922686945500633714</x:v>
      </x:c>
      <x:c r="R401" s="32" t="n">
        <x:v>0.1470215462610899873257287706</x:v>
      </x:c>
      <x:c r="S401" s="32" t="n">
        <x:v>0.1508238276299112801013941698</x:v>
      </x:c>
      <x:c r="T401" s="32" t="n">
        <x:v>0.1634980988593155893536121673</x:v>
      </x:c>
      <x:c r="U401" s="32" t="n">
        <x:v>0.1837769328263624841571609632</x:v>
      </x:c>
      <x:c r="V401" s="32" t="n">
        <x:v>0.1837769328263624841571609632</x:v>
      </x:c>
      <x:c r="W401" s="32" t="n">
        <x:v>0.2015209125475285171102661597</x:v>
      </x:c>
      <x:c r="X401" s="32" t="n">
        <x:v>0.2217997465145754119138149556</x:v>
      </x:c>
      <x:c r="Y401" s="32" t="n">
        <x:v>0.2382762991128010139416983523</x:v>
      </x:c>
      <x:c r="Z401" s="32" t="n">
        <x:v>0.2509505703422053231939163498</x:v>
      </x:c>
      <x:c r="AA401" s="32" t="n">
        <x:v>0.2674271229404309252217997465</x:v>
      </x:c>
      <x:c r="AB401" s="32" t="n">
        <x:v>0.275031685678073510773130545</x:v>
      </x:c>
      <x:c r="AC401" s="32" t="n">
        <x:v>0.280101394169835234474017744</x:v>
      </x:c>
      <x:c r="AD401" s="32" t="n">
        <x:v>0.2826362484157160963244613435</x:v>
      </x:c>
      <x:c r="AE401" s="32" t="n">
        <x:v>0.2826362484157160963244613435</x:v>
      </x:c>
      <x:c r="AF401" s="32" t="n">
        <x:v>0.2737642585551330798479087452</x:v>
      </x:c>
      <x:c r="AG401" s="32" t="n">
        <x:v>0.2762991128010139416983523447</x:v>
      </x:c>
      <x:c r="AH401" s="32" t="n">
        <x:v>0.280101394169835234474017744</x:v>
      </x:c>
      <x:c r="AI401" s="32" t="n">
        <x:v>0.2775665399239543726235741445</x:v>
      </x:c>
      <x:c r="AJ401" s="32" t="n">
        <x:v>0.2788339670468948035487959442</x:v>
      </x:c>
      <x:c r="AK401" s="32" t="n">
        <x:v>0.2775665399239543726235741445</x:v>
      </x:c>
      <x:c r="AL401" s="32" t="n">
        <x:v>0.2724968314321926489226869455</x:v>
      </x:c>
      <x:c r="AM401" s="32" t="n">
        <x:v>0.2712294043092522179974651458</x:v>
      </x:c>
      <x:c r="AN401" s="32" t="n">
        <x:v>0.2712294043092522179974651458</x:v>
      </x:c>
      <x:c r="AO401" s="32" t="n">
        <x:v>0.2737642585551330798479087452</x:v>
      </x:c>
      <x:c r="AP401" s="32" t="n">
        <x:v>0.2762991128010139416983523447</x:v>
      </x:c>
      <x:c r="AQ401" s="32" t="n">
        <x:v>0.2724968314321926489226869455</x:v>
      </x:c>
      <x:c r="AR401" s="32" t="n">
        <x:v>0.275031685678073510773130545</x:v>
      </x:c>
      <x:c r="AS401" s="32" t="n">
        <x:v>0.275031685678073510773130545</x:v>
      </x:c>
      <x:c r="AT401" s="32" t="n">
        <x:v>0.2864385297845373891001267427</x:v>
      </x:c>
      <x:c r="AU401" s="32" t="n">
        <x:v>0.2991128010139416983523447402</x:v>
      </x:c>
      <x:c r="BI401" s="33" t="s"/>
      <x:c r="BJ401" s="11" t="s">
        <x:v>372</x:v>
      </x:c>
      <x:c r="BK401" s="12" t="str">
        <x:f>=BX401</x:f>
      </x:c>
      <x:c r="BL401" s="12" t="n">
        <x:v>0.2877059569074778200253485425</x:v>
      </x:c>
      <x:c r="BM401" s="12" t="n">
        <x:v>0.5944233206590621039290240811</x:v>
      </x:c>
      <x:c r="BN401" s="12" t="n">
        <x:v>0.1178707224334600760456273764</x:v>
      </x:c>
      <x:c r="BO401" s="12" t="str">
        <x:f>=BW401</x:f>
      </x:c>
      <x:c r="BP401" s="12" t="str">
        <x:f>=CF401</x:f>
      </x:c>
      <x:c r="BQ401" s="12" t="str"/>
      <x:c r="BR401" s="12" t="str">
        <x:v>AW 2020 EOS</x:v>
      </x:c>
      <x:c r="BS401" s="13" t="str"/>
      <x:c r="BT401" s="30" t="n">
        <x:v>11718.31</x:v>
      </x:c>
      <x:c r="BU401" s="30" t="n">
        <x:v>-14098.0098</x:v>
      </x:c>
      <x:c r="BV401" s="30" t="str">
        <x:f>=BT401+BU401</x:f>
      </x:c>
      <x:c r="BW401" s="66" t="str">
        <x:f>=BV401/BT401</x:f>
      </x:c>
      <x:c r="BX401" s="66" t="n">
        <x:v>0.8821292775665399239543726236</x:v>
      </x:c>
      <x:c r="BY401" s="30" t="n">
        <x:v>12545.10</x:v>
      </x:c>
      <x:c r="BZ401" s="41" t="n">
        <x:v>93</x:v>
      </x:c>
      <x:c r="CA401" s="30" t="n">
        <x:v>1478.70</x:v>
      </x:c>
      <x:c r="CC401" s="30" t="n">
        <x:v>11718.602775665399239543726236</x:v>
      </x:c>
      <x:c r="CD401" s="30" t="n">
        <x:v>-14098.0098</x:v>
      </x:c>
      <x:c r="CE401" s="30" t="str">
        <x:f>=CC401+CD401</x:f>
      </x:c>
      <x:c r="CF401" s="66" t="str">
        <x:f>=CE401/CC401</x:f>
      </x:c>
      <x:c r="CH401" s="66" t="str">
        <x:f>=CI401+CJ401</x:f>
      </x:c>
      <x:c r="CI401" s="66" t="str">
        <x:f>=BX401+(0*7)</x:f>
      </x:c>
      <x:c r="CJ401" s="66" t="str">
        <x:f>=(1-CI401)*0.5</x:f>
      </x:c>
      <x:c r="CK401" s="66" t="str">
        <x:f>=1-CH401</x:f>
      </x:c>
      <x:c r="CM401" s="66" t="str">
        <x:f>=CJ401/(1-CI401)</x:f>
      </x:c>
    </x:row>
    <x:row r="402">
      <x:c r="A402" s="34" t="s"/>
      <x:c r="B402" s="6" t="s"/>
      <x:c r="C402" s="6" t="s"/>
      <x:c r="D402" s="6" t="s"/>
      <x:c r="E402" s="6" t="s"/>
      <x:c r="F402" s="6" t="s"/>
      <x:c r="G402" s="6" t="s"/>
      <x:c r="H402" s="6" t="s"/>
      <x:c r="I402" s="6" t="s"/>
      <x:c r="J402" s="6" t="s"/>
      <x:c r="K402" s="6" t="s"/>
      <x:c r="L402" s="6" t="s"/>
      <x:c r="M402" s="6" t="s"/>
      <x:c r="N402" s="6" t="s"/>
      <x:c r="O402" s="6" t="s"/>
      <x:c r="P402" s="6" t="s"/>
      <x:c r="Q402" s="6" t="s"/>
      <x:c r="R402" s="6" t="s"/>
      <x:c r="S402" s="6" t="s"/>
      <x:c r="T402" s="6" t="s"/>
      <x:c r="U402" s="6" t="s"/>
      <x:c r="V402" s="6" t="s"/>
      <x:c r="W402" s="6" t="s"/>
      <x:c r="X402" s="6" t="s"/>
      <x:c r="Y402" s="6" t="s"/>
      <x:c r="Z402" s="6" t="s"/>
      <x:c r="AA402" s="6" t="s"/>
      <x:c r="AB402" s="6" t="s"/>
      <x:c r="AC402" s="6" t="s"/>
      <x:c r="AD402" s="6" t="s"/>
      <x:c r="AE402" s="6" t="s"/>
      <x:c r="AF402" s="6" t="s"/>
      <x:c r="AG402" s="6" t="s"/>
      <x:c r="AH402" s="6" t="s"/>
      <x:c r="AI402" s="6" t="s"/>
      <x:c r="AJ402" s="6" t="s"/>
      <x:c r="AK402" s="6" t="s"/>
      <x:c r="AL402" s="6" t="s"/>
      <x:c r="AM402" s="6" t="s"/>
      <x:c r="AN402" s="6" t="s"/>
      <x:c r="AO402" s="6" t="s"/>
      <x:c r="AP402" s="6" t="s"/>
      <x:c r="AQ402" s="6" t="s"/>
      <x:c r="AR402" s="6" t="s"/>
      <x:c r="AS402" s="6" t="s"/>
      <x:c r="AT402" s="6" t="s"/>
      <x:c r="AU402" s="6" t="s"/>
      <x:c r="AV402" s="6" t="s"/>
      <x:c r="AW402" s="6" t="s"/>
      <x:c r="AX402" s="6" t="s"/>
      <x:c r="AY402" s="6" t="s"/>
      <x:c r="AZ402" s="6" t="s"/>
      <x:c r="BA402" s="6" t="s"/>
      <x:c r="BB402" s="6" t="s"/>
      <x:c r="BC402" s="6" t="s"/>
      <x:c r="BD402" s="6" t="s"/>
      <x:c r="BE402" s="6" t="s"/>
      <x:c r="BF402" s="6" t="s"/>
      <x:c r="BG402" s="6" t="s"/>
      <x:c r="BH402" s="6" t="s"/>
      <x:c r="BI402" s="8" t="s"/>
      <x:c r="BJ402" s="14" t="s">
        <x:v>36</x:v>
      </x:c>
      <x:c r="BK402" s="15" t="s"/>
      <x:c r="BL402" s="15" t="s"/>
      <x:c r="BM402" s="15" t="s"/>
      <x:c r="BN402" s="15" t="s"/>
      <x:c r="BO402" s="37">
        <x:f>=BV403/BT403</x:f>
      </x:c>
      <x:c r="BP402" s="37">
        <x:f>=CF403</x:f>
      </x:c>
      <x:c r="BQ402" s="6" t="s"/>
      <x:c r="BR402" s="6" t="s"/>
      <x:c r="BS402" s="8" t="s"/>
      <x:c r="BT402" s="20" t="n">
        <x:v>52293.46</x:v>
      </x:c>
      <x:c r="BU402" s="20" t="n">
        <x:v>-58325.50508533858522050715</x:v>
      </x:c>
      <x:c r="BV402" s="20" t="str">
        <x:f>=BT402+BU402</x:f>
      </x:c>
      <x:c r="BW402" s="21" t="n">
        <x:v>-0.1153498943336047226652654079</x:v>
      </x:c>
      <x:c r="BY402" s="20" t="n">
        <x:v>-50575.771325091324969595</x:v>
      </x:c>
      <x:c r="BZ402" s="20" t="n">
        <x:v>630</x:v>
      </x:c>
      <x:c r="CA402" s="20" t="n">
        <x:v>6166.5833045882590924801335400</x:v>
      </x:c>
      <x:c r="CC402" s="20" t="n">
        <x:v>52419.219823426775695861994791</x:v>
      </x:c>
      <x:c r="CD402" s="20" t="n">
        <x:v>-58325.50508533858522050715</x:v>
      </x:c>
      <x:c r="CE402" s="20" t="str">
        <x:f>=CC402+CD402</x:f>
      </x:c>
      <x:c r="CF402" s="21" t="n">
        <x:v>-0.1126740398236949735552689642</x:v>
      </x:c>
    </x:row>
    <x:row r="403">
      <x:c r="BT403" s="18" t="n">
        <x:v>348710.24</x:v>
      </x:c>
      <x:c r="BU403" s="18" t="n">
        <x:v>-321567.44988533858522050715</x:v>
      </x:c>
      <x:c r="BV403" s="18" t="str">
        <x:f>=BT403+BU403</x:f>
      </x:c>
      <x:c r="BW403" s="19" t="n">
        <x:v>0.0778376629107921085985110446</x:v>
      </x:c>
      <x:c r="BY403" s="18" t="n">
        <x:v>-288711.491325091324969595</x:v>
      </x:c>
      <x:c r="BZ403" s="18" t="n">
        <x:v>10386</x:v>
      </x:c>
      <x:c r="CA403" s="18" t="n">
        <x:v>580328.53665616382835963105671</x:v>
      </x:c>
      <x:c r="CC403" s="18" t="n">
        <x:v>364192.42742271685846540044910</x:v>
      </x:c>
      <x:c r="CD403" s="18" t="n">
        <x:v>-321567.44988533858522050715</x:v>
      </x:c>
      <x:c r="CE403" s="18" t="str">
        <x:f>=CC403+CD403</x:f>
      </x:c>
      <x:c r="CF403" s="19" t="n">
        <x:v>0.1170397139748971579734021931</x:v>
      </x:c>
    </x:row>
    <x:row r="404">
      <x:c r="A404" s="10" t="s">
        <x:v>736</x:v>
      </x:c>
      <x:c r="B404" s="5" t="s"/>
      <x:c r="C404" s="5" t="s"/>
      <x:c r="D404" s="5" t="s"/>
      <x:c r="E404" s="5" t="s"/>
      <x:c r="F404" s="5" t="s"/>
      <x:c r="G404" s="5" t="s"/>
      <x:c r="H404" s="5" t="s"/>
      <x:c r="I404" s="5" t="s"/>
      <x:c r="J404" s="5" t="s"/>
      <x:c r="K404" s="5" t="s"/>
      <x:c r="L404" s="5" t="s"/>
      <x:c r="M404" s="5" t="s"/>
      <x:c r="N404" s="5" t="s"/>
      <x:c r="O404" s="5" t="s"/>
      <x:c r="P404" s="5" t="s"/>
      <x:c r="Q404" s="5" t="s"/>
      <x:c r="R404" s="5" t="s"/>
      <x:c r="S404" s="5" t="s"/>
      <x:c r="T404" s="5" t="s"/>
      <x:c r="U404" s="5" t="s"/>
      <x:c r="V404" s="5" t="s"/>
      <x:c r="W404" s="5" t="s"/>
      <x:c r="X404" s="5" t="s"/>
      <x:c r="Y404" s="5" t="s"/>
      <x:c r="Z404" s="5" t="s"/>
      <x:c r="AA404" s="5" t="s"/>
      <x:c r="AB404" s="5" t="s"/>
      <x:c r="AC404" s="5" t="s"/>
      <x:c r="AD404" s="5" t="s"/>
      <x:c r="AE404" s="5" t="s"/>
      <x:c r="AF404" s="5" t="s"/>
      <x:c r="AG404" s="5" t="s"/>
      <x:c r="AH404" s="5" t="s"/>
      <x:c r="AI404" s="5" t="s"/>
      <x:c r="AJ404" s="5" t="s"/>
      <x:c r="AK404" s="5" t="s"/>
      <x:c r="AL404" s="5" t="s"/>
      <x:c r="AM404" s="5" t="s"/>
      <x:c r="AN404" s="5" t="s"/>
      <x:c r="AO404" s="5" t="s"/>
      <x:c r="AP404" s="5" t="s"/>
      <x:c r="AQ404" s="5" t="s"/>
      <x:c r="AR404" s="5" t="s"/>
      <x:c r="AS404" s="5" t="s"/>
      <x:c r="AT404" s="5" t="s"/>
      <x:c r="AU404" s="5" t="s"/>
      <x:c r="AV404" s="5" t="s"/>
      <x:c r="AW404" s="5" t="s"/>
      <x:c r="AX404" s="5" t="s"/>
      <x:c r="AY404" s="5" t="s"/>
      <x:c r="AZ404" s="5" t="s"/>
      <x:c r="BA404" s="5" t="s"/>
      <x:c r="BB404" s="5" t="s"/>
      <x:c r="BC404" s="5" t="s"/>
      <x:c r="BD404" s="5" t="s"/>
      <x:c r="BE404" s="5" t="s"/>
      <x:c r="BF404" s="5" t="s"/>
      <x:c r="BG404" s="5" t="s"/>
      <x:c r="BH404" s="5" t="s"/>
      <x:c r="BI404" s="7" t="s"/>
      <x:c r="BJ404" s="10" t="s"/>
      <x:c r="BK404" s="5" t="s"/>
      <x:c r="BL404" s="5" t="s"/>
      <x:c r="BM404" s="5" t="s"/>
      <x:c r="BN404" s="5" t="s"/>
      <x:c r="BO404" s="5" t="s"/>
      <x:c r="BP404" s="5" t="s"/>
      <x:c r="BQ404" s="5" t="s"/>
      <x:c r="BR404" s="5" t="s"/>
      <x:c r="BS404" s="7" t="s"/>
      <x:c r="BT404" s="47" t="s">
        <x:v>11</x:v>
      </x:c>
      <x:c r="BU404" s="48"/>
      <x:c r="BV404" s="49"/>
      <x:c r="BW404" s="50"/>
      <x:c r="BX404" s="50"/>
      <x:c r="BY404" s="51"/>
      <x:c r="BZ404" s="52"/>
      <x:c r="CA404" s="51"/>
      <x:c r="CC404" s="57" t="s">
        <x:v>26</x:v>
      </x:c>
      <x:c r="CD404" s="58"/>
      <x:c r="CE404" s="58"/>
      <x:c r="CF404" s="58"/>
      <x:c r="CG404" s="58"/>
      <x:c r="CH404" s="59"/>
      <x:c r="CI404" s="59"/>
      <x:c r="CJ404" s="59"/>
      <x:c r="CK404" s="59"/>
      <x:c r="CL404" s="58"/>
      <x:c r="CM404" s="60"/>
    </x:row>
    <x:row r="405" ht="45.75" customHeight="1">
      <x:c r="A405" s="40" t="s">
        <x:v>43</x:v>
      </x:c>
      <x:c r="B405" s="40" t="s">
        <x:v>44</x:v>
      </x:c>
      <x:c r="C405" s="40" t="s">
        <x:v>45</x:v>
      </x:c>
      <x:c r="D405" s="40" t="s">
        <x:v>46</x:v>
      </x:c>
      <x:c r="E405" s="40" t="s">
        <x:v>47</x:v>
      </x:c>
      <x:c r="F405" s="40" t="s">
        <x:v>102</x:v>
      </x:c>
      <x:c r="G405" s="40" t="s">
        <x:v>48</x:v>
      </x:c>
      <x:c r="H405" s="40" t="s">
        <x:v>49</x:v>
      </x:c>
      <x:c r="I405" s="40" t="s">
        <x:v>50</x:v>
      </x:c>
      <x:c r="J405" s="40" t="s">
        <x:v>51</x:v>
      </x:c>
      <x:c r="K405" s="40" t="s">
        <x:v>52</x:v>
      </x:c>
      <x:c r="L405" s="40" t="s">
        <x:v>53</x:v>
      </x:c>
      <x:c r="M405" s="40" t="s">
        <x:v>54</x:v>
      </x:c>
      <x:c r="N405" s="40" t="s">
        <x:v>55</x:v>
      </x:c>
      <x:c r="O405" s="40" t="s">
        <x:v>56</x:v>
      </x:c>
      <x:c r="P405" s="40" t="s">
        <x:v>57</x:v>
      </x:c>
      <x:c r="Q405" s="40" t="s">
        <x:v>58</x:v>
      </x:c>
      <x:c r="R405" s="40" t="s">
        <x:v>59</x:v>
      </x:c>
      <x:c r="S405" s="40" t="s">
        <x:v>60</x:v>
      </x:c>
      <x:c r="T405" s="40" t="s">
        <x:v>61</x:v>
      </x:c>
      <x:c r="U405" s="40" t="s">
        <x:v>62</x:v>
      </x:c>
      <x:c r="V405" s="40" t="s">
        <x:v>63</x:v>
      </x:c>
      <x:c r="W405" s="40" t="s">
        <x:v>64</x:v>
      </x:c>
      <x:c r="X405" s="40" t="s">
        <x:v>65</x:v>
      </x:c>
      <x:c r="Y405" s="40" t="s">
        <x:v>66</x:v>
      </x:c>
      <x:c r="Z405" s="40" t="s">
        <x:v>67</x:v>
      </x:c>
      <x:c r="AA405" s="40" t="s">
        <x:v>68</x:v>
      </x:c>
      <x:c r="AB405" s="40" t="s">
        <x:v>69</x:v>
      </x:c>
      <x:c r="AC405" s="40" t="s">
        <x:v>70</x:v>
      </x:c>
      <x:c r="AD405" s="40" t="s">
        <x:v>71</x:v>
      </x:c>
      <x:c r="AE405" s="40" t="s">
        <x:v>72</x:v>
      </x:c>
      <x:c r="AF405" s="40" t="s">
        <x:v>73</x:v>
      </x:c>
      <x:c r="AG405" s="40" t="s">
        <x:v>74</x:v>
      </x:c>
      <x:c r="AH405" s="40" t="s">
        <x:v>75</x:v>
      </x:c>
      <x:c r="AI405" s="40" t="s">
        <x:v>76</x:v>
      </x:c>
      <x:c r="AJ405" s="40" t="s">
        <x:v>77</x:v>
      </x:c>
      <x:c r="AK405" s="40" t="s">
        <x:v>78</x:v>
      </x:c>
      <x:c r="AL405" s="40" t="s">
        <x:v>79</x:v>
      </x:c>
      <x:c r="AM405" s="40" t="s">
        <x:v>80</x:v>
      </x:c>
      <x:c r="AN405" s="40" t="s">
        <x:v>81</x:v>
      </x:c>
      <x:c r="AO405" s="40" t="s">
        <x:v>82</x:v>
      </x:c>
      <x:c r="AP405" s="40" t="s">
        <x:v>83</x:v>
      </x:c>
      <x:c r="AQ405" s="40" t="s">
        <x:v>84</x:v>
      </x:c>
      <x:c r="AR405" s="40" t="s">
        <x:v>85</x:v>
      </x:c>
      <x:c r="AS405" s="40" t="s">
        <x:v>86</x:v>
      </x:c>
      <x:c r="AT405" s="40" t="s">
        <x:v>87</x:v>
      </x:c>
      <x:c r="AU405" s="40" t="s">
        <x:v>88</x:v>
      </x:c>
      <x:c r="AV405" s="40" t="s">
        <x:v>89</x:v>
      </x:c>
      <x:c r="AW405" s="40" t="s">
        <x:v>90</x:v>
      </x:c>
      <x:c r="AX405" s="40" t="s">
        <x:v>91</x:v>
      </x:c>
      <x:c r="AY405" s="40" t="s">
        <x:v>92</x:v>
      </x:c>
      <x:c r="AZ405" s="40" t="s">
        <x:v>93</x:v>
      </x:c>
      <x:c r="BA405" s="40" t="s">
        <x:v>94</x:v>
      </x:c>
      <x:c r="BB405" s="40" t="s">
        <x:v>95</x:v>
      </x:c>
      <x:c r="BC405" s="40" t="s">
        <x:v>96</x:v>
      </x:c>
      <x:c r="BD405" s="40" t="s">
        <x:v>97</x:v>
      </x:c>
      <x:c r="BE405" s="40" t="s">
        <x:v>98</x:v>
      </x:c>
      <x:c r="BF405" s="40" t="s">
        <x:v>99</x:v>
      </x:c>
      <x:c r="BG405" s="40" t="s">
        <x:v>100</x:v>
      </x:c>
      <x:c r="BH405" s="40" t="s">
        <x:v>101</x:v>
      </x:c>
      <x:c r="BJ405" s="31" t="s">
        <x:v>103</x:v>
      </x:c>
      <x:c r="BK405" s="32" t="s">
        <x:v>104</x:v>
      </x:c>
      <x:c r="BL405" s="32" t="s">
        <x:v>105</x:v>
      </x:c>
      <x:c r="BM405" s="32" t="s">
        <x:v>106</x:v>
      </x:c>
      <x:c r="BN405" s="32" t="s">
        <x:v>107</x:v>
      </x:c>
      <x:c r="BO405" s="32" t="s">
        <x:v>108</x:v>
      </x:c>
      <x:c r="BP405" s="32" t="s">
        <x:v>109</x:v>
      </x:c>
      <x:c r="BQ405" s="32" t="s">
        <x:v>110</x:v>
      </x:c>
      <x:c r="BR405" s="32" t="s">
        <x:v>111</x:v>
      </x:c>
      <x:c r="BS405" s="33" t="s">
        <x:v>112</x:v>
      </x:c>
      <x:c r="BT405" s="53" t="s">
        <x:v>12</x:v>
      </x:c>
      <x:c r="BU405" s="54" t="s">
        <x:v>13</x:v>
      </x:c>
      <x:c r="BV405" s="54" t="s">
        <x:v>14</x:v>
      </x:c>
      <x:c r="BW405" s="55" t="s">
        <x:v>15</x:v>
      </x:c>
      <x:c r="BX405" s="55" t="s">
        <x:v>27</x:v>
      </x:c>
      <x:c r="BY405" s="56" t="s">
        <x:v>16</x:v>
      </x:c>
      <x:c r="BZ405" s="53" t="s">
        <x:v>17</x:v>
      </x:c>
      <x:c r="CA405" s="56" t="s">
        <x:v>18</x:v>
      </x:c>
      <x:c r="CC405" s="61" t="s">
        <x:v>19</x:v>
      </x:c>
      <x:c r="CD405" s="62" t="s">
        <x:v>20</x:v>
      </x:c>
      <x:c r="CE405" s="62" t="s">
        <x:v>21</x:v>
      </x:c>
      <x:c r="CF405" s="62" t="s">
        <x:v>15</x:v>
      </x:c>
      <x:c r="CG405" s="62"/>
      <x:c r="CH405" s="63" t="s">
        <x:v>22</x:v>
      </x:c>
      <x:c r="CI405" s="63" t="s">
        <x:v>23</x:v>
      </x:c>
      <x:c r="CJ405" s="63" t="s">
        <x:v>25</x:v>
      </x:c>
      <x:c r="CK405" s="63" t="s">
        <x:v>24</x:v>
      </x:c>
      <x:c r="CL405" s="62"/>
      <x:c r="CM405" s="64" t="s">
        <x:v>28</x:v>
      </x:c>
    </x:row>
    <x:row r="406">
      <x:c r="BJ406" s="31" t="s"/>
      <x:c r="BS406" s="33" t="s"/>
    </x:row>
    <x:row r="407">
      <x:c r="A407" s="35" t="s">
        <x:v>150</x:v>
      </x:c>
      <x:c r="BI407" s="33" t="s"/>
      <x:c r="BJ407" s="11" t="s"/>
      <x:c r="BS407" s="13" t="s"/>
    </x:row>
    <x:row r="408">
      <x:c r="A408" s="17" t="s">
        <x:v>127</x:v>
      </x:c>
      <x:c r="BI408" s="33" t="s"/>
      <x:c r="BJ408" s="11" t="s"/>
      <x:c r="BS408" s="13" t="s"/>
    </x:row>
    <x:row r="409">
      <x:c r="A409" s="31" t="s">
        <x:v>737</x:v>
      </x:c>
      <x:c r="B409" t="s"/>
      <x:c r="C409" t="s">
        <x:v>738</x:v>
      </x:c>
      <x:c r="D409" t="s">
        <x:v>274</x:v>
      </x:c>
      <x:c r="E409" s="69" t="s">
        <x:v>153</x:v>
      </x:c>
      <x:c r="F409" t="n">
        <x:v>1753</x:v>
      </x:c>
      <x:c r="G409" s="32" t="n">
        <x:v>0.0136908157444381061038220194</x:v>
      </x:c>
      <x:c r="H409" s="32" t="n">
        <x:v>0.0222475755847119224187107815</x:v>
      </x:c>
      <x:c r="I409" s="32" t="n">
        <x:v>0.0239589275527666856816885339</x:v>
      </x:c>
      <x:c r="J409" s="32" t="n">
        <x:v>0.0239589275527666856816885339</x:v>
      </x:c>
      <x:c r="K409" s="32" t="n">
        <x:v>0.0239589275527666856816885339</x:v>
      </x:c>
      <x:c r="L409" s="32" t="n">
        <x:v>0.0239589275527666856816885339</x:v>
      </x:c>
      <x:c r="M409" s="32" t="n">
        <x:v>0.0239589275527666856816885339</x:v>
      </x:c>
      <x:c r="N409" s="32" t="n">
        <x:v>0.0239589275527666856816885339</x:v>
      </x:c>
      <x:c r="O409" s="32" t="n">
        <x:v>0.0239589275527666856816885339</x:v>
      </x:c>
      <x:c r="P409" s="32" t="n">
        <x:v>0.0239589275527666856816885339</x:v>
      </x:c>
      <x:c r="Q409" s="32" t="n">
        <x:v>0.0239589275527666856816885339</x:v>
      </x:c>
      <x:c r="R409" s="32" t="n">
        <x:v>0.0239589275527666856816885339</x:v>
      </x:c>
      <x:c r="S409" s="32" t="n">
        <x:v>0.0239589275527666856816885339</x:v>
      </x:c>
      <x:c r="T409" s="32" t="n">
        <x:v>0.0296634341129492298916143754</x:v>
      </x:c>
      <x:c r="U409" s="32" t="n">
        <x:v>0.0416428978893325727324586423</x:v>
      </x:c>
      <x:c r="V409" s="32" t="n">
        <x:v>0.0627495721620079863091842556</x:v>
      </x:c>
      <x:c r="W409" s="32" t="n">
        <x:v>0.0895607529948659440958357102</x:v>
      </x:c>
      <x:c r="X409" s="32" t="n">
        <x:v>0.1283513976041072447233314318</x:v>
      </x:c>
      <x:c r="Y409" s="32" t="n">
        <x:v>0.1705647461494580718767826583</x:v>
      </x:c>
      <x:c r="Z409" s="32" t="n">
        <x:v>0.2241871078151739874500855676</x:v>
      </x:c>
      <x:c r="AA409" s="32" t="n">
        <x:v>0.3844837421563034797490017114</x:v>
      </x:c>
      <x:c r="AB409" s="32" t="n">
        <x:v>0.5476326297775242441528807758</x:v>
      </x:c>
      <x:c r="AC409" s="32" t="n">
        <x:v>0.6177980604677695379349686252</x:v>
      </x:c>
      <x:c r="AD409" s="32" t="n">
        <x:v>0.6428978893325727324586423274</x:v>
      </x:c>
      <x:c r="AE409" s="32" t="n">
        <x:v>0.6731317741015402167712492869</x:v>
      </x:c>
      <x:c r="AF409" s="32" t="n">
        <x:v>0.6993725042783799201369081574</x:v>
      </x:c>
      <x:c r="AG409" s="23" t="n">
        <x:v>0.7045065601825442099258414147</x:v>
      </x:c>
      <x:c r="AH409" s="32" t="n">
        <x:v>0.7227609811751283513976041072</x:v>
      </x:c>
      <x:c r="AI409" s="32" t="n">
        <x:v>0.7467199087278950370792926412</x:v>
      </x:c>
      <x:c r="AJ409" s="32" t="n">
        <x:v>0.766115231032515687393040502</x:v>
      </x:c>
      <x:c r="AK409" s="32" t="n">
        <x:v>0.7837992013690815744438106104</x:v>
      </x:c>
      <x:c r="AL409" s="32" t="n">
        <x:v>0.7912150598973188819167142042</x:v>
      </x:c>
      <x:c r="AM409" s="32" t="n">
        <x:v>0.8049058756417569880205362236</x:v>
      </x:c>
      <x:c r="AN409" s="32" t="n">
        <x:v>0.8111808328579577866514546492</x:v>
      </x:c>
      <x:c r="AO409" s="32" t="n">
        <x:v>0.8197375926982316029663434113</x:v>
      </x:c>
      <x:c r="AP409" s="32" t="n">
        <x:v>0.8260125499144324015972618369</x:v>
      </x:c>
      <x:c r="AQ409" s="32" t="n">
        <x:v>0.8294352538505419281232173417</x:v>
      </x:c>
      <x:c r="AR409" s="32" t="n">
        <x:v>0.8339988590986879634911580148</x:v>
      </x:c>
      <x:c r="AS409" s="32" t="n">
        <x:v>0.8585282373074729035938391329</x:v>
      </x:c>
      <x:c r="AT409" s="32" t="n">
        <x:v>0.9195664575014261266400456361</x:v>
      </x:c>
      <x:c r="BI409" s="33" t="s"/>
      <x:c r="BJ409" s="11" t="s">
        <x:v>242</x:v>
      </x:c>
      <x:c r="BK409" s="12" t="str">
        <x:f>=BX409</x:f>
      </x:c>
      <x:c r="BL409" s="12" t="n">
        <x:v>0.9189960068454078722190530519</x:v>
      </x:c>
      <x:c r="BM409" s="12" t="n">
        <x:v>0.0005704506560182544209925841</x:v>
      </x:c>
      <x:c r="BN409" s="12" t="n">
        <x:v>0.0804335424985738733599543639</x:v>
      </x:c>
      <x:c r="BO409" s="12" t="str">
        <x:f>=BW409</x:f>
      </x:c>
      <x:c r="BP409" s="12" t="str">
        <x:f>=CF409</x:f>
      </x:c>
      <x:c r="BQ409" s="12" t="str"/>
      <x:c r="BR409" s="12" t="str">
        <x:v>SS 2021 EOS</x:v>
      </x:c>
      <x:c r="BS409" s="13" t="str"/>
      <x:c r="BT409" s="30" t="n">
        <x:v>19763.77</x:v>
      </x:c>
      <x:c r="BU409" s="30" t="n">
        <x:v>-14069.52810</x:v>
      </x:c>
      <x:c r="BV409" s="30" t="str">
        <x:f>=BT409+BU409</x:f>
      </x:c>
      <x:c r="BW409" s="66" t="str">
        <x:f>=BV409/BT409</x:f>
      </x:c>
      <x:c r="BX409" s="66" t="n">
        <x:v>0.9195664575014261266400456361</x:v>
      </x:c>
      <x:c r="BY409" s="30" t="n">
        <x:v>12895.85</x:v>
      </x:c>
      <x:c r="BZ409" s="41" t="n">
        <x:v>141</x:v>
      </x:c>
      <x:c r="CA409" s="30" t="n">
        <x:v>1037.2588990302338847689674843</x:v>
      </x:c>
      <x:c r="CC409" s="30" t="n">
        <x:v>20309.116636840102681118083286</x:v>
      </x:c>
      <x:c r="CD409" s="30" t="n">
        <x:v>-14069.52810</x:v>
      </x:c>
      <x:c r="CE409" s="30" t="str">
        <x:f>=CC409+CD409</x:f>
      </x:c>
      <x:c r="CF409" s="66" t="str">
        <x:f>=CE409/CC409</x:f>
      </x:c>
      <x:c r="CH409" s="66" t="str">
        <x:f>=CI409+CJ409</x:f>
      </x:c>
      <x:c r="CI409" s="66" t="str">
        <x:f>=BX409+(0*7)</x:f>
      </x:c>
      <x:c r="CJ409" s="66" t="str">
        <x:f>=(1-CI409)*0.5</x:f>
      </x:c>
      <x:c r="CK409" s="66" t="str">
        <x:f>=1-CH409</x:f>
      </x:c>
      <x:c r="CM409" s="66" t="str">
        <x:f>=CJ409/(1-CI409)</x:f>
      </x:c>
    </x:row>
    <x:row r="410">
      <x:c r="A410" s="31" t="s"/>
      <x:c r="BI410" s="33" t="s"/>
      <x:c r="BJ410" s="11" t="s"/>
      <x:c r="BS410" s="13" t="s"/>
    </x:row>
    <x:row r="411">
      <x:c r="A411" s="17" t="s">
        <x:v>114</x:v>
      </x:c>
      <x:c r="BI411" s="33" t="s"/>
      <x:c r="BJ411" s="11" t="s"/>
      <x:c r="BS411" s="13" t="s"/>
    </x:row>
    <x:row r="412">
      <x:c r="A412" s="31" t="s">
        <x:v>739</x:v>
      </x:c>
      <x:c r="B412" t="s"/>
      <x:c r="C412" t="s">
        <x:v>740</x:v>
      </x:c>
      <x:c r="D412" t="s">
        <x:v>452</x:v>
      </x:c>
      <x:c r="E412" s="69" t="s">
        <x:v>153</x:v>
      </x:c>
      <x:c r="F412" t="n">
        <x:v>3051</x:v>
      </x:c>
      <x:c r="G412" s="32" t="n">
        <x:v>0.0009832841691248770894788594</x:v>
      </x:c>
      <x:c r="H412" s="32" t="n">
        <x:v>0.0009832841691248770894788594</x:v>
      </x:c>
      <x:c r="I412" s="32" t="n">
        <x:v>0.0127826941986234021632251721</x:v>
      </x:c>
      <x:c r="J412" s="32" t="n">
        <x:v>0.0219600131104555883316945264</x:v>
      </x:c>
      <x:c r="K412" s="32" t="n">
        <x:v>0.0380203212061619141265158964</x:v>
      </x:c>
      <x:c r="L412" s="32" t="n">
        <x:v>0.0606358570960340871845296624</x:v>
      </x:c>
      <x:c r="M412" s="32" t="n">
        <x:v>0.0825958702064896755162241888</x:v>
      </x:c>
      <x:c r="N412" s="32" t="n">
        <x:v>0.0894788593903638151425762045</x:v>
      </x:c>
      <x:c r="O412" s="32" t="n">
        <x:v>0.0924287118977384464110127827</x:v>
      </x:c>
      <x:c r="P412" s="32" t="n">
        <x:v>0.0940675188462799082268108817</x:v>
      </x:c>
      <x:c r="Q412" s="32" t="n">
        <x:v>0.0970173713536545394952474598</x:v>
      </x:c>
      <x:c r="R412" s="32" t="n">
        <x:v>0.0966896099639462471320878401</x:v>
      </x:c>
      <x:c r="S412" s="32" t="n">
        <x:v>0.0966896099639462471320878401</x:v>
      </x:c>
      <x:c r="T412" s="32" t="n">
        <x:v>0.0980006555227794165847263192</x:v>
      </x:c>
      <x:c r="U412" s="32" t="n">
        <x:v>0.0989839396919042936742051786</x:v>
      </x:c>
      <x:c r="V412" s="32" t="n">
        <x:v>0.0993117010816125860373647984</x:v>
      </x:c>
      <x:c r="W412" s="32" t="n">
        <x:v>0.1002949852507374631268436578</x:v>
      </x:c>
      <x:c r="X412" s="32" t="n">
        <x:v>0.1019337921992789249426417568</x:v>
      </x:c>
      <x:c r="Y412" s="32" t="n">
        <x:v>0.1039003605375286791215994756</x:v>
      </x:c>
      <x:c r="Z412" s="32" t="n">
        <x:v>0.1055391674860701409373975746</x:v>
      </x:c>
      <x:c r="AA412" s="32" t="n">
        <x:v>0.1078334972140281874795149131</x:v>
      </x:c>
      <x:c r="AB412" s="32" t="n">
        <x:v>0.1098000655522779416584726319</x:v>
      </x:c>
      <x:c r="AC412" s="32" t="n">
        <x:v>0.1120943952802359882005899705</x:v>
      </x:c>
      <x:c r="AD412" s="32" t="n">
        <x:v>0.1166830547361520812848246477</x:v>
      </x:c>
      <x:c r="AE412" s="32" t="n">
        <x:v>0.125860373647984267453294002</x:v>
      </x:c>
      <x:c r="AF412" s="32" t="n">
        <x:v>0.1409373975745657161586365126</x:v>
      </x:c>
      <x:c r="AG412" s="32" t="n">
        <x:v>0.1543756145526057030481809243</x:v>
      </x:c>
      <x:c r="AH412" s="32" t="n">
        <x:v>0.1737135365453949524745984923</x:v>
      </x:c>
      <x:c r="AI412" s="32" t="n">
        <x:v>0.1828908554572271386430678466</x:v>
      </x:c>
      <x:c r="AJ412" s="32" t="n">
        <x:v>0.1976401179941002949852507375</x:v>
      </x:c>
      <x:c r="AK412" s="32" t="n">
        <x:v>0.2143559488692232055063913471</x:v>
      </x:c>
      <x:c r="AL412" s="32" t="n">
        <x:v>0.2363159619796787938380858735</x:v>
      </x:c>
      <x:c r="AM412" s="32" t="n">
        <x:v>0.2559816453621763356276630613</x:v>
      </x:c>
      <x:c r="AN412" s="32" t="n">
        <x:v>0.2740085217961324156014421501</x:v>
      </x:c>
      <x:c r="AO412" s="32" t="n">
        <x:v>0.2864634546050475254015077024</x:v>
      </x:c>
      <x:c r="AP412" s="32" t="n">
        <x:v>0.3084234677155031137332022288</x:v>
      </x:c>
      <x:c r="AQ412" s="32" t="n">
        <x:v>0.3261225827597509013438216978</x:v>
      </x:c>
      <x:c r="AR412" s="32" t="n">
        <x:v>0.346771550311373320222877745</x:v>
      </x:c>
      <x:c r="AS412" s="32" t="n">
        <x:v>0.3598820058997050147492625369</x:v>
      </x:c>
      <x:c r="AT412" s="32" t="n">
        <x:v>0.3729924614880367092756473287</x:v>
      </x:c>
      <x:c r="AU412" s="32" t="n">
        <x:v>0.3867584398557849885283513602</x:v>
      </x:c>
      <x:c r="AV412" s="32" t="n">
        <x:v>0.4008521796132415601442150115</x:v>
      </x:c>
      <x:c r="AW412" s="32" t="n">
        <x:v>0.4103572599147820386758439856</x:v>
      </x:c>
      <x:c r="AX412" s="32" t="n">
        <x:v>0.4182235332677810553916748607</x:v>
      </x:c>
      <x:c r="AY412" s="32" t="n">
        <x:v>0.4283841363487381186496230744</x:v>
      </x:c>
      <x:c r="AZ412" s="32" t="n">
        <x:v>0.4316617502458210422812192724</x:v>
      </x:c>
      <x:c r="BA412" s="32" t="n">
        <x:v>0.4424778761061946902654867257</x:v>
      </x:c>
      <x:c r="BB412" s="32" t="n">
        <x:v>0.453294001966568338249754179</x:v>
      </x:c>
      <x:c r="BC412" s="32" t="n">
        <x:v>0.466076696165191740412979351</x:v>
      </x:c>
      <x:c r="BD412" s="32" t="n">
        <x:v>0.4745984922976073418551294657</x:v>
      </x:c>
      <x:c r="BE412" s="32" t="n">
        <x:v>0.4811537200917731891183218617</x:v>
      </x:c>
      <x:c r="BF412" s="32" t="n">
        <x:v>0.4841035725991478203867584399</x:v>
      </x:c>
      <x:c r="BG412" s="32" t="n">
        <x:v>0.4850868567682726974762372992</x:v>
      </x:c>
      <x:c r="BH412" s="32" t="n">
        <x:v>0.4890199934447722058341527368</x:v>
      </x:c>
      <x:c r="BI412" s="33" t="s"/>
      <x:c r="BJ412" s="11" t="s">
        <x:v>741</x:v>
      </x:c>
      <x:c r="BK412" s="12" t="str">
        <x:f>=BX412</x:f>
      </x:c>
      <x:c r="BL412" s="12" t="n">
        <x:v>0.493608652900688298918387414</x:v>
      </x:c>
      <x:c r="BM412" s="12" t="n">
        <x:v>0.0003277613897082923631596198</x:v>
      </x:c>
      <x:c r="BN412" s="12" t="n">
        <x:v>0.5060635857096034087184529662</x:v>
      </x:c>
      <x:c r="BO412" s="12" t="str">
        <x:f>=BW412</x:f>
      </x:c>
      <x:c r="BP412" s="12" t="str">
        <x:f>=CF412</x:f>
      </x:c>
      <x:c r="BQ412" s="12" t="str"/>
      <x:c r="BR412" s="12" t="str">
        <x:v>SS 2021 MSS</x:v>
      </x:c>
      <x:c r="BS412" s="13" t="str"/>
      <x:c r="BT412" s="30" t="n">
        <x:v>15467.44</x:v>
      </x:c>
      <x:c r="BU412" s="30" t="n">
        <x:v>-23242.4924</x:v>
      </x:c>
      <x:c r="BV412" s="30" t="str">
        <x:f>=BT412+BU412</x:f>
      </x:c>
      <x:c r="BW412" s="66" t="str">
        <x:f>=BV412/BT412</x:f>
      </x:c>
      <x:c r="BX412" s="66" t="n">
        <x:v>0.4939364142903965912815470338</x:v>
      </x:c>
      <x:c r="BY412" s="30" t="n">
        <x:v>20349.20</x:v>
      </x:c>
      <x:c r="BZ412" s="41" t="n">
        <x:v>1544</x:v>
      </x:c>
      <x:c r="CA412" s="30" t="n">
        <x:v>10297.989118321861684693543101</x:v>
      </x:c>
      <x:c r="CC412" s="30" t="n">
        <x:v>20734.077349067022287774500167</x:v>
      </x:c>
      <x:c r="CD412" s="30" t="n">
        <x:v>-23242.4924</x:v>
      </x:c>
      <x:c r="CE412" s="30" t="str">
        <x:f>=CC412+CD412</x:f>
      </x:c>
      <x:c r="CF412" s="66" t="str">
        <x:f>=CE412/CC412</x:f>
      </x:c>
      <x:c r="CH412" s="66" t="str">
        <x:f>=CI412+CJ412</x:f>
      </x:c>
      <x:c r="CI412" s="66" t="str">
        <x:f>=BX412+(0.001638806948541461815798099*7)</x:f>
      </x:c>
      <x:c r="CJ412" s="66" t="str">
        <x:f>=(1-CI412)*0.5</x:f>
      </x:c>
      <x:c r="CK412" s="66" t="str">
        <x:f>=1-CH412</x:f>
      </x:c>
      <x:c r="CM412" s="66" t="str">
        <x:f>=CJ412/(1-CI412)</x:f>
      </x:c>
    </x:row>
    <x:row r="413">
      <x:c r="A413" s="31" t="s">
        <x:v>742</x:v>
      </x:c>
      <x:c r="B413" t="s"/>
      <x:c r="C413" t="s">
        <x:v>743</x:v>
      </x:c>
      <x:c r="D413" t="s">
        <x:v>118</x:v>
      </x:c>
      <x:c r="E413" s="69" t="s">
        <x:v>153</x:v>
      </x:c>
      <x:c r="F413" t="n">
        <x:v>5056</x:v>
      </x:c>
      <x:c r="G413" s="32" t="n">
        <x:v>0.0136471518987341772151898734</x:v>
      </x:c>
      <x:c r="H413" s="32" t="n">
        <x:v>0.0187895569620253164556962025</x:v>
      </x:c>
      <x:c r="I413" s="32" t="n">
        <x:v>0.0253164556962025316455696203</x:v>
      </x:c>
      <x:c r="J413" s="32" t="n">
        <x:v>0.0648734177215189873417721519</x:v>
      </x:c>
      <x:c r="K413" s="32" t="n">
        <x:v>0.1056170886075949367088607595</x:v>
      </x:c>
      <x:c r="L413" s="32" t="n">
        <x:v>0.1437895569620253164556962025</x:v>
      </x:c>
      <x:c r="M413" s="32" t="n">
        <x:v>0.1989715189873417721518987342</x:v>
      </x:c>
      <x:c r="N413" s="32" t="n">
        <x:v>0.2796677215189873417721518987</x:v>
      </x:c>
      <x:c r="O413" s="32" t="n">
        <x:v>0.3397943037974683544303797468</x:v>
      </x:c>
      <x:c r="P413" s="32" t="n">
        <x:v>0.3742088607594936708860759494</x:v>
      </x:c>
      <x:c r="Q413" s="32" t="n">
        <x:v>0.3868670886075949367088607595</x:v>
      </x:c>
      <x:c r="R413" s="32" t="n">
        <x:v>0.3892405063291139240506329114</x:v>
      </x:c>
      <x:c r="S413" s="32" t="n">
        <x:v>0.3973496835443037974683544304</x:v>
      </x:c>
      <x:c r="T413" s="32" t="n">
        <x:v>0.4005142405063291139240506329</x:v>
      </x:c>
      <x:c r="U413" s="32" t="n">
        <x:v>0.4123813291139240506329113924</x:v>
      </x:c>
      <x:c r="V413" s="32" t="n">
        <x:v>0.4272151898734177215189873418</x:v>
      </x:c>
      <x:c r="W413" s="32" t="n">
        <x:v>0.4386867088607594936708860759</x:v>
      </x:c>
      <x:c r="X413" s="32" t="n">
        <x:v>0.4507515822784810126582278481</x:v>
      </x:c>
      <x:c r="Y413" s="32" t="n">
        <x:v>0.4582674050632911392405063291</x:v>
      </x:c>
      <x:c r="Z413" s="32" t="n">
        <x:v>0.4610363924050632911392405063</x:v>
      </x:c>
      <x:c r="AA413" s="32" t="n">
        <x:v>0.4634098101265822784810126582</x:v>
      </x:c>
      <x:c r="AB413" s="32" t="n">
        <x:v>0.4677610759493670886075949367</x:v>
      </x:c>
      <x:c r="AC413" s="32" t="n">
        <x:v>0.4695411392405063291139240506</x:v>
      </x:c>
      <x:c r="AD413" s="32" t="n">
        <x:v>0.4734968354430379746835443038</x:v>
      </x:c>
      <x:c r="AE413" s="32" t="n">
        <x:v>0.4750791139240506329113924051</x:v>
      </x:c>
      <x:c r="AF413" s="32" t="n">
        <x:v>0.476265822784810126582278481</x:v>
      </x:c>
      <x:c r="AG413" s="32" t="n">
        <x:v>0.4766613924050632911392405063</x:v>
      </x:c>
      <x:c r="AH413" s="32" t="n">
        <x:v>0.4770569620253164556962025316</x:v>
      </x:c>
      <x:c r="AI413" s="32" t="n">
        <x:v>0.477452531645569620253164557</x:v>
      </x:c>
      <x:c r="AJ413" s="32" t="n">
        <x:v>0.4780458860759493670886075949</x:v>
      </x:c>
      <x:c r="AK413" s="32" t="n">
        <x:v>0.4786392405063291139240506329</x:v>
      </x:c>
      <x:c r="AL413" s="32" t="n">
        <x:v>0.4786392405063291139240506329</x:v>
      </x:c>
      <x:c r="AM413" s="32" t="n">
        <x:v>0.4786392405063291139240506329</x:v>
      </x:c>
      <x:c r="AN413" s="32" t="n">
        <x:v>0.4790348101265822784810126582</x:v>
      </x:c>
      <x:c r="AO413" s="32" t="n">
        <x:v>0.4796281645569620253164556962</x:v>
      </x:c>
      <x:c r="AP413" s="32" t="n">
        <x:v>0.4798259493670886075949367089</x:v>
      </x:c>
      <x:c r="AQ413" s="32" t="n">
        <x:v>0.4800237341772151898734177215</x:v>
      </x:c>
      <x:c r="AR413" s="32" t="n">
        <x:v>0.4808148734177215189873417722</x:v>
      </x:c>
      <x:c r="AS413" s="32" t="n">
        <x:v>0.4810126582278481012658227848</x:v>
      </x:c>
      <x:c r="AT413" s="32" t="n">
        <x:v>0.483781645569620253164556962</x:v>
      </x:c>
      <x:c r="AU413" s="32" t="n">
        <x:v>0.4905063291139240506329113924</x:v>
      </x:c>
      <x:c r="AV413" s="32" t="n">
        <x:v>0.4998022151898734177215189873</x:v>
      </x:c>
      <x:c r="BI413" s="33" t="s"/>
      <x:c r="BJ413" s="11" t="s">
        <x:v>406</x:v>
      </x:c>
      <x:c r="BK413" s="12" t="str">
        <x:f>=BX413</x:f>
      </x:c>
      <x:c r="BL413" s="12" t="n">
        <x:v>0.4996044303797468354430379747</x:v>
      </x:c>
      <x:c r="BM413" s="12" t="n">
        <x:v>0.0001977848101265822784810127</x:v>
      </x:c>
      <x:c r="BN413" s="12" t="n">
        <x:v>0.5001977848101265822784810127</x:v>
      </x:c>
      <x:c r="BO413" s="12" t="str">
        <x:f>=BW413</x:f>
      </x:c>
      <x:c r="BP413" s="12" t="str">
        <x:f>=CF413</x:f>
      </x:c>
      <x:c r="BQ413" s="12" t="str"/>
      <x:c r="BR413" s="12" t="str">
        <x:v>SS 2021 MSS</x:v>
      </x:c>
      <x:c r="BS413" s="13" t="str"/>
      <x:c r="BT413" s="30" t="n">
        <x:v>20638.40</x:v>
      </x:c>
      <x:c r="BU413" s="30" t="n">
        <x:v>-25877.1845</x:v>
      </x:c>
      <x:c r="BV413" s="30" t="str">
        <x:f>=BT413+BU413</x:f>
      </x:c>
      <x:c r="BW413" s="66" t="str">
        <x:f>=BV413/BT413</x:f>
      </x:c>
      <x:c r="BX413" s="66" t="n">
        <x:v>0.4998022151898734177215189873</x:v>
      </x:c>
      <x:c r="BY413" s="30" t="n">
        <x:v>25708.53</x:v>
      </x:c>
      <x:c r="BZ413" s="41" t="n">
        <x:v>2529</x:v>
      </x:c>
      <x:c r="CA413" s="30" t="n">
        <x:v>12859.349756724683544303797468</x:v>
      </x:c>
      <x:c r="CC413" s="30" t="n">
        <x:v>28287.254500601994659810126570</x:v>
      </x:c>
      <x:c r="CD413" s="30" t="n">
        <x:v>-25877.1845</x:v>
      </x:c>
      <x:c r="CE413" s="30" t="str">
        <x:f>=CC413+CD413</x:f>
      </x:c>
      <x:c r="CF413" s="66" t="str">
        <x:f>=CE413/CC413</x:f>
      </x:c>
      <x:c r="CH413" s="66" t="str">
        <x:f>=CI413+CJ413</x:f>
      </x:c>
      <x:c r="CI413" s="66" t="str">
        <x:f>=BX413+(0.0062631856540084388185654008*7)</x:f>
      </x:c>
      <x:c r="CJ413" s="66" t="str">
        <x:f>=(1-CI413)*0.5</x:f>
      </x:c>
      <x:c r="CK413" s="66" t="str">
        <x:f>=1-CH413</x:f>
      </x:c>
      <x:c r="CM413" s="66" t="str">
        <x:f>=CJ413/(1-CI413)</x:f>
      </x:c>
    </x:row>
    <x:row r="414">
      <x:c r="A414" s="31" t="s">
        <x:v>744</x:v>
      </x:c>
      <x:c r="B414" t="s"/>
      <x:c r="C414" t="s">
        <x:v>745</x:v>
      </x:c>
      <x:c r="D414" t="s">
        <x:v>118</x:v>
      </x:c>
      <x:c r="E414" s="69" t="s">
        <x:v>153</x:v>
      </x:c>
      <x:c r="F414" t="n">
        <x:v>4000</x:v>
      </x:c>
      <x:c r="G414" s="32" t="n">
        <x:v>0.00825</x:v>
      </x:c>
      <x:c r="H414" s="32" t="n">
        <x:v>0.0125</x:v>
      </x:c>
      <x:c r="I414" s="32" t="n">
        <x:v>0.032</x:v>
      </x:c>
      <x:c r="J414" s="32" t="n">
        <x:v>0.05575</x:v>
      </x:c>
      <x:c r="K414" s="32" t="n">
        <x:v>0.077</x:v>
      </x:c>
      <x:c r="L414" s="32" t="n">
        <x:v>0.10775</x:v>
      </x:c>
      <x:c r="M414" s="32" t="n">
        <x:v>0.1375</x:v>
      </x:c>
      <x:c r="N414" s="32" t="n">
        <x:v>0.172</x:v>
      </x:c>
      <x:c r="O414" s="32" t="n">
        <x:v>0.2115</x:v>
      </x:c>
      <x:c r="P414" s="32" t="n">
        <x:v>0.264</x:v>
      </x:c>
      <x:c r="Q414" s="32" t="n">
        <x:v>0.324</x:v>
      </x:c>
      <x:c r="R414" s="32" t="n">
        <x:v>0.38</x:v>
      </x:c>
      <x:c r="S414" s="32" t="n">
        <x:v>0.4145</x:v>
      </x:c>
      <x:c r="T414" s="32" t="n">
        <x:v>0.4305</x:v>
      </x:c>
      <x:c r="U414" s="32" t="n">
        <x:v>0.4475</x:v>
      </x:c>
      <x:c r="V414" s="32" t="n">
        <x:v>0.4655</x:v>
      </x:c>
      <x:c r="W414" s="32" t="n">
        <x:v>0.48525</x:v>
      </x:c>
      <x:c r="X414" s="32" t="n">
        <x:v>0.5005</x:v>
      </x:c>
      <x:c r="Y414" s="32" t="n">
        <x:v>0.508</x:v>
      </x:c>
      <x:c r="Z414" s="32" t="n">
        <x:v>0.5205</x:v>
      </x:c>
      <x:c r="AA414" s="32" t="n">
        <x:v>0.528</x:v>
      </x:c>
      <x:c r="AB414" s="32" t="n">
        <x:v>0.5355</x:v>
      </x:c>
      <x:c r="AC414" s="32" t="n">
        <x:v>0.5385</x:v>
      </x:c>
      <x:c r="AD414" s="32" t="n">
        <x:v>0.54</x:v>
      </x:c>
      <x:c r="AE414" s="32" t="n">
        <x:v>0.54275</x:v>
      </x:c>
      <x:c r="AF414" s="32" t="n">
        <x:v>0.5505</x:v>
      </x:c>
      <x:c r="AG414" s="32" t="n">
        <x:v>0.55775</x:v>
      </x:c>
      <x:c r="AH414" s="32" t="n">
        <x:v>0.5635</x:v>
      </x:c>
      <x:c r="AI414" s="32" t="n">
        <x:v>0.56975</x:v>
      </x:c>
      <x:c r="AJ414" s="32" t="n">
        <x:v>0.575</x:v>
      </x:c>
      <x:c r="AK414" s="32" t="n">
        <x:v>0.578</x:v>
      </x:c>
      <x:c r="AL414" s="32" t="n">
        <x:v>0.58075</x:v>
      </x:c>
      <x:c r="AM414" s="32" t="n">
        <x:v>0.58475</x:v>
      </x:c>
      <x:c r="AN414" s="32" t="n">
        <x:v>0.58925</x:v>
      </x:c>
      <x:c r="AO414" s="32" t="n">
        <x:v>0.59575</x:v>
      </x:c>
      <x:c r="AP414" s="32" t="n">
        <x:v>0.6015</x:v>
      </x:c>
      <x:c r="BI414" s="33" t="s"/>
      <x:c r="BJ414" s="11" t="s">
        <x:v>711</x:v>
      </x:c>
      <x:c r="BK414" s="12" t="str">
        <x:f>=BX414</x:f>
      </x:c>
      <x:c r="BL414" s="12" t="n">
        <x:v>0.6005</x:v>
      </x:c>
      <x:c r="BM414" s="12" t="n">
        <x:v>0.001</x:v>
      </x:c>
      <x:c r="BN414" s="12" t="n">
        <x:v>0.3985</x:v>
      </x:c>
      <x:c r="BO414" s="12" t="str">
        <x:f>=BW414</x:f>
      </x:c>
      <x:c r="BP414" s="12" t="str">
        <x:f>=CF414</x:f>
      </x:c>
      <x:c r="BQ414" s="12" t="str"/>
      <x:c r="BR414" s="12" t="str">
        <x:v>SS 2021 MSS</x:v>
      </x:c>
      <x:c r="BS414" s="13" t="str"/>
      <x:c r="BT414" s="30" t="n">
        <x:v>17532.16</x:v>
      </x:c>
      <x:c r="BU414" s="30" t="n">
        <x:v>-18577.5842</x:v>
      </x:c>
      <x:c r="BV414" s="30" t="str">
        <x:f>=BT414+BU414</x:f>
      </x:c>
      <x:c r="BW414" s="66" t="str">
        <x:f>=BV414/BT414</x:f>
      </x:c>
      <x:c r="BX414" s="66" t="n">
        <x:v>0.6015</x:v>
      </x:c>
      <x:c r="BY414" s="30" t="n">
        <x:v>18435.86</x:v>
      </x:c>
      <x:c r="BZ414" s="41" t="n">
        <x:v>1594</x:v>
      </x:c>
      <x:c r="CA414" s="30" t="n">
        <x:v>7346.690210</x:v>
      </x:c>
      <x:c r="CC414" s="30" t="n">
        <x:v>21988.016275251319999999999994</x:v>
      </x:c>
      <x:c r="CD414" s="30" t="n">
        <x:v>-18577.5842</x:v>
      </x:c>
      <x:c r="CE414" s="30" t="str">
        <x:f>=CC414+CD414</x:f>
      </x:c>
      <x:c r="CF414" s="66" t="str">
        <x:f>=CE414/CC414</x:f>
      </x:c>
      <x:c r="CH414" s="66" t="str">
        <x:f>=CI414+CJ414</x:f>
      </x:c>
      <x:c r="CI414" s="66" t="str">
        <x:f>=BX414+(0.0055833333333333333333333333*7)</x:f>
      </x:c>
      <x:c r="CJ414" s="66" t="str">
        <x:f>=(1-CI414)*0.5</x:f>
      </x:c>
      <x:c r="CK414" s="66" t="str">
        <x:f>=1-CH414</x:f>
      </x:c>
      <x:c r="CM414" s="66" t="str">
        <x:f>=CJ414/(1-CI414)</x:f>
      </x:c>
    </x:row>
    <x:row r="415">
      <x:c r="BI415" s="33" t="s"/>
      <x:c r="BJ415" s="11" t="s"/>
      <x:c r="BS415" s="13" t="s"/>
    </x:row>
    <x:row r="416">
      <x:c r="A416" s="35" t="s">
        <x:v>113</x:v>
      </x:c>
      <x:c r="BI416" s="33" t="s"/>
      <x:c r="BJ416" s="11" t="s"/>
      <x:c r="BS416" s="13" t="s"/>
    </x:row>
    <x:row r="417">
      <x:c r="A417" s="17" t="s">
        <x:v>114</x:v>
      </x:c>
      <x:c r="BI417" s="33" t="s"/>
      <x:c r="BJ417" s="11" t="s"/>
      <x:c r="BS417" s="13" t="s"/>
    </x:row>
    <x:row r="418">
      <x:c r="A418" s="31" t="s">
        <x:v>746</x:v>
      </x:c>
      <x:c r="B418" t="s"/>
      <x:c r="C418" t="s">
        <x:v>747</x:v>
      </x:c>
      <x:c r="D418" t="s">
        <x:v>118</x:v>
      </x:c>
      <x:c r="E418" s="68" t="s">
        <x:v>119</x:v>
      </x:c>
      <x:c r="F418" t="n">
        <x:v>975</x:v>
      </x:c>
      <x:c r="G418" s="32" t="n">
        <x:v>0.0030769230769230769230769231</x:v>
      </x:c>
      <x:c r="H418" s="32" t="n">
        <x:v>0.0061538461538461538461538462</x:v>
      </x:c>
      <x:c r="I418" s="32" t="n">
        <x:v>0.0082051282051282051282051282</x:v>
      </x:c>
      <x:c r="J418" s="32" t="n">
        <x:v>0.0082051282051282051282051282</x:v>
      </x:c>
      <x:c r="K418" s="32" t="n">
        <x:v>0.0082051282051282051282051282</x:v>
      </x:c>
      <x:c r="L418" s="32" t="n">
        <x:v>0.0102564102564102564102564103</x:v>
      </x:c>
      <x:c r="M418" s="32" t="n">
        <x:v>0.0102564102564102564102564103</x:v>
      </x:c>
      <x:c r="N418" s="32" t="n">
        <x:v>0.0102564102564102564102564103</x:v>
      </x:c>
      <x:c r="O418" s="32" t="n">
        <x:v>0.0123076923076923076923076923</x:v>
      </x:c>
      <x:c r="P418" s="32" t="n">
        <x:v>0.0174358974358974358974358974</x:v>
      </x:c>
      <x:c r="Q418" s="32" t="n">
        <x:v>0.0205128205128205128205128205</x:v>
      </x:c>
      <x:c r="R418" s="32" t="n">
        <x:v>0.0276923076923076923076923077</x:v>
      </x:c>
      <x:c r="S418" s="32" t="n">
        <x:v>0.0297435897435897435897435897</x:v>
      </x:c>
      <x:c r="T418" s="32" t="n">
        <x:v>0.0369230769230769230769230769</x:v>
      </x:c>
      <x:c r="U418" s="32" t="n">
        <x:v>0.0502564102564102564102564103</x:v>
      </x:c>
      <x:c r="V418" s="32" t="n">
        <x:v>0.0584615384615384615384615385</x:v>
      </x:c>
      <x:c r="W418" s="32" t="n">
        <x:v>0.0594871794871794871794871795</x:v>
      </x:c>
      <x:c r="X418" s="32" t="n">
        <x:v>0.0687179487179487179487179487</x:v>
      </x:c>
      <x:c r="Y418" s="32" t="n">
        <x:v>0.0697435897435897435897435897</x:v>
      </x:c>
      <x:c r="Z418" s="32" t="n">
        <x:v>0.0851282051282051282051282051</x:v>
      </x:c>
      <x:c r="AA418" s="32" t="n">
        <x:v>0.0923076923076923076923076923</x:v>
      </x:c>
      <x:c r="AB418" s="32" t="n">
        <x:v>0.0974358974358974358974358974</x:v>
      </x:c>
      <x:c r="AC418" s="32" t="n">
        <x:v>0.1025641025641025641025641026</x:v>
      </x:c>
      <x:c r="AD418" s="32" t="n">
        <x:v>0.1005128205128205128205128205</x:v>
      </x:c>
      <x:c r="AE418" s="32" t="n">
        <x:v>0.0994871794871794871794871795</x:v>
      </x:c>
      <x:c r="AF418" s="32" t="n">
        <x:v>0.0994871794871794871794871795</x:v>
      </x:c>
      <x:c r="AG418" s="32" t="n">
        <x:v>0.0984615384615384615384615385</x:v>
      </x:c>
      <x:c r="AH418" s="32" t="n">
        <x:v>0.0984615384615384615384615385</x:v>
      </x:c>
      <x:c r="AI418" s="32" t="n">
        <x:v>0.0984615384615384615384615385</x:v>
      </x:c>
      <x:c r="AJ418" s="32" t="n">
        <x:v>0.0994871794871794871794871795</x:v>
      </x:c>
      <x:c r="AK418" s="32" t="n">
        <x:v>0.0994871794871794871794871795</x:v>
      </x:c>
      <x:c r="AL418" s="32" t="n">
        <x:v>0.0994871794871794871794871795</x:v>
      </x:c>
      <x:c r="AM418" s="32" t="n">
        <x:v>0.0984615384615384615384615385</x:v>
      </x:c>
      <x:c r="AN418" s="32" t="n">
        <x:v>0.1005128205128205128205128205</x:v>
      </x:c>
      <x:c r="AO418" s="32" t="n">
        <x:v>0.1035897435897435897435897436</x:v>
      </x:c>
      <x:c r="AP418" s="32" t="n">
        <x:v>0.1046153846153846153846153846</x:v>
      </x:c>
      <x:c r="AQ418" s="32" t="n">
        <x:v>0.1076923076923076923076923077</x:v>
      </x:c>
      <x:c r="AR418" s="32" t="n">
        <x:v>0.1076923076923076923076923077</x:v>
      </x:c>
      <x:c r="AS418" s="32" t="n">
        <x:v>0.1138461538461538461538461538</x:v>
      </x:c>
      <x:c r="AT418" s="32" t="n">
        <x:v>0.1251282051282051282051282051</x:v>
      </x:c>
      <x:c r="AU418" s="32" t="n">
        <x:v>0.1517948717948717948717948718</x:v>
      </x:c>
      <x:c r="AV418" s="32" t="n">
        <x:v>0.1620512820512820512820512821</x:v>
      </x:c>
      <x:c r="AW418" s="32" t="n">
        <x:v>0.1620512820512820512820512821</x:v>
      </x:c>
      <x:c r="AX418" s="32" t="n">
        <x:v>0.1620512820512820512820512821</x:v>
      </x:c>
      <x:c r="AY418" s="32" t="n">
        <x:v>0.1620512820512820512820512821</x:v>
      </x:c>
      <x:c r="AZ418" s="32" t="n">
        <x:v>0.1620512820512820512820512821</x:v>
      </x:c>
      <x:c r="BA418" s="32" t="n">
        <x:v>0.1620512820512820512820512821</x:v>
      </x:c>
      <x:c r="BI418" s="33" t="s"/>
      <x:c r="BJ418" s="11" t="s">
        <x:v>696</x:v>
      </x:c>
      <x:c r="BK418" s="12" t="str">
        <x:f>=BX418</x:f>
      </x:c>
      <x:c r="BL418" s="12" t="n">
        <x:v>0.161025641025641025641025641</x:v>
      </x:c>
      <x:c r="BM418" s="12" t="n">
        <x:v>0.001025641025641025641025641</x:v>
      </x:c>
      <x:c r="BN418" s="12" t="n">
        <x:v>0.8379487179487179487179487179</x:v>
      </x:c>
      <x:c r="BO418" s="12" t="str">
        <x:f>=BW418</x:f>
      </x:c>
      <x:c r="BP418" s="12" t="str">
        <x:f>=CF418</x:f>
      </x:c>
      <x:c r="BQ418" s="12" t="str"/>
      <x:c r="BR418" s="12" t="str">
        <x:v>SS 2021 MSS</x:v>
      </x:c>
      <x:c r="BS418" s="13" t="str"/>
      <x:c r="BT418" s="30" t="n">
        <x:v>1649.45</x:v>
      </x:c>
      <x:c r="BU418" s="30" t="n">
        <x:v>-6433.2450</x:v>
      </x:c>
      <x:c r="BV418" s="30" t="str">
        <x:f>=BT418+BU418</x:f>
      </x:c>
      <x:c r="BW418" s="66" t="str">
        <x:f>=BV418/BT418</x:f>
      </x:c>
      <x:c r="BX418" s="66" t="n">
        <x:v>0.1620512820512820512820512821</x:v>
      </x:c>
      <x:c r="BY418" s="30" t="n">
        <x:v>6366.75</x:v>
      </x:c>
      <x:c r="BZ418" s="41" t="n">
        <x:v>817</x:v>
      </x:c>
      <x:c r="CA418" s="30" t="n">
        <x:v>5335.01</x:v>
      </x:c>
      <x:c r="CC418" s="30" t="n">
        <x:v>4301.6136776410256410256410258</x:v>
      </x:c>
      <x:c r="CD418" s="30" t="n">
        <x:v>-6433.2450</x:v>
      </x:c>
      <x:c r="CE418" s="30" t="str">
        <x:f>=CC418+CD418</x:f>
      </x:c>
      <x:c r="CF418" s="66" t="str">
        <x:f>=CE418/CC418</x:f>
      </x:c>
      <x:c r="CH418" s="66" t="str">
        <x:f>=CI418+CJ418</x:f>
      </x:c>
      <x:c r="CI418" s="66" t="str">
        <x:f>=BX418+(0*7)</x:f>
      </x:c>
      <x:c r="CJ418" s="66" t="str">
        <x:f>=(1-CI418)*0.5</x:f>
      </x:c>
      <x:c r="CK418" s="66" t="str">
        <x:f>=1-CH418</x:f>
      </x:c>
      <x:c r="CM418" s="66" t="str">
        <x:f>=CJ418/(1-CI418)</x:f>
      </x:c>
    </x:row>
    <x:row r="419">
      <x:c r="A419" s="34" t="s"/>
      <x:c r="B419" s="6" t="s"/>
      <x:c r="C419" s="6" t="s"/>
      <x:c r="D419" s="6" t="s"/>
      <x:c r="E419" s="6" t="s"/>
      <x:c r="F419" s="6" t="s"/>
      <x:c r="G419" s="6" t="s"/>
      <x:c r="H419" s="6" t="s"/>
      <x:c r="I419" s="6" t="s"/>
      <x:c r="J419" s="6" t="s"/>
      <x:c r="K419" s="6" t="s"/>
      <x:c r="L419" s="6" t="s"/>
      <x:c r="M419" s="6" t="s"/>
      <x:c r="N419" s="6" t="s"/>
      <x:c r="O419" s="6" t="s"/>
      <x:c r="P419" s="6" t="s"/>
      <x:c r="Q419" s="6" t="s"/>
      <x:c r="R419" s="6" t="s"/>
      <x:c r="S419" s="6" t="s"/>
      <x:c r="T419" s="6" t="s"/>
      <x:c r="U419" s="6" t="s"/>
      <x:c r="V419" s="6" t="s"/>
      <x:c r="W419" s="6" t="s"/>
      <x:c r="X419" s="6" t="s"/>
      <x:c r="Y419" s="6" t="s"/>
      <x:c r="Z419" s="6" t="s"/>
      <x:c r="AA419" s="6" t="s"/>
      <x:c r="AB419" s="6" t="s"/>
      <x:c r="AC419" s="6" t="s"/>
      <x:c r="AD419" s="6" t="s"/>
      <x:c r="AE419" s="6" t="s"/>
      <x:c r="AF419" s="6" t="s"/>
      <x:c r="AG419" s="6" t="s"/>
      <x:c r="AH419" s="6" t="s"/>
      <x:c r="AI419" s="6" t="s"/>
      <x:c r="AJ419" s="6" t="s"/>
      <x:c r="AK419" s="6" t="s"/>
      <x:c r="AL419" s="6" t="s"/>
      <x:c r="AM419" s="6" t="s"/>
      <x:c r="AN419" s="6" t="s"/>
      <x:c r="AO419" s="6" t="s"/>
      <x:c r="AP419" s="6" t="s"/>
      <x:c r="AQ419" s="6" t="s"/>
      <x:c r="AR419" s="6" t="s"/>
      <x:c r="AS419" s="6" t="s"/>
      <x:c r="AT419" s="6" t="s"/>
      <x:c r="AU419" s="6" t="s"/>
      <x:c r="AV419" s="6" t="s"/>
      <x:c r="AW419" s="6" t="s"/>
      <x:c r="AX419" s="6" t="s"/>
      <x:c r="AY419" s="6" t="s"/>
      <x:c r="AZ419" s="6" t="s"/>
      <x:c r="BA419" s="6" t="s"/>
      <x:c r="BB419" s="6" t="s"/>
      <x:c r="BC419" s="6" t="s"/>
      <x:c r="BD419" s="6" t="s"/>
      <x:c r="BE419" s="6" t="s"/>
      <x:c r="BF419" s="6" t="s"/>
      <x:c r="BG419" s="6" t="s"/>
      <x:c r="BH419" s="6" t="s"/>
      <x:c r="BI419" s="8" t="s"/>
      <x:c r="BJ419" s="14" t="s">
        <x:v>36</x:v>
      </x:c>
      <x:c r="BK419" s="15" t="s"/>
      <x:c r="BL419" s="15" t="s"/>
      <x:c r="BM419" s="15" t="s"/>
      <x:c r="BN419" s="15" t="s"/>
      <x:c r="BO419" s="37">
        <x:f>=BV420/BT420</x:f>
      </x:c>
      <x:c r="BP419" s="37">
        <x:f>=CF420</x:f>
      </x:c>
      <x:c r="BQ419" s="6" t="s"/>
      <x:c r="BR419" s="6" t="s"/>
      <x:c r="BS419" s="8" t="s"/>
      <x:c r="BT419" s="20" t="n">
        <x:v>75051.22</x:v>
      </x:c>
      <x:c r="BU419" s="20" t="n">
        <x:v>-88200.03420</x:v>
      </x:c>
      <x:c r="BV419" s="20" t="str">
        <x:f>=BT419+BU419</x:f>
      </x:c>
      <x:c r="BW419" s="21" t="n">
        <x:v>-0.1751978741984474069841902637</x:v>
      </x:c>
      <x:c r="BY419" s="20" t="n">
        <x:v>-83756.19</x:v>
      </x:c>
      <x:c r="BZ419" s="20" t="n">
        <x:v>6625</x:v>
      </x:c>
      <x:c r="CA419" s="20" t="n">
        <x:v>37403.758594539939332659251769</x:v>
      </x:c>
      <x:c r="CC419" s="20" t="n">
        <x:v>95620.07843940146526972835105</x:v>
      </x:c>
      <x:c r="CD419" s="20" t="n">
        <x:v>-88200.03420</x:v>
      </x:c>
      <x:c r="CE419" s="20" t="str">
        <x:f>=CC419+CD419</x:f>
      </x:c>
      <x:c r="CF419" s="21" t="n">
        <x:v>0.0775992276988547417316715322</x:v>
      </x:c>
    </x:row>
    <x:row r="420">
      <x:c r="BT420" s="18" t="n">
        <x:v>75051.22</x:v>
      </x:c>
      <x:c r="BU420" s="18" t="n">
        <x:v>-88200.03420</x:v>
      </x:c>
      <x:c r="BV420" s="18" t="str">
        <x:f>=BT420+BU420</x:f>
      </x:c>
      <x:c r="BW420" s="19" t="n">
        <x:v>-0.1751978741984474069841902637</x:v>
      </x:c>
      <x:c r="BY420" s="18" t="n">
        <x:v>-83756.19</x:v>
      </x:c>
      <x:c r="BZ420" s="18" t="n">
        <x:v>6625</x:v>
      </x:c>
      <x:c r="CA420" s="18" t="n">
        <x:v>37403.758594539939332659251769</x:v>
      </x:c>
      <x:c r="CC420" s="18" t="n">
        <x:v>95620.07843940146526972835105</x:v>
      </x:c>
      <x:c r="CD420" s="18" t="n">
        <x:v>-88200.03420</x:v>
      </x:c>
      <x:c r="CE420" s="18" t="str">
        <x:f>=CC420+CD420</x:f>
      </x:c>
      <x:c r="CF420" s="19" t="n">
        <x:v>0.0775992276988547417316715322</x:v>
      </x:c>
    </x:row>
    <x:row r="421">
      <x:c r="A421" s="10" t="s">
        <x:v>748</x:v>
      </x:c>
      <x:c r="B421" s="5" t="s"/>
      <x:c r="C421" s="5" t="s"/>
      <x:c r="D421" s="5" t="s"/>
      <x:c r="E421" s="5" t="s"/>
      <x:c r="F421" s="5" t="s"/>
      <x:c r="G421" s="5" t="s"/>
      <x:c r="H421" s="5" t="s"/>
      <x:c r="I421" s="5" t="s"/>
      <x:c r="J421" s="5" t="s"/>
      <x:c r="K421" s="5" t="s"/>
      <x:c r="L421" s="5" t="s"/>
      <x:c r="M421" s="5" t="s"/>
      <x:c r="N421" s="5" t="s"/>
      <x:c r="O421" s="5" t="s"/>
      <x:c r="P421" s="5" t="s"/>
      <x:c r="Q421" s="5" t="s"/>
      <x:c r="R421" s="5" t="s"/>
      <x:c r="S421" s="5" t="s"/>
      <x:c r="T421" s="5" t="s"/>
      <x:c r="U421" s="5" t="s"/>
      <x:c r="V421" s="5" t="s"/>
      <x:c r="W421" s="5" t="s"/>
      <x:c r="X421" s="5" t="s"/>
      <x:c r="Y421" s="5" t="s"/>
      <x:c r="Z421" s="5" t="s"/>
      <x:c r="AA421" s="5" t="s"/>
      <x:c r="AB421" s="5" t="s"/>
      <x:c r="AC421" s="5" t="s"/>
      <x:c r="AD421" s="5" t="s"/>
      <x:c r="AE421" s="5" t="s"/>
      <x:c r="AF421" s="5" t="s"/>
      <x:c r="AG421" s="5" t="s"/>
      <x:c r="AH421" s="5" t="s"/>
      <x:c r="AI421" s="5" t="s"/>
      <x:c r="AJ421" s="5" t="s"/>
      <x:c r="AK421" s="5" t="s"/>
      <x:c r="AL421" s="5" t="s"/>
      <x:c r="AM421" s="5" t="s"/>
      <x:c r="AN421" s="5" t="s"/>
      <x:c r="AO421" s="5" t="s"/>
      <x:c r="AP421" s="5" t="s"/>
      <x:c r="AQ421" s="5" t="s"/>
      <x:c r="AR421" s="5" t="s"/>
      <x:c r="AS421" s="5" t="s"/>
      <x:c r="AT421" s="5" t="s"/>
      <x:c r="AU421" s="5" t="s"/>
      <x:c r="AV421" s="5" t="s"/>
      <x:c r="AW421" s="5" t="s"/>
      <x:c r="AX421" s="5" t="s"/>
      <x:c r="AY421" s="5" t="s"/>
      <x:c r="AZ421" s="5" t="s"/>
      <x:c r="BA421" s="5" t="s"/>
      <x:c r="BB421" s="5" t="s"/>
      <x:c r="BC421" s="5" t="s"/>
      <x:c r="BD421" s="5" t="s"/>
      <x:c r="BE421" s="5" t="s"/>
      <x:c r="BF421" s="5" t="s"/>
      <x:c r="BG421" s="5" t="s"/>
      <x:c r="BH421" s="5" t="s"/>
      <x:c r="BI421" s="7" t="s"/>
      <x:c r="BJ421" s="10" t="s"/>
      <x:c r="BK421" s="5" t="s"/>
      <x:c r="BL421" s="5" t="s"/>
      <x:c r="BM421" s="5" t="s"/>
      <x:c r="BN421" s="5" t="s"/>
      <x:c r="BO421" s="5" t="s"/>
      <x:c r="BP421" s="5" t="s"/>
      <x:c r="BQ421" s="5" t="s"/>
      <x:c r="BR421" s="5" t="s"/>
      <x:c r="BS421" s="7" t="s"/>
      <x:c r="BT421" s="47" t="s">
        <x:v>11</x:v>
      </x:c>
      <x:c r="BU421" s="48"/>
      <x:c r="BV421" s="49"/>
      <x:c r="BW421" s="50"/>
      <x:c r="BX421" s="50"/>
      <x:c r="BY421" s="51"/>
      <x:c r="BZ421" s="52"/>
      <x:c r="CA421" s="51"/>
      <x:c r="CC421" s="57" t="s">
        <x:v>26</x:v>
      </x:c>
      <x:c r="CD421" s="58"/>
      <x:c r="CE421" s="58"/>
      <x:c r="CF421" s="58"/>
      <x:c r="CG421" s="58"/>
      <x:c r="CH421" s="59"/>
      <x:c r="CI421" s="59"/>
      <x:c r="CJ421" s="59"/>
      <x:c r="CK421" s="59"/>
      <x:c r="CL421" s="58"/>
      <x:c r="CM421" s="60"/>
    </x:row>
    <x:row r="422" ht="45.75" customHeight="1">
      <x:c r="A422" s="40" t="s">
        <x:v>43</x:v>
      </x:c>
      <x:c r="B422" s="40" t="s">
        <x:v>44</x:v>
      </x:c>
      <x:c r="C422" s="40" t="s">
        <x:v>45</x:v>
      </x:c>
      <x:c r="D422" s="40" t="s">
        <x:v>46</x:v>
      </x:c>
      <x:c r="E422" s="40" t="s">
        <x:v>47</x:v>
      </x:c>
      <x:c r="F422" s="40" t="s">
        <x:v>102</x:v>
      </x:c>
      <x:c r="G422" s="40" t="s">
        <x:v>48</x:v>
      </x:c>
      <x:c r="H422" s="40" t="s">
        <x:v>49</x:v>
      </x:c>
      <x:c r="I422" s="40" t="s">
        <x:v>50</x:v>
      </x:c>
      <x:c r="J422" s="40" t="s">
        <x:v>51</x:v>
      </x:c>
      <x:c r="K422" s="40" t="s">
        <x:v>52</x:v>
      </x:c>
      <x:c r="L422" s="40" t="s">
        <x:v>53</x:v>
      </x:c>
      <x:c r="M422" s="40" t="s">
        <x:v>54</x:v>
      </x:c>
      <x:c r="N422" s="40" t="s">
        <x:v>55</x:v>
      </x:c>
      <x:c r="O422" s="40" t="s">
        <x:v>56</x:v>
      </x:c>
      <x:c r="P422" s="40" t="s">
        <x:v>57</x:v>
      </x:c>
      <x:c r="Q422" s="40" t="s">
        <x:v>58</x:v>
      </x:c>
      <x:c r="R422" s="40" t="s">
        <x:v>59</x:v>
      </x:c>
      <x:c r="S422" s="40" t="s">
        <x:v>60</x:v>
      </x:c>
      <x:c r="T422" s="40" t="s">
        <x:v>61</x:v>
      </x:c>
      <x:c r="U422" s="40" t="s">
        <x:v>62</x:v>
      </x:c>
      <x:c r="V422" s="40" t="s">
        <x:v>63</x:v>
      </x:c>
      <x:c r="W422" s="40" t="s">
        <x:v>64</x:v>
      </x:c>
      <x:c r="X422" s="40" t="s">
        <x:v>65</x:v>
      </x:c>
      <x:c r="Y422" s="40" t="s">
        <x:v>66</x:v>
      </x:c>
      <x:c r="Z422" s="40" t="s">
        <x:v>67</x:v>
      </x:c>
      <x:c r="AA422" s="40" t="s">
        <x:v>68</x:v>
      </x:c>
      <x:c r="AB422" s="40" t="s">
        <x:v>69</x:v>
      </x:c>
      <x:c r="AC422" s="40" t="s">
        <x:v>70</x:v>
      </x:c>
      <x:c r="AD422" s="40" t="s">
        <x:v>71</x:v>
      </x:c>
      <x:c r="AE422" s="40" t="s">
        <x:v>72</x:v>
      </x:c>
      <x:c r="AF422" s="40" t="s">
        <x:v>73</x:v>
      </x:c>
      <x:c r="AG422" s="40" t="s">
        <x:v>74</x:v>
      </x:c>
      <x:c r="AH422" s="40" t="s">
        <x:v>75</x:v>
      </x:c>
      <x:c r="AI422" s="40" t="s">
        <x:v>76</x:v>
      </x:c>
      <x:c r="AJ422" s="40" t="s">
        <x:v>77</x:v>
      </x:c>
      <x:c r="AK422" s="40" t="s">
        <x:v>78</x:v>
      </x:c>
      <x:c r="AL422" s="40" t="s">
        <x:v>79</x:v>
      </x:c>
      <x:c r="AM422" s="40" t="s">
        <x:v>80</x:v>
      </x:c>
      <x:c r="AN422" s="40" t="s">
        <x:v>81</x:v>
      </x:c>
      <x:c r="AO422" s="40" t="s">
        <x:v>82</x:v>
      </x:c>
      <x:c r="AP422" s="40" t="s">
        <x:v>83</x:v>
      </x:c>
      <x:c r="AQ422" s="40" t="s">
        <x:v>84</x:v>
      </x:c>
      <x:c r="AR422" s="40" t="s">
        <x:v>85</x:v>
      </x:c>
      <x:c r="AS422" s="40" t="s">
        <x:v>86</x:v>
      </x:c>
      <x:c r="AT422" s="40" t="s">
        <x:v>87</x:v>
      </x:c>
      <x:c r="AU422" s="40" t="s">
        <x:v>88</x:v>
      </x:c>
      <x:c r="AV422" s="40" t="s">
        <x:v>89</x:v>
      </x:c>
      <x:c r="AW422" s="40" t="s">
        <x:v>90</x:v>
      </x:c>
      <x:c r="AX422" s="40" t="s">
        <x:v>91</x:v>
      </x:c>
      <x:c r="AY422" s="40" t="s">
        <x:v>92</x:v>
      </x:c>
      <x:c r="AZ422" s="40" t="s">
        <x:v>93</x:v>
      </x:c>
      <x:c r="BA422" s="40" t="s">
        <x:v>94</x:v>
      </x:c>
      <x:c r="BB422" s="40" t="s">
        <x:v>95</x:v>
      </x:c>
      <x:c r="BC422" s="40" t="s">
        <x:v>96</x:v>
      </x:c>
      <x:c r="BD422" s="40" t="s">
        <x:v>97</x:v>
      </x:c>
      <x:c r="BE422" s="40" t="s">
        <x:v>98</x:v>
      </x:c>
      <x:c r="BF422" s="40" t="s">
        <x:v>99</x:v>
      </x:c>
      <x:c r="BG422" s="40" t="s">
        <x:v>100</x:v>
      </x:c>
      <x:c r="BH422" s="40" t="s">
        <x:v>101</x:v>
      </x:c>
      <x:c r="BJ422" s="31" t="s">
        <x:v>103</x:v>
      </x:c>
      <x:c r="BK422" s="32" t="s">
        <x:v>104</x:v>
      </x:c>
      <x:c r="BL422" s="32" t="s">
        <x:v>105</x:v>
      </x:c>
      <x:c r="BM422" s="32" t="s">
        <x:v>106</x:v>
      </x:c>
      <x:c r="BN422" s="32" t="s">
        <x:v>107</x:v>
      </x:c>
      <x:c r="BO422" s="32" t="s">
        <x:v>108</x:v>
      </x:c>
      <x:c r="BP422" s="32" t="s">
        <x:v>109</x:v>
      </x:c>
      <x:c r="BQ422" s="32" t="s">
        <x:v>110</x:v>
      </x:c>
      <x:c r="BR422" s="32" t="s">
        <x:v>111</x:v>
      </x:c>
      <x:c r="BS422" s="33" t="s">
        <x:v>112</x:v>
      </x:c>
      <x:c r="BT422" s="53" t="s">
        <x:v>12</x:v>
      </x:c>
      <x:c r="BU422" s="54" t="s">
        <x:v>13</x:v>
      </x:c>
      <x:c r="BV422" s="54" t="s">
        <x:v>14</x:v>
      </x:c>
      <x:c r="BW422" s="55" t="s">
        <x:v>15</x:v>
      </x:c>
      <x:c r="BX422" s="55" t="s">
        <x:v>27</x:v>
      </x:c>
      <x:c r="BY422" s="56" t="s">
        <x:v>16</x:v>
      </x:c>
      <x:c r="BZ422" s="53" t="s">
        <x:v>17</x:v>
      </x:c>
      <x:c r="CA422" s="56" t="s">
        <x:v>18</x:v>
      </x:c>
      <x:c r="CC422" s="61" t="s">
        <x:v>19</x:v>
      </x:c>
      <x:c r="CD422" s="62" t="s">
        <x:v>20</x:v>
      </x:c>
      <x:c r="CE422" s="62" t="s">
        <x:v>21</x:v>
      </x:c>
      <x:c r="CF422" s="62" t="s">
        <x:v>15</x:v>
      </x:c>
      <x:c r="CG422" s="62"/>
      <x:c r="CH422" s="63" t="s">
        <x:v>22</x:v>
      </x:c>
      <x:c r="CI422" s="63" t="s">
        <x:v>23</x:v>
      </x:c>
      <x:c r="CJ422" s="63" t="s">
        <x:v>25</x:v>
      </x:c>
      <x:c r="CK422" s="63" t="s">
        <x:v>24</x:v>
      </x:c>
      <x:c r="CL422" s="62"/>
      <x:c r="CM422" s="64" t="s">
        <x:v>28</x:v>
      </x:c>
    </x:row>
    <x:row r="423">
      <x:c r="BJ423" s="31" t="s"/>
      <x:c r="BS423" s="33" t="s"/>
    </x:row>
    <x:row r="424">
      <x:c r="A424" s="35" t="s">
        <x:v>150</x:v>
      </x:c>
      <x:c r="BI424" s="33" t="s"/>
      <x:c r="BJ424" s="11" t="s"/>
      <x:c r="BS424" s="13" t="s"/>
    </x:row>
    <x:row r="425">
      <x:c r="A425" s="17" t="s">
        <x:v>43</x:v>
      </x:c>
      <x:c r="BI425" s="33" t="s"/>
      <x:c r="BJ425" s="11" t="s"/>
      <x:c r="BS425" s="13" t="s"/>
    </x:row>
    <x:row r="426">
      <x:c r="A426" s="31" t="s">
        <x:v>749</x:v>
      </x:c>
      <x:c r="B426" t="s">
        <x:v>116</x:v>
      </x:c>
      <x:c r="C426" t="s">
        <x:v>750</x:v>
      </x:c>
      <x:c r="D426" t="s">
        <x:v>274</x:v>
      </x:c>
      <x:c r="E426" s="69" t="s">
        <x:v>153</x:v>
      </x:c>
      <x:c r="F426" t="n">
        <x:v>966</x:v>
      </x:c>
      <x:c r="G426" s="32" t="n">
        <x:v>0.0010351966873706004140786749</x:v>
      </x:c>
      <x:c r="H426" s="32" t="n">
        <x:v>0.0010351966873706004140786749</x:v>
      </x:c>
      <x:c r="I426" s="32" t="n">
        <x:v>0.0527950310559006211180124224</x:v>
      </x:c>
      <x:c r="J426" s="32" t="n">
        <x:v>0.1956521739130434782608695652</x:v>
      </x:c>
      <x:c r="K426" s="32" t="n">
        <x:v>0.3457556935817805383022774327</x:v>
      </x:c>
      <x:c r="L426" s="32" t="n">
        <x:v>0.4979296066252587991718426501</x:v>
      </x:c>
      <x:c r="M426" s="23" t="n">
        <x:v>0.7039337474120082815734989648</x:v>
      </x:c>
      <x:c r="N426" s="32" t="n">
        <x:v>0.7505175983436853002070393375</x:v>
      </x:c>
      <x:c r="O426" s="32" t="n">
        <x:v>0.7898550724637681159420289855</x:v>
      </x:c>
      <x:c r="P426" s="32" t="n">
        <x:v>0.8312629399585921325051759834</x:v>
      </x:c>
      <x:c r="Q426" s="32" t="n">
        <x:v>0.8571428571428571428571428571</x:v>
      </x:c>
      <x:c r="R426" s="32" t="n">
        <x:v>0.8819875776397515527950310559</x:v>
      </x:c>
      <x:c r="S426" s="32" t="n">
        <x:v>0.8985507246376811594202898551</x:v>
      </x:c>
      <x:c r="T426" s="32" t="n">
        <x:v>0.9171842650103519668737060041</x:v>
      </x:c>
      <x:c r="U426" s="32" t="n">
        <x:v>0.940993788819875776397515528</x:v>
      </x:c>
      <x:c r="BI426" s="33" t="s"/>
      <x:c r="BJ426" s="11" t="s">
        <x:v>283</x:v>
      </x:c>
      <x:c r="BK426" s="12" t="str">
        <x:f>=BX426</x:f>
      </x:c>
      <x:c r="BL426" s="12" t="n">
        <x:v>0.940993788819875776397515528</x:v>
      </x:c>
      <x:c r="BM426" s="12" t="n">
        <x:v>0</x:v>
      </x:c>
      <x:c r="BN426" s="12" t="n">
        <x:v>0.059006211180124223602484472</x:v>
      </x:c>
      <x:c r="BO426" s="12" t="str">
        <x:f>=BW426</x:f>
      </x:c>
      <x:c r="BP426" s="12" t="str">
        <x:f>=CF426</x:f>
      </x:c>
      <x:c r="BQ426" s="12" t="str"/>
      <x:c r="BR426" s="12" t="str">
        <x:v>SS 2020 EOS</x:v>
      </x:c>
      <x:c r="BS426" s="13" t="str"/>
      <x:c r="BT426" s="30" t="n">
        <x:v>22093.18</x:v>
      </x:c>
      <x:c r="BU426" s="30" t="n">
        <x:v>-15123.49040</x:v>
      </x:c>
      <x:c r="BV426" s="30" t="str">
        <x:f>=BT426+BU426</x:f>
      </x:c>
      <x:c r="BW426" s="66" t="str">
        <x:f>=BV426/BT426</x:f>
      </x:c>
      <x:c r="BX426" s="66" t="n">
        <x:v>0.940993788819875776397515528</x:v>
      </x:c>
      <x:c r="BY426" s="30" t="n">
        <x:v>14020.40</x:v>
      </x:c>
      <x:c r="BZ426" s="41" t="n">
        <x:v>57</x:v>
      </x:c>
      <x:c r="CA426" s="30" t="n">
        <x:v>827.2906832298136645962732919</x:v>
      </x:c>
      <x:c r="CC426" s="30" t="n">
        <x:v>23560.627429237888198757763970</x:v>
      </x:c>
      <x:c r="CD426" s="30" t="n">
        <x:v>-15123.49040</x:v>
      </x:c>
      <x:c r="CE426" s="30" t="str">
        <x:f>=CC426+CD426</x:f>
      </x:c>
      <x:c r="CF426" s="66" t="str">
        <x:f>=CE426/CC426</x:f>
      </x:c>
      <x:c r="CH426" s="66" t="str">
        <x:f>=CI426+CJ426</x:f>
      </x:c>
      <x:c r="CI426" s="66" t="str">
        <x:f>=BX426+(0.0084294587400177462289263531*7)</x:f>
      </x:c>
      <x:c r="CJ426" s="66" t="str">
        <x:f>=(1-CI426)*0.5</x:f>
      </x:c>
      <x:c r="CK426" s="66" t="str">
        <x:f>=1-CH426</x:f>
      </x:c>
      <x:c r="CM426" s="66" t="str">
        <x:f>=CJ426/(1-CI426)</x:f>
      </x:c>
    </x:row>
    <x:row r="427">
      <x:c r="A427" s="31" t="s">
        <x:v>751</x:v>
      </x:c>
      <x:c r="B427" t="s"/>
      <x:c r="C427" t="s">
        <x:v>752</x:v>
      </x:c>
      <x:c r="D427" t="s">
        <x:v>118</x:v>
      </x:c>
      <x:c r="E427" s="69" t="s">
        <x:v>153</x:v>
      </x:c>
      <x:c r="F427" t="n">
        <x:v>8423</x:v>
      </x:c>
      <x:c r="G427" s="32" t="n">
        <x:v>0.003205508726107087735961059</x:v>
      </x:c>
      <x:c r="H427" s="32" t="n">
        <x:v>0.0383473821678736792116822985</x:v>
      </x:c>
      <x:c r="I427" s="32" t="n">
        <x:v>0.0871423483319482369702006411</x:v>
      </x:c>
      <x:c r="J427" s="32" t="n">
        <x:v>0.1390241006767185088448296331</x:v>
      </x:c>
      <x:c r="K427" s="32" t="n">
        <x:v>0.1619375519411136174759586846</x:v>
      </x:c>
      <x:c r="L427" s="32" t="n">
        <x:v>0.1695357948474415291463848985</x:v>
      </x:c>
      <x:c r="M427" s="32" t="n">
        <x:v>0.1689421821203846610471328505</x:v>
      </x:c>
      <x:c r="N427" s="32" t="n">
        <x:v>0.1706042977561438917250385848</x:v>
      </x:c>
      <x:c r="O427" s="32" t="n">
        <x:v>0.1722664133919031224029443191</x:v>
      </x:c>
      <x:c r="P427" s="32" t="n">
        <x:v>0.1734536388460168586014484151</x:v>
      </x:c>
      <x:c r="Q427" s="32" t="n">
        <x:v>0.1760655348450670782381574261</x:v>
      </x:c>
      <x:c r="R427" s="32" t="n">
        <x:v>0.180458269025287902172622581</x:v>
      </x:c>
      <x:c r="S427" s="32" t="n">
        <x:v>0.1856820610233883414460406031</x:v>
      </x:c>
      <x:c r="T427" s="32" t="n">
        <x:v>0.1920930784756025169179627211</x:v>
      </x:c>
      <x:c r="U427" s="32" t="n">
        <x:v>0.1935177490205390003561676362</x:v>
      </x:c>
      <x:c r="V427" s="32" t="n">
        <x:v>0.1963670901104119672325774665</x:v>
      </x:c>
      <x:c r="W427" s="32" t="n">
        <x:v>0.2063397839249673513000118723</x:v>
      </x:c>
      <x:c r="X427" s="32" t="n">
        <x:v>0.2249792235545530096165261783</x:v>
      </x:c>
      <x:c r="Y427" s="32" t="n">
        <x:v>0.2385135937314496022794728719</x:v>
      </x:c>
      <x:c r="Z427" s="32" t="n">
        <x:v>0.2717559064466342158375875579</x:v>
      </x:c>
      <x:c r="AA427" s="32" t="n">
        <x:v>0.3185325893387154220586489374</x:v>
      </x:c>
      <x:c r="AB427" s="32" t="n">
        <x:v>0.3575923067790573429894336935</x:v>
      </x:c>
      <x:c r="AC427" s="32" t="n">
        <x:v>0.3952273536744627804820135344</x:v>
      </x:c>
      <x:c r="AD427" s="32" t="n">
        <x:v>0.4345245162056274486524991096</x:v>
      </x:c>
      <x:c r="AE427" s="32" t="n">
        <x:v>0.4642051525584708536151015078</x:v>
      </x:c>
      <x:c r="AF427" s="32" t="n">
        <x:v>0.4883058292769796984447346551</x:v>
      </x:c>
      <x:c r="AG427" s="32" t="n">
        <x:v>0.5277217143535557402350706399</x:v>
      </x:c>
      <x:c r="AH427" s="32" t="n">
        <x:v>0.5666627092484862875460049863</x:v>
      </x:c>
      <x:c r="AI427" s="32" t="n">
        <x:v>0.6002611895999050219636709011</x:v>
      </x:c>
      <x:c r="AJ427" s="32" t="n">
        <x:v>0.6225810281372432624955479045</x:v>
      </x:c>
      <x:c r="AK427" s="32" t="n">
        <x:v>0.6371839012228422177371482845</x:v>
      </x:c>
      <x:c r="AL427" s="32" t="n">
        <x:v>0.6503621037635046895405437493</x:v>
      </x:c>
      <x:c r="AM427" s="32" t="n">
        <x:v>0.6640151964858126558233408524</x:v>
      </x:c>
      <x:c r="AN427" s="32" t="n">
        <x:v>0.6793304048438798527840436899</x:v>
      </x:c>
      <x:c r="AO427" s="32" t="n">
        <x:v>0.6980885670188768847204084056</x:v>
      </x:c>
      <x:c r="AP427" s="23" t="n">
        <x:v>0.7090110411967232577466460881</x:v>
      </x:c>
      <x:c r="AQ427" s="32" t="n">
        <x:v>0.7188650124658672681942300843</x:v>
      </x:c>
      <x:c r="AR427" s="32" t="n">
        <x:v>0.7313308797340614982785230915</x:v>
      </x:c>
      <x:c r="AS427" s="32" t="n">
        <x:v>0.7432031342751988602635640508</x:v>
      </x:c>
      <x:c r="AT427" s="32" t="n">
        <x:v>0.7522260477264632553721951799</x:v>
      </x:c>
      <x:c r="AU427" s="32" t="n">
        <x:v>0.759468122996557046183070165</x:v>
      </x:c>
      <x:c r="AV427" s="32" t="n">
        <x:v>0.7614864062685503977205271281</x:v>
      </x:c>
      <x:c r="AW427" s="32" t="n">
        <x:v>0.7663540306304167161343939214</x:v>
      </x:c>
      <x:c r="AX427" s="32" t="n">
        <x:v>0.7715778226285171554078119435</x:v>
      </x:c>
      <x:c r="AY427" s="32" t="n">
        <x:v>0.7740709960821560014246705449</x:v>
      </x:c>
      <x:c r="AZ427" s="32" t="n">
        <x:v>0.779294788080256440698088567</x:v>
      </x:c>
      <x:c r="BA427" s="32" t="n">
        <x:v>0.7847560251691796272112074083</x:v>
      </x:c>
      <x:c r="BB427" s="32" t="n">
        <x:v>0.7922355455300961652617832126</x:v>
      </x:c>
      <x:c r="BC427" s="32" t="n">
        <x:v>0.7980529502552534726344532827</x:v>
      </x:c>
      <x:c r="BD427" s="32" t="n">
        <x:v>0.805532470616170010685029087</x:v>
      </x:c>
      <x:c r="BI427" s="33" t="s"/>
      <x:c r="BJ427" s="11" t="s">
        <x:v>753</x:v>
      </x:c>
      <x:c r="BK427" s="12" t="str">
        <x:f>=BX427</x:f>
      </x:c>
      <x:c r="BL427" s="12" t="n">
        <x:v>0.805532470616170010685029087</x:v>
      </x:c>
      <x:c r="BM427" s="12" t="n">
        <x:v>0</x:v>
      </x:c>
      <x:c r="BN427" s="12" t="n">
        <x:v>0.194467529383829989314970913</x:v>
      </x:c>
      <x:c r="BO427" s="12" t="str">
        <x:f>=BW427</x:f>
      </x:c>
      <x:c r="BP427" s="12" t="str">
        <x:f>=CF427</x:f>
      </x:c>
      <x:c r="BQ427" s="12" t="str"/>
      <x:c r="BR427" s="12" t="str">
        <x:v>SS 2021 MSS</x:v>
      </x:c>
      <x:c r="BS427" s="13" t="str"/>
      <x:c r="BT427" s="30" t="n">
        <x:v>24586.38</x:v>
      </x:c>
      <x:c r="BU427" s="30" t="n">
        <x:v>-18058.9644</x:v>
      </x:c>
      <x:c r="BV427" s="30" t="str">
        <x:f>=BT427+BU427</x:f>
      </x:c>
      <x:c r="BW427" s="66" t="str">
        <x:f>=BV427/BT427</x:f>
      </x:c>
      <x:c r="BX427" s="66" t="n">
        <x:v>0.805532470616170010685029087</x:v>
      </x:c>
      <x:c r="BY427" s="30" t="n">
        <x:v>17064.01</x:v>
      </x:c>
      <x:c r="BZ427" s="41" t="n">
        <x:v>1638</x:v>
      </x:c>
      <x:c r="CA427" s="30" t="n">
        <x:v>3318.3958660809687759705568087</x:v>
      </x:c>
      <x:c r="CC427" s="30" t="n">
        <x:v>27446.319134606622541453955443</x:v>
      </x:c>
      <x:c r="CD427" s="30" t="n">
        <x:v>-18058.9644</x:v>
      </x:c>
      <x:c r="CE427" s="30" t="str">
        <x:f>=CC427+CD427</x:f>
      </x:c>
      <x:c r="CF427" s="66" t="str">
        <x:f>=CE427/CC427</x:f>
      </x:c>
      <x:c r="CH427" s="66" t="str">
        <x:f>=CI427+CJ427</x:f>
      </x:c>
      <x:c r="CI427" s="66" t="str">
        <x:f>=BX427+(0.0069254818156634611579405596*7)</x:f>
      </x:c>
      <x:c r="CJ427" s="66" t="str">
        <x:f>=(1-CI427)*0.5</x:f>
      </x:c>
      <x:c r="CK427" s="66" t="str">
        <x:f>=1-CH427</x:f>
      </x:c>
      <x:c r="CM427" s="66" t="str">
        <x:f>=CJ427/(1-CI427)</x:f>
      </x:c>
    </x:row>
    <x:row r="428">
      <x:c r="A428" s="31" t="s"/>
      <x:c r="BI428" s="33" t="s"/>
      <x:c r="BJ428" s="11" t="s"/>
      <x:c r="BS428" s="13" t="s"/>
    </x:row>
    <x:row r="429">
      <x:c r="A429" s="17" t="s">
        <x:v>754</x:v>
      </x:c>
      <x:c r="BI429" s="33" t="s"/>
      <x:c r="BJ429" s="11" t="s"/>
      <x:c r="BS429" s="13" t="s"/>
    </x:row>
    <x:row r="430">
      <x:c r="A430" s="31" t="s">
        <x:v>755</x:v>
      </x:c>
      <x:c r="B430" t="s"/>
      <x:c r="C430" t="s">
        <x:v>756</x:v>
      </x:c>
      <x:c r="D430" t="s">
        <x:v>118</x:v>
      </x:c>
      <x:c r="E430" s="69" t="s">
        <x:v>153</x:v>
      </x:c>
      <x:c r="F430" t="n">
        <x:v>3066</x:v>
      </x:c>
      <x:c r="G430" s="32" t="n">
        <x:v>0.0065231572080887149380300065</x:v>
      </x:c>
      <x:c r="H430" s="32" t="n">
        <x:v>0.0065231572080887149380300065</x:v>
      </x:c>
      <x:c r="I430" s="32" t="n">
        <x:v>0.0065231572080887149380300065</x:v>
      </x:c>
      <x:c r="J430" s="32" t="n">
        <x:v>0.0065231572080887149380300065</x:v>
      </x:c>
      <x:c r="K430" s="32" t="n">
        <x:v>0.0065231572080887149380300065</x:v>
      </x:c>
      <x:c r="L430" s="32" t="n">
        <x:v>0.0065231572080887149380300065</x:v>
      </x:c>
      <x:c r="M430" s="32" t="n">
        <x:v>0.0065231572080887149380300065</x:v>
      </x:c>
      <x:c r="N430" s="32" t="n">
        <x:v>0.0065231572080887149380300065</x:v>
      </x:c>
      <x:c r="O430" s="32" t="n">
        <x:v>0.0065231572080887149380300065</x:v>
      </x:c>
      <x:c r="P430" s="32" t="n">
        <x:v>0.0065231572080887149380300065</x:v>
      </x:c>
      <x:c r="Q430" s="32" t="n">
        <x:v>0.0065231572080887149380300065</x:v>
      </x:c>
      <x:c r="R430" s="32" t="n">
        <x:v>0.0065231572080887149380300065</x:v>
      </x:c>
      <x:c r="S430" s="32" t="n">
        <x:v>0.0065231572080887149380300065</x:v>
      </x:c>
      <x:c r="T430" s="32" t="n">
        <x:v>0.0065231572080887149380300065</x:v>
      </x:c>
      <x:c r="U430" s="32" t="n">
        <x:v>0.0065231572080887149380300065</x:v>
      </x:c>
      <x:c r="V430" s="32" t="n">
        <x:v>0.0065231572080887149380300065</x:v>
      </x:c>
      <x:c r="W430" s="32" t="n">
        <x:v>0.0065231572080887149380300065</x:v>
      </x:c>
      <x:c r="X430" s="32" t="n">
        <x:v>0.0065231572080887149380300065</x:v>
      </x:c>
      <x:c r="Y430" s="32" t="n">
        <x:v>0.0065231572080887149380300065</x:v>
      </x:c>
      <x:c r="Z430" s="32" t="n">
        <x:v>0.0065231572080887149380300065</x:v>
      </x:c>
      <x:c r="AA430" s="32" t="n">
        <x:v>0.0065231572080887149380300065</x:v>
      </x:c>
      <x:c r="AB430" s="32" t="n">
        <x:v>0.0065231572080887149380300065</x:v>
      </x:c>
      <x:c r="AC430" s="32" t="n">
        <x:v>0.0065231572080887149380300065</x:v>
      </x:c>
      <x:c r="AD430" s="32" t="n">
        <x:v>0.0065231572080887149380300065</x:v>
      </x:c>
      <x:c r="AE430" s="32" t="n">
        <x:v>0.0065231572080887149380300065</x:v>
      </x:c>
      <x:c r="AF430" s="32" t="n">
        <x:v>0.0065231572080887149380300065</x:v>
      </x:c>
      <x:c r="AG430" s="32" t="n">
        <x:v>0.0065231572080887149380300065</x:v>
      </x:c>
      <x:c r="AH430" s="32" t="n">
        <x:v>0.0065231572080887149380300065</x:v>
      </x:c>
      <x:c r="AI430" s="32" t="n">
        <x:v>0.0065231572080887149380300065</x:v>
      </x:c>
      <x:c r="AJ430" s="32" t="n">
        <x:v>0.0065231572080887149380300065</x:v>
      </x:c>
      <x:c r="AK430" s="32" t="n">
        <x:v>0.0065231572080887149380300065</x:v>
      </x:c>
      <x:c r="AL430" s="32" t="n">
        <x:v>0.0065231572080887149380300065</x:v>
      </x:c>
      <x:c r="AM430" s="32" t="n">
        <x:v>0.0065231572080887149380300065</x:v>
      </x:c>
      <x:c r="AN430" s="32" t="n">
        <x:v>0.0065231572080887149380300065</x:v>
      </x:c>
      <x:c r="AO430" s="32" t="n">
        <x:v>0.0065231572080887149380300065</x:v>
      </x:c>
      <x:c r="AP430" s="32" t="n">
        <x:v>0.0065231572080887149380300065</x:v>
      </x:c>
      <x:c r="AQ430" s="32" t="n">
        <x:v>0.0065231572080887149380300065</x:v>
      </x:c>
      <x:c r="AR430" s="32" t="n">
        <x:v>0.0065231572080887149380300065</x:v>
      </x:c>
      <x:c r="AS430" s="32" t="n">
        <x:v>0.0065231572080887149380300065</x:v>
      </x:c>
      <x:c r="AT430" s="32" t="n">
        <x:v>0.0065231572080887149380300065</x:v>
      </x:c>
      <x:c r="AU430" s="32" t="n">
        <x:v>0.0065231572080887149380300065</x:v>
      </x:c>
      <x:c r="AV430" s="32" t="n">
        <x:v>0.0065231572080887149380300065</x:v>
      </x:c>
      <x:c r="AW430" s="32" t="n">
        <x:v>0.0065231572080887149380300065</x:v>
      </x:c>
      <x:c r="AX430" s="32" t="n">
        <x:v>0.0065231572080887149380300065</x:v>
      </x:c>
      <x:c r="AY430" s="32" t="n">
        <x:v>0.0065231572080887149380300065</x:v>
      </x:c>
      <x:c r="AZ430" s="32" t="n">
        <x:v>0.0065231572080887149380300065</x:v>
      </x:c>
      <x:c r="BA430" s="32" t="n">
        <x:v>0.0065231572080887149380300065</x:v>
      </x:c>
      <x:c r="BI430" s="33" t="s"/>
      <x:c r="BJ430" s="11" t="s">
        <x:v>696</x:v>
      </x:c>
      <x:c r="BK430" s="12" t="str">
        <x:f>=BX430</x:f>
      </x:c>
      <x:c r="BL430" s="12" t="n">
        <x:v>0.0065231572080887149380300065</x:v>
      </x:c>
      <x:c r="BM430" s="12" t="n">
        <x:v>0</x:v>
      </x:c>
      <x:c r="BN430" s="12" t="n">
        <x:v>0.9934768427919112850619699935</x:v>
      </x:c>
      <x:c r="BO430" s="12" t="str">
        <x:f>=BW430</x:f>
      </x:c>
      <x:c r="BP430" s="12" t="str">
        <x:f>=CF430</x:f>
      </x:c>
      <x:c r="BQ430" s="12" t="str"/>
      <x:c r="BR430" s="12" t="str">
        <x:v>AW 2021 MSS</x:v>
      </x:c>
      <x:c r="BS430" s="13" t="str"/>
      <x:c r="BT430" s="30" t="n">
        <x:v>115.24</x:v>
      </x:c>
      <x:c r="BU430" s="30" t="n">
        <x:v>-9044.9926</x:v>
      </x:c>
      <x:c r="BV430" s="30" t="str">
        <x:f>=BT430+BU430</x:f>
      </x:c>
      <x:c r="BW430" s="66" t="str">
        <x:f>=BV430/BT430</x:f>
      </x:c>
      <x:c r="BX430" s="66" t="n">
        <x:v>0.0065231572080887149380300065</x:v>
      </x:c>
      <x:c r="BY430" s="30" t="n">
        <x:v>8640.10</x:v>
      </x:c>
      <x:c r="BZ430" s="41" t="n">
        <x:v>3046</x:v>
      </x:c>
      <x:c r="CA430" s="30" t="n">
        <x:v>8583.739269406392694063926941</x:v>
      </x:c>
      <x:c r="CC430" s="30" t="n">
        <x:v>8147.925625104206914546640575</x:v>
      </x:c>
      <x:c r="CD430" s="30" t="n">
        <x:v>-9044.9926</x:v>
      </x:c>
      <x:c r="CE430" s="30" t="str">
        <x:f>=CC430+CD430</x:f>
      </x:c>
      <x:c r="CF430" s="66" t="str">
        <x:f>=CE430/CC430</x:f>
      </x:c>
      <x:c r="CH430" s="66" t="str">
        <x:f>=CI430+CJ430</x:f>
      </x:c>
      <x:c r="CI430" s="66" t="str">
        <x:f>=BX430+(0.03*7)</x:f>
      </x:c>
      <x:c r="CJ430" s="66" t="str">
        <x:f>=(1-CI430)*0.5</x:f>
      </x:c>
      <x:c r="CK430" s="66" t="str">
        <x:f>=1-CH430</x:f>
      </x:c>
      <x:c r="CM430" s="66" t="str">
        <x:f>=CJ430/(1-CI430)</x:f>
      </x:c>
    </x:row>
    <x:row r="431">
      <x:c r="A431" s="31" t="s">
        <x:v>757</x:v>
      </x:c>
      <x:c r="B431" t="s"/>
      <x:c r="C431" t="s">
        <x:v>758</x:v>
      </x:c>
      <x:c r="D431" t="s">
        <x:v>274</x:v>
      </x:c>
      <x:c r="E431" s="69" t="s">
        <x:v>153</x:v>
      </x:c>
      <x:c r="F431" t="n">
        <x:v>1991</x:v>
      </x:c>
      <x:c r="G431" s="32" t="n">
        <x:v>0.0025113008538422903063787042</x:v>
      </x:c>
      <x:c r="H431" s="32" t="n">
        <x:v>0.0080361627322953289804118533</x:v>
      </x:c>
      <x:c r="I431" s="32" t="n">
        <x:v>0.0155700652938221998995479658</x:v>
      </x:c>
      <x:c r="J431" s="32" t="n">
        <x:v>0.0291310899045705675539929684</x:v>
      </x:c>
      <x:c r="K431" s="32" t="n">
        <x:v>0.04821697639377197388247112</x:v>
      </x:c>
      <x:c r="L431" s="32" t="n">
        <x:v>0.0753390256152687091913611251</x:v>
      </x:c>
      <x:c r="M431" s="32" t="n">
        <x:v>0.1250627825213460572576594676</x:v>
      </x:c>
      <x:c r="N431" s="32" t="n">
        <x:v>0.1647413360120542440984429935</x:v>
      </x:c>
      <x:c r="O431" s="32" t="n">
        <x:v>0.2029131089904570567553992968</x:v>
      </x:c>
      <x:c r="P431" s="32" t="n">
        <x:v>0.2451029633350075339025615269</x:v>
      </x:c>
      <x:c r="Q431" s="32" t="n">
        <x:v>0.2923154193872425916624811652</x:v>
      </x:c>
      <x:c r="R431" s="32" t="n">
        <x:v>0.3249623304871923656454043194</x:v>
      </x:c>
      <x:c r="S431" s="32" t="n">
        <x:v>0.3385233550979407332998493219</x:v>
      </x:c>
      <x:c r="T431" s="32" t="n">
        <x:v>0.3440482169763937719738824711</x:v>
      </x:c>
      <x:c r="U431" s="32" t="n">
        <x:v>0.3355097940733299849321948769</x:v>
      </x:c>
      <x:c r="V431" s="32" t="n">
        <x:v>0.3425414364640883977900552486</x:v>
      </x:c>
      <x:c r="W431" s="32" t="n">
        <x:v>0.3460572576594676042189854345</x:v>
      </x:c>
      <x:c r="X431" s="32" t="n">
        <x:v>0.3345052737317930688096433953</x:v>
      </x:c>
      <x:c r="Y431" s="32" t="n">
        <x:v>0.3370165745856353591160220994</x:v>
      </x:c>
      <x:c r="Z431" s="32" t="n">
        <x:v>0.3380210949271722752385735811</x:v>
      </x:c>
      <x:c r="AA431" s="32" t="n">
        <x:v>0.3385233550979407332998493219</x:v>
      </x:c>
      <x:c r="AB431" s="32" t="n">
        <x:v>0.3350075339025615268709191361</x:v>
      </x:c>
      <x:c r="AC431" s="32" t="n">
        <x:v>0.3375188347564038171772978403</x:v>
      </x:c>
      <x:c r="AD431" s="32" t="n">
        <x:v>0.3375188347564038171772978403</x:v>
      </x:c>
      <x:c r="AE431" s="32" t="n">
        <x:v>0.3375188347564038171772978403</x:v>
      </x:c>
      <x:c r="AF431" s="32" t="n">
        <x:v>0.3400301356102461074836765445</x:v>
      </x:c>
      <x:c r="AG431" s="32" t="n">
        <x:v>0.3515821195379206428930185836</x:v>
      </x:c>
      <x:c r="AH431" s="32" t="n">
        <x:v>0.3621295831240582621798091411</x:v>
      </x:c>
      <x:c r="AI431" s="32" t="n">
        <x:v>0.374686087393269713711702662</x:v>
      </x:c>
      <x:c r="AJ431" s="32" t="n">
        <x:v>0.3892516323455549974886991462</x:v>
      </x:c>
      <x:c r="AK431" s="32" t="n">
        <x:v>0.3972877950778503264691109995</x:v>
      </x:c>
      <x:c r="AL431" s="32" t="n">
        <x:v>0.4043194374686087393269713712</x:v>
      </x:c>
      <x:c r="AM431" s="32" t="n">
        <x:v>0.4213962832747363134103465595</x:v>
      </x:c>
      <x:c r="AN431" s="32" t="n">
        <x:v>0.4324460070316423907584128579</x:v>
      </x:c>
      <x:c r="AO431" s="32" t="n">
        <x:v>0.4455047714716223003515821195</x:v>
      </x:c>
      <x:c r="AP431" s="32" t="n">
        <x:v>0.4640883977900552486187845304</x:v>
      </x:c>
      <x:c r="BI431" s="33" t="s"/>
      <x:c r="BJ431" s="11" t="s">
        <x:v>711</x:v>
      </x:c>
      <x:c r="BK431" s="12" t="str">
        <x:f>=BX431</x:f>
      </x:c>
      <x:c r="BL431" s="12" t="n">
        <x:v>0.4640883977900552486187845304</x:v>
      </x:c>
      <x:c r="BM431" s="12" t="n">
        <x:v>0</x:v>
      </x:c>
      <x:c r="BN431" s="12" t="n">
        <x:v>0.5359116022099447513812154696</x:v>
      </x:c>
      <x:c r="BO431" s="12" t="str">
        <x:f>=BW431</x:f>
      </x:c>
      <x:c r="BP431" s="12" t="str">
        <x:f>=CF431</x:f>
      </x:c>
      <x:c r="BQ431" s="12" t="str"/>
      <x:c r="BR431" s="12" t="str">
        <x:v>SS 2021 MSS</x:v>
      </x:c>
      <x:c r="BS431" s="13" t="str"/>
      <x:c r="BT431" s="30" t="n">
        <x:v>16428.95</x:v>
      </x:c>
      <x:c r="BU431" s="30" t="n">
        <x:v>-21224.87260</x:v>
      </x:c>
      <x:c r="BV431" s="30" t="str">
        <x:f>=BT431+BU431</x:f>
      </x:c>
      <x:c r="BW431" s="66" t="str">
        <x:f>=BV431/BT431</x:f>
      </x:c>
      <x:c r="BX431" s="66" t="n">
        <x:v>0.4640883977900552486187845304</x:v>
      </x:c>
      <x:c r="BY431" s="30" t="n">
        <x:v>19567.10</x:v>
      </x:c>
      <x:c r="BZ431" s="41" t="n">
        <x:v>1067</x:v>
      </x:c>
      <x:c r="CA431" s="30" t="n">
        <x:v>10486.235911602209944751381215</x:v>
      </x:c>
      <x:c r="CC431" s="30" t="n">
        <x:v>24060.588697632740666331826549</x:v>
      </x:c>
      <x:c r="CD431" s="30" t="n">
        <x:v>-21224.87260</x:v>
      </x:c>
      <x:c r="CE431" s="30" t="str">
        <x:f>=CC431+CD431</x:f>
      </x:c>
      <x:c r="CF431" s="66" t="str">
        <x:f>=CE431/CC431</x:f>
      </x:c>
      <x:c r="CH431" s="66" t="str">
        <x:f>=CI431+CJ431</x:f>
      </x:c>
      <x:c r="CI431" s="66" t="str">
        <x:f>=BX431+(0.0142307048384396450694793236*7)</x:f>
      </x:c>
      <x:c r="CJ431" s="66" t="str">
        <x:f>=(1-CI431)*0.5</x:f>
      </x:c>
      <x:c r="CK431" s="66" t="str">
        <x:f>=1-CH431</x:f>
      </x:c>
      <x:c r="CM431" s="66" t="str">
        <x:f>=CJ431/(1-CI431)</x:f>
      </x:c>
    </x:row>
    <x:row r="432">
      <x:c r="A432" s="31" t="s">
        <x:v>759</x:v>
      </x:c>
      <x:c r="B432" t="s"/>
      <x:c r="C432" t="s">
        <x:v>760</x:v>
      </x:c>
      <x:c r="D432" t="s">
        <x:v>118</x:v>
      </x:c>
      <x:c r="E432" s="69" t="s">
        <x:v>153</x:v>
      </x:c>
      <x:c r="F432" t="n">
        <x:v>924</x:v>
      </x:c>
      <x:c r="G432" s="32" t="n">
        <x:v>0.1017316017316017316017316017</x:v>
      </x:c>
      <x:c r="H432" s="32" t="n">
        <x:v>0.2196969696969696969696969697</x:v>
      </x:c>
      <x:c r="I432" s="32" t="n">
        <x:v>0.2965367965367965367965367965</x:v>
      </x:c>
      <x:c r="J432" s="32" t="n">
        <x:v>0.3409090909090909090909090909</x:v>
      </x:c>
      <x:c r="K432" s="32" t="n">
        <x:v>0.3538961038961038961038961039</x:v>
      </x:c>
      <x:c r="L432" s="32" t="n">
        <x:v>0.3614718614718614718614718615</x:v>
      </x:c>
      <x:c r="M432" s="32" t="n">
        <x:v>0.3787878787878787878787878788</x:v>
      </x:c>
      <x:c r="N432" s="32" t="n">
        <x:v>0.408008658008658008658008658</x:v>
      </x:c>
      <x:c r="O432" s="32" t="n">
        <x:v>0.4393939393939393939393939394</x:v>
      </x:c>
      <x:c r="P432" s="32" t="n">
        <x:v>0.4686147186147186147186147186</x:v>
      </x:c>
      <x:c r="Q432" s="32" t="n">
        <x:v>0.4783549783549783549783549784</x:v>
      </x:c>
      <x:c r="R432" s="32" t="n">
        <x:v>0.4935064935064935064935064935</x:v>
      </x:c>
      <x:c r="S432" s="32" t="n">
        <x:v>0.4935064935064935064935064935</x:v>
      </x:c>
      <x:c r="T432" s="32" t="n">
        <x:v>0.4956709956709956709956709957</x:v>
      </x:c>
      <x:c r="U432" s="32" t="n">
        <x:v>0.4967532467532467532467532468</x:v>
      </x:c>
      <x:c r="V432" s="32" t="n">
        <x:v>0.4978354978354978354978354978</x:v>
      </x:c>
      <x:c r="BI432" s="33" t="s"/>
      <x:c r="BJ432" s="11" t="s">
        <x:v>120</x:v>
      </x:c>
      <x:c r="BK432" s="12" t="str">
        <x:f>=BX432</x:f>
      </x:c>
      <x:c r="BL432" s="12" t="n">
        <x:v>0.4978354978354978354978354978</x:v>
      </x:c>
      <x:c r="BM432" s="12" t="n">
        <x:v>0</x:v>
      </x:c>
      <x:c r="BN432" s="12" t="n">
        <x:v>0.5021645021645021645021645022</x:v>
      </x:c>
      <x:c r="BO432" s="12" t="str">
        <x:f>=BW432</x:f>
      </x:c>
      <x:c r="BP432" s="12" t="str">
        <x:f>=CF432</x:f>
      </x:c>
      <x:c r="BQ432" s="12" t="str"/>
      <x:c r="BR432" s="12" t="str">
        <x:v>SS 2021 MSS</x:v>
      </x:c>
      <x:c r="BS432" s="13" t="str"/>
      <x:c r="BT432" s="30" t="n">
        <x:v>1939.35</x:v>
      </x:c>
      <x:c r="BU432" s="30" t="n">
        <x:v>-2315.4659</x:v>
      </x:c>
      <x:c r="BV432" s="30" t="str">
        <x:f>=BT432+BU432</x:f>
      </x:c>
      <x:c r="BW432" s="66" t="str">
        <x:f>=BV432/BT432</x:f>
      </x:c>
      <x:c r="BX432" s="66" t="n">
        <x:v>0.4978354978354978354978354978</x:v>
      </x:c>
      <x:c r="BY432" s="30" t="n">
        <x:v>2180.75</x:v>
      </x:c>
      <x:c r="BZ432" s="41" t="n">
        <x:v>464</x:v>
      </x:c>
      <x:c r="CA432" s="30" t="n">
        <x:v>1095.0952380952380952380952381</x:v>
      </x:c>
      <x:c r="CC432" s="30" t="n">
        <x:v>2582.7390916640620490620490613</x:v>
      </x:c>
      <x:c r="CD432" s="30" t="n">
        <x:v>-2315.4659</x:v>
      </x:c>
      <x:c r="CE432" s="30" t="str">
        <x:f>=CC432+CD432</x:f>
      </x:c>
      <x:c r="CF432" s="66" t="str">
        <x:f>=CE432/CC432</x:f>
      </x:c>
      <x:c r="CH432" s="66" t="str">
        <x:f>=CI432+CJ432</x:f>
      </x:c>
      <x:c r="CI432" s="66" t="str">
        <x:f>=BX432+(0.0014430014430014430014430014*7)</x:f>
      </x:c>
      <x:c r="CJ432" s="66" t="str">
        <x:f>=(1-CI432)*0.5</x:f>
      </x:c>
      <x:c r="CK432" s="66" t="str">
        <x:f>=1-CH432</x:f>
      </x:c>
      <x:c r="CM432" s="66" t="str">
        <x:f>=CJ432/(1-CI432)</x:f>
      </x:c>
    </x:row>
    <x:row r="433">
      <x:c r="A433" s="31" t="s">
        <x:v>737</x:v>
      </x:c>
      <x:c r="B433" t="s"/>
      <x:c r="C433" t="s">
        <x:v>738</x:v>
      </x:c>
      <x:c r="D433" t="s">
        <x:v>274</x:v>
      </x:c>
      <x:c r="E433" s="69" t="s">
        <x:v>153</x:v>
      </x:c>
      <x:c r="F433" t="n">
        <x:v>1731</x:v>
      </x:c>
      <x:c r="G433" s="32" t="n">
        <x:v>0.0849220103986135181975736568</x:v>
      </x:c>
      <x:c r="H433" s="32" t="n">
        <x:v>0.2224147891392258809936452917</x:v>
      </x:c>
      <x:c r="I433" s="32" t="n">
        <x:v>0.260543038705950317735413056</x:v>
      </x:c>
      <x:c r="J433" s="32" t="n">
        <x:v>0.2842287694974003466204506066</x:v>
      </x:c>
      <x:c r="K433" s="32" t="n">
        <x:v>0.3154246100519930675909878683</x:v>
      </x:c>
      <x:c r="L433" s="32" t="n">
        <x:v>0.3431542461005199306759098787</x:v>
      </x:c>
      <x:c r="M433" s="32" t="n">
        <x:v>0.3679953783939919121894858463</x:v>
      </x:c>
      <x:c r="BI433" s="33" t="s"/>
      <x:c r="BJ433" s="11" t="s">
        <x:v>400</x:v>
      </x:c>
      <x:c r="BK433" s="12" t="str">
        <x:f>=BX433</x:f>
      </x:c>
      <x:c r="BL433" s="12" t="n">
        <x:v>0.3679953783939919121894858463</x:v>
      </x:c>
      <x:c r="BM433" s="12" t="n">
        <x:v>0</x:v>
      </x:c>
      <x:c r="BN433" s="12" t="n">
        <x:v>0.6320046216060080878105141537</x:v>
      </x:c>
      <x:c r="BO433" s="12" t="str">
        <x:f>=BW433</x:f>
      </x:c>
      <x:c r="BP433" s="12" t="str">
        <x:f>=CF433</x:f>
      </x:c>
      <x:c r="BQ433" s="12" t="str"/>
      <x:c r="BR433" s="12" t="str">
        <x:v>SS 2021 MSS</x:v>
      </x:c>
      <x:c r="BS433" s="13" t="str"/>
      <x:c r="BT433" s="30" t="n">
        <x:v>7899.82</x:v>
      </x:c>
      <x:c r="BU433" s="30" t="n">
        <x:v>-13950.03230</x:v>
      </x:c>
      <x:c r="BV433" s="30" t="str">
        <x:f>=BT433+BU433</x:f>
      </x:c>
      <x:c r="BW433" s="66" t="str">
        <x:f>=BV433/BT433</x:f>
      </x:c>
      <x:c r="BX433" s="66" t="n">
        <x:v>0.3679953783939919121894858463</x:v>
      </x:c>
      <x:c r="BY433" s="30" t="n">
        <x:v>12787.55</x:v>
      </x:c>
      <x:c r="BZ433" s="41" t="n">
        <x:v>1094</x:v>
      </x:c>
      <x:c r="CA433" s="30" t="n">
        <x:v>8081.790699017908723281340266</x:v>
      </x:c>
      <x:c r="CC433" s="30" t="n">
        <x:v>15248.599100762701713845561331</x:v>
      </x:c>
      <x:c r="CD433" s="30" t="n">
        <x:v>-13950.03230</x:v>
      </x:c>
      <x:c r="CE433" s="30" t="str">
        <x:f>=CC433+CD433</x:f>
      </x:c>
      <x:c r="CF433" s="66" t="str">
        <x:f>=CE433/CC433</x:f>
      </x:c>
      <x:c r="CH433" s="66" t="str">
        <x:f>=CI433+CJ433</x:f>
      </x:c>
      <x:c r="CI433" s="66" t="str">
        <x:f>=BX433+(0.0279222029655305218563450799*7)</x:f>
      </x:c>
      <x:c r="CJ433" s="66" t="str">
        <x:f>=(1-CI433)*0.5</x:f>
      </x:c>
      <x:c r="CK433" s="66" t="str">
        <x:f>=1-CH433</x:f>
      </x:c>
      <x:c r="CM433" s="66" t="str">
        <x:f>=CJ433/(1-CI433)</x:f>
      </x:c>
    </x:row>
    <x:row r="434">
      <x:c r="A434" s="31" t="s"/>
      <x:c r="BI434" s="33" t="s"/>
      <x:c r="BJ434" s="11" t="s"/>
      <x:c r="BS434" s="13" t="s"/>
    </x:row>
    <x:row r="435">
      <x:c r="A435" s="17" t="s">
        <x:v>761</x:v>
      </x:c>
      <x:c r="BI435" s="33" t="s"/>
      <x:c r="BJ435" s="11" t="s"/>
      <x:c r="BS435" s="13" t="s"/>
    </x:row>
    <x:row r="436">
      <x:c r="A436" s="31" t="s">
        <x:v>762</x:v>
      </x:c>
      <x:c r="B436" t="s"/>
      <x:c r="C436" t="s">
        <x:v>763</x:v>
      </x:c>
      <x:c r="D436" t="s">
        <x:v>452</x:v>
      </x:c>
      <x:c r="E436" s="69" t="s">
        <x:v>153</x:v>
      </x:c>
      <x:c r="F436" t="n">
        <x:v>3152</x:v>
      </x:c>
      <x:c r="G436" s="32" t="n">
        <x:v>0.0053934010152284263959390863</x:v>
      </x:c>
      <x:c r="H436" s="32" t="n">
        <x:v>0.0609137055837563451776649746</x:v>
      </x:c>
      <x:c r="I436" s="32" t="n">
        <x:v>0.1094543147208121827411167513</x:v>
      </x:c>
      <x:c r="J436" s="32" t="n">
        <x:v>0.1307106598984771573604060914</x:v>
      </x:c>
      <x:c r="BI436" s="33" t="s"/>
      <x:c r="BJ436" s="11" t="s">
        <x:v>764</x:v>
      </x:c>
      <x:c r="BK436" s="12" t="str">
        <x:f>=BX436</x:f>
      </x:c>
      <x:c r="BL436" s="12" t="n">
        <x:v>0.1307106598984771573604060914</x:v>
      </x:c>
      <x:c r="BM436" s="12" t="n">
        <x:v>0</x:v>
      </x:c>
      <x:c r="BN436" s="12" t="n">
        <x:v>0.8692893401015228426395939086</x:v>
      </x:c>
      <x:c r="BO436" s="12" t="str">
        <x:f>=BW436</x:f>
      </x:c>
      <x:c r="BP436" s="12" t="str">
        <x:f>=CF436</x:f>
      </x:c>
      <x:c r="BQ436" s="12" t="str"/>
      <x:c r="BR436" s="12" t="str">
        <x:v>SS 2021 EOS</x:v>
      </x:c>
      <x:c r="BS436" s="13" t="str"/>
      <x:c r="BT436" s="30" t="n">
        <x:v>6720.17</x:v>
      </x:c>
      <x:c r="BU436" s="30" t="n">
        <x:v>-37466.1304</x:v>
      </x:c>
      <x:c r="BV436" s="30" t="str">
        <x:f>=BT436+BU436</x:f>
      </x:c>
      <x:c r="BW436" s="66" t="str">
        <x:f>=BV436/BT436</x:f>
      </x:c>
      <x:c r="BX436" s="66" t="n">
        <x:v>0.1307106598984771573604060914</x:v>
      </x:c>
      <x:c r="BY436" s="30" t="n">
        <x:v>32984.56</x:v>
      </x:c>
      <x:c r="BZ436" s="41" t="n">
        <x:v>2740</x:v>
      </x:c>
      <x:c r="CA436" s="30" t="n">
        <x:v>28673.126395939086294416243654</x:v>
      </x:c>
      <x:c r="CC436" s="30" t="n">
        <x:v>28617.576745985102538071065989</x:v>
      </x:c>
      <x:c r="CD436" s="30" t="n">
        <x:v>-37466.1304</x:v>
      </x:c>
      <x:c r="CE436" s="30" t="str">
        <x:f>=CC436+CD436</x:f>
      </x:c>
      <x:c r="CF436" s="66" t="str">
        <x:f>=CE436/CC436</x:f>
      </x:c>
      <x:c r="CH436" s="66" t="str">
        <x:f>=CI436+CJ436</x:f>
      </x:c>
      <x:c r="CI436" s="66" t="str">
        <x:f>=BX436+(0.03*7)</x:f>
      </x:c>
      <x:c r="CJ436" s="66" t="str">
        <x:f>=(1-CI436)*0.5</x:f>
      </x:c>
      <x:c r="CK436" s="66" t="str">
        <x:f>=1-CH436</x:f>
      </x:c>
      <x:c r="CM436" s="66" t="str">
        <x:f>=CJ436/(1-CI436)</x:f>
      </x:c>
    </x:row>
    <x:row r="437">
      <x:c r="A437" s="31" t="s">
        <x:v>765</x:v>
      </x:c>
      <x:c r="B437" t="s"/>
      <x:c r="C437" t="s">
        <x:v>766</x:v>
      </x:c>
      <x:c r="D437" t="s">
        <x:v>147</x:v>
      </x:c>
      <x:c r="E437" s="69" t="s">
        <x:v>153</x:v>
      </x:c>
      <x:c r="F437" t="n">
        <x:v>4645</x:v>
      </x:c>
      <x:c r="G437" s="32" t="n">
        <x:v>0.0006458557588805166846071044</x:v>
      </x:c>
      <x:c r="H437" s="32" t="n">
        <x:v>0.020236813778256189451022605</x:v>
      </x:c>
      <x:c r="I437" s="32" t="n">
        <x:v>0.0452099031216361679224973089</x:v>
      </x:c>
      <x:c r="BI437" s="33" t="s"/>
      <x:c r="BJ437" s="11" t="s">
        <x:v>526</x:v>
      </x:c>
      <x:c r="BK437" s="12" t="str">
        <x:f>=BX437</x:f>
      </x:c>
      <x:c r="BL437" s="12" t="n">
        <x:v>0.0452099031216361679224973089</x:v>
      </x:c>
      <x:c r="BM437" s="12" t="n">
        <x:v>0</x:v>
      </x:c>
      <x:c r="BN437" s="12" t="n">
        <x:v>0.9547900968783638320775026911</x:v>
      </x:c>
      <x:c r="BO437" s="12" t="str">
        <x:f>=BW437</x:f>
      </x:c>
      <x:c r="BP437" s="12" t="str">
        <x:f>=CF437</x:f>
      </x:c>
      <x:c r="BQ437" s="12" t="str"/>
      <x:c r="BR437" s="12" t="str">
        <x:v>AW 2021 MSS</x:v>
      </x:c>
      <x:c r="BS437" s="13" t="str"/>
      <x:c r="BT437" s="30" t="n">
        <x:v>2982.71</x:v>
      </x:c>
      <x:c r="BU437" s="30" t="n">
        <x:v>-41798.7130</x:v>
      </x:c>
      <x:c r="BV437" s="30" t="str">
        <x:f>=BT437+BU437</x:f>
      </x:c>
      <x:c r="BW437" s="66" t="str">
        <x:f>=BV437/BT437</x:f>
      </x:c>
      <x:c r="BX437" s="66" t="n">
        <x:v>0.0452099031216361679224973089</x:v>
      </x:c>
      <x:c r="BY437" s="30" t="n">
        <x:v>41002.56</x:v>
      </x:c>
      <x:c r="BZ437" s="41" t="n">
        <x:v>4435</x:v>
      </x:c>
      <x:c r="CA437" s="30" t="n">
        <x:v>39148.838234660925726587728743</x:v>
      </x:c>
      <x:c r="CC437" s="30" t="n">
        <x:v>32927.735869170305274488697526</x:v>
      </x:c>
      <x:c r="CD437" s="30" t="n">
        <x:v>-41798.7130</x:v>
      </x:c>
      <x:c r="CE437" s="30" t="str">
        <x:f>=CC437+CD437</x:f>
      </x:c>
      <x:c r="CF437" s="66" t="str">
        <x:f>=CE437/CC437</x:f>
      </x:c>
      <x:c r="CH437" s="66" t="str">
        <x:f>=CI437+CJ437</x:f>
      </x:c>
      <x:c r="CI437" s="66" t="str">
        <x:f>=BX437+(0.03*7)</x:f>
      </x:c>
      <x:c r="CJ437" s="66" t="str">
        <x:f>=(1-CI437)*0.5</x:f>
      </x:c>
      <x:c r="CK437" s="66" t="str">
        <x:f>=1-CH437</x:f>
      </x:c>
      <x:c r="CM437" s="66" t="str">
        <x:f>=CJ437/(1-CI437)</x:f>
      </x:c>
    </x:row>
    <x:row r="438">
      <x:c r="A438" s="31" t="s">
        <x:v>767</x:v>
      </x:c>
      <x:c r="B438" t="s"/>
      <x:c r="C438" t="s">
        <x:v>768</x:v>
      </x:c>
      <x:c r="D438" t="s">
        <x:v>274</x:v>
      </x:c>
      <x:c r="E438" s="69" t="s">
        <x:v>153</x:v>
      </x:c>
      <x:c r="F438" t="n">
        <x:v>3641</x:v>
      </x:c>
      <x:c r="G438" s="32" t="n">
        <x:v>0.0381763251853886294973908267</x:v>
      </x:c>
      <x:c r="H438" s="32" t="n">
        <x:v>0.0664652567975830815709969789</x:v>
      </x:c>
      <x:c r="I438" s="32" t="n">
        <x:v>0.0955781378742103817632518539</x:v>
      </x:c>
      <x:c r="BI438" s="33" t="s"/>
      <x:c r="BJ438" s="11" t="s">
        <x:v>526</x:v>
      </x:c>
      <x:c r="BK438" s="12" t="str">
        <x:f>=BX438</x:f>
      </x:c>
      <x:c r="BL438" s="12" t="n">
        <x:v>0.0955781378742103817632518539</x:v>
      </x:c>
      <x:c r="BM438" s="12" t="n">
        <x:v>0</x:v>
      </x:c>
      <x:c r="BN438" s="12" t="n">
        <x:v>0.9044218621257896182367481461</x:v>
      </x:c>
      <x:c r="BO438" s="12" t="str">
        <x:f>=BW438</x:f>
      </x:c>
      <x:c r="BP438" s="12" t="str">
        <x:f>=CF438</x:f>
      </x:c>
      <x:c r="BQ438" s="12" t="str"/>
      <x:c r="BR438" s="12" t="str">
        <x:v>SS 2021 EOS</x:v>
      </x:c>
      <x:c r="BS438" s="13" t="str"/>
      <x:c r="BT438" s="30" t="n">
        <x:v>4366.25</x:v>
      </x:c>
      <x:c r="BU438" s="30" t="n">
        <x:v>-28869.37500</x:v>
      </x:c>
      <x:c r="BV438" s="30" t="str">
        <x:f>=BT438+BU438</x:f>
      </x:c>
      <x:c r="BW438" s="66" t="str">
        <x:f>=BV438/BT438</x:f>
      </x:c>
      <x:c r="BX438" s="66" t="n">
        <x:v>0.0955781378742103817632518539</x:v>
      </x:c>
      <x:c r="BY438" s="30" t="n">
        <x:v>26453.50</x:v>
      </x:c>
      <x:c r="BZ438" s="41" t="n">
        <x:v>3293</x:v>
      </x:c>
      <x:c r="CA438" s="30" t="n">
        <x:v>23925.123729744575666025817083</x:v>
      </x:c>
      <x:c r="CC438" s="30" t="n">
        <x:v>24371.766517664048654215874758</x:v>
      </x:c>
      <x:c r="CD438" s="30" t="n">
        <x:v>-28869.37500</x:v>
      </x:c>
      <x:c r="CE438" s="30" t="str">
        <x:f>=CC438+CD438</x:f>
      </x:c>
      <x:c r="CF438" s="66" t="str">
        <x:f>=CE438/CC438</x:f>
      </x:c>
      <x:c r="CH438" s="66" t="str">
        <x:f>=CI438+CJ438</x:f>
      </x:c>
      <x:c r="CI438" s="66" t="str">
        <x:f>=BX438+(0.03*7)</x:f>
      </x:c>
      <x:c r="CJ438" s="66" t="str">
        <x:f>=(1-CI438)*0.5</x:f>
      </x:c>
      <x:c r="CK438" s="66" t="str">
        <x:f>=1-CH438</x:f>
      </x:c>
      <x:c r="CM438" s="66" t="str">
        <x:f>=CJ438/(1-CI438)</x:f>
      </x:c>
    </x:row>
    <x:row r="439">
      <x:c r="A439" s="31" t="s">
        <x:v>769</x:v>
      </x:c>
      <x:c r="B439" t="s">
        <x:v>116</x:v>
      </x:c>
      <x:c r="C439" t="s">
        <x:v>770</x:v>
      </x:c>
      <x:c r="D439" t="s">
        <x:v>118</x:v>
      </x:c>
      <x:c r="E439" s="69" t="s">
        <x:v>153</x:v>
      </x:c>
      <x:c r="F439" t="n">
        <x:v>2000</x:v>
      </x:c>
      <x:c r="G439" s="32" t="n">
        <x:v>0.016</x:v>
      </x:c>
      <x:c r="BI439" s="33" t="s"/>
      <x:c r="BJ439" s="11" t="s">
        <x:v>771</x:v>
      </x:c>
      <x:c r="BK439" s="12" t="str">
        <x:f>=BX439</x:f>
      </x:c>
      <x:c r="BL439" s="12" t="n">
        <x:v>0.016</x:v>
      </x:c>
      <x:c r="BM439" s="12" t="n">
        <x:v>0</x:v>
      </x:c>
      <x:c r="BN439" s="12" t="n">
        <x:v>0.984</x:v>
      </x:c>
      <x:c r="BO439" s="12" t="str">
        <x:f>=BW439</x:f>
      </x:c>
      <x:c r="BP439" s="12" t="str">
        <x:f>=CF439</x:f>
      </x:c>
      <x:c r="BQ439" s="12" t="str"/>
      <x:c r="BR439" s="12" t="str">
        <x:v>SS 2021 EOS</x:v>
      </x:c>
      <x:c r="BS439" s="13" t="str"/>
      <x:c r="BT439" s="30" t="n">
        <x:v>244.41</x:v>
      </x:c>
      <x:c r="BU439" s="30" t="n">
        <x:v>-9162.9090</x:v>
      </x:c>
      <x:c r="BV439" s="30" t="str">
        <x:f>=BT439+BU439</x:f>
      </x:c>
      <x:c r="BW439" s="66" t="str">
        <x:f>=BV439/BT439</x:f>
      </x:c>
      <x:c r="BX439" s="66" t="n">
        <x:v>0.016</x:v>
      </x:c>
      <x:c r="BY439" s="30" t="n">
        <x:v>8999.70</x:v>
      </x:c>
      <x:c r="BZ439" s="41" t="n">
        <x:v>1968</x:v>
      </x:c>
      <x:c r="CA439" s="30" t="n">
        <x:v>8855.70480</x:v>
      </x:c>
      <x:c r="CC439" s="30" t="n">
        <x:v>7373.846849413720000000000000</x:v>
      </x:c>
      <x:c r="CD439" s="30" t="n">
        <x:v>-9162.9090</x:v>
      </x:c>
      <x:c r="CE439" s="30" t="str">
        <x:f>=CC439+CD439</x:f>
      </x:c>
      <x:c r="CF439" s="66" t="str">
        <x:f>=CE439/CC439</x:f>
      </x:c>
      <x:c r="CH439" s="66" t="str">
        <x:f>=CI439+CJ439</x:f>
      </x:c>
      <x:c r="CI439" s="66" t="str">
        <x:f>=BX439+(0.03*7)</x:f>
      </x:c>
      <x:c r="CJ439" s="66" t="str">
        <x:f>=(1-CI439)*0.5</x:f>
      </x:c>
      <x:c r="CK439" s="66" t="str">
        <x:f>=1-CH439</x:f>
      </x:c>
      <x:c r="CM439" s="66" t="str">
        <x:f>=CJ439/(1-CI439)</x:f>
      </x:c>
    </x:row>
    <x:row r="440">
      <x:c r="A440" s="31" t="s">
        <x:v>772</x:v>
      </x:c>
      <x:c r="B440" t="s"/>
      <x:c r="C440" t="s">
        <x:v>773</x:v>
      </x:c>
      <x:c r="D440" t="s">
        <x:v>118</x:v>
      </x:c>
      <x:c r="E440" s="69" t="s">
        <x:v>153</x:v>
      </x:c>
      <x:c r="F440" t="n">
        <x:v>1774</x:v>
      </x:c>
      <x:c r="G440" s="32" t="n">
        <x:v>0.0016910935738444193912063134</x:v>
      </x:c>
      <x:c r="BI440" s="33" t="s"/>
      <x:c r="BJ440" s="11" t="s">
        <x:v>771</x:v>
      </x:c>
      <x:c r="BK440" s="12" t="str">
        <x:f>=BX440</x:f>
      </x:c>
      <x:c r="BL440" s="12" t="n">
        <x:v>0.0016910935738444193912063134</x:v>
      </x:c>
      <x:c r="BM440" s="12" t="n">
        <x:v>0</x:v>
      </x:c>
      <x:c r="BN440" s="12" t="n">
        <x:v>0.9983089064261555806087936866</x:v>
      </x:c>
      <x:c r="BO440" s="12" t="str">
        <x:f>=BW440</x:f>
      </x:c>
      <x:c r="BP440" s="12" t="str">
        <x:f>=CF440</x:f>
      </x:c>
      <x:c r="BQ440" s="12" t="str"/>
      <x:c r="BR440" s="12" t="str">
        <x:v>SS 2021 EOS</x:v>
      </x:c>
      <x:c r="BS440" s="13" t="str"/>
      <x:c r="BT440" s="30" t="n">
        <x:v>29.38</x:v>
      </x:c>
      <x:c r="BU440" s="30" t="n">
        <x:v>-9949.0789</x:v>
      </x:c>
      <x:c r="BV440" s="30" t="str">
        <x:f>=BT440+BU440</x:f>
      </x:c>
      <x:c r="BW440" s="66" t="str">
        <x:f>=BV440/BT440</x:f>
      </x:c>
      <x:c r="BX440" s="66" t="n">
        <x:v>0.0016910935738444193912063134</x:v>
      </x:c>
      <x:c r="BY440" s="30" t="n">
        <x:v>9860.65</x:v>
      </x:c>
      <x:c r="BZ440" s="41" t="n">
        <x:v>1771</x:v>
      </x:c>
      <x:c r="CA440" s="30" t="n">
        <x:v>9843.974718151071025930101466</x:v>
      </x:c>
      <x:c r="CC440" s="30" t="n">
        <x:v>8635.581197960911950394588501</x:v>
      </x:c>
      <x:c r="CD440" s="30" t="n">
        <x:v>-9949.0789</x:v>
      </x:c>
      <x:c r="CE440" s="30" t="str">
        <x:f>=CC440+CD440</x:f>
      </x:c>
      <x:c r="CF440" s="66" t="str">
        <x:f>=CE440/CC440</x:f>
      </x:c>
      <x:c r="CH440" s="66" t="str">
        <x:f>=CI440+CJ440</x:f>
      </x:c>
      <x:c r="CI440" s="66" t="str">
        <x:f>=BX440+(0.03*7)</x:f>
      </x:c>
      <x:c r="CJ440" s="66" t="str">
        <x:f>=(1-CI440)*0.5</x:f>
      </x:c>
      <x:c r="CK440" s="66" t="str">
        <x:f>=1-CH440</x:f>
      </x:c>
      <x:c r="CM440" s="66" t="str">
        <x:f>=CJ440/(1-CI440)</x:f>
      </x:c>
    </x:row>
    <x:row r="441">
      <x:c r="A441" s="31" t="s">
        <x:v>774</x:v>
      </x:c>
      <x:c r="B441" t="s">
        <x:v>116</x:v>
      </x:c>
      <x:c r="C441" t="s">
        <x:v>775</x:v>
      </x:c>
      <x:c r="D441" t="s">
        <x:v>274</x:v>
      </x:c>
      <x:c r="E441" s="69" t="s">
        <x:v>153</x:v>
      </x:c>
      <x:c r="F441" t="n">
        <x:v>1916</x:v>
      </x:c>
      <x:c r="G441" s="32" t="n">
        <x:v>0.0015657620041753653444676409</x:v>
      </x:c>
      <x:c r="BI441" s="33" t="s"/>
      <x:c r="BJ441" s="11" t="s">
        <x:v>771</x:v>
      </x:c>
      <x:c r="BK441" s="12" t="str">
        <x:f>=BX441</x:f>
      </x:c>
      <x:c r="BL441" s="12" t="n">
        <x:v>0.0015657620041753653444676409</x:v>
      </x:c>
      <x:c r="BM441" s="12" t="n">
        <x:v>0</x:v>
      </x:c>
      <x:c r="BN441" s="12" t="n">
        <x:v>0.9984342379958246346555323591</x:v>
      </x:c>
      <x:c r="BO441" s="12" t="str">
        <x:f>=BW441</x:f>
      </x:c>
      <x:c r="BP441" s="12" t="str">
        <x:f>=CF441</x:f>
      </x:c>
      <x:c r="BQ441" s="12" t="str"/>
      <x:c r="BR441" s="12" t="str">
        <x:v>SS 2021 MSS</x:v>
      </x:c>
      <x:c r="BS441" s="13" t="str"/>
      <x:c r="BT441" s="30" t="n">
        <x:v>38.34</x:v>
      </x:c>
      <x:c r="BU441" s="30" t="n">
        <x:v>-14914.53040</x:v>
      </x:c>
      <x:c r="BV441" s="30" t="str">
        <x:f>=BT441+BU441</x:f>
      </x:c>
      <x:c r="BW441" s="66" t="str">
        <x:f>=BV441/BT441</x:f>
      </x:c>
      <x:c r="BX441" s="66" t="n">
        <x:v>0.0015657620041753653444676409</x:v>
      </x:c>
      <x:c r="BY441" s="30" t="n">
        <x:v>13660.40</x:v>
      </x:c>
      <x:c r="BZ441" s="41" t="n">
        <x:v>1913</x:v>
      </x:c>
      <x:c r="CA441" s="30" t="n">
        <x:v>13639.011064718162839248434238</x:v>
      </x:c>
      <x:c r="CC441" s="30" t="n">
        <x:v>11166.333587271081419624217120</x:v>
      </x:c>
      <x:c r="CD441" s="30" t="n">
        <x:v>-14914.53040</x:v>
      </x:c>
      <x:c r="CE441" s="30" t="str">
        <x:f>=CC441+CD441</x:f>
      </x:c>
      <x:c r="CF441" s="66" t="str">
        <x:f>=CE441/CC441</x:f>
      </x:c>
      <x:c r="CH441" s="66" t="str">
        <x:f>=CI441+CJ441</x:f>
      </x:c>
      <x:c r="CI441" s="66" t="str">
        <x:f>=BX441+(0.03*7)</x:f>
      </x:c>
      <x:c r="CJ441" s="66" t="str">
        <x:f>=(1-CI441)*0.5</x:f>
      </x:c>
      <x:c r="CK441" s="66" t="str">
        <x:f>=1-CH441</x:f>
      </x:c>
      <x:c r="CM441" s="66" t="str">
        <x:f>=CJ441/(1-CI441)</x:f>
      </x:c>
    </x:row>
    <x:row r="442">
      <x:c r="BI442" s="33" t="s"/>
      <x:c r="BJ442" s="11" t="s"/>
      <x:c r="BS442" s="13" t="s"/>
      <x:c r="BT442" s="20" t="n">
        <x:v>87444.18</x:v>
      </x:c>
      <x:c r="BU442" s="20" t="n">
        <x:v>-221878.55490</x:v>
      </x:c>
      <x:c r="BV442" s="20" t="str">
        <x:f>=BT442+BU442</x:f>
      </x:c>
      <x:c r="BW442" s="21" t="n">
        <x:v>-1.5373736125148637679488789305</x:v>
      </x:c>
      <x:c r="BY442" s="20" t="n">
        <x:v>-207221.28</x:v>
      </x:c>
      <x:c r="BZ442" s="20" t="n">
        <x:v>23486</x:v>
      </x:c>
      <x:c r="CA442" s="20" t="n">
        <x:v>142183.49884834497063893189985</x:v>
      </x:c>
      <x:c r="CC442" s="20" t="n">
        <x:v>214139.63984647339192079224083</x:v>
      </x:c>
      <x:c r="CD442" s="20" t="n">
        <x:v>-221878.55490</x:v>
      </x:c>
      <x:c r="CE442" s="20" t="str">
        <x:f>=CC442+CD442</x:f>
      </x:c>
      <x:c r="CF442" s="21" t="n">
        <x:v>-0.0361395725661768837975317705</x:v>
      </x:c>
    </x:row>
    <x:row r="443">
      <x:c r="A443" s="35" t="s">
        <x:v>113</x:v>
      </x:c>
      <x:c r="BI443" s="33" t="s"/>
      <x:c r="BJ443" s="11" t="s"/>
      <x:c r="BS443" s="13" t="s"/>
    </x:row>
    <x:row r="444">
      <x:c r="A444" s="17" t="s">
        <x:v>754</x:v>
      </x:c>
      <x:c r="BI444" s="33" t="s"/>
      <x:c r="BJ444" s="11" t="s"/>
      <x:c r="BS444" s="13" t="s"/>
    </x:row>
    <x:row r="445">
      <x:c r="A445" s="31" t="s">
        <x:v>776</x:v>
      </x:c>
      <x:c r="B445" t="s"/>
      <x:c r="C445" t="s">
        <x:v>777</x:v>
      </x:c>
      <x:c r="D445" t="s">
        <x:v>118</x:v>
      </x:c>
      <x:c r="E445" s="68" t="s">
        <x:v>119</x:v>
      </x:c>
      <x:c r="F445" t="n">
        <x:v>732</x:v>
      </x:c>
      <x:c r="G445" s="32" t="n">
        <x:v>0.0095628415300546448087431694</x:v>
      </x:c>
      <x:c r="H445" s="32" t="n">
        <x:v>0.0286885245901639344262295082</x:v>
      </x:c>
      <x:c r="I445" s="32" t="n">
        <x:v>0.0560109289617486338797814208</x:v>
      </x:c>
      <x:c r="J445" s="32" t="n">
        <x:v>0.0792349726775956284153005464</x:v>
      </x:c>
      <x:c r="K445" s="32" t="n">
        <x:v>0.0969945355191256830601092896</x:v>
      </x:c>
      <x:c r="L445" s="32" t="n">
        <x:v>0.1338797814207650273224043716</x:v>
      </x:c>
      <x:c r="M445" s="32" t="n">
        <x:v>0.1297814207650273224043715847</x:v>
      </x:c>
      <x:c r="N445" s="32" t="n">
        <x:v>0.1256830601092896174863387978</x:v>
      </x:c>
      <x:c r="O445" s="32" t="n">
        <x:v>0.1379781420765027322404371585</x:v>
      </x:c>
      <x:c r="P445" s="32" t="n">
        <x:v>0.143442622950819672131147541</x:v>
      </x:c>
      <x:c r="Q445" s="32" t="n">
        <x:v>0.154371584699453551912568306</x:v>
      </x:c>
      <x:c r="R445" s="32" t="n">
        <x:v>0.165300546448087431693989071</x:v>
      </x:c>
      <x:c r="S445" s="32" t="n">
        <x:v>0.1789617486338797814207650273</x:v>
      </x:c>
      <x:c r="T445" s="32" t="n">
        <x:v>0.180327868852459016393442623</x:v>
      </x:c>
      <x:c r="U445" s="32" t="n">
        <x:v>0.1844262295081967213114754098</x:v>
      </x:c>
      <x:c r="V445" s="32" t="n">
        <x:v>0.1885245901639344262295081967</x:v>
      </x:c>
      <x:c r="W445" s="32" t="n">
        <x:v>0.1898907103825136612021857923</x:v>
      </x:c>
      <x:c r="X445" s="32" t="n">
        <x:v>0.1898907103825136612021857923</x:v>
      </x:c>
      <x:c r="Y445" s="32" t="n">
        <x:v>0.1898907103825136612021857923</x:v>
      </x:c>
      <x:c r="Z445" s="32" t="n">
        <x:v>0.1898907103825136612021857923</x:v>
      </x:c>
      <x:c r="AA445" s="32" t="n">
        <x:v>0.1898907103825136612021857923</x:v>
      </x:c>
      <x:c r="AB445" s="32" t="n">
        <x:v>0.1898907103825136612021857923</x:v>
      </x:c>
      <x:c r="AC445" s="32" t="n">
        <x:v>0.1898907103825136612021857923</x:v>
      </x:c>
      <x:c r="AD445" s="32" t="n">
        <x:v>0.191256830601092896174863388</x:v>
      </x:c>
      <x:c r="AE445" s="32" t="n">
        <x:v>0.2117486338797814207650273224</x:v>
      </x:c>
      <x:c r="AF445" s="32" t="n">
        <x:v>0.2295081967213114754098360656</x:v>
      </x:c>
      <x:c r="AG445" s="32" t="n">
        <x:v>0.2322404371584699453551912568</x:v>
      </x:c>
      <x:c r="AH445" s="32" t="n">
        <x:v>0.2431693989071038251366120219</x:v>
      </x:c>
      <x:c r="AI445" s="32" t="n">
        <x:v>0.2431693989071038251366120219</x:v>
      </x:c>
      <x:c r="AJ445" s="32" t="n">
        <x:v>0.2704918032786885245901639344</x:v>
      </x:c>
      <x:c r="AK445" s="32" t="n">
        <x:v>0.3401639344262295081967213115</x:v>
      </x:c>
      <x:c r="AL445" s="32" t="n">
        <x:v>0.4112021857923497267759562842</x:v>
      </x:c>
      <x:c r="AM445" s="32" t="n">
        <x:v>0.4453551912568306010928961749</x:v>
      </x:c>
      <x:c r="AN445" s="32" t="n">
        <x:v>0.4508196721311475409836065574</x:v>
      </x:c>
      <x:c r="AO445" s="32" t="n">
        <x:v>0.4508196721311475409836065574</x:v>
      </x:c>
      <x:c r="AP445" s="32" t="n">
        <x:v>0.4508196721311475409836065574</x:v>
      </x:c>
      <x:c r="AQ445" s="32" t="n">
        <x:v>0.4508196721311475409836065574</x:v>
      </x:c>
      <x:c r="AR445" s="32" t="n">
        <x:v>0.452185792349726775956284153</x:v>
      </x:c>
      <x:c r="BI445" s="33" t="s"/>
      <x:c r="BJ445" s="11" t="s">
        <x:v>778</x:v>
      </x:c>
      <x:c r="BK445" s="12" t="str">
        <x:f>=BX445</x:f>
      </x:c>
      <x:c r="BL445" s="12" t="n">
        <x:v>0.452185792349726775956284153</x:v>
      </x:c>
      <x:c r="BM445" s="12" t="n">
        <x:v>0</x:v>
      </x:c>
      <x:c r="BN445" s="12" t="n">
        <x:v>0.547814207650273224043715847</x:v>
      </x:c>
      <x:c r="BO445" s="12" t="str">
        <x:f>=BW445</x:f>
      </x:c>
      <x:c r="BP445" s="12" t="str">
        <x:f>=CF445</x:f>
      </x:c>
      <x:c r="BQ445" s="12" t="str"/>
      <x:c r="BR445" s="12" t="str">
        <x:v>SS 2021 MSS</x:v>
      </x:c>
      <x:c r="BS445" s="13" t="str"/>
      <x:c r="BT445" s="30" t="n">
        <x:v>3452.68</x:v>
      </x:c>
      <x:c r="BU445" s="30" t="n">
        <x:v>-4841.2284</x:v>
      </x:c>
      <x:c r="BV445" s="30" t="str">
        <x:f>=BT445+BU445</x:f>
      </x:c>
      <x:c r="BW445" s="66" t="str">
        <x:f>=BV445/BT445</x:f>
      </x:c>
      <x:c r="BX445" s="66" t="n">
        <x:v>0.452185792349726775956284153</x:v>
      </x:c>
      <x:c r="BY445" s="30" t="n">
        <x:v>4779.96</x:v>
      </x:c>
      <x:c r="BZ445" s="41" t="n">
        <x:v>401</x:v>
      </x:c>
      <x:c r="CA445" s="30" t="n">
        <x:v>2618.53</x:v>
      </x:c>
      <x:c r="CC445" s="30" t="n">
        <x:v>5287.2173532090163934426229512</x:v>
      </x:c>
      <x:c r="CD445" s="30" t="n">
        <x:v>-4841.2284</x:v>
      </x:c>
      <x:c r="CE445" s="30" t="str">
        <x:f>=CC445+CD445</x:f>
      </x:c>
      <x:c r="CF445" s="66" t="str">
        <x:f>=CE445/CC445</x:f>
      </x:c>
      <x:c r="CH445" s="66" t="str">
        <x:f>=CI445+CJ445</x:f>
      </x:c>
      <x:c r="CI445" s="66" t="str">
        <x:f>=BX445+(0.0136612021857923497267759563*7)</x:f>
      </x:c>
      <x:c r="CJ445" s="66" t="str">
        <x:f>=(1-CI445)*0.5</x:f>
      </x:c>
      <x:c r="CK445" s="66" t="str">
        <x:f>=1-CH445</x:f>
      </x:c>
      <x:c r="CM445" s="66" t="str">
        <x:f>=CJ445/(1-CI445)</x:f>
      </x:c>
    </x:row>
    <x:row r="446">
      <x:c r="BI446" s="33" t="s"/>
      <x:c r="BJ446" s="11" t="s"/>
      <x:c r="BS446" s="13" t="s"/>
    </x:row>
    <x:row r="447">
      <x:c r="A447" s="35" t="s">
        <x:v>126</x:v>
      </x:c>
      <x:c r="BI447" s="33" t="s"/>
      <x:c r="BJ447" s="11" t="s"/>
      <x:c r="BS447" s="13" t="s"/>
    </x:row>
    <x:row r="448">
      <x:c r="A448" s="17" t="s">
        <x:v>754</x:v>
      </x:c>
      <x:c r="BI448" s="33" t="s"/>
      <x:c r="BJ448" s="11" t="s"/>
      <x:c r="BS448" s="13" t="s"/>
    </x:row>
    <x:row r="449">
      <x:c r="A449" s="31" t="s">
        <x:v>779</x:v>
      </x:c>
      <x:c r="B449" t="s"/>
      <x:c r="C449" t="s">
        <x:v>780</x:v>
      </x:c>
      <x:c r="D449" t="s">
        <x:v>130</x:v>
      </x:c>
      <x:c r="E449" s="67" t="s">
        <x:v>131</x:v>
      </x:c>
      <x:c r="F449" t="n">
        <x:v>433</x:v>
      </x:c>
      <x:c r="G449" s="32" t="n">
        <x:v>0.0115473441108545034642032333</x:v>
      </x:c>
      <x:c r="H449" s="32" t="n">
        <x:v>0.0115473441108545034642032333</x:v>
      </x:c>
      <x:c r="I449" s="32" t="n">
        <x:v>0.0508083140877598152424942263</x:v>
      </x:c>
      <x:c r="J449" s="32" t="n">
        <x:v>0.0854503464203233256351039261</x:v>
      </x:c>
      <x:c r="K449" s="32" t="n">
        <x:v>0.1108545034642032332563510393</x:v>
      </x:c>
      <x:c r="L449" s="32" t="n">
        <x:v>0.0762124711316397228637413395</x:v>
      </x:c>
      <x:c r="M449" s="32" t="n">
        <x:v>0.0669745958429561200923787529</x:v>
      </x:c>
      <x:c r="N449" s="32" t="n">
        <x:v>0.0692840646651270207852193995</x:v>
      </x:c>
      <x:c r="O449" s="32" t="n">
        <x:v>0.0669745958429561200923787529</x:v>
      </x:c>
      <x:c r="P449" s="32" t="n">
        <x:v>0.0669745958429561200923787529</x:v>
      </x:c>
      <x:c r="Q449" s="32" t="n">
        <x:v>0.0669745958429561200923787529</x:v>
      </x:c>
      <x:c r="R449" s="32" t="n">
        <x:v>0.0669745958429561200923787529</x:v>
      </x:c>
      <x:c r="S449" s="32" t="n">
        <x:v>0.0669745958429561200923787529</x:v>
      </x:c>
      <x:c r="T449" s="32" t="n">
        <x:v>0.0669745958429561200923787529</x:v>
      </x:c>
      <x:c r="U449" s="32" t="n">
        <x:v>0.0669745958429561200923787529</x:v>
      </x:c>
      <x:c r="V449" s="32" t="n">
        <x:v>0.0669745958429561200923787529</x:v>
      </x:c>
      <x:c r="W449" s="32" t="n">
        <x:v>0.0669745958429561200923787529</x:v>
      </x:c>
      <x:c r="X449" s="32" t="n">
        <x:v>0.0669745958429561200923787529</x:v>
      </x:c>
      <x:c r="Y449" s="32" t="n">
        <x:v>0.0669745958429561200923787529</x:v>
      </x:c>
      <x:c r="Z449" s="32" t="n">
        <x:v>0.0669745958429561200923787529</x:v>
      </x:c>
      <x:c r="AA449" s="32" t="n">
        <x:v>0.0669745958429561200923787529</x:v>
      </x:c>
      <x:c r="AB449" s="32" t="n">
        <x:v>0.0669745958429561200923787529</x:v>
      </x:c>
      <x:c r="AC449" s="32" t="n">
        <x:v>0.0692840646651270207852193995</x:v>
      </x:c>
      <x:c r="AD449" s="32" t="n">
        <x:v>0.0715935334872979214780600462</x:v>
      </x:c>
      <x:c r="AE449" s="32" t="n">
        <x:v>0.0692840646651270207852193995</x:v>
      </x:c>
      <x:c r="AF449" s="32" t="n">
        <x:v>0.0692840646651270207852193995</x:v>
      </x:c>
      <x:c r="AG449" s="32" t="n">
        <x:v>0.0692840646651270207852193995</x:v>
      </x:c>
      <x:c r="AH449" s="32" t="n">
        <x:v>0.0692840646651270207852193995</x:v>
      </x:c>
      <x:c r="AI449" s="32" t="n">
        <x:v>0.0739030023094688221709006928</x:v>
      </x:c>
      <x:c r="AJ449" s="32" t="n">
        <x:v>0.0785219399538106235565819861</x:v>
      </x:c>
      <x:c r="AK449" s="32" t="n">
        <x:v>0.0739030023094688221709006928</x:v>
      </x:c>
      <x:c r="AL449" s="32" t="n">
        <x:v>0.0785219399538106235565819861</x:v>
      </x:c>
      <x:c r="AM449" s="32" t="n">
        <x:v>0.0762124711316397228637413395</x:v>
      </x:c>
      <x:c r="AN449" s="32" t="n">
        <x:v>0.0785219399538106235565819861</x:v>
      </x:c>
      <x:c r="AO449" s="32" t="n">
        <x:v>0.0785219399538106235565819861</x:v>
      </x:c>
      <x:c r="AP449" s="32" t="n">
        <x:v>0.0808314087759815242494226328</x:v>
      </x:c>
      <x:c r="AQ449" s="32" t="n">
        <x:v>0.0785219399538106235565819861</x:v>
      </x:c>
      <x:c r="AR449" s="32" t="n">
        <x:v>0.0831408775981524249422632794</x:v>
      </x:c>
      <x:c r="AS449" s="32" t="n">
        <x:v>0.0831408775981524249422632794</x:v>
      </x:c>
      <x:c r="AT449" s="32" t="n">
        <x:v>0.0854503464203233256351039261</x:v>
      </x:c>
      <x:c r="AU449" s="32" t="n">
        <x:v>0.0831408775981524249422632794</x:v>
      </x:c>
      <x:c r="AV449" s="32" t="n">
        <x:v>0.0831408775981524249422632794</x:v>
      </x:c>
      <x:c r="AW449" s="32" t="n">
        <x:v>0.0877598152424942263279445727</x:v>
      </x:c>
      <x:c r="AX449" s="32" t="n">
        <x:v>0.0877598152424942263279445727</x:v>
      </x:c>
      <x:c r="AY449" s="32" t="n">
        <x:v>0.0831408775981524249422632794</x:v>
      </x:c>
      <x:c r="AZ449" s="32" t="n">
        <x:v>0.0831408775981524249422632794</x:v>
      </x:c>
      <x:c r="BA449" s="32" t="n">
        <x:v>0.0831408775981524249422632794</x:v>
      </x:c>
      <x:c r="BB449" s="32" t="n">
        <x:v>0.0831408775981524249422632794</x:v>
      </x:c>
      <x:c r="BI449" s="33" t="s"/>
      <x:c r="BJ449" s="11" t="s">
        <x:v>403</x:v>
      </x:c>
      <x:c r="BK449" s="12" t="str">
        <x:f>=BX449</x:f>
      </x:c>
      <x:c r="BL449" s="12" t="n">
        <x:v>0.0854503464203233256351039261</x:v>
      </x:c>
      <x:c r="BM449" s="12" t="n">
        <x:v>-0.0023094688221709006928406467</x:v>
      </x:c>
      <x:c r="BN449" s="12" t="n">
        <x:v>0.9168591224018475750577367206</x:v>
      </x:c>
      <x:c r="BO449" s="12" t="str">
        <x:f>=BW449</x:f>
      </x:c>
      <x:c r="BP449" s="12" t="str">
        <x:f>=CF449</x:f>
      </x:c>
      <x:c r="BQ449" s="12" t="str"/>
      <x:c r="BR449" s="12" t="str">
        <x:v>AW 2020 EOS</x:v>
      </x:c>
      <x:c r="BS449" s="13" t="str"/>
      <x:c r="BT449" s="30" t="n">
        <x:v>394.63</x:v>
      </x:c>
      <x:c r="BU449" s="30" t="n">
        <x:v>-2491.87565550225539812545</x:v>
      </x:c>
      <x:c r="BV449" s="30" t="str">
        <x:f>=BT449+BU449</x:f>
      </x:c>
      <x:c r="BW449" s="66" t="str">
        <x:f>=BV449/BT449</x:f>
      </x:c>
      <x:c r="BX449" s="66" t="n">
        <x:v>0.0831408775981524249422632794</x:v>
      </x:c>
      <x:c r="BY449" s="30" t="n">
        <x:v>2542.919335569335461985</x:v>
      </x:c>
      <x:c r="BZ449" s="41" t="n">
        <x:v>397</x:v>
      </x:c>
      <x:c r="CA449" s="30" t="n">
        <x:v>2331.498790348790250365</x:v>
      </x:c>
      <x:c r="CC449" s="30" t="n">
        <x:v>1558.8666144964203233256351041</x:v>
      </x:c>
      <x:c r="CD449" s="30" t="n">
        <x:v>-2491.87565550225539812545</x:v>
      </x:c>
      <x:c r="CE449" s="30" t="str">
        <x:f>=CC449+CD449</x:f>
      </x:c>
      <x:c r="CF449" s="66" t="str">
        <x:f>=CE449/CC449</x:f>
      </x:c>
      <x:c r="CH449" s="66" t="str">
        <x:f>=CI449+CJ449</x:f>
      </x:c>
      <x:c r="CI449" s="66" t="str">
        <x:f>=BX449+(0*7)</x:f>
      </x:c>
      <x:c r="CJ449" s="66" t="str">
        <x:f>=(1-CI449)*0.5</x:f>
      </x:c>
      <x:c r="CK449" s="66" t="str">
        <x:f>=1-CH449</x:f>
      </x:c>
      <x:c r="CM449" s="66" t="str">
        <x:f>=CJ449/(1-CI449)</x:f>
      </x:c>
    </x:row>
    <x:row r="450">
      <x:c r="A450" s="31" t="s"/>
      <x:c r="BI450" s="33" t="s"/>
      <x:c r="BJ450" s="11" t="s"/>
      <x:c r="BS450" s="13" t="s"/>
    </x:row>
    <x:row r="451">
      <x:c r="A451" s="17" t="s">
        <x:v>43</x:v>
      </x:c>
      <x:c r="BI451" s="33" t="s"/>
      <x:c r="BJ451" s="11" t="s"/>
      <x:c r="BS451" s="13" t="s"/>
    </x:row>
    <x:row r="452">
      <x:c r="A452" s="31" t="s">
        <x:v>781</x:v>
      </x:c>
      <x:c r="B452" t="s"/>
      <x:c r="C452" t="s">
        <x:v>782</x:v>
      </x:c>
      <x:c r="D452" t="s">
        <x:v>130</x:v>
      </x:c>
      <x:c r="E452" s="67" t="s">
        <x:v>131</x:v>
      </x:c>
      <x:c r="F452" t="n">
        <x:v>518</x:v>
      </x:c>
      <x:c r="G452" s="32" t="n">
        <x:v>0.1274131274131274131274131274</x:v>
      </x:c>
      <x:c r="H452" s="32" t="n">
        <x:v>0.5849420849420849420849420849</x:v>
      </x:c>
      <x:c r="I452" s="23" t="n">
        <x:v>0.7335907335907335907335907336</x:v>
      </x:c>
      <x:c r="J452" s="32" t="n">
        <x:v>0.7586872586872586872586872587</x:v>
      </x:c>
      <x:c r="K452" s="32" t="n">
        <x:v>0.8513513513513513513513513514</x:v>
      </x:c>
      <x:c r="L452" s="32" t="n">
        <x:v>0.8571428571428571428571428571</x:v>
      </x:c>
      <x:c r="M452" s="32" t="n">
        <x:v>0.8783783783783783783783783784</x:v>
      </x:c>
      <x:c r="N452" s="32" t="n">
        <x:v>0.88996138996138996138996139</x:v>
      </x:c>
      <x:c r="O452" s="32" t="n">
        <x:v>0.8918918918918918918918918919</x:v>
      </x:c>
      <x:c r="BI452" s="33" t="s"/>
      <x:c r="BJ452" s="11" t="s">
        <x:v>161</x:v>
      </x:c>
      <x:c r="BK452" s="12" t="str">
        <x:f>=BX452</x:f>
      </x:c>
      <x:c r="BL452" s="12" t="n">
        <x:v>0.9015444015444015444015444015</x:v>
      </x:c>
      <x:c r="BM452" s="12" t="n">
        <x:v>-0.0096525096525096525096525097</x:v>
      </x:c>
      <x:c r="BN452" s="12" t="n">
        <x:v>0.1081081081081081081081081081</x:v>
      </x:c>
      <x:c r="BO452" s="12" t="str">
        <x:f>=BW452</x:f>
      </x:c>
      <x:c r="BP452" s="12" t="str">
        <x:f>=CF452</x:f>
      </x:c>
      <x:c r="BQ452" s="12" t="str"/>
      <x:c r="BR452" s="12" t="str">
        <x:v>SS 2021 EOS</x:v>
      </x:c>
      <x:c r="BS452" s="13" t="str"/>
      <x:c r="BT452" s="30" t="n">
        <x:v>6672.97</x:v>
      </x:c>
      <x:c r="BU452" s="30" t="n">
        <x:v>-4898.76407656272630000000</x:v>
      </x:c>
      <x:c r="BV452" s="30" t="str">
        <x:f>=BT452+BU452</x:f>
      </x:c>
      <x:c r="BW452" s="66" t="str">
        <x:f>=BV452/BT452</x:f>
      </x:c>
      <x:c r="BX452" s="66" t="n">
        <x:v>0.8918918918918918918918918919</x:v>
      </x:c>
      <x:c r="BY452" s="30" t="n">
        <x:v>4957.886676868790000000</x:v>
      </x:c>
      <x:c r="BZ452" s="41" t="n">
        <x:v>56</x:v>
      </x:c>
      <x:c r="CA452" s="30" t="n">
        <x:v>535.987748850680000000</x:v>
      </x:c>
      <x:c r="CC452" s="30" t="n">
        <x:v>7397.3222678515444015444015451</x:v>
      </x:c>
      <x:c r="CD452" s="30" t="n">
        <x:v>-4898.76407656272630000000</x:v>
      </x:c>
      <x:c r="CE452" s="30" t="str">
        <x:f>=CC452+CD452</x:f>
      </x:c>
      <x:c r="CF452" s="66" t="str">
        <x:f>=CE452/CC452</x:f>
      </x:c>
      <x:c r="CH452" s="66" t="str">
        <x:f>=CI452+CJ452</x:f>
      </x:c>
      <x:c r="CI452" s="66" t="str">
        <x:f>=BX452+(0.0115830115830115830115830116*7)</x:f>
      </x:c>
      <x:c r="CJ452" s="66" t="str">
        <x:f>=(1-CI452)*0.5</x:f>
      </x:c>
      <x:c r="CK452" s="66" t="str">
        <x:f>=1-CH452</x:f>
      </x:c>
      <x:c r="CM452" s="66" t="str">
        <x:f>=CJ452/(1-CI452)</x:f>
      </x:c>
    </x:row>
    <x:row r="453">
      <x:c r="A453" s="31" t="s"/>
      <x:c r="BI453" s="33" t="s"/>
      <x:c r="BJ453" s="11" t="s"/>
      <x:c r="BS453" s="13" t="s"/>
    </x:row>
    <x:row r="454">
      <x:c r="A454" s="17" t="s">
        <x:v>754</x:v>
      </x:c>
      <x:c r="BI454" s="33" t="s"/>
      <x:c r="BJ454" s="11" t="s"/>
      <x:c r="BS454" s="13" t="s"/>
    </x:row>
    <x:row r="455">
      <x:c r="A455" s="31" t="s">
        <x:v>783</x:v>
      </x:c>
      <x:c r="B455" t="s"/>
      <x:c r="C455" t="s">
        <x:v>784</x:v>
      </x:c>
      <x:c r="D455" t="s">
        <x:v>147</x:v>
      </x:c>
      <x:c r="E455" s="67" t="s">
        <x:v>131</x:v>
      </x:c>
      <x:c r="F455" t="n">
        <x:v>1006</x:v>
      </x:c>
      <x:c r="G455" s="32" t="n">
        <x:v>0.0089463220675944333996023857</x:v>
      </x:c>
      <x:c r="H455" s="32" t="n">
        <x:v>0.0308151093439363817097415507</x:v>
      </x:c>
      <x:c r="I455" s="32" t="n">
        <x:v>0.0566600397614314115308151093</x:v>
      </x:c>
      <x:c r="J455" s="32" t="n">
        <x:v>0.0576540755467196819085487078</x:v>
      </x:c>
      <x:c r="K455" s="32" t="n">
        <x:v>0.0695825049701789264413518887</x:v>
      </x:c>
      <x:c r="L455" s="32" t="n">
        <x:v>0.0765407554671968190854870775</x:v>
      </x:c>
      <x:c r="M455" s="32" t="n">
        <x:v>0.0964214711729622266401590457</x:v>
      </x:c>
      <x:c r="N455" s="32" t="n">
        <x:v>0.1172962226640159045725646123</x:v>
      </x:c>
      <x:c r="O455" s="32" t="n">
        <x:v>0.109343936381709741550695825</x:v>
      </x:c>
      <x:c r="P455" s="32" t="n">
        <x:v>0.1013916500994035785288270378</x:v>
      </x:c>
      <x:c r="Q455" s="32" t="n">
        <x:v>0.104373757455268389662027833</x:v>
      </x:c>
      <x:c r="R455" s="32" t="n">
        <x:v>0.1003976143141153081510934394</x:v>
      </x:c>
      <x:c r="S455" s="32" t="n">
        <x:v>0.0984095427435387673956262425</x:v>
      </x:c>
      <x:c r="T455" s="32" t="n">
        <x:v>0.1033797216699801192842942346</x:v>
      </x:c>
      <x:c r="U455" s="32" t="n">
        <x:v>0.104373757455268389662027833</x:v>
      </x:c>
      <x:c r="V455" s="32" t="n">
        <x:v>0.1013916500994035785288270378</x:v>
      </x:c>
      <x:c r="W455" s="32" t="n">
        <x:v>0.0944333996023856858846918489</x:v>
      </x:c>
      <x:c r="X455" s="32" t="n">
        <x:v>0.0964214711729622266401590457</x:v>
      </x:c>
      <x:c r="Y455" s="32" t="n">
        <x:v>0.0974155069582504970178926441</x:v>
      </x:c>
      <x:c r="Z455" s="32" t="n">
        <x:v>0.0944333996023856858846918489</x:v>
      </x:c>
      <x:c r="AA455" s="32" t="n">
        <x:v>0.0964214711729622266401590457</x:v>
      </x:c>
      <x:c r="AB455" s="32" t="n">
        <x:v>0.0964214711729622266401590457</x:v>
      </x:c>
      <x:c r="AC455" s="32" t="n">
        <x:v>0.0974155069582504970178926441</x:v>
      </x:c>
      <x:c r="AD455" s="32" t="n">
        <x:v>0.0964214711729622266401590457</x:v>
      </x:c>
      <x:c r="AE455" s="32" t="n">
        <x:v>0.1053677932405566600397614314</x:v>
      </x:c>
      <x:c r="AF455" s="32" t="n">
        <x:v>0.1133200795228628230616302187</x:v>
      </x:c>
      <x:c r="AG455" s="32" t="n">
        <x:v>0.1182902584493041749502982107</x:v>
      </x:c>
      <x:c r="AH455" s="32" t="n">
        <x:v>0.1312127236580516898608349901</x:v>
      </x:c>
      <x:c r="AI455" s="32" t="n">
        <x:v>0.1451292246520874751491053678</x:v>
      </x:c>
      <x:c r="AJ455" s="32" t="n">
        <x:v>0.148111332007952286282306163</x:v>
      </x:c>
      <x:c r="BI455" s="33" t="s"/>
      <x:c r="BJ455" s="11" t="s">
        <x:v>325</x:v>
      </x:c>
      <x:c r="BK455" s="12" t="str">
        <x:f>=BX455</x:f>
      </x:c>
      <x:c r="BL455" s="12" t="n">
        <x:v>0.1520874751491053677932405567</x:v>
      </x:c>
      <x:c r="BM455" s="12" t="n">
        <x:v>-0.0039761431411530815109343936</x:v>
      </x:c>
      <x:c r="BN455" s="12" t="n">
        <x:v>0.851888667992047713717693837</x:v>
      </x:c>
      <x:c r="BO455" s="12" t="str">
        <x:f>=BW455</x:f>
      </x:c>
      <x:c r="BP455" s="12" t="str">
        <x:f>=CF455</x:f>
      </x:c>
      <x:c r="BQ455" s="12" t="str"/>
      <x:c r="BR455" s="12" t="str">
        <x:v>SS 2021 EOS</x:v>
      </x:c>
      <x:c r="BS455" s="13" t="str"/>
      <x:c r="BT455" s="30" t="n">
        <x:v>3370.33</x:v>
      </x:c>
      <x:c r="BU455" s="30" t="n">
        <x:v>-12084.8768</x:v>
      </x:c>
      <x:c r="BV455" s="30" t="str">
        <x:f>=BT455+BU455</x:f>
      </x:c>
      <x:c r="BW455" s="66" t="str">
        <x:f>=BV455/BT455</x:f>
      </x:c>
      <x:c r="BX455" s="66" t="n">
        <x:v>0.148111332007952286282306163</x:v>
      </x:c>
      <x:c r="BY455" s="30" t="n">
        <x:v>10522.76</x:v>
      </x:c>
      <x:c r="BZ455" s="41" t="n">
        <x:v>857</x:v>
      </x:c>
      <x:c r="CA455" s="30" t="n">
        <x:v>8964.22</x:v>
      </x:c>
      <x:c r="CC455" s="30" t="n">
        <x:v>9362.838079825149105367793240</x:v>
      </x:c>
      <x:c r="CD455" s="30" t="n">
        <x:v>-12084.8768</x:v>
      </x:c>
      <x:c r="CE455" s="30" t="str">
        <x:f>=CC455+CD455</x:f>
      </x:c>
      <x:c r="CF455" s="66" t="str">
        <x:f>=CE455/CC455</x:f>
      </x:c>
      <x:c r="CH455" s="66" t="str">
        <x:f>=CI455+CJ455</x:f>
      </x:c>
      <x:c r="CI455" s="66" t="str">
        <x:f>=BX455+(0.0099403578528827037773359841*7)</x:f>
      </x:c>
      <x:c r="CJ455" s="66" t="str">
        <x:f>=(1-CI455)*0.5</x:f>
      </x:c>
      <x:c r="CK455" s="66" t="str">
        <x:f>=1-CH455</x:f>
      </x:c>
      <x:c r="CM455" s="66" t="str">
        <x:f>=CJ455/(1-CI455)</x:f>
      </x:c>
    </x:row>
    <x:row r="456">
      <x:c r="A456" s="31" t="s">
        <x:v>785</x:v>
      </x:c>
      <x:c r="B456" t="s"/>
      <x:c r="C456" t="s">
        <x:v>786</x:v>
      </x:c>
      <x:c r="D456" t="s">
        <x:v>147</x:v>
      </x:c>
      <x:c r="E456" s="67" t="s">
        <x:v>131</x:v>
      </x:c>
      <x:c r="F456" t="n">
        <x:v>932</x:v>
      </x:c>
      <x:c r="G456" s="32" t="n">
        <x:v>0.0085836909871244635193133047</x:v>
      </x:c>
      <x:c r="H456" s="32" t="n">
        <x:v>0.0182403433476394849785407725</x:v>
      </x:c>
      <x:c r="I456" s="32" t="n">
        <x:v>0.023605150214592274678111588</x:v>
      </x:c>
      <x:c r="J456" s="32" t="n">
        <x:v>0.0311158798283261802575107296</x:v>
      </x:c>
      <x:c r="K456" s="32" t="n">
        <x:v>0.047210300429184549356223176</x:v>
      </x:c>
      <x:c r="L456" s="32" t="n">
        <x:v>0.0708154506437768240343347639</x:v>
      </x:c>
      <x:c r="M456" s="32" t="n">
        <x:v>0.0665236051502145922746781116</x:v>
      </x:c>
      <x:c r="N456" s="32" t="n">
        <x:v>0.0890557939914163090128755365</x:v>
      </x:c>
      <x:c r="O456" s="32" t="n">
        <x:v>0.0826180257510729613733905579</x:v>
      </x:c>
      <x:c r="P456" s="32" t="n">
        <x:v>0.0815450643776824034334763948</x:v>
      </x:c>
      <x:c r="Q456" s="32" t="n">
        <x:v>0.0815450643776824034334763948</x:v>
      </x:c>
      <x:c r="R456" s="32" t="n">
        <x:v>0.0761802575107296137339055794</x:v>
      </x:c>
      <x:c r="S456" s="32" t="n">
        <x:v>0.0772532188841201716738197425</x:v>
      </x:c>
      <x:c r="T456" s="32" t="n">
        <x:v>0.0869098712446351931330472103</x:v>
      </x:c>
      <x:c r="U456" s="32" t="n">
        <x:v>0.0847639484978540772532188841</x:v>
      </x:c>
      <x:c r="V456" s="32" t="n">
        <x:v>0.0793991416309012875536480687</x:v>
      </x:c>
      <x:c r="W456" s="32" t="n">
        <x:v>0.0826180257510729613733905579</x:v>
      </x:c>
      <x:c r="X456" s="32" t="n">
        <x:v>0.0858369098712446351931330472</x:v>
      </x:c>
      <x:c r="Y456" s="32" t="n">
        <x:v>0.0912017167381974248927038627</x:v>
      </x:c>
      <x:c r="Z456" s="32" t="n">
        <x:v>0.0987124463519313304721030043</x:v>
      </x:c>
      <x:c r="AA456" s="32" t="n">
        <x:v>0.0976394849785407725321888412</x:v>
      </x:c>
      <x:c r="AB456" s="32" t="n">
        <x:v>0.0997854077253218884120171674</x:v>
      </x:c>
      <x:c r="AC456" s="32" t="n">
        <x:v>0.0987124463519313304721030043</x:v>
      </x:c>
      <x:c r="AD456" s="32" t="n">
        <x:v>0.0997854077253218884120171674</x:v>
      </x:c>
      <x:c r="AE456" s="32" t="n">
        <x:v>0.1062231759656652360515021459</x:v>
      </x:c>
      <x:c r="AF456" s="32" t="n">
        <x:v>0.1115879828326180257510729614</x:v>
      </x:c>
      <x:c r="AG456" s="32" t="n">
        <x:v>0.1212446351931330472103004292</x:v>
      </x:c>
      <x:c r="AH456" s="32" t="n">
        <x:v>0.1244635193133047210300429185</x:v>
      </x:c>
      <x:c r="AI456" s="32" t="n">
        <x:v>0.1394849785407725321888412017</x:v>
      </x:c>
      <x:c r="BI456" s="33" t="s"/>
      <x:c r="BJ456" s="11" t="s">
        <x:v>205</x:v>
      </x:c>
      <x:c r="BK456" s="12" t="str">
        <x:f>=BX456</x:f>
      </x:c>
      <x:c r="BL456" s="12" t="n">
        <x:v>0.1480686695278969957081545064</x:v>
      </x:c>
      <x:c r="BM456" s="12" t="n">
        <x:v>-0.0085836909871244635193133047</x:v>
      </x:c>
      <x:c r="BN456" s="12" t="n">
        <x:v>0.8605150214592274678111587983</x:v>
      </x:c>
      <x:c r="BO456" s="12" t="str">
        <x:f>=BW456</x:f>
      </x:c>
      <x:c r="BP456" s="12" t="str">
        <x:f>=CF456</x:f>
      </x:c>
      <x:c r="BQ456" s="12" t="str"/>
      <x:c r="BR456" s="12" t="str">
        <x:v>SS 2021 EOS</x:v>
      </x:c>
      <x:c r="BS456" s="13" t="str"/>
      <x:c r="BT456" s="30" t="n">
        <x:v>2807.23</x:v>
      </x:c>
      <x:c r="BU456" s="30" t="n">
        <x:v>-11195.9296</x:v>
      </x:c>
      <x:c r="BV456" s="30" t="str">
        <x:f>=BT456+BU456</x:f>
      </x:c>
      <x:c r="BW456" s="66" t="str">
        <x:f>=BV456/BT456</x:f>
      </x:c>
      <x:c r="BX456" s="66" t="n">
        <x:v>0.1394849785407725321888412017</x:v>
      </x:c>
      <x:c r="BY456" s="30" t="n">
        <x:v>9748.72</x:v>
      </x:c>
      <x:c r="BZ456" s="41" t="n">
        <x:v>802</x:v>
      </x:c>
      <x:c r="CA456" s="30" t="n">
        <x:v>8388.92</x:v>
      </x:c>
      <x:c r="CC456" s="30" t="n">
        <x:v>8373.983635269527896995708153</x:v>
      </x:c>
      <x:c r="CD456" s="30" t="n">
        <x:v>-11195.9296</x:v>
      </x:c>
      <x:c r="CE456" s="30" t="str">
        <x:f>=CC456+CD456</x:f>
      </x:c>
      <x:c r="CF456" s="66" t="str">
        <x:f>=CE456/CC456</x:f>
      </x:c>
      <x:c r="CH456" s="66" t="str">
        <x:f>=CI456+CJ456</x:f>
      </x:c>
      <x:c r="CI456" s="66" t="str">
        <x:f>=BX456+(0.0092989985693848354792560801*7)</x:f>
      </x:c>
      <x:c r="CJ456" s="66" t="str">
        <x:f>=(1-CI456)*0.5</x:f>
      </x:c>
      <x:c r="CK456" s="66" t="str">
        <x:f>=1-CH456</x:f>
      </x:c>
      <x:c r="CM456" s="66" t="str">
        <x:f>=CJ456/(1-CI456)</x:f>
      </x:c>
    </x:row>
    <x:row r="457">
      <x:c r="A457" s="31" t="s">
        <x:v>787</x:v>
      </x:c>
      <x:c r="B457" t="s"/>
      <x:c r="C457" t="s">
        <x:v>788</x:v>
      </x:c>
      <x:c r="D457" t="s">
        <x:v>452</x:v>
      </x:c>
      <x:c r="E457" s="67" t="s">
        <x:v>131</x:v>
      </x:c>
      <x:c r="F457" t="n">
        <x:v>505</x:v>
      </x:c>
      <x:c r="G457" s="32" t="n">
        <x:v>0.001980198019801980198019802</x:v>
      </x:c>
      <x:c r="H457" s="32" t="n">
        <x:v>0</x:v>
      </x:c>
      <x:c r="I457" s="32" t="n">
        <x:v>0.0059405940594059405940594059</x:v>
      </x:c>
      <x:c r="J457" s="32" t="n">
        <x:v>0.0059405940594059405940594059</x:v>
      </x:c>
      <x:c r="K457" s="32" t="n">
        <x:v>0.0059405940594059405940594059</x:v>
      </x:c>
      <x:c r="L457" s="32" t="n">
        <x:v>0.0059405940594059405940594059</x:v>
      </x:c>
      <x:c r="M457" s="32" t="n">
        <x:v>0.0435643564356435643564356436</x:v>
      </x:c>
      <x:c r="N457" s="32" t="n">
        <x:v>0.0653465346534653465346534653</x:v>
      </x:c>
      <x:c r="O457" s="32" t="n">
        <x:v>0.104950495049504950495049505</x:v>
      </x:c>
      <x:c r="P457" s="32" t="n">
        <x:v>0.1366336633663366336633663366</x:v>
      </x:c>
      <x:c r="Q457" s="32" t="n">
        <x:v>0.1702970297029702970297029703</x:v>
      </x:c>
      <x:c r="R457" s="32" t="n">
        <x:v>0.2099009900990099009900990099</x:v>
      </x:c>
      <x:c r="S457" s="32" t="n">
        <x:v>0.2376237623762376237623762376</x:v>
      </x:c>
      <x:c r="BI457" s="33" t="s"/>
      <x:c r="BJ457" s="11" t="s">
        <x:v>140</x:v>
      </x:c>
      <x:c r="BK457" s="12" t="str">
        <x:f>=BX457</x:f>
      </x:c>
      <x:c r="BL457" s="12" t="n">
        <x:v>0.2376237623762376237623762376</x:v>
      </x:c>
      <x:c r="BM457" s="12" t="n">
        <x:v>0</x:v>
      </x:c>
      <x:c r="BN457" s="12" t="n">
        <x:v>0.7623762376237623762376237624</x:v>
      </x:c>
      <x:c r="BO457" s="12" t="str">
        <x:f>=BW457</x:f>
      </x:c>
      <x:c r="BP457" s="12" t="str">
        <x:f>=CF457</x:f>
      </x:c>
      <x:c r="BQ457" s="12" t="str"/>
      <x:c r="BR457" s="12" t="str">
        <x:v>SS 2021 MSS</x:v>
      </x:c>
      <x:c r="BS457" s="13" t="str"/>
      <x:c r="BT457" s="30" t="n">
        <x:v>1983.75</x:v>
      </x:c>
      <x:c r="BU457" s="30" t="n">
        <x:v>-5418.5490</x:v>
      </x:c>
      <x:c r="BV457" s="30" t="str">
        <x:f>=BT457+BU457</x:f>
      </x:c>
      <x:c r="BW457" s="66" t="str">
        <x:f>=BV457/BT457</x:f>
      </x:c>
      <x:c r="BX457" s="66" t="n">
        <x:v>0.2376237623762376237623762376</x:v>
      </x:c>
      <x:c r="BY457" s="30" t="n">
        <x:v>4873.25</x:v>
      </x:c>
      <x:c r="BZ457" s="41" t="n">
        <x:v>385</x:v>
      </x:c>
      <x:c r="CA457" s="30" t="n">
        <x:v>3715.25</x:v>
      </x:c>
      <x:c r="CC457" s="30" t="n">
        <x:v>5429.8577362957095709570957109</x:v>
      </x:c>
      <x:c r="CD457" s="30" t="n">
        <x:v>-5418.5490</x:v>
      </x:c>
      <x:c r="CE457" s="30" t="str">
        <x:f>=CC457+CD457</x:f>
      </x:c>
      <x:c r="CF457" s="66" t="str">
        <x:f>=CE457/CC457</x:f>
      </x:c>
      <x:c r="CH457" s="66" t="str">
        <x:f>=CI457+CJ457</x:f>
      </x:c>
      <x:c r="CI457" s="66" t="str">
        <x:f>=BX457+(0.0336633663366336633663366337*7)</x:f>
      </x:c>
      <x:c r="CJ457" s="66" t="str">
        <x:f>=(1-CI457)*0.5</x:f>
      </x:c>
      <x:c r="CK457" s="66" t="str">
        <x:f>=1-CH457</x:f>
      </x:c>
      <x:c r="CM457" s="66" t="str">
        <x:f>=CJ457/(1-CI457)</x:f>
      </x:c>
    </x:row>
    <x:row r="458">
      <x:c r="A458" s="31" t="s">
        <x:v>789</x:v>
      </x:c>
      <x:c r="B458" t="s"/>
      <x:c r="C458" t="s">
        <x:v>790</x:v>
      </x:c>
      <x:c r="D458" t="s">
        <x:v>130</x:v>
      </x:c>
      <x:c r="E458" s="67" t="s">
        <x:v>131</x:v>
      </x:c>
      <x:c r="F458" t="n">
        <x:v>474</x:v>
      </x:c>
      <x:c r="G458" s="32" t="n">
        <x:v>0.00421940928270042194092827</x:v>
      </x:c>
      <x:c r="H458" s="32" t="n">
        <x:v>0.0189873417721518987341772152</x:v>
      </x:c>
      <x:c r="I458" s="32" t="n">
        <x:v>0.0337552742616033755274261603</x:v>
      </x:c>
      <x:c r="J458" s="32" t="n">
        <x:v>0.0485232067510548523206751055</x:v>
      </x:c>
      <x:c r="K458" s="32" t="n">
        <x:v>0.0548523206751054852320675105</x:v>
      </x:c>
      <x:c r="L458" s="32" t="n">
        <x:v>0.0590717299578059071729957806</x:v>
      </x:c>
      <x:c r="M458" s="32" t="n">
        <x:v>0.0654008438818565400843881857</x:v>
      </x:c>
      <x:c r="N458" s="32" t="n">
        <x:v>0.0717299578059071729957805907</x:v>
      </x:c>
      <x:c r="O458" s="32" t="n">
        <x:v>0.0780590717299578059071729958</x:v>
      </x:c>
      <x:c r="P458" s="32" t="n">
        <x:v>0.0780590717299578059071729958</x:v>
      </x:c>
      <x:c r="Q458" s="32" t="n">
        <x:v>0.0801687763713080168776371308</x:v>
      </x:c>
      <x:c r="R458" s="32" t="n">
        <x:v>0.0864978902953586497890295359</x:v>
      </x:c>
      <x:c r="BI458" s="33" t="s"/>
      <x:c r="BJ458" s="11" t="s">
        <x:v>314</x:v>
      </x:c>
      <x:c r="BK458" s="12" t="str">
        <x:f>=BX458</x:f>
      </x:c>
      <x:c r="BL458" s="12" t="n">
        <x:v>0.0864978902953586497890295359</x:v>
      </x:c>
      <x:c r="BM458" s="12" t="n">
        <x:v>0</x:v>
      </x:c>
      <x:c r="BN458" s="12" t="n">
        <x:v>0.9135021097046413502109704641</x:v>
      </x:c>
      <x:c r="BO458" s="12" t="str">
        <x:f>=BW458</x:f>
      </x:c>
      <x:c r="BP458" s="12" t="str">
        <x:f>=CF458</x:f>
      </x:c>
      <x:c r="BQ458" s="12" t="str"/>
      <x:c r="BR458" s="12" t="str">
        <x:v>AW 2021 MSS</x:v>
      </x:c>
      <x:c r="BS458" s="13" t="str"/>
      <x:c r="BT458" s="30" t="n">
        <x:v>683.09</x:v>
      </x:c>
      <x:c r="BU458" s="30" t="n">
        <x:v>-4772.76361969569705655800</x:v>
      </x:c>
      <x:c r="BV458" s="30" t="str">
        <x:f>=BT458+BU458</x:f>
      </x:c>
      <x:c r="BW458" s="66" t="str">
        <x:f>=BV458/BT458</x:f>
      </x:c>
      <x:c r="BX458" s="66" t="n">
        <x:v>0.0864978902953586497890295359</x:v>
      </x:c>
      <x:c r="BY458" s="30" t="n">
        <x:v>4835.836721335770161400</x:v>
      </x:c>
      <x:c r="BZ458" s="41" t="n">
        <x:v>433</x:v>
      </x:c>
      <x:c r="CA458" s="30" t="n">
        <x:v>4417.547047127401856300</x:v>
      </x:c>
      <x:c r="CC458" s="30" t="n">
        <x:v>3048.0233071791842475386779170</x:v>
      </x:c>
      <x:c r="CD458" s="30" t="n">
        <x:v>-4772.76361969569705655800</x:v>
      </x:c>
      <x:c r="CE458" s="30" t="str">
        <x:f>=CC458+CD458</x:f>
      </x:c>
      <x:c r="CF458" s="66" t="str">
        <x:f>=CE458/CC458</x:f>
      </x:c>
      <x:c r="CH458" s="66" t="str">
        <x:f>=CI458+CJ458</x:f>
      </x:c>
      <x:c r="CI458" s="66" t="str">
        <x:f>=BX458+(0.00281293952180028129395218*7)</x:f>
      </x:c>
      <x:c r="CJ458" s="66" t="str">
        <x:f>=(1-CI458)*0.5</x:f>
      </x:c>
      <x:c r="CK458" s="66" t="str">
        <x:f>=1-CH458</x:f>
      </x:c>
      <x:c r="CM458" s="66" t="str">
        <x:f>=CJ458/(1-CI458)</x:f>
      </x:c>
    </x:row>
    <x:row r="459">
      <x:c r="A459" s="31" t="s">
        <x:v>791</x:v>
      </x:c>
      <x:c r="B459" t="s"/>
      <x:c r="C459" t="s">
        <x:v>792</x:v>
      </x:c>
      <x:c r="D459" t="s">
        <x:v>130</x:v>
      </x:c>
      <x:c r="E459" s="67" t="s">
        <x:v>131</x:v>
      </x:c>
      <x:c r="F459" t="n">
        <x:v>748</x:v>
      </x:c>
      <x:c r="G459" s="32" t="n">
        <x:v>0.0013368983957219251336898396</x:v>
      </x:c>
      <x:c r="H459" s="32" t="n">
        <x:v>0.0066844919786096256684491979</x:v>
      </x:c>
      <x:c r="I459" s="32" t="n">
        <x:v>0.0173796791443850267379679144</x:v>
      </x:c>
      <x:c r="J459" s="32" t="n">
        <x:v>0.0240641711229946524064171123</x:v>
      </x:c>
      <x:c r="K459" s="32" t="n">
        <x:v>0.0240641711229946524064171123</x:v>
      </x:c>
      <x:c r="L459" s="32" t="n">
        <x:v>0.0240641711229946524064171123</x:v>
      </x:c>
      <x:c r="M459" s="32" t="n">
        <x:v>0.0254010695187165775401069519</x:v>
      </x:c>
      <x:c r="N459" s="32" t="n">
        <x:v>0.0294117647058823529411764706</x:v>
      </x:c>
      <x:c r="O459" s="32" t="n">
        <x:v>0.037433155080213903743315508</x:v>
      </x:c>
      <x:c r="P459" s="32" t="n">
        <x:v>0.0387700534759358288770053476</x:v>
      </x:c>
      <x:c r="Q459" s="32" t="n">
        <x:v>0.037433155080213903743315508</x:v>
      </x:c>
      <x:c r="BI459" s="33" t="s"/>
      <x:c r="BJ459" s="11" t="s">
        <x:v>294</x:v>
      </x:c>
      <x:c r="BK459" s="12" t="str">
        <x:f>=BX459</x:f>
      </x:c>
      <x:c r="BL459" s="12" t="n">
        <x:v>0.037433155080213903743315508</x:v>
      </x:c>
      <x:c r="BM459" s="12" t="n">
        <x:v>0</x:v>
      </x:c>
      <x:c r="BN459" s="12" t="n">
        <x:v>0.962566844919786096256684492</x:v>
      </x:c>
      <x:c r="BO459" s="12" t="str">
        <x:f>=BW459</x:f>
      </x:c>
      <x:c r="BP459" s="12" t="str">
        <x:f>=CF459</x:f>
      </x:c>
      <x:c r="BQ459" s="12" t="str"/>
      <x:c r="BR459" s="12" t="str">
        <x:v>SS 2021 EOS</x:v>
      </x:c>
      <x:c r="BS459" s="13" t="str"/>
      <x:c r="BT459" s="30" t="n">
        <x:v>246.27</x:v>
      </x:c>
      <x:c r="BU459" s="30" t="n">
        <x:v>-4072.08048075308128000000</x:v>
      </x:c>
      <x:c r="BV459" s="30" t="str">
        <x:f>=BT459+BU459</x:f>
      </x:c>
      <x:c r="BW459" s="66" t="str">
        <x:f>=BV459/BT459</x:f>
      </x:c>
      <x:c r="BX459" s="66" t="n">
        <x:v>0.037433155080213903743315508</x:v>
      </x:c>
      <x:c r="BY459" s="30" t="n">
        <x:v>4064.614928611424000000</x:v>
      </x:c>
      <x:c r="BZ459" s="41" t="n">
        <x:v>720</x:v>
      </x:c>
      <x:c r="CA459" s="30" t="n">
        <x:v>3912.463567647360000000</x:v>
      </x:c>
      <x:c r="CC459" s="30" t="n">
        <x:v>2447.8596347050802139037433142</x:v>
      </x:c>
      <x:c r="CD459" s="30" t="n">
        <x:v>-4072.08048075308128000000</x:v>
      </x:c>
      <x:c r="CE459" s="30" t="str">
        <x:f>=CC459+CD459</x:f>
      </x:c>
      <x:c r="CF459" s="66" t="str">
        <x:f>=CE459/CC459</x:f>
      </x:c>
      <x:c r="CH459" s="66" t="str">
        <x:f>=CI459+CJ459</x:f>
      </x:c>
      <x:c r="CI459" s="66" t="str">
        <x:f>=BX459+(0.0026737967914438502673796791*7)</x:f>
      </x:c>
      <x:c r="CJ459" s="66" t="str">
        <x:f>=(1-CI459)*0.5</x:f>
      </x:c>
      <x:c r="CK459" s="66" t="str">
        <x:f>=1-CH459</x:f>
      </x:c>
      <x:c r="CM459" s="66" t="str">
        <x:f>=CJ459/(1-CI459)</x:f>
      </x:c>
    </x:row>
    <x:row r="460">
      <x:c r="A460" s="31" t="s">
        <x:v>793</x:v>
      </x:c>
      <x:c r="B460" t="s"/>
      <x:c r="C460" t="s">
        <x:v>794</x:v>
      </x:c>
      <x:c r="D460" t="s">
        <x:v>130</x:v>
      </x:c>
      <x:c r="E460" s="67" t="s">
        <x:v>131</x:v>
      </x:c>
      <x:c r="F460" t="n">
        <x:v>468</x:v>
      </x:c>
      <x:c r="G460" s="32" t="n">
        <x:v>0.0042735042735042735042735043</x:v>
      </x:c>
      <x:c r="H460" s="32" t="n">
        <x:v>0.0106837606837606837606837607</x:v>
      </x:c>
      <x:c r="I460" s="32" t="n">
        <x:v>0.0341880341880341880341880342</x:v>
      </x:c>
      <x:c r="J460" s="32" t="n">
        <x:v>0.0277777777777777777777777778</x:v>
      </x:c>
      <x:c r="K460" s="32" t="n">
        <x:v>0.0299145299145299145299145299</x:v>
      </x:c>
      <x:c r="L460" s="32" t="n">
        <x:v>0.0299145299145299145299145299</x:v>
      </x:c>
      <x:c r="M460" s="32" t="n">
        <x:v>0.0320512820512820512820512821</x:v>
      </x:c>
      <x:c r="N460" s="32" t="n">
        <x:v>0.0363247863247863247863247863</x:v>
      </x:c>
      <x:c r="O460" s="32" t="n">
        <x:v>0.0448717948717948717948717949</x:v>
      </x:c>
      <x:c r="P460" s="32" t="n">
        <x:v>0.047008547008547008547008547</x:v>
      </x:c>
      <x:c r="Q460" s="32" t="n">
        <x:v>0.0534188034188034188034188034</x:v>
      </x:c>
      <x:c r="BI460" s="33" t="s"/>
      <x:c r="BJ460" s="11" t="s">
        <x:v>294</x:v>
      </x:c>
      <x:c r="BK460" s="12" t="str">
        <x:f>=BX460</x:f>
      </x:c>
      <x:c r="BL460" s="12" t="n">
        <x:v>0.0534188034188034188034188034</x:v>
      </x:c>
      <x:c r="BM460" s="12" t="n">
        <x:v>0</x:v>
      </x:c>
      <x:c r="BN460" s="12" t="n">
        <x:v>0.9465811965811965811965811966</x:v>
      </x:c>
      <x:c r="BO460" s="12" t="str">
        <x:f>=BW460</x:f>
      </x:c>
      <x:c r="BP460" s="12" t="str">
        <x:f>=CF460</x:f>
      </x:c>
      <x:c r="BQ460" s="12" t="str"/>
      <x:c r="BR460" s="12" t="str">
        <x:v>SS 2021 EOS</x:v>
      </x:c>
      <x:c r="BS460" s="13" t="str"/>
      <x:c r="BT460" s="30" t="n">
        <x:v>410.18</x:v>
      </x:c>
      <x:c r="BU460" s="30" t="n">
        <x:v>-4712.34889033246038495600</x:v>
      </x:c>
      <x:c r="BV460" s="30" t="str">
        <x:f>=BT460+BU460</x:f>
      </x:c>
      <x:c r="BW460" s="66" t="str">
        <x:f>=BV460/BT460</x:f>
      </x:c>
      <x:c r="BX460" s="66" t="n">
        <x:v>0.0534188034188034188034188034</x:v>
      </x:c>
      <x:c r="BY460" s="30" t="n">
        <x:v>4774.623598280886994800</x:v>
      </x:c>
      <x:c r="BZ460" s="41" t="n">
        <x:v>443</x:v>
      </x:c>
      <x:c r="CA460" s="30" t="n">
        <x:v>4519.568918885540467300</x:v>
      </x:c>
      <x:c r="CC460" s="30" t="n">
        <x:v>2940.3248377811965811965811969</x:v>
      </x:c>
      <x:c r="CD460" s="30" t="n">
        <x:v>-4712.34889033246038495600</x:v>
      </x:c>
      <x:c r="CE460" s="30" t="str">
        <x:f>=CC460+CD460</x:f>
      </x:c>
      <x:c r="CF460" s="66" t="str">
        <x:f>=CE460/CC460</x:f>
      </x:c>
      <x:c r="CH460" s="66" t="str">
        <x:f>=CI460+CJ460</x:f>
      </x:c>
      <x:c r="CI460" s="66" t="str">
        <x:f>=BX460+(0.0056980056980056980056980057*7)</x:f>
      </x:c>
      <x:c r="CJ460" s="66" t="str">
        <x:f>=(1-CI460)*0.5</x:f>
      </x:c>
      <x:c r="CK460" s="66" t="str">
        <x:f>=1-CH460</x:f>
      </x:c>
      <x:c r="CM460" s="66" t="str">
        <x:f>=CJ460/(1-CI460)</x:f>
      </x:c>
    </x:row>
    <x:row r="461">
      <x:c r="A461" s="31" t="s">
        <x:v>795</x:v>
      </x:c>
      <x:c r="B461" t="s"/>
      <x:c r="C461" t="s">
        <x:v>792</x:v>
      </x:c>
      <x:c r="D461" t="s">
        <x:v>130</x:v>
      </x:c>
      <x:c r="E461" s="67" t="s">
        <x:v>131</x:v>
      </x:c>
      <x:c r="F461" t="n">
        <x:v>750</x:v>
      </x:c>
      <x:c r="G461" s="32" t="n">
        <x:v>0.0053333333333333333333333333</x:v>
      </x:c>
      <x:c r="H461" s="32" t="n">
        <x:v>0.008</x:v>
      </x:c>
      <x:c r="I461" s="32" t="n">
        <x:v>0.0093333333333333333333333333</x:v>
      </x:c>
      <x:c r="J461" s="32" t="n">
        <x:v>0.008</x:v>
      </x:c>
      <x:c r="K461" s="32" t="n">
        <x:v>0.0066666666666666666666666667</x:v>
      </x:c>
      <x:c r="L461" s="32" t="n">
        <x:v>0.0133333333333333333333333333</x:v>
      </x:c>
      <x:c r="M461" s="32" t="n">
        <x:v>0.0186666666666666666666666667</x:v>
      </x:c>
      <x:c r="N461" s="32" t="n">
        <x:v>0.0173333333333333333333333333</x:v>
      </x:c>
      <x:c r="O461" s="32" t="n">
        <x:v>0.016</x:v>
      </x:c>
      <x:c r="P461" s="32" t="n">
        <x:v>0.016</x:v>
      </x:c>
      <x:c r="BI461" s="33" t="s"/>
      <x:c r="BJ461" s="11" t="s">
        <x:v>148</x:v>
      </x:c>
      <x:c r="BK461" s="12" t="str">
        <x:f>=BX461</x:f>
      </x:c>
      <x:c r="BL461" s="12" t="n">
        <x:v>0.016</x:v>
      </x:c>
      <x:c r="BM461" s="12" t="n">
        <x:v>0</x:v>
      </x:c>
      <x:c r="BN461" s="12" t="n">
        <x:v>0.984</x:v>
      </x:c>
      <x:c r="BO461" s="12" t="str">
        <x:f>=BW461</x:f>
      </x:c>
      <x:c r="BP461" s="12" t="str">
        <x:f>=CF461</x:f>
      </x:c>
      <x:c r="BQ461" s="12" t="str"/>
      <x:c r="BR461" s="12" t="str">
        <x:v>SS 2021 EOS</x:v>
      </x:c>
      <x:c r="BS461" s="13" t="str"/>
      <x:c r="BT461" s="30" t="n">
        <x:v>103.21</x:v>
      </x:c>
      <x:c r="BU461" s="30" t="n">
        <x:v>-4082.96839647702000000000</x:v>
      </x:c>
      <x:c r="BV461" s="30" t="str">
        <x:f>=BT461+BU461</x:f>
      </x:c>
      <x:c r="BW461" s="66" t="str">
        <x:f>=BV461/BT461</x:f>
      </x:c>
      <x:c r="BX461" s="66" t="n">
        <x:v>0.016</x:v>
      </x:c>
      <x:c r="BY461" s="30" t="n">
        <x:v>4075.482882966000000000</x:v>
      </x:c>
      <x:c r="BZ461" s="41" t="n">
        <x:v>738</x:v>
      </x:c>
      <x:c r="CA461" s="30" t="n">
        <x:v>4010.275156838544000000</x:v>
      </x:c>
      <x:c r="CC461" s="30" t="n">
        <x:v>2261.8781586500000000000000</x:v>
      </x:c>
      <x:c r="CD461" s="30" t="n">
        <x:v>-4082.96839647702000000000</x:v>
      </x:c>
      <x:c r="CE461" s="30" t="str">
        <x:f>=CC461+CD461</x:f>
      </x:c>
      <x:c r="CF461" s="66" t="str">
        <x:f>=CE461/CC461</x:f>
      </x:c>
      <x:c r="CH461" s="66" t="str">
        <x:f>=CI461+CJ461</x:f>
      </x:c>
      <x:c r="CI461" s="66" t="str">
        <x:f>=BX461+(0*7)</x:f>
      </x:c>
      <x:c r="CJ461" s="66" t="str">
        <x:f>=(1-CI461)*0.5</x:f>
      </x:c>
      <x:c r="CK461" s="66" t="str">
        <x:f>=1-CH461</x:f>
      </x:c>
      <x:c r="CM461" s="66" t="str">
        <x:f>=CJ461/(1-CI461)</x:f>
      </x:c>
    </x:row>
    <x:row r="462">
      <x:c r="A462" s="31" t="s">
        <x:v>796</x:v>
      </x:c>
      <x:c r="B462" t="s"/>
      <x:c r="C462" t="s">
        <x:v>797</x:v>
      </x:c>
      <x:c r="D462" t="s">
        <x:v>274</x:v>
      </x:c>
      <x:c r="E462" s="67" t="s">
        <x:v>131</x:v>
      </x:c>
      <x:c r="F462" t="n">
        <x:v>1475</x:v>
      </x:c>
      <x:c r="G462" s="32" t="n">
        <x:v>0.0094915254237288135593220339</x:v>
      </x:c>
      <x:c r="H462" s="32" t="n">
        <x:v>0.0122033898305084745762711864</x:v>
      </x:c>
      <x:c r="I462" s="32" t="n">
        <x:v>0.0284745762711864406779661017</x:v>
      </x:c>
      <x:c r="J462" s="32" t="n">
        <x:v>0.0488135593220338983050847458</x:v>
      </x:c>
      <x:c r="K462" s="32" t="n">
        <x:v>0.0589830508474576271186440678</x:v>
      </x:c>
      <x:c r="L462" s="32" t="n">
        <x:v>0.0576271186440677966101694915</x:v>
      </x:c>
      <x:c r="M462" s="32" t="n">
        <x:v>0.0535593220338983050847457627</x:v>
      </x:c>
      <x:c r="BI462" s="33" t="s"/>
      <x:c r="BJ462" s="11" t="s">
        <x:v>400</x:v>
      </x:c>
      <x:c r="BK462" s="12" t="str">
        <x:f>=BX462</x:f>
      </x:c>
      <x:c r="BL462" s="12" t="n">
        <x:v>0.0542372881355932203389830508</x:v>
      </x:c>
      <x:c r="BM462" s="12" t="n">
        <x:v>-0.0006779661016949152542372881</x:v>
      </x:c>
      <x:c r="BN462" s="12" t="n">
        <x:v>0.9464406779661016949152542373</x:v>
      </x:c>
      <x:c r="BO462" s="12" t="str">
        <x:f>=BW462</x:f>
      </x:c>
      <x:c r="BP462" s="12" t="str">
        <x:f>=CF462</x:f>
      </x:c>
      <x:c r="BQ462" s="12" t="str"/>
      <x:c r="BR462" s="12" t="str">
        <x:v>SS 2021 EOS</x:v>
      </x:c>
      <x:c r="BS462" s="13" t="str"/>
      <x:c r="BT462" s="30" t="n">
        <x:v>1062.87</x:v>
      </x:c>
      <x:c r="BU462" s="30" t="n">
        <x:v>-11199.23250</x:v>
      </x:c>
      <x:c r="BV462" s="30" t="str">
        <x:f>=BT462+BU462</x:f>
      </x:c>
      <x:c r="BW462" s="66" t="str">
        <x:f>=BV462/BT462</x:f>
      </x:c>
      <x:c r="BX462" s="66" t="n">
        <x:v>0.0535593220338983050847457627</x:v>
      </x:c>
      <x:c r="BY462" s="30" t="n">
        <x:v>10251.25</x:v>
      </x:c>
      <x:c r="BZ462" s="41" t="n">
        <x:v>1396</x:v>
      </x:c>
      <x:c r="CA462" s="30" t="n">
        <x:v>9702.20</x:v>
      </x:c>
      <x:c r="CC462" s="30" t="n">
        <x:v>7126.2747450770244821092278666</x:v>
      </x:c>
      <x:c r="CD462" s="30" t="n">
        <x:v>-11199.23250</x:v>
      </x:c>
      <x:c r="CE462" s="30" t="str">
        <x:f>=CC462+CD462</x:f>
      </x:c>
      <x:c r="CF462" s="66" t="str">
        <x:f>=CE462/CC462</x:f>
      </x:c>
      <x:c r="CH462" s="66" t="str">
        <x:f>=CI462+CJ462</x:f>
      </x:c>
      <x:c r="CI462" s="66" t="str">
        <x:f>=BX462+(0.0015819209039548022598870056*7)</x:f>
      </x:c>
      <x:c r="CJ462" s="66" t="str">
        <x:f>=(1-CI462)*0.5</x:f>
      </x:c>
      <x:c r="CK462" s="66" t="str">
        <x:f>=1-CH462</x:f>
      </x:c>
      <x:c r="CM462" s="66" t="str">
        <x:f>=CJ462/(1-CI462)</x:f>
      </x:c>
    </x:row>
    <x:row r="463">
      <x:c r="A463" s="31" t="s">
        <x:v>798</x:v>
      </x:c>
      <x:c r="B463" t="s"/>
      <x:c r="C463" t="s">
        <x:v>799</x:v>
      </x:c>
      <x:c r="D463" t="s">
        <x:v>274</x:v>
      </x:c>
      <x:c r="E463" s="67" t="s">
        <x:v>131</x:v>
      </x:c>
      <x:c r="F463" t="n">
        <x:v>1499</x:v>
      </x:c>
      <x:c r="G463" s="32" t="n">
        <x:v>0.0106737825216811207471647765</x:v>
      </x:c>
      <x:c r="H463" s="32" t="n">
        <x:v>0.0173448965977318212141427618</x:v>
      </x:c>
      <x:c r="I463" s="32" t="n">
        <x:v>0.0193462308205470313542361574</x:v>
      </x:c>
      <x:c r="J463" s="32" t="n">
        <x:v>0.0226817878585723815877251501</x:v>
      </x:c>
      <x:c r="K463" s="32" t="n">
        <x:v>0.0280186791194129419613075384</x:v>
      </x:c>
      <x:c r="L463" s="32" t="n">
        <x:v>0.0240160106737825216811207472</x:v>
      </x:c>
      <x:c r="M463" s="32" t="n">
        <x:v>0.0246831220813875917278185457</x:v>
      </x:c>
      <x:c r="BI463" s="33" t="s"/>
      <x:c r="BJ463" s="11" t="s">
        <x:v>400</x:v>
      </x:c>
      <x:c r="BK463" s="12" t="str">
        <x:f>=BX463</x:f>
      </x:c>
      <x:c r="BL463" s="12" t="n">
        <x:v>0.0246831220813875917278185457</x:v>
      </x:c>
      <x:c r="BM463" s="12" t="n">
        <x:v>0</x:v>
      </x:c>
      <x:c r="BN463" s="12" t="n">
        <x:v>0.9753168779186124082721814543</x:v>
      </x:c>
      <x:c r="BO463" s="12" t="str">
        <x:f>=BW463</x:f>
      </x:c>
      <x:c r="BP463" s="12" t="str">
        <x:f>=CF463</x:f>
      </x:c>
      <x:c r="BQ463" s="12" t="str"/>
      <x:c r="BR463" s="12" t="str">
        <x:v>SS 2021 EOS</x:v>
      </x:c>
      <x:c r="BS463" s="13" t="str"/>
      <x:c r="BT463" s="30" t="n">
        <x:v>499.44</x:v>
      </x:c>
      <x:c r="BU463" s="30" t="n">
        <x:v>-11381.45730</x:v>
      </x:c>
      <x:c r="BV463" s="30" t="str">
        <x:f>=BT463+BU463</x:f>
      </x:c>
      <x:c r="BW463" s="66" t="str">
        <x:f>=BV463/BT463</x:f>
      </x:c>
      <x:c r="BX463" s="66" t="n">
        <x:v>0.0246831220813875917278185457</x:v>
      </x:c>
      <x:c r="BY463" s="30" t="n">
        <x:v>10418.05</x:v>
      </x:c>
      <x:c r="BZ463" s="41" t="n">
        <x:v>1462</x:v>
      </x:c>
      <x:c r="CA463" s="30" t="n">
        <x:v>10160.90</x:v>
      </x:c>
      <x:c r="CC463" s="30" t="n">
        <x:v>6745.4292624137480542583944816</x:v>
      </x:c>
      <x:c r="CD463" s="30" t="n">
        <x:v>-11381.45730</x:v>
      </x:c>
      <x:c r="CE463" s="30" t="str">
        <x:f>=CC463+CD463</x:f>
      </x:c>
      <x:c r="CF463" s="66" t="str">
        <x:f>=CE463/CC463</x:f>
      </x:c>
      <x:c r="CH463" s="66" t="str">
        <x:f>=CI463+CJ463</x:f>
      </x:c>
      <x:c r="CI463" s="66" t="str">
        <x:f>=BX463+(0.0006671114076050700466977985*7)</x:f>
      </x:c>
      <x:c r="CJ463" s="66" t="str">
        <x:f>=(1-CI463)*0.5</x:f>
      </x:c>
      <x:c r="CK463" s="66" t="str">
        <x:f>=1-CH463</x:f>
      </x:c>
      <x:c r="CM463" s="66" t="str">
        <x:f>=CJ463/(1-CI463)</x:f>
      </x:c>
    </x:row>
    <x:row r="464">
      <x:c r="A464" s="31" t="s">
        <x:v>800</x:v>
      </x:c>
      <x:c r="B464" t="s"/>
      <x:c r="C464" t="s">
        <x:v>801</x:v>
      </x:c>
      <x:c r="D464" t="s">
        <x:v>274</x:v>
      </x:c>
      <x:c r="E464" s="67" t="s">
        <x:v>131</x:v>
      </x:c>
      <x:c r="F464" t="n">
        <x:v>1477</x:v>
      </x:c>
      <x:c r="G464" s="32" t="n">
        <x:v>0.0047393364928909952606635071</x:v>
      </x:c>
      <x:c r="H464" s="32" t="n">
        <x:v>0.0047393364928909952606635071</x:v>
      </x:c>
      <x:c r="I464" s="32" t="n">
        <x:v>0.0040622884224779959377115775</x:v>
      </x:c>
      <x:c r="J464" s="32" t="n">
        <x:v>0.0088016249153689911983750846</x:v>
      </x:c>
      <x:c r="K464" s="32" t="n">
        <x:v>0.008124576844955991875423155</x:v>
      </x:c>
      <x:c r="L464" s="32" t="n">
        <x:v>0.0094786729857819905213270142</x:v>
      </x:c>
      <x:c r="M464" s="32" t="n">
        <x:v>0.0088016249153689911983750846</x:v>
      </x:c>
      <x:c r="BI464" s="33" t="s"/>
      <x:c r="BJ464" s="11" t="s">
        <x:v>400</x:v>
      </x:c>
      <x:c r="BK464" s="12" t="str">
        <x:f>=BX464</x:f>
      </x:c>
      <x:c r="BL464" s="12" t="n">
        <x:v>0.0088016249153689911983750846</x:v>
      </x:c>
      <x:c r="BM464" s="12" t="n">
        <x:v>0</x:v>
      </x:c>
      <x:c r="BN464" s="12" t="n">
        <x:v>0.9911983750846310088016249154</x:v>
      </x:c>
      <x:c r="BO464" s="12" t="str">
        <x:f>=BW464</x:f>
      </x:c>
      <x:c r="BP464" s="12" t="str">
        <x:f>=CF464</x:f>
      </x:c>
      <x:c r="BQ464" s="12" t="str"/>
      <x:c r="BR464" s="12" t="str">
        <x:v>SS 2021 EOS</x:v>
      </x:c>
      <x:c r="BS464" s="13" t="str"/>
      <x:c r="BT464" s="30" t="n">
        <x:v>180.64</x:v>
      </x:c>
      <x:c r="BU464" s="30" t="n">
        <x:v>-11371.86610</x:v>
      </x:c>
      <x:c r="BV464" s="30" t="str">
        <x:f>=BT464+BU464</x:f>
      </x:c>
      <x:c r="BW464" s="66" t="str">
        <x:f>=BV464/BT464</x:f>
      </x:c>
      <x:c r="BX464" s="66" t="n">
        <x:v>0.0088016249153689911983750846</x:v>
      </x:c>
      <x:c r="BY464" s="30" t="n">
        <x:v>10412.85</x:v>
      </x:c>
      <x:c r="BZ464" s="41" t="n">
        <x:v>1464</x:v>
      </x:c>
      <x:c r="CA464" s="30" t="n">
        <x:v>10321.20</x:v>
      </x:c>
      <x:c r="CC464" s="30" t="n">
        <x:v>6366.0549870249153689911983751</x:v>
      </x:c>
      <x:c r="CD464" s="30" t="n">
        <x:v>-11371.86610</x:v>
      </x:c>
      <x:c r="CE464" s="30" t="str">
        <x:f>=CC464+CD464</x:f>
      </x:c>
      <x:c r="CF464" s="66" t="str">
        <x:f>=CE464/CC464</x:f>
      </x:c>
      <x:c r="CH464" s="66" t="str">
        <x:f>=CI464+CJ464</x:f>
      </x:c>
      <x:c r="CI464" s="66" t="str">
        <x:f>=BX464+(0*7)</x:f>
      </x:c>
      <x:c r="CJ464" s="66" t="str">
        <x:f>=(1-CI464)*0.5</x:f>
      </x:c>
      <x:c r="CK464" s="66" t="str">
        <x:f>=1-CH464</x:f>
      </x:c>
      <x:c r="CM464" s="66" t="str">
        <x:f>=CJ464/(1-CI464)</x:f>
      </x:c>
    </x:row>
    <x:row r="465">
      <x:c r="A465" s="31" t="s">
        <x:v>802</x:v>
      </x:c>
      <x:c r="B465" t="s"/>
      <x:c r="C465" t="s">
        <x:v>803</x:v>
      </x:c>
      <x:c r="D465" t="s">
        <x:v>274</x:v>
      </x:c>
      <x:c r="E465" s="67" t="s">
        <x:v>131</x:v>
      </x:c>
      <x:c r="F465" t="n">
        <x:v>1474</x:v>
      </x:c>
      <x:c r="G465" s="32" t="n">
        <x:v>0.0054274084124830393487109905</x:v>
      </x:c>
      <x:c r="H465" s="32" t="n">
        <x:v>0.0128900949796472184531886024</x:v>
      </x:c>
      <x:c r="I465" s="32" t="n">
        <x:v>0.0196743554952510176390773406</x:v>
      </x:c>
      <x:c r="J465" s="32" t="n">
        <x:v>0.0291723202170963364993215739</x:v>
      </x:c>
      <x:c r="K465" s="32" t="n">
        <x:v>0.0379918588873812754409769335</x:v>
      </x:c>
      <x:c r="L465" s="32" t="n">
        <x:v>0.0386702849389416553595658073</x:v>
      </x:c>
      <x:c r="M465" s="32" t="n">
        <x:v>0.040027137042062415196743555</x:v>
      </x:c>
      <x:c r="BI465" s="33" t="s"/>
      <x:c r="BJ465" s="11" t="s">
        <x:v>400</x:v>
      </x:c>
      <x:c r="BK465" s="12" t="str">
        <x:f>=BX465</x:f>
      </x:c>
      <x:c r="BL465" s="12" t="n">
        <x:v>0.040027137042062415196743555</x:v>
      </x:c>
      <x:c r="BM465" s="12" t="n">
        <x:v>0</x:v>
      </x:c>
      <x:c r="BN465" s="12" t="n">
        <x:v>0.959972862957937584803256445</x:v>
      </x:c>
      <x:c r="BO465" s="12" t="str">
        <x:f>=BW465</x:f>
      </x:c>
      <x:c r="BP465" s="12" t="str">
        <x:f>=CF465</x:f>
      </x:c>
      <x:c r="BQ465" s="12" t="str"/>
      <x:c r="BR465" s="12" t="str">
        <x:v>SS 2021 EOS</x:v>
      </x:c>
      <x:c r="BS465" s="13" t="str"/>
      <x:c r="BT465" s="30" t="n">
        <x:v>789.78</x:v>
      </x:c>
      <x:c r="BU465" s="30" t="n">
        <x:v>-11348.76820</x:v>
      </x:c>
      <x:c r="BV465" s="30" t="str">
        <x:f>=BT465+BU465</x:f>
      </x:c>
      <x:c r="BW465" s="66" t="str">
        <x:f>=BV465/BT465</x:f>
      </x:c>
      <x:c r="BX465" s="66" t="n">
        <x:v>0.040027137042062415196743555</x:v>
      </x:c>
      <x:c r="BY465" s="30" t="n">
        <x:v>10391.70</x:v>
      </x:c>
      <x:c r="BZ465" s="41" t="n">
        <x:v>1415</x:v>
      </x:c>
      <x:c r="CA465" s="30" t="n">
        <x:v>9975.75</x:v>
      </x:c>
      <x:c r="CC465" s="30" t="n">
        <x:v>7136.2458180009309513040856384</x:v>
      </x:c>
      <x:c r="CD465" s="30" t="n">
        <x:v>-11348.76820</x:v>
      </x:c>
      <x:c r="CE465" s="30" t="str">
        <x:f>=CC465+CD465</x:f>
      </x:c>
      <x:c r="CF465" s="66" t="str">
        <x:f>=CE465/CC465</x:f>
      </x:c>
      <x:c r="CH465" s="66" t="str">
        <x:f>=CI465+CJ465</x:f>
      </x:c>
      <x:c r="CI465" s="66" t="str">
        <x:f>=BX465+(0.0036182722749886928991406604*7)</x:f>
      </x:c>
      <x:c r="CJ465" s="66" t="str">
        <x:f>=(1-CI465)*0.5</x:f>
      </x:c>
      <x:c r="CK465" s="66" t="str">
        <x:f>=1-CH465</x:f>
      </x:c>
      <x:c r="CM465" s="66" t="str">
        <x:f>=CJ465/(1-CI465)</x:f>
      </x:c>
    </x:row>
    <x:row r="466">
      <x:c r="A466" s="31" t="s"/>
      <x:c r="BI466" s="33" t="s"/>
      <x:c r="BJ466" s="11" t="s"/>
      <x:c r="BS466" s="13" t="s"/>
    </x:row>
    <x:row r="467">
      <x:c r="A467" s="17" t="s">
        <x:v>761</x:v>
      </x:c>
      <x:c r="BI467" s="33" t="s"/>
      <x:c r="BJ467" s="11" t="s"/>
      <x:c r="BS467" s="13" t="s"/>
    </x:row>
    <x:row r="468">
      <x:c r="A468" s="31" t="s">
        <x:v>804</x:v>
      </x:c>
      <x:c r="B468" t="s">
        <x:v>116</x:v>
      </x:c>
      <x:c r="C468" t="s">
        <x:v>805</x:v>
      </x:c>
      <x:c r="D468" t="s">
        <x:v>147</x:v>
      </x:c>
      <x:c r="E468" s="67" t="s">
        <x:v>131</x:v>
      </x:c>
      <x:c r="F468" t="n">
        <x:v>1996</x:v>
      </x:c>
      <x:c r="G468" s="32" t="n">
        <x:v>0.0005010020040080160320641283</x:v>
      </x:c>
      <x:c r="H468" s="32" t="n">
        <x:v>0.0075150300601202404809619238</x:v>
      </x:c>
      <x:c r="I468" s="32" t="n">
        <x:v>0.0100200400801603206412825651</x:v>
      </x:c>
      <x:c r="BI468" s="33" t="s"/>
      <x:c r="BJ468" s="11" t="s">
        <x:v>526</x:v>
      </x:c>
      <x:c r="BK468" s="12" t="str">
        <x:f>=BX468</x:f>
      </x:c>
      <x:c r="BL468" s="12" t="n">
        <x:v>0.0100200400801603206412825651</x:v>
      </x:c>
      <x:c r="BM468" s="12" t="n">
        <x:v>0</x:v>
      </x:c>
      <x:c r="BN468" s="12" t="n">
        <x:v>0.9899799599198396793587174349</x:v>
      </x:c>
      <x:c r="BO468" s="12" t="str">
        <x:f>=BW468</x:f>
      </x:c>
      <x:c r="BP468" s="12" t="str">
        <x:f>=CF468</x:f>
      </x:c>
      <x:c r="BQ468" s="12" t="str"/>
      <x:c r="BR468" s="12" t="str">
        <x:v>SS 2021 MSS</x:v>
      </x:c>
      <x:c r="BS468" s="13" t="str"/>
      <x:c r="BT468" s="30" t="n">
        <x:v>270.80</x:v>
      </x:c>
      <x:c r="BU468" s="30" t="n">
        <x:v>-19282.9568</x:v>
      </x:c>
      <x:c r="BV468" s="30" t="str">
        <x:f>=BT468+BU468</x:f>
      </x:c>
      <x:c r="BW468" s="66" t="str">
        <x:f>=BV468/BT468</x:f>
      </x:c>
      <x:c r="BX468" s="66" t="n">
        <x:v>0.0100200400801603206412825651</x:v>
      </x:c>
      <x:c r="BY468" s="30" t="n">
        <x:v>16686.56</x:v>
      </x:c>
      <x:c r="BZ468" s="41" t="n">
        <x:v>1976</x:v>
      </x:c>
      <x:c r="CA468" s="30" t="n">
        <x:v>16519.36</x:v>
      </x:c>
      <x:c r="CC468" s="30" t="n">
        <x:v>12751.641500859080160320641282</x:v>
      </x:c>
      <x:c r="CD468" s="30" t="n">
        <x:v>-19282.9568</x:v>
      </x:c>
      <x:c r="CE468" s="30" t="str">
        <x:f>=CC468+CD468</x:f>
      </x:c>
      <x:c r="CF468" s="66" t="str">
        <x:f>=CE468/CC468</x:f>
      </x:c>
      <x:c r="CH468" s="66" t="str">
        <x:f>=CI468+CJ468</x:f>
      </x:c>
      <x:c r="CI468" s="66" t="str">
        <x:f>=BX468+(0.03*7)</x:f>
      </x:c>
      <x:c r="CJ468" s="66" t="str">
        <x:f>=(1-CI468)*0.5</x:f>
      </x:c>
      <x:c r="CK468" s="66" t="str">
        <x:f>=1-CH468</x:f>
      </x:c>
      <x:c r="CM468" s="66" t="str">
        <x:f>=CJ468/(1-CI468)</x:f>
      </x:c>
    </x:row>
    <x:row r="469">
      <x:c r="A469" s="31" t="s">
        <x:v>806</x:v>
      </x:c>
      <x:c r="B469" t="s">
        <x:v>116</x:v>
      </x:c>
      <x:c r="C469" t="s">
        <x:v>807</x:v>
      </x:c>
      <x:c r="D469" t="s">
        <x:v>147</x:v>
      </x:c>
      <x:c r="E469" s="67" t="s">
        <x:v>131</x:v>
      </x:c>
      <x:c r="F469" t="n">
        <x:v>1514</x:v>
      </x:c>
      <x:c r="G469" s="32" t="n">
        <x:v>0.0085865257595772787318361955</x:v>
      </x:c>
      <x:c r="H469" s="32" t="n">
        <x:v>0.007926023778071334214002642</x:v>
      </x:c>
      <x:c r="BI469" s="33" t="s"/>
      <x:c r="BJ469" s="11" t="s">
        <x:v>808</x:v>
      </x:c>
      <x:c r="BK469" s="12" t="str">
        <x:f>=BX469</x:f>
      </x:c>
      <x:c r="BL469" s="12" t="n">
        <x:v>0.007926023778071334214002642</x:v>
      </x:c>
      <x:c r="BM469" s="12" t="n">
        <x:v>0</x:v>
      </x:c>
      <x:c r="BN469" s="12" t="n">
        <x:v>0.992073976221928665785997358</x:v>
      </x:c>
      <x:c r="BO469" s="12" t="str">
        <x:f>=BW469</x:f>
      </x:c>
      <x:c r="BP469" s="12" t="str">
        <x:f>=CF469</x:f>
      </x:c>
      <x:c r="BQ469" s="12" t="str"/>
      <x:c r="BR469" s="12" t="str">
        <x:v>SS 2021 MSS</x:v>
      </x:c>
      <x:c r="BS469" s="13" t="str"/>
      <x:c r="BT469" s="30" t="n">
        <x:v>162.48</x:v>
      </x:c>
      <x:c r="BU469" s="30" t="n">
        <x:v>-14626.4512</x:v>
      </x:c>
      <x:c r="BV469" s="30" t="str">
        <x:f>=BT469+BU469</x:f>
      </x:c>
      <x:c r="BW469" s="66" t="str">
        <x:f>=BV469/BT469</x:f>
      </x:c>
      <x:c r="BX469" s="66" t="n">
        <x:v>0.007926023778071334214002642</x:v>
      </x:c>
      <x:c r="BY469" s="30" t="n">
        <x:v>12657.04</x:v>
      </x:c>
      <x:c r="BZ469" s="41" t="n">
        <x:v>1502</x:v>
      </x:c>
      <x:c r="CA469" s="30" t="n">
        <x:v>12556.72</x:v>
      </x:c>
      <x:c r="CC469" s="30" t="n">
        <x:v>9642.805906332278071334214003</x:v>
      </x:c>
      <x:c r="CD469" s="30" t="n">
        <x:v>-14626.4512</x:v>
      </x:c>
      <x:c r="CE469" s="30" t="str">
        <x:f>=CC469+CD469</x:f>
      </x:c>
      <x:c r="CF469" s="66" t="str">
        <x:f>=CE469/CC469</x:f>
      </x:c>
      <x:c r="CH469" s="66" t="str">
        <x:f>=CI469+CJ469</x:f>
      </x:c>
      <x:c r="CI469" s="66" t="str">
        <x:f>=BX469+(0.03*7)</x:f>
      </x:c>
      <x:c r="CJ469" s="66" t="str">
        <x:f>=(1-CI469)*0.5</x:f>
      </x:c>
      <x:c r="CK469" s="66" t="str">
        <x:f>=1-CH469</x:f>
      </x:c>
      <x:c r="CM469" s="66" t="str">
        <x:f>=CJ469/(1-CI469)</x:f>
      </x:c>
    </x:row>
    <x:row r="470">
      <x:c r="A470" s="31" t="s">
        <x:v>809</x:v>
      </x:c>
      <x:c r="B470" t="s"/>
      <x:c r="C470" t="s">
        <x:v>810</x:v>
      </x:c>
      <x:c r="D470" t="s">
        <x:v>193</x:v>
      </x:c>
      <x:c r="E470" s="67" t="s">
        <x:v>131</x:v>
      </x:c>
      <x:c r="F470" t="n">
        <x:v>1020</x:v>
      </x:c>
      <x:c r="G470" s="32" t="n">
        <x:v>0.0117647058823529411764705882</x:v>
      </x:c>
      <x:c r="BI470" s="33" t="s"/>
      <x:c r="BJ470" s="11" t="s">
        <x:v>771</x:v>
      </x:c>
      <x:c r="BK470" s="12" t="str">
        <x:f>=BX470</x:f>
      </x:c>
      <x:c r="BL470" s="12" t="n">
        <x:v>0.0117647058823529411764705882</x:v>
      </x:c>
      <x:c r="BM470" s="12" t="n">
        <x:v>0</x:v>
      </x:c>
      <x:c r="BN470" s="12" t="n">
        <x:v>0.9882352941176470588235294118</x:v>
      </x:c>
      <x:c r="BO470" s="12" t="str">
        <x:f>=BW470</x:f>
      </x:c>
      <x:c r="BP470" s="12" t="str">
        <x:f>=CF470</x:f>
      </x:c>
      <x:c r="BQ470" s="12" t="str"/>
      <x:c r="BR470" s="12" t="str">
        <x:v>SS 2021 MSS</x:v>
      </x:c>
      <x:c r="BS470" s="13" t="str"/>
      <x:c r="BT470" s="30" t="n">
        <x:v>137.52</x:v>
      </x:c>
      <x:c r="BU470" s="30" t="n">
        <x:v>-7300.1400</x:v>
      </x:c>
      <x:c r="BV470" s="30" t="str">
        <x:f>=BT470+BU470</x:f>
      </x:c>
      <x:c r="BW470" s="66" t="str">
        <x:f>=BV470/BT470</x:f>
      </x:c>
      <x:c r="BX470" s="66" t="n">
        <x:v>0.0117647058823529411764705882</x:v>
      </x:c>
      <x:c r="BY470" s="30" t="n">
        <x:v>7242.00</x:v>
      </x:c>
      <x:c r="BZ470" s="41" t="n">
        <x:v>1008</x:v>
      </x:c>
      <x:c r="CA470" s="30" t="n">
        <x:v>7156.80</x:v>
      </x:c>
      <x:c r="CC470" s="30" t="n">
        <x:v>5527.9221550908823529411764708</x:v>
      </x:c>
      <x:c r="CD470" s="30" t="n">
        <x:v>-7300.1400</x:v>
      </x:c>
      <x:c r="CE470" s="30" t="str">
        <x:f>=CC470+CD470</x:f>
      </x:c>
      <x:c r="CF470" s="66" t="str">
        <x:f>=CE470/CC470</x:f>
      </x:c>
      <x:c r="CH470" s="66" t="str">
        <x:f>=CI470+CJ470</x:f>
      </x:c>
      <x:c r="CI470" s="66" t="str">
        <x:f>=BX470+(0.03*7)</x:f>
      </x:c>
      <x:c r="CJ470" s="66" t="str">
        <x:f>=(1-CI470)*0.5</x:f>
      </x:c>
      <x:c r="CK470" s="66" t="str">
        <x:f>=1-CH470</x:f>
      </x:c>
      <x:c r="CM470" s="66" t="str">
        <x:f>=CJ470/(1-CI470)</x:f>
      </x:c>
    </x:row>
    <x:row r="471">
      <x:c r="A471" s="31" t="s">
        <x:v>811</x:v>
      </x:c>
      <x:c r="B471" t="s"/>
      <x:c r="C471" t="s">
        <x:v>812</x:v>
      </x:c>
      <x:c r="D471" t="s">
        <x:v>193</x:v>
      </x:c>
      <x:c r="E471" s="67" t="s">
        <x:v>131</x:v>
      </x:c>
      <x:c r="F471" t="n">
        <x:v>1034</x:v>
      </x:c>
      <x:c r="G471" s="32" t="n">
        <x:v>0.008704061895551257253384913</x:v>
      </x:c>
      <x:c r="BI471" s="33" t="s"/>
      <x:c r="BJ471" s="11" t="s">
        <x:v>771</x:v>
      </x:c>
      <x:c r="BK471" s="12" t="str">
        <x:f>=BX471</x:f>
      </x:c>
      <x:c r="BL471" s="12" t="n">
        <x:v>0.008704061895551257253384913</x:v>
      </x:c>
      <x:c r="BM471" s="12" t="n">
        <x:v>0</x:v>
      </x:c>
      <x:c r="BN471" s="12" t="n">
        <x:v>0.991295938104448742746615087</x:v>
      </x:c>
      <x:c r="BO471" s="12" t="str">
        <x:f>=BW471</x:f>
      </x:c>
      <x:c r="BP471" s="12" t="str">
        <x:f>=CF471</x:f>
      </x:c>
      <x:c r="BQ471" s="12" t="str"/>
      <x:c r="BR471" s="12" t="str">
        <x:v>SS 2021 MSS</x:v>
      </x:c>
      <x:c r="BS471" s="13" t="str"/>
      <x:c r="BT471" s="30" t="n">
        <x:v>103.14</x:v>
      </x:c>
      <x:c r="BU471" s="30" t="n">
        <x:v>-7400.3380</x:v>
      </x:c>
      <x:c r="BV471" s="30" t="str">
        <x:f>=BT471+BU471</x:f>
      </x:c>
      <x:c r="BW471" s="66" t="str">
        <x:f>=BV471/BT471</x:f>
      </x:c>
      <x:c r="BX471" s="66" t="n">
        <x:v>0.008704061895551257253384913</x:v>
      </x:c>
      <x:c r="BY471" s="30" t="n">
        <x:v>7341.40</x:v>
      </x:c>
      <x:c r="BZ471" s="41" t="n">
        <x:v>1025</x:v>
      </x:c>
      <x:c r="CA471" s="30" t="n">
        <x:v>7277.50</x:v>
      </x:c>
      <x:c r="CC471" s="30" t="n">
        <x:v>5578.8386797463955512572533848</x:v>
      </x:c>
      <x:c r="CD471" s="30" t="n">
        <x:v>-7400.3380</x:v>
      </x:c>
      <x:c r="CE471" s="30" t="str">
        <x:f>=CC471+CD471</x:f>
      </x:c>
      <x:c r="CF471" s="66" t="str">
        <x:f>=CE471/CC471</x:f>
      </x:c>
      <x:c r="CH471" s="66" t="str">
        <x:f>=CI471+CJ471</x:f>
      </x:c>
      <x:c r="CI471" s="66" t="str">
        <x:f>=BX471+(0.03*7)</x:f>
      </x:c>
      <x:c r="CJ471" s="66" t="str">
        <x:f>=(1-CI471)*0.5</x:f>
      </x:c>
      <x:c r="CK471" s="66" t="str">
        <x:f>=1-CH471</x:f>
      </x:c>
      <x:c r="CM471" s="66" t="str">
        <x:f>=CJ471/(1-CI471)</x:f>
      </x:c>
    </x:row>
    <x:row r="472">
      <x:c r="A472" s="31" t="s">
        <x:v>813</x:v>
      </x:c>
      <x:c r="B472" t="s">
        <x:v>116</x:v>
      </x:c>
      <x:c r="C472" t="s">
        <x:v>814</x:v>
      </x:c>
      <x:c r="D472" t="s">
        <x:v>147</x:v>
      </x:c>
      <x:c r="E472" s="67" t="s">
        <x:v>131</x:v>
      </x:c>
      <x:c r="F472" t="n">
        <x:v>1561</x:v>
      </x:c>
      <x:c r="G472" s="32" t="n">
        <x:v>0.0012812299807815502882767457</x:v>
      </x:c>
      <x:c r="BI472" s="33" t="s"/>
      <x:c r="BJ472" s="11" t="s">
        <x:v>771</x:v>
      </x:c>
      <x:c r="BK472" s="12" t="str">
        <x:f>=BX472</x:f>
      </x:c>
      <x:c r="BL472" s="12" t="n">
        <x:v>0.0012812299807815502882767457</x:v>
      </x:c>
      <x:c r="BM472" s="12" t="n">
        <x:v>0</x:v>
      </x:c>
      <x:c r="BN472" s="12" t="n">
        <x:v>0.9987187700192184497117232543</x:v>
      </x:c>
      <x:c r="BO472" s="12" t="str">
        <x:f>=BW472</x:f>
      </x:c>
      <x:c r="BP472" s="12" t="str">
        <x:f>=CF472</x:f>
      </x:c>
      <x:c r="BQ472" s="12" t="str"/>
      <x:c r="BR472" s="12" t="str">
        <x:v>SS 2021 MSS</x:v>
      </x:c>
      <x:c r="BS472" s="13" t="str"/>
      <x:c r="BT472" s="30" t="n">
        <x:v>16.66</x:v>
      </x:c>
      <x:c r="BU472" s="30" t="n">
        <x:v>-8753.4636</x:v>
      </x:c>
      <x:c r="BV472" s="30" t="str">
        <x:f>=BT472+BU472</x:f>
      </x:c>
      <x:c r="BW472" s="66" t="str">
        <x:f>=BV472/BT472</x:f>
      </x:c>
      <x:c r="BX472" s="66" t="n">
        <x:v>0.0012812299807815502882767457</x:v>
      </x:c>
      <x:c r="BY472" s="30" t="n">
        <x:v>8288.91</x:v>
      </x:c>
      <x:c r="BZ472" s="41" t="n">
        <x:v>1559</x:v>
      </x:c>
      <x:c r="CA472" s="30" t="n">
        <x:v>8278.29</x:v>
      </x:c>
      <x:c r="CC472" s="30" t="n">
        <x:v>6058.7813233439807815502882770</x:v>
      </x:c>
      <x:c r="CD472" s="30" t="n">
        <x:v>-8753.4636</x:v>
      </x:c>
      <x:c r="CE472" s="30" t="str">
        <x:f>=CC472+CD472</x:f>
      </x:c>
      <x:c r="CF472" s="66" t="str">
        <x:f>=CE472/CC472</x:f>
      </x:c>
      <x:c r="CH472" s="66" t="str">
        <x:f>=CI472+CJ472</x:f>
      </x:c>
      <x:c r="CI472" s="66" t="str">
        <x:f>=BX472+(0.03*7)</x:f>
      </x:c>
      <x:c r="CJ472" s="66" t="str">
        <x:f>=(1-CI472)*0.5</x:f>
      </x:c>
      <x:c r="CK472" s="66" t="str">
        <x:f>=1-CH472</x:f>
      </x:c>
      <x:c r="CM472" s="66" t="str">
        <x:f>=CJ472/(1-CI472)</x:f>
      </x:c>
    </x:row>
    <x:row r="473">
      <x:c r="A473" s="31" t="s">
        <x:v>815</x:v>
      </x:c>
      <x:c r="B473" t="s">
        <x:v>116</x:v>
      </x:c>
      <x:c r="C473" t="s">
        <x:v>816</x:v>
      </x:c>
      <x:c r="D473" t="s">
        <x:v>147</x:v>
      </x:c>
      <x:c r="E473" s="67" t="s">
        <x:v>131</x:v>
      </x:c>
      <x:c r="F473" t="n">
        <x:v>1579</x:v>
      </x:c>
      <x:c r="G473" s="32" t="n">
        <x:v>0.0025332488917036098796706776</x:v>
      </x:c>
      <x:c r="BI473" s="33" t="s"/>
      <x:c r="BJ473" s="11" t="s">
        <x:v>771</x:v>
      </x:c>
      <x:c r="BK473" s="12" t="str">
        <x:f>=BX473</x:f>
      </x:c>
      <x:c r="BL473" s="12" t="n">
        <x:v>0.0025332488917036098796706776</x:v>
      </x:c>
      <x:c r="BM473" s="12" t="n">
        <x:v>0</x:v>
      </x:c>
      <x:c r="BN473" s="12" t="n">
        <x:v>0.9974667511082963901203293224</x:v>
      </x:c>
      <x:c r="BO473" s="12" t="str">
        <x:f>=BW473</x:f>
      </x:c>
      <x:c r="BP473" s="12" t="str">
        <x:f>=CF473</x:f>
      </x:c>
      <x:c r="BQ473" s="12" t="str"/>
      <x:c r="BR473" s="12" t="str">
        <x:v>AW 2021 EOS</x:v>
      </x:c>
      <x:c r="BS473" s="13" t="str"/>
      <x:c r="BT473" s="30" t="n">
        <x:v>32.82</x:v>
      </x:c>
      <x:c r="BU473" s="30" t="n">
        <x:v>-9722.8504</x:v>
      </x:c>
      <x:c r="BV473" s="30" t="str">
        <x:f>=BT473+BU473</x:f>
      </x:c>
      <x:c r="BW473" s="66" t="str">
        <x:f>=BV473/BT473</x:f>
      </x:c>
      <x:c r="BX473" s="66" t="n">
        <x:v>0.0025332488917036098796706776</x:v>
      </x:c>
      <x:c r="BY473" s="30" t="n">
        <x:v>9252.94</x:v>
      </x:c>
      <x:c r="BZ473" s="41" t="n">
        <x:v>1575</x:v>
      </x:c>
      <x:c r="CA473" s="30" t="n">
        <x:v>9229.50</x:v>
      </x:c>
      <x:c r="CC473" s="30" t="n">
        <x:v>6902.8061532256417036098796709</x:v>
      </x:c>
      <x:c r="CD473" s="30" t="n">
        <x:v>-9722.8504</x:v>
      </x:c>
      <x:c r="CE473" s="30" t="str">
        <x:f>=CC473+CD473</x:f>
      </x:c>
      <x:c r="CF473" s="66" t="str">
        <x:f>=CE473/CC473</x:f>
      </x:c>
      <x:c r="CH473" s="66" t="str">
        <x:f>=CI473+CJ473</x:f>
      </x:c>
      <x:c r="CI473" s="66" t="str">
        <x:f>=BX473+(0.03*7)</x:f>
      </x:c>
      <x:c r="CJ473" s="66" t="str">
        <x:f>=(1-CI473)*0.5</x:f>
      </x:c>
      <x:c r="CK473" s="66" t="str">
        <x:f>=1-CH473</x:f>
      </x:c>
      <x:c r="CM473" s="66" t="str">
        <x:f>=CJ473/(1-CI473)</x:f>
      </x:c>
    </x:row>
    <x:row r="474">
      <x:c r="A474" s="34" t="s"/>
      <x:c r="B474" s="6" t="s"/>
      <x:c r="C474" s="6" t="s"/>
      <x:c r="D474" s="6" t="s"/>
      <x:c r="E474" s="6" t="s"/>
      <x:c r="F474" s="6" t="s"/>
      <x:c r="G474" s="6" t="s"/>
      <x:c r="H474" s="6" t="s"/>
      <x:c r="I474" s="6" t="s"/>
      <x:c r="J474" s="6" t="s"/>
      <x:c r="K474" s="6" t="s"/>
      <x:c r="L474" s="6" t="s"/>
      <x:c r="M474" s="6" t="s"/>
      <x:c r="N474" s="6" t="s"/>
      <x:c r="O474" s="6" t="s"/>
      <x:c r="P474" s="6" t="s"/>
      <x:c r="Q474" s="6" t="s"/>
      <x:c r="R474" s="6" t="s"/>
      <x:c r="S474" s="6" t="s"/>
      <x:c r="T474" s="6" t="s"/>
      <x:c r="U474" s="6" t="s"/>
      <x:c r="V474" s="6" t="s"/>
      <x:c r="W474" s="6" t="s"/>
      <x:c r="X474" s="6" t="s"/>
      <x:c r="Y474" s="6" t="s"/>
      <x:c r="Z474" s="6" t="s"/>
      <x:c r="AA474" s="6" t="s"/>
      <x:c r="AB474" s="6" t="s"/>
      <x:c r="AC474" s="6" t="s"/>
      <x:c r="AD474" s="6" t="s"/>
      <x:c r="AE474" s="6" t="s"/>
      <x:c r="AF474" s="6" t="s"/>
      <x:c r="AG474" s="6" t="s"/>
      <x:c r="AH474" s="6" t="s"/>
      <x:c r="AI474" s="6" t="s"/>
      <x:c r="AJ474" s="6" t="s"/>
      <x:c r="AK474" s="6" t="s"/>
      <x:c r="AL474" s="6" t="s"/>
      <x:c r="AM474" s="6" t="s"/>
      <x:c r="AN474" s="6" t="s"/>
      <x:c r="AO474" s="6" t="s"/>
      <x:c r="AP474" s="6" t="s"/>
      <x:c r="AQ474" s="6" t="s"/>
      <x:c r="AR474" s="6" t="s"/>
      <x:c r="AS474" s="6" t="s"/>
      <x:c r="AT474" s="6" t="s"/>
      <x:c r="AU474" s="6" t="s"/>
      <x:c r="AV474" s="6" t="s"/>
      <x:c r="AW474" s="6" t="s"/>
      <x:c r="AX474" s="6" t="s"/>
      <x:c r="AY474" s="6" t="s"/>
      <x:c r="AZ474" s="6" t="s"/>
      <x:c r="BA474" s="6" t="s"/>
      <x:c r="BB474" s="6" t="s"/>
      <x:c r="BC474" s="6" t="s"/>
      <x:c r="BD474" s="6" t="s"/>
      <x:c r="BE474" s="6" t="s"/>
      <x:c r="BF474" s="6" t="s"/>
      <x:c r="BG474" s="6" t="s"/>
      <x:c r="BH474" s="6" t="s"/>
      <x:c r="BI474" s="8" t="s"/>
      <x:c r="BJ474" s="14" t="s">
        <x:v>36</x:v>
      </x:c>
      <x:c r="BK474" s="15" t="s"/>
      <x:c r="BL474" s="15" t="s"/>
      <x:c r="BM474" s="15" t="s"/>
      <x:c r="BN474" s="15" t="s"/>
      <x:c r="BO474" s="37">
        <x:f>=BV475/BT475</x:f>
      </x:c>
      <x:c r="BP474" s="37">
        <x:f>=CF475</x:f>
      </x:c>
      <x:c r="BQ474" s="6" t="s"/>
      <x:c r="BR474" s="6" t="s"/>
      <x:c r="BS474" s="8" t="s"/>
      <x:c r="BT474" s="20" t="n">
        <x:v>23380.49</x:v>
      </x:c>
      <x:c r="BU474" s="20" t="n">
        <x:v>-170958.90901932324041963945</x:v>
      </x:c>
      <x:c r="BV474" s="20" t="str">
        <x:f>=BT474+BU474</x:f>
      </x:c>
      <x:c r="BW474" s="21" t="n">
        <x:v>-6.3120327683176546094474260377</x:v>
      </x:c>
      <x:c r="BY474" s="20" t="n">
        <x:v>-158118.754143632206618185</x:v>
      </x:c>
      <x:c r="BZ474" s="20" t="n">
        <x:v>19614</x:v>
      </x:c>
      <x:c r="CA474" s="20" t="n">
        <x:v>146324.19173263515454631189384</x:v>
      </x:c>
      <x:c r="CC474" s="20" t="n">
        <x:v>121944.97215637770621194861858</x:v>
      </x:c>
      <x:c r="CD474" s="20" t="n">
        <x:v>-170958.90901932324041963945</x:v>
      </x:c>
      <x:c r="CE474" s="20" t="str">
        <x:f>=CC474+CD474</x:f>
      </x:c>
      <x:c r="CF474" s="21" t="n">
        <x:v>-0.4019348727235090985514102647</x:v>
      </x:c>
    </x:row>
    <x:row r="475">
      <x:c r="BT475" s="18" t="n">
        <x:v>110824.67</x:v>
      </x:c>
      <x:c r="BU475" s="18" t="n">
        <x:v>-392837.46391932324041963945</x:v>
      </x:c>
      <x:c r="BV475" s="18" t="str">
        <x:f>=BT475+BU475</x:f>
      </x:c>
      <x:c r="BW475" s="19" t="n">
        <x:v>-2.5446752417067719707140968703</x:v>
      </x:c>
      <x:c r="BY475" s="18" t="n">
        <x:v>-365340.034143632206618185</x:v>
      </x:c>
      <x:c r="BZ475" s="18" t="n">
        <x:v>43100</x:v>
      </x:c>
      <x:c r="CA475" s="18" t="n">
        <x:v>742918.39922578665275979115357</x:v>
      </x:c>
      <x:c r="CC475" s="18" t="n">
        <x:v>336084.61200285109813274085941</x:v>
      </x:c>
      <x:c r="CD475" s="18" t="n">
        <x:v>-392837.46391932324041963945</x:v>
      </x:c>
      <x:c r="CE475" s="18" t="str">
        <x:f>=CC475+CD475</x:f>
      </x:c>
      <x:c r="CF475" s="19" t="n">
        <x:v>-0.1688647736004964495256346553</x:v>
      </x:c>
    </x:row>
    <x:row r="476">
      <x:c r="A476" s="10" t="s">
        <x:v>817</x:v>
      </x:c>
      <x:c r="B476" s="5" t="s"/>
      <x:c r="C476" s="5" t="s"/>
      <x:c r="D476" s="5" t="s"/>
      <x:c r="E476" s="5" t="s"/>
      <x:c r="F476" s="5" t="s"/>
      <x:c r="G476" s="5" t="s"/>
      <x:c r="H476" s="5" t="s"/>
      <x:c r="I476" s="5" t="s"/>
      <x:c r="J476" s="5" t="s"/>
      <x:c r="K476" s="5" t="s"/>
      <x:c r="L476" s="5" t="s"/>
      <x:c r="M476" s="5" t="s"/>
      <x:c r="N476" s="5" t="s"/>
      <x:c r="O476" s="5" t="s"/>
      <x:c r="P476" s="5" t="s"/>
      <x:c r="Q476" s="5" t="s"/>
      <x:c r="R476" s="5" t="s"/>
      <x:c r="S476" s="5" t="s"/>
      <x:c r="T476" s="5" t="s"/>
      <x:c r="U476" s="5" t="s"/>
      <x:c r="V476" s="5" t="s"/>
      <x:c r="W476" s="5" t="s"/>
      <x:c r="X476" s="5" t="s"/>
      <x:c r="Y476" s="5" t="s"/>
      <x:c r="Z476" s="5" t="s"/>
      <x:c r="AA476" s="5" t="s"/>
      <x:c r="AB476" s="5" t="s"/>
      <x:c r="AC476" s="5" t="s"/>
      <x:c r="AD476" s="5" t="s"/>
      <x:c r="AE476" s="5" t="s"/>
      <x:c r="AF476" s="5" t="s"/>
      <x:c r="AG476" s="5" t="s"/>
      <x:c r="AH476" s="5" t="s"/>
      <x:c r="AI476" s="5" t="s"/>
      <x:c r="AJ476" s="5" t="s"/>
      <x:c r="AK476" s="5" t="s"/>
      <x:c r="AL476" s="5" t="s"/>
      <x:c r="AM476" s="5" t="s"/>
      <x:c r="AN476" s="5" t="s"/>
      <x:c r="AO476" s="5" t="s"/>
      <x:c r="AP476" s="5" t="s"/>
      <x:c r="AQ476" s="5" t="s"/>
      <x:c r="AR476" s="5" t="s"/>
      <x:c r="AS476" s="5" t="s"/>
      <x:c r="AT476" s="5" t="s"/>
      <x:c r="AU476" s="5" t="s"/>
      <x:c r="AV476" s="5" t="s"/>
      <x:c r="AW476" s="5" t="s"/>
      <x:c r="AX476" s="5" t="s"/>
      <x:c r="AY476" s="5" t="s"/>
      <x:c r="AZ476" s="5" t="s"/>
      <x:c r="BA476" s="5" t="s"/>
      <x:c r="BB476" s="5" t="s"/>
      <x:c r="BC476" s="5" t="s"/>
      <x:c r="BD476" s="5" t="s"/>
      <x:c r="BE476" s="5" t="s"/>
      <x:c r="BF476" s="5" t="s"/>
      <x:c r="BG476" s="5" t="s"/>
      <x:c r="BH476" s="5" t="s"/>
      <x:c r="BI476" s="7" t="s"/>
      <x:c r="BJ476" s="10" t="s"/>
      <x:c r="BK476" s="5" t="s"/>
      <x:c r="BL476" s="5" t="s"/>
      <x:c r="BM476" s="5" t="s"/>
      <x:c r="BN476" s="5" t="s"/>
      <x:c r="BO476" s="5" t="s"/>
      <x:c r="BP476" s="5" t="s"/>
      <x:c r="BQ476" s="5" t="s"/>
      <x:c r="BR476" s="5" t="s"/>
      <x:c r="BS476" s="7" t="s"/>
      <x:c r="BT476" s="47" t="s">
        <x:v>11</x:v>
      </x:c>
      <x:c r="BU476" s="48"/>
      <x:c r="BV476" s="49"/>
      <x:c r="BW476" s="50"/>
      <x:c r="BX476" s="50"/>
      <x:c r="BY476" s="51"/>
      <x:c r="BZ476" s="52"/>
      <x:c r="CA476" s="51"/>
      <x:c r="CC476" s="57" t="s">
        <x:v>26</x:v>
      </x:c>
      <x:c r="CD476" s="58"/>
      <x:c r="CE476" s="58"/>
      <x:c r="CF476" s="58"/>
      <x:c r="CG476" s="58"/>
      <x:c r="CH476" s="59"/>
      <x:c r="CI476" s="59"/>
      <x:c r="CJ476" s="59"/>
      <x:c r="CK476" s="59"/>
      <x:c r="CL476" s="58"/>
      <x:c r="CM476" s="60"/>
    </x:row>
    <x:row r="477" ht="45.75" customHeight="1">
      <x:c r="A477" s="40" t="s">
        <x:v>43</x:v>
      </x:c>
      <x:c r="B477" s="40" t="s">
        <x:v>44</x:v>
      </x:c>
      <x:c r="C477" s="40" t="s">
        <x:v>45</x:v>
      </x:c>
      <x:c r="D477" s="40" t="s">
        <x:v>46</x:v>
      </x:c>
      <x:c r="E477" s="40" t="s">
        <x:v>47</x:v>
      </x:c>
      <x:c r="F477" s="40" t="s">
        <x:v>102</x:v>
      </x:c>
      <x:c r="G477" s="40" t="s">
        <x:v>48</x:v>
      </x:c>
      <x:c r="H477" s="40" t="s">
        <x:v>49</x:v>
      </x:c>
      <x:c r="I477" s="40" t="s">
        <x:v>50</x:v>
      </x:c>
      <x:c r="J477" s="40" t="s">
        <x:v>51</x:v>
      </x:c>
      <x:c r="K477" s="40" t="s">
        <x:v>52</x:v>
      </x:c>
      <x:c r="L477" s="40" t="s">
        <x:v>53</x:v>
      </x:c>
      <x:c r="M477" s="40" t="s">
        <x:v>54</x:v>
      </x:c>
      <x:c r="N477" s="40" t="s">
        <x:v>55</x:v>
      </x:c>
      <x:c r="O477" s="40" t="s">
        <x:v>56</x:v>
      </x:c>
      <x:c r="P477" s="40" t="s">
        <x:v>57</x:v>
      </x:c>
      <x:c r="Q477" s="40" t="s">
        <x:v>58</x:v>
      </x:c>
      <x:c r="R477" s="40" t="s">
        <x:v>59</x:v>
      </x:c>
      <x:c r="S477" s="40" t="s">
        <x:v>60</x:v>
      </x:c>
      <x:c r="T477" s="40" t="s">
        <x:v>61</x:v>
      </x:c>
      <x:c r="U477" s="40" t="s">
        <x:v>62</x:v>
      </x:c>
      <x:c r="V477" s="40" t="s">
        <x:v>63</x:v>
      </x:c>
      <x:c r="W477" s="40" t="s">
        <x:v>64</x:v>
      </x:c>
      <x:c r="X477" s="40" t="s">
        <x:v>65</x:v>
      </x:c>
      <x:c r="Y477" s="40" t="s">
        <x:v>66</x:v>
      </x:c>
      <x:c r="Z477" s="40" t="s">
        <x:v>67</x:v>
      </x:c>
      <x:c r="AA477" s="40" t="s">
        <x:v>68</x:v>
      </x:c>
      <x:c r="AB477" s="40" t="s">
        <x:v>69</x:v>
      </x:c>
      <x:c r="AC477" s="40" t="s">
        <x:v>70</x:v>
      </x:c>
      <x:c r="AD477" s="40" t="s">
        <x:v>71</x:v>
      </x:c>
      <x:c r="AE477" s="40" t="s">
        <x:v>72</x:v>
      </x:c>
      <x:c r="AF477" s="40" t="s">
        <x:v>73</x:v>
      </x:c>
      <x:c r="AG477" s="40" t="s">
        <x:v>74</x:v>
      </x:c>
      <x:c r="AH477" s="40" t="s">
        <x:v>75</x:v>
      </x:c>
      <x:c r="AI477" s="40" t="s">
        <x:v>76</x:v>
      </x:c>
      <x:c r="AJ477" s="40" t="s">
        <x:v>77</x:v>
      </x:c>
      <x:c r="AK477" s="40" t="s">
        <x:v>78</x:v>
      </x:c>
      <x:c r="AL477" s="40" t="s">
        <x:v>79</x:v>
      </x:c>
      <x:c r="AM477" s="40" t="s">
        <x:v>80</x:v>
      </x:c>
      <x:c r="AN477" s="40" t="s">
        <x:v>81</x:v>
      </x:c>
      <x:c r="AO477" s="40" t="s">
        <x:v>82</x:v>
      </x:c>
      <x:c r="AP477" s="40" t="s">
        <x:v>83</x:v>
      </x:c>
      <x:c r="AQ477" s="40" t="s">
        <x:v>84</x:v>
      </x:c>
      <x:c r="AR477" s="40" t="s">
        <x:v>85</x:v>
      </x:c>
      <x:c r="AS477" s="40" t="s">
        <x:v>86</x:v>
      </x:c>
      <x:c r="AT477" s="40" t="s">
        <x:v>87</x:v>
      </x:c>
      <x:c r="AU477" s="40" t="s">
        <x:v>88</x:v>
      </x:c>
      <x:c r="AV477" s="40" t="s">
        <x:v>89</x:v>
      </x:c>
      <x:c r="AW477" s="40" t="s">
        <x:v>90</x:v>
      </x:c>
      <x:c r="AX477" s="40" t="s">
        <x:v>91</x:v>
      </x:c>
      <x:c r="AY477" s="40" t="s">
        <x:v>92</x:v>
      </x:c>
      <x:c r="AZ477" s="40" t="s">
        <x:v>93</x:v>
      </x:c>
      <x:c r="BA477" s="40" t="s">
        <x:v>94</x:v>
      </x:c>
      <x:c r="BB477" s="40" t="s">
        <x:v>95</x:v>
      </x:c>
      <x:c r="BC477" s="40" t="s">
        <x:v>96</x:v>
      </x:c>
      <x:c r="BD477" s="40" t="s">
        <x:v>97</x:v>
      </x:c>
      <x:c r="BE477" s="40" t="s">
        <x:v>98</x:v>
      </x:c>
      <x:c r="BF477" s="40" t="s">
        <x:v>99</x:v>
      </x:c>
      <x:c r="BG477" s="40" t="s">
        <x:v>100</x:v>
      </x:c>
      <x:c r="BH477" s="40" t="s">
        <x:v>101</x:v>
      </x:c>
      <x:c r="BJ477" s="31" t="s">
        <x:v>103</x:v>
      </x:c>
      <x:c r="BK477" s="32" t="s">
        <x:v>104</x:v>
      </x:c>
      <x:c r="BL477" s="32" t="s">
        <x:v>105</x:v>
      </x:c>
      <x:c r="BM477" s="32" t="s">
        <x:v>106</x:v>
      </x:c>
      <x:c r="BN477" s="32" t="s">
        <x:v>107</x:v>
      </x:c>
      <x:c r="BO477" s="32" t="s">
        <x:v>108</x:v>
      </x:c>
      <x:c r="BP477" s="32" t="s">
        <x:v>109</x:v>
      </x:c>
      <x:c r="BQ477" s="32" t="s">
        <x:v>110</x:v>
      </x:c>
      <x:c r="BR477" s="32" t="s">
        <x:v>111</x:v>
      </x:c>
      <x:c r="BS477" s="33" t="s">
        <x:v>112</x:v>
      </x:c>
      <x:c r="BT477" s="53" t="s">
        <x:v>12</x:v>
      </x:c>
      <x:c r="BU477" s="54" t="s">
        <x:v>13</x:v>
      </x:c>
      <x:c r="BV477" s="54" t="s">
        <x:v>14</x:v>
      </x:c>
      <x:c r="BW477" s="55" t="s">
        <x:v>15</x:v>
      </x:c>
      <x:c r="BX477" s="55" t="s">
        <x:v>27</x:v>
      </x:c>
      <x:c r="BY477" s="56" t="s">
        <x:v>16</x:v>
      </x:c>
      <x:c r="BZ477" s="53" t="s">
        <x:v>17</x:v>
      </x:c>
      <x:c r="CA477" s="56" t="s">
        <x:v>18</x:v>
      </x:c>
      <x:c r="CC477" s="61" t="s">
        <x:v>19</x:v>
      </x:c>
      <x:c r="CD477" s="62" t="s">
        <x:v>20</x:v>
      </x:c>
      <x:c r="CE477" s="62" t="s">
        <x:v>21</x:v>
      </x:c>
      <x:c r="CF477" s="62" t="s">
        <x:v>15</x:v>
      </x:c>
      <x:c r="CG477" s="62"/>
      <x:c r="CH477" s="63" t="s">
        <x:v>22</x:v>
      </x:c>
      <x:c r="CI477" s="63" t="s">
        <x:v>23</x:v>
      </x:c>
      <x:c r="CJ477" s="63" t="s">
        <x:v>25</x:v>
      </x:c>
      <x:c r="CK477" s="63" t="s">
        <x:v>24</x:v>
      </x:c>
      <x:c r="CL477" s="62"/>
      <x:c r="CM477" s="64" t="s">
        <x:v>28</x:v>
      </x:c>
    </x:row>
    <x:row r="478">
      <x:c r="BJ478" s="31" t="s"/>
      <x:c r="BS478" s="33" t="s"/>
    </x:row>
    <x:row r="479">
      <x:c r="A479" s="35" t="s">
        <x:v>150</x:v>
      </x:c>
      <x:c r="BI479" s="33" t="s"/>
      <x:c r="BJ479" s="11" t="s"/>
      <x:c r="BS479" s="13" t="s"/>
    </x:row>
    <x:row r="480">
      <x:c r="A480" s="17" t="s">
        <x:v>761</x:v>
      </x:c>
      <x:c r="BI480" s="33" t="s"/>
      <x:c r="BJ480" s="11" t="s"/>
      <x:c r="BS480" s="13" t="s"/>
    </x:row>
    <x:row r="481">
      <x:c r="A481" s="31" t="s">
        <x:v>818</x:v>
      </x:c>
      <x:c r="B481" t="s"/>
      <x:c r="C481" t="s">
        <x:v>819</x:v>
      </x:c>
      <x:c r="D481" t="s">
        <x:v>452</x:v>
      </x:c>
      <x:c r="E481" s="69" t="s">
        <x:v>153</x:v>
      </x:c>
      <x:c r="F481" t="n">
        <x:v>2100</x:v>
      </x:c>
      <x:c r="BI481" s="33" t="s"/>
      <x:c r="BJ481" s="11" t="s">
        <x:v>820</x:v>
      </x:c>
      <x:c r="BK481" s="12" t="str">
        <x:f>=BX481</x:f>
      </x:c>
      <x:c r="BL481" s="12" t="n">
        <x:v>0</x:v>
      </x:c>
      <x:c r="BM481" s="12" t="n">
        <x:v>0</x:v>
      </x:c>
      <x:c r="BN481" s="12" t="n">
        <x:v>1</x:v>
      </x:c>
      <x:c r="BO481" s="12" t="str">
        <x:f>=BW481</x:f>
      </x:c>
      <x:c r="BP481" s="12" t="str">
        <x:f>=CF481</x:f>
      </x:c>
      <x:c r="BQ481" s="12" t="str"/>
      <x:c r="BR481" s="12" t="str">
        <x:v>AW 2021 MSS</x:v>
      </x:c>
      <x:c r="BS481" s="13" t="str"/>
      <x:c r="BT481" s="30" t="n">
        <x:v>0</x:v>
      </x:c>
      <x:c r="BU481" s="30" t="n">
        <x:v>-23098.04782146840000000000</x:v>
      </x:c>
      <x:c r="BV481" s="30" t="str">
        <x:f>=BT481+BU481</x:f>
      </x:c>
      <x:c r="BW481" s="66" t="str">
        <x:f>=BV481/BT481</x:f>
      </x:c>
      <x:c r="BX481" s="66" t="n">
        <x:v>0</x:v>
      </x:c>
      <x:c r="BY481" s="30" t="n">
        <x:v>20715.00</x:v>
      </x:c>
      <x:c r="BZ481" s="41" t="n">
        <x:v>2100</x:v>
      </x:c>
      <x:c r="CA481" s="30" t="n">
        <x:v>20714.999999999999999999999999</x:v>
      </x:c>
      <x:c r="CC481" s="30" t="n">
        <x:v>17283.674583657300000000000000</x:v>
      </x:c>
      <x:c r="CD481" s="30" t="n">
        <x:v>-23098.04782146840000000000</x:v>
      </x:c>
      <x:c r="CE481" s="30" t="str">
        <x:f>=CC481+CD481</x:f>
      </x:c>
      <x:c r="CF481" s="66" t="str">
        <x:f>=CE481/CC481</x:f>
      </x:c>
      <x:c r="CH481" s="66" t="str">
        <x:f>=CI481+CJ481</x:f>
      </x:c>
      <x:c r="CI481" s="66" t="str">
        <x:f>=BX481+(0.03*7)</x:f>
      </x:c>
      <x:c r="CJ481" s="66" t="str">
        <x:f>=(1-CI481)*0.5</x:f>
      </x:c>
      <x:c r="CK481" s="66" t="str">
        <x:f>=1-CH481</x:f>
      </x:c>
      <x:c r="CM481" s="66" t="str">
        <x:f>=CJ481/(1-CI481)</x:f>
      </x:c>
    </x:row>
    <x:row r="482">
      <x:c r="A482" s="31" t="s">
        <x:v>821</x:v>
      </x:c>
      <x:c r="B482" t="s"/>
      <x:c r="C482" t="s">
        <x:v>822</x:v>
      </x:c>
      <x:c r="D482" t="s">
        <x:v>452</x:v>
      </x:c>
      <x:c r="E482" s="69" t="s">
        <x:v>153</x:v>
      </x:c>
      <x:c r="F482" t="n">
        <x:v>3118</x:v>
      </x:c>
      <x:c r="BI482" s="33" t="s"/>
      <x:c r="BJ482" s="11" t="s">
        <x:v>820</x:v>
      </x:c>
      <x:c r="BK482" s="12" t="str">
        <x:f>=BX482</x:f>
      </x:c>
      <x:c r="BL482" s="12" t="n">
        <x:v>0</x:v>
      </x:c>
      <x:c r="BM482" s="12" t="n">
        <x:v>0</x:v>
      </x:c>
      <x:c r="BN482" s="12" t="n">
        <x:v>1</x:v>
      </x:c>
      <x:c r="BO482" s="12" t="str">
        <x:f>=BW482</x:f>
      </x:c>
      <x:c r="BP482" s="12" t="str">
        <x:f>=CF482</x:f>
      </x:c>
      <x:c r="BQ482" s="12" t="str"/>
      <x:c r="BR482" s="12" t="str">
        <x:v>AW 2021 MSS</x:v>
      </x:c>
      <x:c r="BS482" s="13" t="str"/>
      <x:c r="BT482" s="30" t="n">
        <x:v>0</x:v>
      </x:c>
      <x:c r="BU482" s="30" t="n">
        <x:v>-22266.7405</x:v>
      </x:c>
      <x:c r="BV482" s="30" t="str">
        <x:f>=BT482+BU482</x:f>
      </x:c>
      <x:c r="BW482" s="66" t="str">
        <x:f>=BV482/BT482</x:f>
      </x:c>
      <x:c r="BX482" s="66" t="n">
        <x:v>0</x:v>
      </x:c>
      <x:c r="BY482" s="30" t="n">
        <x:v>22119.65</x:v>
      </x:c>
      <x:c r="BZ482" s="41" t="n">
        <x:v>3118</x:v>
      </x:c>
      <x:c r="CA482" s="30" t="n">
        <x:v>22119.650000000000000000000000</x:v>
      </x:c>
      <x:c r="CC482" s="30" t="n">
        <x:v>16280.404430388150000000000000</x:v>
      </x:c>
      <x:c r="CD482" s="30" t="n">
        <x:v>-22266.7405</x:v>
      </x:c>
      <x:c r="CE482" s="30" t="str">
        <x:f>=CC482+CD482</x:f>
      </x:c>
      <x:c r="CF482" s="66" t="str">
        <x:f>=CE482/CC482</x:f>
      </x:c>
      <x:c r="CH482" s="66" t="str">
        <x:f>=CI482+CJ482</x:f>
      </x:c>
      <x:c r="CI482" s="66" t="str">
        <x:f>=BX482+(0.03*7)</x:f>
      </x:c>
      <x:c r="CJ482" s="66" t="str">
        <x:f>=(1-CI482)*0.5</x:f>
      </x:c>
      <x:c r="CK482" s="66" t="str">
        <x:f>=1-CH482</x:f>
      </x:c>
      <x:c r="CM482" s="66" t="str">
        <x:f>=CJ482/(1-CI482)</x:f>
      </x:c>
    </x:row>
    <x:row r="483">
      <x:c r="A483" s="31" t="s">
        <x:v>823</x:v>
      </x:c>
      <x:c r="B483" t="s"/>
      <x:c r="C483" t="s">
        <x:v>824</x:v>
      </x:c>
      <x:c r="D483" t="s">
        <x:v>452</x:v>
      </x:c>
      <x:c r="E483" s="69" t="s">
        <x:v>153</x:v>
      </x:c>
      <x:c r="F483" t="n">
        <x:v>3121</x:v>
      </x:c>
      <x:c r="BI483" s="33" t="s"/>
      <x:c r="BJ483" s="11" t="s">
        <x:v>820</x:v>
      </x:c>
      <x:c r="BK483" s="12" t="str">
        <x:f>=BX483</x:f>
      </x:c>
      <x:c r="BL483" s="12" t="n">
        <x:v>0</x:v>
      </x:c>
      <x:c r="BM483" s="12" t="n">
        <x:v>0</x:v>
      </x:c>
      <x:c r="BN483" s="12" t="n">
        <x:v>1</x:v>
      </x:c>
      <x:c r="BO483" s="12" t="str">
        <x:f>=BW483</x:f>
      </x:c>
      <x:c r="BP483" s="12" t="str">
        <x:f>=CF483</x:f>
      </x:c>
      <x:c r="BQ483" s="12" t="str"/>
      <x:c r="BR483" s="12" t="str">
        <x:v>AW 2021 MSS</x:v>
      </x:c>
      <x:c r="BS483" s="13" t="str"/>
      <x:c r="BT483" s="30" t="n">
        <x:v>0</x:v>
      </x:c>
      <x:c r="BU483" s="30" t="n">
        <x:v>-30187.9700</x:v>
      </x:c>
      <x:c r="BV483" s="30" t="str">
        <x:f>=BT483+BU483</x:f>
      </x:c>
      <x:c r="BW483" s="66" t="str">
        <x:f>=BV483/BT483</x:f>
      </x:c>
      <x:c r="BX483" s="66" t="n">
        <x:v>0</x:v>
      </x:c>
      <x:c r="BY483" s="30" t="n">
        <x:v>26321.00</x:v>
      </x:c>
      <x:c r="BZ483" s="41" t="n">
        <x:v>3121</x:v>
      </x:c>
      <x:c r="CA483" s="30" t="n">
        <x:v>26320.999999999999999999999999</x:v>
      </x:c>
      <x:c r="CC483" s="30" t="n">
        <x:v>21508.856908835400000000000000</x:v>
      </x:c>
      <x:c r="CD483" s="30" t="n">
        <x:v>-30187.9700</x:v>
      </x:c>
      <x:c r="CE483" s="30" t="str">
        <x:f>=CC483+CD483</x:f>
      </x:c>
      <x:c r="CF483" s="66" t="str">
        <x:f>=CE483/CC483</x:f>
      </x:c>
      <x:c r="CH483" s="66" t="str">
        <x:f>=CI483+CJ483</x:f>
      </x:c>
      <x:c r="CI483" s="66" t="str">
        <x:f>=BX483+(0.03*7)</x:f>
      </x:c>
      <x:c r="CJ483" s="66" t="str">
        <x:f>=(1-CI483)*0.5</x:f>
      </x:c>
      <x:c r="CK483" s="66" t="str">
        <x:f>=1-CH483</x:f>
      </x:c>
      <x:c r="CM483" s="66" t="str">
        <x:f>=CJ483/(1-CI483)</x:f>
      </x:c>
    </x:row>
    <x:row r="484">
      <x:c r="A484" s="31" t="s">
        <x:v>825</x:v>
      </x:c>
      <x:c r="B484" t="s"/>
      <x:c r="C484" t="s">
        <x:v>826</x:v>
      </x:c>
      <x:c r="D484" t="s">
        <x:v>452</x:v>
      </x:c>
      <x:c r="E484" s="69" t="s">
        <x:v>153</x:v>
      </x:c>
      <x:c r="F484" t="n">
        <x:v>1632</x:v>
      </x:c>
      <x:c r="BI484" s="33" t="s"/>
      <x:c r="BJ484" s="11" t="s">
        <x:v>820</x:v>
      </x:c>
      <x:c r="BK484" s="12" t="str">
        <x:f>=BX484</x:f>
      </x:c>
      <x:c r="BL484" s="12" t="n">
        <x:v>0</x:v>
      </x:c>
      <x:c r="BM484" s="12" t="n">
        <x:v>0</x:v>
      </x:c>
      <x:c r="BN484" s="12" t="n">
        <x:v>1</x:v>
      </x:c>
      <x:c r="BO484" s="12" t="str">
        <x:f>=BW484</x:f>
      </x:c>
      <x:c r="BP484" s="12" t="str">
        <x:f>=CF484</x:f>
      </x:c>
      <x:c r="BQ484" s="12" t="str"/>
      <x:c r="BR484" s="12" t="str">
        <x:v>AW 2021 MSS</x:v>
      </x:c>
      <x:c r="BS484" s="13" t="str"/>
      <x:c r="BT484" s="30" t="n">
        <x:v>0</x:v>
      </x:c>
      <x:c r="BU484" s="30" t="n">
        <x:v>-12992.4500</x:v>
      </x:c>
      <x:c r="BV484" s="30" t="str">
        <x:f>=BT484+BU484</x:f>
      </x:c>
      <x:c r="BW484" s="66" t="str">
        <x:f>=BV484/BT484</x:f>
      </x:c>
      <x:c r="BX484" s="66" t="n">
        <x:v>0</x:v>
      </x:c>
      <x:c r="BY484" s="30" t="n">
        <x:v>11201.00</x:v>
      </x:c>
      <x:c r="BZ484" s="41" t="n">
        <x:v>1632</x:v>
      </x:c>
      <x:c r="CA484" s="30" t="n">
        <x:v>11201.000000000000000000000000</x:v>
      </x:c>
      <x:c r="CC484" s="30" t="n">
        <x:v>8800.768300759500000000000000</x:v>
      </x:c>
      <x:c r="CD484" s="30" t="n">
        <x:v>-12992.4500</x:v>
      </x:c>
      <x:c r="CE484" s="30" t="str">
        <x:f>=CC484+CD484</x:f>
      </x:c>
      <x:c r="CF484" s="66" t="str">
        <x:f>=CE484/CC484</x:f>
      </x:c>
      <x:c r="CH484" s="66" t="str">
        <x:f>=CI484+CJ484</x:f>
      </x:c>
      <x:c r="CI484" s="66" t="str">
        <x:f>=BX484+(0.03*7)</x:f>
      </x:c>
      <x:c r="CJ484" s="66" t="str">
        <x:f>=(1-CI484)*0.5</x:f>
      </x:c>
      <x:c r="CK484" s="66" t="str">
        <x:f>=1-CH484</x:f>
      </x:c>
      <x:c r="CM484" s="66" t="str">
        <x:f>=CJ484/(1-CI484)</x:f>
      </x:c>
    </x:row>
    <x:row r="485">
      <x:c r="A485" s="31" t="s">
        <x:v>827</x:v>
      </x:c>
      <x:c r="B485" t="s"/>
      <x:c r="C485" t="s">
        <x:v>828</x:v>
      </x:c>
      <x:c r="D485" t="s">
        <x:v>452</x:v>
      </x:c>
      <x:c r="E485" s="69" t="s">
        <x:v>153</x:v>
      </x:c>
      <x:c r="F485" t="n">
        <x:v>3155</x:v>
      </x:c>
      <x:c r="BI485" s="33" t="s"/>
      <x:c r="BJ485" s="11" t="s">
        <x:v>820</x:v>
      </x:c>
      <x:c r="BK485" s="12" t="str">
        <x:f>=BX485</x:f>
      </x:c>
      <x:c r="BL485" s="12" t="n">
        <x:v>0</x:v>
      </x:c>
      <x:c r="BM485" s="12" t="n">
        <x:v>0</x:v>
      </x:c>
      <x:c r="BN485" s="12" t="n">
        <x:v>1</x:v>
      </x:c>
      <x:c r="BO485" s="12" t="str">
        <x:f>=BW485</x:f>
      </x:c>
      <x:c r="BP485" s="12" t="str">
        <x:f>=CF485</x:f>
      </x:c>
      <x:c r="BQ485" s="12" t="str"/>
      <x:c r="BR485" s="12" t="str">
        <x:v>AW 2021 MSS</x:v>
      </x:c>
      <x:c r="BS485" s="13" t="str"/>
      <x:c r="BT485" s="30" t="n">
        <x:v>0</x:v>
      </x:c>
      <x:c r="BU485" s="30" t="n">
        <x:v>-14403.0645</x:v>
      </x:c>
      <x:c r="BV485" s="30" t="str">
        <x:f>=BT485+BU485</x:f>
      </x:c>
      <x:c r="BW485" s="66" t="str">
        <x:f>=BV485/BT485</x:f>
      </x:c>
      <x:c r="BX485" s="66" t="n">
        <x:v>0</x:v>
      </x:c>
      <x:c r="BY485" s="30" t="n">
        <x:v>14002.85</x:v>
      </x:c>
      <x:c r="BZ485" s="41" t="n">
        <x:v>3155</x:v>
      </x:c>
      <x:c r="CA485" s="30" t="n">
        <x:v>14002.850000000000000000000000</x:v>
      </x:c>
      <x:c r="CC485" s="30" t="n">
        <x:v>19871.896571876700000000000000</x:v>
      </x:c>
      <x:c r="CD485" s="30" t="n">
        <x:v>-14403.0645</x:v>
      </x:c>
      <x:c r="CE485" s="30" t="str">
        <x:f>=CC485+CD485</x:f>
      </x:c>
      <x:c r="CF485" s="66" t="str">
        <x:f>=CE485/CC485</x:f>
      </x:c>
      <x:c r="CH485" s="66" t="str">
        <x:f>=CI485+CJ485</x:f>
      </x:c>
      <x:c r="CI485" s="66" t="str">
        <x:f>=BX485+(0.03*7)</x:f>
      </x:c>
      <x:c r="CJ485" s="66" t="str">
        <x:f>=(1-CI485)*0.5</x:f>
      </x:c>
      <x:c r="CK485" s="66" t="str">
        <x:f>=1-CH485</x:f>
      </x:c>
      <x:c r="CM485" s="66" t="str">
        <x:f>=CJ485/(1-CI485)</x:f>
      </x:c>
    </x:row>
    <x:row r="486">
      <x:c r="A486" s="31" t="s">
        <x:v>829</x:v>
      </x:c>
      <x:c r="B486" t="s"/>
      <x:c r="C486" t="s">
        <x:v>830</x:v>
      </x:c>
      <x:c r="D486" t="s">
        <x:v>193</x:v>
      </x:c>
      <x:c r="E486" s="69" t="s">
        <x:v>153</x:v>
      </x:c>
      <x:c r="F486" t="n">
        <x:v>2073</x:v>
      </x:c>
      <x:c r="BI486" s="33" t="s"/>
      <x:c r="BJ486" s="11" t="s">
        <x:v>820</x:v>
      </x:c>
      <x:c r="BK486" s="12" t="str">
        <x:f>=BX486</x:f>
      </x:c>
      <x:c r="BL486" s="12" t="n">
        <x:v>0</x:v>
      </x:c>
      <x:c r="BM486" s="12" t="n">
        <x:v>0</x:v>
      </x:c>
      <x:c r="BN486" s="12" t="n">
        <x:v>1</x:v>
      </x:c>
      <x:c r="BO486" s="12" t="str">
        <x:f>=BW486</x:f>
      </x:c>
      <x:c r="BP486" s="12" t="str">
        <x:f>=CF486</x:f>
      </x:c>
      <x:c r="BQ486" s="12" t="str"/>
      <x:c r="BR486" s="12" t="str">
        <x:v>SS 2021 MSS</x:v>
      </x:c>
      <x:c r="BS486" s="13" t="str"/>
      <x:c r="BT486" s="30" t="n">
        <x:v>0</x:v>
      </x:c>
      <x:c r="BU486" s="30" t="n">
        <x:v>-15165.2740</x:v>
      </x:c>
      <x:c r="BV486" s="30" t="str">
        <x:f>=BT486+BU486</x:f>
      </x:c>
      <x:c r="BW486" s="66" t="str">
        <x:f>=BV486/BT486</x:f>
      </x:c>
      <x:c r="BX486" s="66" t="n">
        <x:v>0</x:v>
      </x:c>
      <x:c r="BY486" s="30" t="n">
        <x:v>13399.60</x:v>
      </x:c>
      <x:c r="BZ486" s="41" t="n">
        <x:v>2073</x:v>
      </x:c>
      <x:c r="CA486" s="30" t="n">
        <x:v>13399.600000000000000000000000</x:v>
      </x:c>
      <x:c r="CC486" s="30" t="n">
        <x:v>10707.359307348600000000000000</x:v>
      </x:c>
      <x:c r="CD486" s="30" t="n">
        <x:v>-15165.2740</x:v>
      </x:c>
      <x:c r="CE486" s="30" t="str">
        <x:f>=CC486+CD486</x:f>
      </x:c>
      <x:c r="CF486" s="66" t="str">
        <x:f>=CE486/CC486</x:f>
      </x:c>
      <x:c r="CH486" s="66" t="str">
        <x:f>=CI486+CJ486</x:f>
      </x:c>
      <x:c r="CI486" s="66" t="str">
        <x:f>=BX486+(0.03*7)</x:f>
      </x:c>
      <x:c r="CJ486" s="66" t="str">
        <x:f>=(1-CI486)*0.5</x:f>
      </x:c>
      <x:c r="CK486" s="66" t="str">
        <x:f>=1-CH486</x:f>
      </x:c>
      <x:c r="CM486" s="66" t="str">
        <x:f>=CJ486/(1-CI486)</x:f>
      </x:c>
    </x:row>
    <x:row r="487">
      <x:c r="A487" s="31" t="s">
        <x:v>831</x:v>
      </x:c>
      <x:c r="B487" t="s"/>
      <x:c r="C487" t="s">
        <x:v>832</x:v>
      </x:c>
      <x:c r="D487" t="s">
        <x:v>193</x:v>
      </x:c>
      <x:c r="E487" s="69" t="s">
        <x:v>153</x:v>
      </x:c>
      <x:c r="F487" t="n">
        <x:v>2645</x:v>
      </x:c>
      <x:c r="BI487" s="33" t="s"/>
      <x:c r="BJ487" s="11" t="s">
        <x:v>820</x:v>
      </x:c>
      <x:c r="BK487" s="12" t="str">
        <x:f>=BX487</x:f>
      </x:c>
      <x:c r="BL487" s="12" t="n">
        <x:v>0</x:v>
      </x:c>
      <x:c r="BM487" s="12" t="n">
        <x:v>0</x:v>
      </x:c>
      <x:c r="BN487" s="12" t="n">
        <x:v>1</x:v>
      </x:c>
      <x:c r="BO487" s="12" t="str">
        <x:f>=BW487</x:f>
      </x:c>
      <x:c r="BP487" s="12" t="str">
        <x:f>=CF487</x:f>
      </x:c>
      <x:c r="BQ487" s="12" t="str"/>
      <x:c r="BR487" s="12" t="str">
        <x:v>SS 2021 MSS</x:v>
      </x:c>
      <x:c r="BS487" s="13" t="str"/>
      <x:c r="BT487" s="30" t="n">
        <x:v>0</x:v>
      </x:c>
      <x:c r="BU487" s="30" t="n">
        <x:v>-15945.6041</x:v>
      </x:c>
      <x:c r="BV487" s="30" t="str">
        <x:f>=BT487+BU487</x:f>
      </x:c>
      <x:c r="BW487" s="66" t="str">
        <x:f>=BV487/BT487</x:f>
      </x:c>
      <x:c r="BX487" s="66" t="n">
        <x:v>0</x:v>
      </x:c>
      <x:c r="BY487" s="30" t="n">
        <x:v>15702.53</x:v>
      </x:c>
      <x:c r="BZ487" s="41" t="n">
        <x:v>2645</x:v>
      </x:c>
      <x:c r="CA487" s="30" t="n">
        <x:v>15702.530000000000000000000000</x:v>
      </x:c>
      <x:c r="CC487" s="30" t="n">
        <x:v>11948.590148578200000000000000</x:v>
      </x:c>
      <x:c r="CD487" s="30" t="n">
        <x:v>-15945.6041</x:v>
      </x:c>
      <x:c r="CE487" s="30" t="str">
        <x:f>=CC487+CD487</x:f>
      </x:c>
      <x:c r="CF487" s="66" t="str">
        <x:f>=CE487/CC487</x:f>
      </x:c>
      <x:c r="CH487" s="66" t="str">
        <x:f>=CI487+CJ487</x:f>
      </x:c>
      <x:c r="CI487" s="66" t="str">
        <x:f>=BX487+(0.03*7)</x:f>
      </x:c>
      <x:c r="CJ487" s="66" t="str">
        <x:f>=(1-CI487)*0.5</x:f>
      </x:c>
      <x:c r="CK487" s="66" t="str">
        <x:f>=1-CH487</x:f>
      </x:c>
      <x:c r="CM487" s="66" t="str">
        <x:f>=CJ487/(1-CI487)</x:f>
      </x:c>
    </x:row>
    <x:row r="488">
      <x:c r="A488" s="31" t="s">
        <x:v>833</x:v>
      </x:c>
      <x:c r="B488" t="s"/>
      <x:c r="C488" t="s">
        <x:v>834</x:v>
      </x:c>
      <x:c r="D488" t="s">
        <x:v>118</x:v>
      </x:c>
      <x:c r="E488" s="69" t="s">
        <x:v>153</x:v>
      </x:c>
      <x:c r="F488" t="n">
        <x:v>5101</x:v>
      </x:c>
      <x:c r="BI488" s="33" t="s"/>
      <x:c r="BJ488" s="11" t="s">
        <x:v>820</x:v>
      </x:c>
      <x:c r="BK488" s="12" t="str">
        <x:f>=BX488</x:f>
      </x:c>
      <x:c r="BL488" s="12" t="n">
        <x:v>0</x:v>
      </x:c>
      <x:c r="BM488" s="12" t="n">
        <x:v>0</x:v>
      </x:c>
      <x:c r="BN488" s="12" t="n">
        <x:v>1</x:v>
      </x:c>
      <x:c r="BO488" s="12" t="str">
        <x:f>=BW488</x:f>
      </x:c>
      <x:c r="BP488" s="12" t="str">
        <x:f>=CF488</x:f>
      </x:c>
      <x:c r="BQ488" s="12" t="str"/>
      <x:c r="BR488" s="12" t="str">
        <x:v>SS 2021 MSS</x:v>
      </x:c>
      <x:c r="BS488" s="13" t="str"/>
      <x:c r="BT488" s="30" t="n">
        <x:v>0</x:v>
      </x:c>
      <x:c r="BU488" s="30" t="n">
        <x:v>-18568.3201</x:v>
      </x:c>
      <x:c r="BV488" s="30" t="str">
        <x:f>=BT488+BU488</x:f>
      </x:c>
      <x:c r="BW488" s="66" t="str">
        <x:f>=BV488/BT488</x:f>
      </x:c>
      <x:c r="BX488" s="66" t="n">
        <x:v>0</x:v>
      </x:c>
      <x:c r="BY488" s="30" t="n">
        <x:v>18003.55</x:v>
      </x:c>
      <x:c r="BZ488" s="41" t="n">
        <x:v>5101</x:v>
      </x:c>
      <x:c r="CA488" s="30" t="n">
        <x:v>18003.550000000000000000000000</x:v>
      </x:c>
      <x:c r="CC488" s="30" t="n">
        <x:v>14926.730626715700000000000000</x:v>
      </x:c>
      <x:c r="CD488" s="30" t="n">
        <x:v>-18568.3201</x:v>
      </x:c>
      <x:c r="CE488" s="30" t="str">
        <x:f>=CC488+CD488</x:f>
      </x:c>
      <x:c r="CF488" s="66" t="str">
        <x:f>=CE488/CC488</x:f>
      </x:c>
      <x:c r="CH488" s="66" t="str">
        <x:f>=CI488+CJ488</x:f>
      </x:c>
      <x:c r="CI488" s="66" t="str">
        <x:f>=BX488+(0.03*7)</x:f>
      </x:c>
      <x:c r="CJ488" s="66" t="str">
        <x:f>=(1-CI488)*0.5</x:f>
      </x:c>
      <x:c r="CK488" s="66" t="str">
        <x:f>=1-CH488</x:f>
      </x:c>
      <x:c r="CM488" s="66" t="str">
        <x:f>=CJ488/(1-CI488)</x:f>
      </x:c>
    </x:row>
    <x:row r="489">
      <x:c r="A489" s="31" t="s">
        <x:v>835</x:v>
      </x:c>
      <x:c r="B489" t="s"/>
      <x:c r="C489" t="s">
        <x:v>834</x:v>
      </x:c>
      <x:c r="D489" t="s">
        <x:v>118</x:v>
      </x:c>
      <x:c r="E489" s="69" t="s">
        <x:v>153</x:v>
      </x:c>
      <x:c r="F489" t="n">
        <x:v>4688</x:v>
      </x:c>
      <x:c r="BI489" s="33" t="s"/>
      <x:c r="BJ489" s="11" t="s">
        <x:v>820</x:v>
      </x:c>
      <x:c r="BK489" s="12" t="str">
        <x:f>=BX489</x:f>
      </x:c>
      <x:c r="BL489" s="12" t="n">
        <x:v>0</x:v>
      </x:c>
      <x:c r="BM489" s="12" t="n">
        <x:v>0</x:v>
      </x:c>
      <x:c r="BN489" s="12" t="n">
        <x:v>1</x:v>
      </x:c>
      <x:c r="BO489" s="12" t="str">
        <x:f>=BW489</x:f>
      </x:c>
      <x:c r="BP489" s="12" t="str">
        <x:f>=CF489</x:f>
      </x:c>
      <x:c r="BQ489" s="12" t="str"/>
      <x:c r="BR489" s="12" t="str">
        <x:v>SS 2021 MSS</x:v>
      </x:c>
      <x:c r="BS489" s="13" t="str"/>
      <x:c r="BT489" s="30" t="n">
        <x:v>0</x:v>
      </x:c>
      <x:c r="BU489" s="30" t="n">
        <x:v>-16955.6248</x:v>
      </x:c>
      <x:c r="BV489" s="30" t="str">
        <x:f>=BT489+BU489</x:f>
      </x:c>
      <x:c r="BW489" s="66" t="str">
        <x:f>=BV489/BT489</x:f>
      </x:c>
      <x:c r="BX489" s="66" t="n">
        <x:v>0</x:v>
      </x:c>
      <x:c r="BY489" s="30" t="n">
        <x:v>16433.20</x:v>
      </x:c>
      <x:c r="BZ489" s="41" t="n">
        <x:v>4688</x:v>
      </x:c>
      <x:c r="CA489" s="30" t="n">
        <x:v>16433.200000000000000000000000</x:v>
      </x:c>
      <x:c r="CC489" s="30" t="n">
        <x:v>13563.468663455100000000000000</x:v>
      </x:c>
      <x:c r="CD489" s="30" t="n">
        <x:v>-16955.6248</x:v>
      </x:c>
      <x:c r="CE489" s="30" t="str">
        <x:f>=CC489+CD489</x:f>
      </x:c>
      <x:c r="CF489" s="66" t="str">
        <x:f>=CE489/CC489</x:f>
      </x:c>
      <x:c r="CH489" s="66" t="str">
        <x:f>=CI489+CJ489</x:f>
      </x:c>
      <x:c r="CI489" s="66" t="str">
        <x:f>=BX489+(0.03*7)</x:f>
      </x:c>
      <x:c r="CJ489" s="66" t="str">
        <x:f>=(1-CI489)*0.5</x:f>
      </x:c>
      <x:c r="CK489" s="66" t="str">
        <x:f>=1-CH489</x:f>
      </x:c>
      <x:c r="CM489" s="66" t="str">
        <x:f>=CJ489/(1-CI489)</x:f>
      </x:c>
    </x:row>
    <x:row r="490">
      <x:c r="A490" s="31" t="s">
        <x:v>836</x:v>
      </x:c>
      <x:c r="B490" t="s"/>
      <x:c r="C490" t="s">
        <x:v>837</x:v>
      </x:c>
      <x:c r="D490" t="s">
        <x:v>118</x:v>
      </x:c>
      <x:c r="E490" s="69" t="s">
        <x:v>153</x:v>
      </x:c>
      <x:c r="F490" t="n">
        <x:v>5195</x:v>
      </x:c>
      <x:c r="BI490" s="33" t="s"/>
      <x:c r="BJ490" s="11" t="s">
        <x:v>820</x:v>
      </x:c>
      <x:c r="BK490" s="12" t="str">
        <x:f>=BX490</x:f>
      </x:c>
      <x:c r="BL490" s="12" t="n">
        <x:v>0</x:v>
      </x:c>
      <x:c r="BM490" s="12" t="n">
        <x:v>0</x:v>
      </x:c>
      <x:c r="BN490" s="12" t="n">
        <x:v>1</x:v>
      </x:c>
      <x:c r="BO490" s="12" t="str">
        <x:f>=BW490</x:f>
      </x:c>
      <x:c r="BP490" s="12" t="str">
        <x:f>=CF490</x:f>
      </x:c>
      <x:c r="BQ490" s="12" t="str"/>
      <x:c r="BR490" s="12" t="str">
        <x:v>SS 2021 MSS</x:v>
      </x:c>
      <x:c r="BS490" s="13" t="str"/>
      <x:c r="BT490" s="30" t="n">
        <x:v>0</x:v>
      </x:c>
      <x:c r="BU490" s="30" t="n">
        <x:v>-28011.4545</x:v>
      </x:c>
      <x:c r="BV490" s="30" t="str">
        <x:f>=BT490+BU490</x:f>
      </x:c>
      <x:c r="BW490" s="66" t="str">
        <x:f>=BV490/BT490</x:f>
      </x:c>
      <x:c r="BX490" s="66" t="n">
        <x:v>0</x:v>
      </x:c>
      <x:c r="BY490" s="30" t="n">
        <x:v>27717.75</x:v>
      </x:c>
      <x:c r="BZ490" s="41" t="n">
        <x:v>5195</x:v>
      </x:c>
      <x:c r="CA490" s="30" t="n">
        <x:v>27717.750000000000000000000000</x:v>
      </x:c>
      <x:c r="CC490" s="30" t="n">
        <x:v>20731.344331323600000000000000</x:v>
      </x:c>
      <x:c r="CD490" s="30" t="n">
        <x:v>-28011.4545</x:v>
      </x:c>
      <x:c r="CE490" s="30" t="str">
        <x:f>=CC490+CD490</x:f>
      </x:c>
      <x:c r="CF490" s="66" t="str">
        <x:f>=CE490/CC490</x:f>
      </x:c>
      <x:c r="CH490" s="66" t="str">
        <x:f>=CI490+CJ490</x:f>
      </x:c>
      <x:c r="CI490" s="66" t="str">
        <x:f>=BX490+(0.03*7)</x:f>
      </x:c>
      <x:c r="CJ490" s="66" t="str">
        <x:f>=(1-CI490)*0.5</x:f>
      </x:c>
      <x:c r="CK490" s="66" t="str">
        <x:f>=1-CH490</x:f>
      </x:c>
      <x:c r="CM490" s="66" t="str">
        <x:f>=CJ490/(1-CI490)</x:f>
      </x:c>
    </x:row>
    <x:row r="491">
      <x:c r="A491" s="31" t="s">
        <x:v>838</x:v>
      </x:c>
      <x:c r="B491" t="s"/>
      <x:c r="C491" t="s">
        <x:v>839</x:v>
      </x:c>
      <x:c r="D491" t="s">
        <x:v>118</x:v>
      </x:c>
      <x:c r="E491" s="69" t="s">
        <x:v>153</x:v>
      </x:c>
      <x:c r="F491" t="n">
        <x:v>2977</x:v>
      </x:c>
      <x:c r="BI491" s="33" t="s"/>
      <x:c r="BJ491" s="11" t="s">
        <x:v>820</x:v>
      </x:c>
      <x:c r="BK491" s="12" t="str">
        <x:f>=BX491</x:f>
      </x:c>
      <x:c r="BL491" s="12" t="n">
        <x:v>0</x:v>
      </x:c>
      <x:c r="BM491" s="12" t="n">
        <x:v>0</x:v>
      </x:c>
      <x:c r="BN491" s="12" t="n">
        <x:v>1</x:v>
      </x:c>
      <x:c r="BO491" s="12" t="str">
        <x:f>=BW491</x:f>
      </x:c>
      <x:c r="BP491" s="12" t="str">
        <x:f>=CF491</x:f>
      </x:c>
      <x:c r="BQ491" s="12" t="str"/>
      <x:c r="BR491" s="12" t="str">
        <x:v>SS 2021 MSS</x:v>
      </x:c>
      <x:c r="BS491" s="13" t="str"/>
      <x:c r="BT491" s="30" t="n">
        <x:v>0</x:v>
      </x:c>
      <x:c r="BU491" s="30" t="n">
        <x:v>-10806.0047</x:v>
      </x:c>
      <x:c r="BV491" s="30" t="str">
        <x:f>=BT491+BU491</x:f>
      </x:c>
      <x:c r="BW491" s="66" t="str">
        <x:f>=BV491/BT491</x:f>
      </x:c>
      <x:c r="BX491" s="66" t="n">
        <x:v>0</x:v>
      </x:c>
      <x:c r="BY491" s="30" t="n">
        <x:v>10475.45</x:v>
      </x:c>
      <x:c r="BZ491" s="41" t="n">
        <x:v>2977</x:v>
      </x:c>
      <x:c r="CA491" s="30" t="n">
        <x:v>10475.450000000000000000000000</x:v>
      </x:c>
      <x:c r="CC491" s="30" t="n">
        <x:v>7799.5319995242000000000000000</x:v>
      </x:c>
      <x:c r="CD491" s="30" t="n">
        <x:v>-10806.0047</x:v>
      </x:c>
      <x:c r="CE491" s="30" t="str">
        <x:f>=CC491+CD491</x:f>
      </x:c>
      <x:c r="CF491" s="66" t="str">
        <x:f>=CE491/CC491</x:f>
      </x:c>
      <x:c r="CH491" s="66" t="str">
        <x:f>=CI491+CJ491</x:f>
      </x:c>
      <x:c r="CI491" s="66" t="str">
        <x:f>=BX491+(0.03*7)</x:f>
      </x:c>
      <x:c r="CJ491" s="66" t="str">
        <x:f>=(1-CI491)*0.5</x:f>
      </x:c>
      <x:c r="CK491" s="66" t="str">
        <x:f>=1-CH491</x:f>
      </x:c>
      <x:c r="CM491" s="66" t="str">
        <x:f>=CJ491/(1-CI491)</x:f>
      </x:c>
    </x:row>
    <x:row r="492">
      <x:c r="A492" s="31" t="s">
        <x:v>840</x:v>
      </x:c>
      <x:c r="B492" t="s"/>
      <x:c r="C492" t="s">
        <x:v>841</x:v>
      </x:c>
      <x:c r="D492" t="s">
        <x:v>118</x:v>
      </x:c>
      <x:c r="E492" s="69" t="s">
        <x:v>153</x:v>
      </x:c>
      <x:c r="F492" t="n">
        <x:v>1205</x:v>
      </x:c>
      <x:c r="BI492" s="33" t="s"/>
      <x:c r="BJ492" s="11" t="s">
        <x:v>820</x:v>
      </x:c>
      <x:c r="BK492" s="12" t="str">
        <x:f>=BX492</x:f>
      </x:c>
      <x:c r="BL492" s="12" t="n">
        <x:v>0</x:v>
      </x:c>
      <x:c r="BM492" s="12" t="n">
        <x:v>0</x:v>
      </x:c>
      <x:c r="BN492" s="12" t="n">
        <x:v>1</x:v>
      </x:c>
      <x:c r="BO492" s="12" t="str">
        <x:f>=BW492</x:f>
      </x:c>
      <x:c r="BP492" s="12" t="str">
        <x:f>=CF492</x:f>
      </x:c>
      <x:c r="BQ492" s="12" t="str"/>
      <x:c r="BR492" s="12" t="str">
        <x:v>SS 2021 EOS</x:v>
      </x:c>
      <x:c r="BS492" s="13" t="str"/>
      <x:c r="BT492" s="30" t="n">
        <x:v>0</x:v>
      </x:c>
      <x:c r="BU492" s="30" t="n">
        <x:v>-5668.9955</x:v>
      </x:c>
      <x:c r="BV492" s="30" t="str">
        <x:f>=BT492+BU492</x:f>
      </x:c>
      <x:c r="BW492" s="66" t="str">
        <x:f>=BV492/BT492</x:f>
      </x:c>
      <x:c r="BX492" s="66" t="n">
        <x:v>0</x:v>
      </x:c>
      <x:c r="BY492" s="30" t="n">
        <x:v>5575.25</x:v>
      </x:c>
      <x:c r="BZ492" s="41" t="n">
        <x:v>1205</x:v>
      </x:c>
      <x:c r="CA492" s="30" t="n">
        <x:v>5575.2500000000000000000000000</x:v>
      </x:c>
      <x:c r="CC492" s="30" t="n">
        <x:v>4099.6645996604999999999999997</x:v>
      </x:c>
      <x:c r="CD492" s="30" t="n">
        <x:v>-5668.9955</x:v>
      </x:c>
      <x:c r="CE492" s="30" t="str">
        <x:f>=CC492+CD492</x:f>
      </x:c>
      <x:c r="CF492" s="66" t="str">
        <x:f>=CE492/CC492</x:f>
      </x:c>
      <x:c r="CH492" s="66" t="str">
        <x:f>=CI492+CJ492</x:f>
      </x:c>
      <x:c r="CI492" s="66" t="str">
        <x:f>=BX492+(0.03*7)</x:f>
      </x:c>
      <x:c r="CJ492" s="66" t="str">
        <x:f>=(1-CI492)*0.5</x:f>
      </x:c>
      <x:c r="CK492" s="66" t="str">
        <x:f>=1-CH492</x:f>
      </x:c>
      <x:c r="CM492" s="66" t="str">
        <x:f>=CJ492/(1-CI492)</x:f>
      </x:c>
    </x:row>
    <x:row r="493">
      <x:c r="A493" s="31" t="s">
        <x:v>842</x:v>
      </x:c>
      <x:c r="B493" t="s"/>
      <x:c r="C493" t="s">
        <x:v>843</x:v>
      </x:c>
      <x:c r="D493" t="s">
        <x:v>118</x:v>
      </x:c>
      <x:c r="E493" s="69" t="s">
        <x:v>153</x:v>
      </x:c>
      <x:c r="F493" t="n">
        <x:v>992</x:v>
      </x:c>
      <x:c r="BI493" s="33" t="s"/>
      <x:c r="BJ493" s="11" t="s">
        <x:v>820</x:v>
      </x:c>
      <x:c r="BK493" s="12" t="str">
        <x:f>=BX493</x:f>
      </x:c>
      <x:c r="BL493" s="12" t="n">
        <x:v>0</x:v>
      </x:c>
      <x:c r="BM493" s="12" t="n">
        <x:v>0</x:v>
      </x:c>
      <x:c r="BN493" s="12" t="n">
        <x:v>1</x:v>
      </x:c>
      <x:c r="BO493" s="12" t="str">
        <x:f>=BW493</x:f>
      </x:c>
      <x:c r="BP493" s="12" t="str">
        <x:f>=CF493</x:f>
      </x:c>
      <x:c r="BQ493" s="12" t="str"/>
      <x:c r="BR493" s="12" t="str">
        <x:v>SS 2021 EOS</x:v>
      </x:c>
      <x:c r="BS493" s="13" t="str"/>
      <x:c r="BT493" s="30" t="n">
        <x:v>0</x:v>
      </x:c>
      <x:c r="BU493" s="30" t="n">
        <x:v>-4457.3174</x:v>
      </x:c>
      <x:c r="BV493" s="30" t="str">
        <x:f>=BT493+BU493</x:f>
      </x:c>
      <x:c r="BW493" s="66" t="str">
        <x:f>=BV493/BT493</x:f>
      </x:c>
      <x:c r="BX493" s="66" t="n">
        <x:v>0</x:v>
      </x:c>
      <x:c r="BY493" s="30" t="n">
        <x:v>4373.66</x:v>
      </x:c>
      <x:c r="BZ493" s="41" t="n">
        <x:v>992</x:v>
      </x:c>
      <x:c r="CA493" s="30" t="n">
        <x:v>4373.6600000000000000000000000</x:v>
      </x:c>
      <x:c r="CC493" s="30" t="n">
        <x:v>3583.6472836436999999999999997</x:v>
      </x:c>
      <x:c r="CD493" s="30" t="n">
        <x:v>-4457.3174</x:v>
      </x:c>
      <x:c r="CE493" s="30" t="str">
        <x:f>=CC493+CD493</x:f>
      </x:c>
      <x:c r="CF493" s="66" t="str">
        <x:f>=CE493/CC493</x:f>
      </x:c>
      <x:c r="CH493" s="66" t="str">
        <x:f>=CI493+CJ493</x:f>
      </x:c>
      <x:c r="CI493" s="66" t="str">
        <x:f>=BX493+(0.03*7)</x:f>
      </x:c>
      <x:c r="CJ493" s="66" t="str">
        <x:f>=(1-CI493)*0.5</x:f>
      </x:c>
      <x:c r="CK493" s="66" t="str">
        <x:f>=1-CH493</x:f>
      </x:c>
      <x:c r="CM493" s="66" t="str">
        <x:f>=CJ493/(1-CI493)</x:f>
      </x:c>
    </x:row>
    <x:row r="494">
      <x:c r="A494" s="31" t="s">
        <x:v>844</x:v>
      </x:c>
      <x:c r="B494" t="s"/>
      <x:c r="C494" t="s">
        <x:v>845</x:v>
      </x:c>
      <x:c r="D494" t="s">
        <x:v>118</x:v>
      </x:c>
      <x:c r="E494" s="69" t="s">
        <x:v>153</x:v>
      </x:c>
      <x:c r="F494" t="n">
        <x:v>2018</x:v>
      </x:c>
      <x:c r="BI494" s="33" t="s"/>
      <x:c r="BJ494" s="11" t="s">
        <x:v>820</x:v>
      </x:c>
      <x:c r="BK494" s="12" t="str">
        <x:f>=BX494</x:f>
      </x:c>
      <x:c r="BL494" s="12" t="n">
        <x:v>0</x:v>
      </x:c>
      <x:c r="BM494" s="12" t="n">
        <x:v>0</x:v>
      </x:c>
      <x:c r="BN494" s="12" t="n">
        <x:v>1</x:v>
      </x:c>
      <x:c r="BO494" s="12" t="str">
        <x:f>=BW494</x:f>
      </x:c>
      <x:c r="BP494" s="12" t="str">
        <x:f>=CF494</x:f>
      </x:c>
      <x:c r="BQ494" s="12" t="str"/>
      <x:c r="BR494" s="12" t="str">
        <x:v>SS 2021 EOS</x:v>
      </x:c>
      <x:c r="BS494" s="13" t="str"/>
      <x:c r="BT494" s="30" t="n">
        <x:v>0</x:v>
      </x:c>
      <x:c r="BU494" s="30" t="n">
        <x:v>-6955.7413</x:v>
      </x:c>
      <x:c r="BV494" s="30" t="str">
        <x:f>=BT494+BU494</x:f>
      </x:c>
      <x:c r="BW494" s="66" t="str">
        <x:f>=BV494/BT494</x:f>
      </x:c>
      <x:c r="BX494" s="66" t="n">
        <x:v>0</x:v>
      </x:c>
      <x:c r="BY494" s="30" t="n">
        <x:v>6720.25</x:v>
      </x:c>
      <x:c r="BZ494" s="41" t="n">
        <x:v>2018</x:v>
      </x:c>
      <x:c r="CA494" s="30" t="n">
        <x:v>6720.2500000000000000000000000</x:v>
      </x:c>
      <x:c r="CC494" s="30" t="n">
        <x:v>5199.3974493922500000000000000</x:v>
      </x:c>
      <x:c r="CD494" s="30" t="n">
        <x:v>-6955.7413</x:v>
      </x:c>
      <x:c r="CE494" s="30" t="str">
        <x:f>=CC494+CD494</x:f>
      </x:c>
      <x:c r="CF494" s="66" t="str">
        <x:f>=CE494/CC494</x:f>
      </x:c>
      <x:c r="CH494" s="66" t="str">
        <x:f>=CI494+CJ494</x:f>
      </x:c>
      <x:c r="CI494" s="66" t="str">
        <x:f>=BX494+(0.03*7)</x:f>
      </x:c>
      <x:c r="CJ494" s="66" t="str">
        <x:f>=(1-CI494)*0.5</x:f>
      </x:c>
      <x:c r="CK494" s="66" t="str">
        <x:f>=1-CH494</x:f>
      </x:c>
      <x:c r="CM494" s="66" t="str">
        <x:f>=CJ494/(1-CI494)</x:f>
      </x:c>
    </x:row>
    <x:row r="495">
      <x:c r="A495" s="31" t="s">
        <x:v>846</x:v>
      </x:c>
      <x:c r="B495" t="s"/>
      <x:c r="C495" t="s">
        <x:v>847</x:v>
      </x:c>
      <x:c r="D495" t="s">
        <x:v>118</x:v>
      </x:c>
      <x:c r="E495" s="69" t="s">
        <x:v>153</x:v>
      </x:c>
      <x:c r="F495" t="n">
        <x:v>1002</x:v>
      </x:c>
      <x:c r="BI495" s="33" t="s"/>
      <x:c r="BJ495" s="11" t="s">
        <x:v>820</x:v>
      </x:c>
      <x:c r="BK495" s="12" t="str">
        <x:f>=BX495</x:f>
      </x:c>
      <x:c r="BL495" s="12" t="n">
        <x:v>0</x:v>
      </x:c>
      <x:c r="BM495" s="12" t="n">
        <x:v>0</x:v>
      </x:c>
      <x:c r="BN495" s="12" t="n">
        <x:v>1</x:v>
      </x:c>
      <x:c r="BO495" s="12" t="str">
        <x:f>=BW495</x:f>
      </x:c>
      <x:c r="BP495" s="12" t="str">
        <x:f>=CF495</x:f>
      </x:c>
      <x:c r="BQ495" s="12" t="str"/>
      <x:c r="BR495" s="12" t="str">
        <x:v>SS 2021 EOS</x:v>
      </x:c>
      <x:c r="BS495" s="13" t="str"/>
      <x:c r="BT495" s="30" t="n">
        <x:v>0</x:v>
      </x:c>
      <x:c r="BU495" s="30" t="n">
        <x:v>-4501.3583</x:v>
      </x:c>
      <x:c r="BV495" s="30" t="str">
        <x:f>=BT495+BU495</x:f>
      </x:c>
      <x:c r="BW495" s="66" t="str">
        <x:f>=BV495/BT495</x:f>
      </x:c>
      <x:c r="BX495" s="66" t="n">
        <x:v>0</x:v>
      </x:c>
      <x:c r="BY495" s="30" t="n">
        <x:v>4416.83</x:v>
      </x:c>
      <x:c r="BZ495" s="41" t="n">
        <x:v>1002</x:v>
      </x:c>
      <x:c r="CA495" s="30" t="n">
        <x:v>4416.8300000000000000000000000</x:v>
      </x:c>
      <x:c r="CC495" s="30" t="n">
        <x:v>3617.0605670569500000000000000</x:v>
      </x:c>
      <x:c r="CD495" s="30" t="n">
        <x:v>-4501.3583</x:v>
      </x:c>
      <x:c r="CE495" s="30" t="str">
        <x:f>=CC495+CD495</x:f>
      </x:c>
      <x:c r="CF495" s="66" t="str">
        <x:f>=CE495/CC495</x:f>
      </x:c>
      <x:c r="CH495" s="66" t="str">
        <x:f>=CI495+CJ495</x:f>
      </x:c>
      <x:c r="CI495" s="66" t="str">
        <x:f>=BX495+(0.03*7)</x:f>
      </x:c>
      <x:c r="CJ495" s="66" t="str">
        <x:f>=(1-CI495)*0.5</x:f>
      </x:c>
      <x:c r="CK495" s="66" t="str">
        <x:f>=1-CH495</x:f>
      </x:c>
      <x:c r="CM495" s="66" t="str">
        <x:f>=CJ495/(1-CI495)</x:f>
      </x:c>
    </x:row>
    <x:row r="496">
      <x:c r="A496" s="31" t="s">
        <x:v>848</x:v>
      </x:c>
      <x:c r="B496" t="s"/>
      <x:c r="C496" t="s">
        <x:v>847</x:v>
      </x:c>
      <x:c r="D496" t="s">
        <x:v>118</x:v>
      </x:c>
      <x:c r="E496" s="69" t="s">
        <x:v>153</x:v>
      </x:c>
      <x:c r="F496" t="n">
        <x:v>1996</x:v>
      </x:c>
      <x:c r="BI496" s="33" t="s"/>
      <x:c r="BJ496" s="11" t="s">
        <x:v>820</x:v>
      </x:c>
      <x:c r="BK496" s="12" t="str">
        <x:f>=BX496</x:f>
      </x:c>
      <x:c r="BL496" s="12" t="n">
        <x:v>0</x:v>
      </x:c>
      <x:c r="BM496" s="12" t="n">
        <x:v>0</x:v>
      </x:c>
      <x:c r="BN496" s="12" t="n">
        <x:v>1</x:v>
      </x:c>
      <x:c r="BO496" s="12" t="str">
        <x:f>=BW496</x:f>
      </x:c>
      <x:c r="BP496" s="12" t="str">
        <x:f>=CF496</x:f>
      </x:c>
      <x:c r="BQ496" s="12" t="str"/>
      <x:c r="BR496" s="12" t="str">
        <x:v>SS 2021 EOS</x:v>
      </x:c>
      <x:c r="BS496" s="13" t="str"/>
      <x:c r="BT496" s="30" t="n">
        <x:v>0</x:v>
      </x:c>
      <x:c r="BU496" s="30" t="n">
        <x:v>-6880.0691</x:v>
      </x:c>
      <x:c r="BV496" s="30" t="str">
        <x:f>=BT496+BU496</x:f>
      </x:c>
      <x:c r="BW496" s="66" t="str">
        <x:f>=BV496/BT496</x:f>
      </x:c>
      <x:c r="BX496" s="66" t="n">
        <x:v>0</x:v>
      </x:c>
      <x:c r="BY496" s="30" t="n">
        <x:v>6647.15</x:v>
      </x:c>
      <x:c r="BZ496" s="41" t="n">
        <x:v>1996</x:v>
      </x:c>
      <x:c r="CA496" s="30" t="n">
        <x:v>6647.1500000000000000000000000</x:v>
      </x:c>
      <x:c r="CC496" s="30" t="n">
        <x:v>5143.0306930255500000000000002</x:v>
      </x:c>
      <x:c r="CD496" s="30" t="n">
        <x:v>-6880.0691</x:v>
      </x:c>
      <x:c r="CE496" s="30" t="str">
        <x:f>=CC496+CD496</x:f>
      </x:c>
      <x:c r="CF496" s="66" t="str">
        <x:f>=CE496/CC496</x:f>
      </x:c>
      <x:c r="CH496" s="66" t="str">
        <x:f>=CI496+CJ496</x:f>
      </x:c>
      <x:c r="CI496" s="66" t="str">
        <x:f>=BX496+(0.03*7)</x:f>
      </x:c>
      <x:c r="CJ496" s="66" t="str">
        <x:f>=(1-CI496)*0.5</x:f>
      </x:c>
      <x:c r="CK496" s="66" t="str">
        <x:f>=1-CH496</x:f>
      </x:c>
      <x:c r="CM496" s="66" t="str">
        <x:f>=CJ496/(1-CI496)</x:f>
      </x:c>
    </x:row>
    <x:row r="497">
      <x:c r="A497" s="31" t="s">
        <x:v>849</x:v>
      </x:c>
      <x:c r="B497" t="s"/>
      <x:c r="C497" t="s">
        <x:v>850</x:v>
      </x:c>
      <x:c r="D497" t="s">
        <x:v>118</x:v>
      </x:c>
      <x:c r="E497" s="69" t="s">
        <x:v>153</x:v>
      </x:c>
      <x:c r="F497" t="n">
        <x:v>2878</x:v>
      </x:c>
      <x:c r="BI497" s="33" t="s"/>
      <x:c r="BJ497" s="11" t="s">
        <x:v>820</x:v>
      </x:c>
      <x:c r="BK497" s="12" t="str">
        <x:f>=BX497</x:f>
      </x:c>
      <x:c r="BL497" s="12" t="n">
        <x:v>0</x:v>
      </x:c>
      <x:c r="BM497" s="12" t="n">
        <x:v>0</x:v>
      </x:c>
      <x:c r="BN497" s="12" t="n">
        <x:v>1</x:v>
      </x:c>
      <x:c r="BO497" s="12" t="str">
        <x:f>=BW497</x:f>
      </x:c>
      <x:c r="BP497" s="12" t="str">
        <x:f>=CF497</x:f>
      </x:c>
      <x:c r="BQ497" s="12" t="str"/>
      <x:c r="BR497" s="12" t="str">
        <x:v>SS 2021 MSS</x:v>
      </x:c>
      <x:c r="BS497" s="13" t="str"/>
      <x:c r="BT497" s="30" t="n">
        <x:v>0</x:v>
      </x:c>
      <x:c r="BU497" s="30" t="n">
        <x:v>-6741.5043</x:v>
      </x:c>
      <x:c r="BV497" s="30" t="str">
        <x:f>=BT497+BU497</x:f>
      </x:c>
      <x:c r="BW497" s="66" t="str">
        <x:f>=BV497/BT497</x:f>
      </x:c>
      <x:c r="BX497" s="66" t="n">
        <x:v>0</x:v>
      </x:c>
      <x:c r="BY497" s="30" t="n">
        <x:v>6307.35</x:v>
      </x:c>
      <x:c r="BZ497" s="41" t="n">
        <x:v>2878</x:v>
      </x:c>
      <x:c r="CA497" s="30" t="n">
        <x:v>6307.3500000000000000000000000</x:v>
      </x:c>
      <x:c r="CC497" s="30" t="n">
        <x:v>6495.5422955358000000000000000</x:v>
      </x:c>
      <x:c r="CD497" s="30" t="n">
        <x:v>-6741.5043</x:v>
      </x:c>
      <x:c r="CE497" s="30" t="str">
        <x:f>=CC497+CD497</x:f>
      </x:c>
      <x:c r="CF497" s="66" t="str">
        <x:f>=CE497/CC497</x:f>
      </x:c>
      <x:c r="CH497" s="66" t="str">
        <x:f>=CI497+CJ497</x:f>
      </x:c>
      <x:c r="CI497" s="66" t="str">
        <x:f>=BX497+(0.03*7)</x:f>
      </x:c>
      <x:c r="CJ497" s="66" t="str">
        <x:f>=(1-CI497)*0.5</x:f>
      </x:c>
      <x:c r="CK497" s="66" t="str">
        <x:f>=1-CH497</x:f>
      </x:c>
      <x:c r="CM497" s="66" t="str">
        <x:f>=CJ497/(1-CI497)</x:f>
      </x:c>
    </x:row>
    <x:row r="498">
      <x:c r="A498" s="31" t="s">
        <x:v>851</x:v>
      </x:c>
      <x:c r="B498" t="s"/>
      <x:c r="C498" t="s">
        <x:v>852</x:v>
      </x:c>
      <x:c r="D498" t="s">
        <x:v>118</x:v>
      </x:c>
      <x:c r="E498" s="69" t="s">
        <x:v>153</x:v>
      </x:c>
      <x:c r="F498" t="n">
        <x:v>3151</x:v>
      </x:c>
      <x:c r="BI498" s="33" t="s"/>
      <x:c r="BJ498" s="11" t="s">
        <x:v>820</x:v>
      </x:c>
      <x:c r="BK498" s="12" t="str">
        <x:f>=BX498</x:f>
      </x:c>
      <x:c r="BL498" s="12" t="n">
        <x:v>0</x:v>
      </x:c>
      <x:c r="BM498" s="12" t="n">
        <x:v>0</x:v>
      </x:c>
      <x:c r="BN498" s="12" t="n">
        <x:v>1</x:v>
      </x:c>
      <x:c r="BO498" s="12" t="str">
        <x:f>=BW498</x:f>
      </x:c>
      <x:c r="BP498" s="12" t="str">
        <x:f>=CF498</x:f>
      </x:c>
      <x:c r="BQ498" s="12" t="str"/>
      <x:c r="BR498" s="12" t="str">
        <x:v>SS 2021 MSS</x:v>
      </x:c>
      <x:c r="BS498" s="13" t="str"/>
      <x:c r="BT498" s="30" t="n">
        <x:v>0</x:v>
      </x:c>
      <x:c r="BU498" s="30" t="n">
        <x:v>-7376.5251</x:v>
      </x:c>
      <x:c r="BV498" s="30" t="str">
        <x:f>=BT498+BU498</x:f>
      </x:c>
      <x:c r="BW498" s="66" t="str">
        <x:f>=BV498/BT498</x:f>
      </x:c>
      <x:c r="BX498" s="66" t="n">
        <x:v>0</x:v>
      </x:c>
      <x:c r="BY498" s="30" t="n">
        <x:v>6901.05</x:v>
      </x:c>
      <x:c r="BZ498" s="41" t="n">
        <x:v>3151</x:v>
      </x:c>
      <x:c r="CA498" s="30" t="n">
        <x:v>6901.0499999999999999999999998</x:v>
      </x:c>
      <x:c r="CC498" s="30" t="n">
        <x:v>7108.6034085963000000000000000</x:v>
      </x:c>
      <x:c r="CD498" s="30" t="n">
        <x:v>-7376.5251</x:v>
      </x:c>
      <x:c r="CE498" s="30" t="str">
        <x:f>=CC498+CD498</x:f>
      </x:c>
      <x:c r="CF498" s="66" t="str">
        <x:f>=CE498/CC498</x:f>
      </x:c>
      <x:c r="CH498" s="66" t="str">
        <x:f>=CI498+CJ498</x:f>
      </x:c>
      <x:c r="CI498" s="66" t="str">
        <x:f>=BX498+(0.03*7)</x:f>
      </x:c>
      <x:c r="CJ498" s="66" t="str">
        <x:f>=(1-CI498)*0.5</x:f>
      </x:c>
      <x:c r="CK498" s="66" t="str">
        <x:f>=1-CH498</x:f>
      </x:c>
      <x:c r="CM498" s="66" t="str">
        <x:f>=CJ498/(1-CI498)</x:f>
      </x:c>
    </x:row>
    <x:row r="499">
      <x:c r="A499" s="31" t="s">
        <x:v>853</x:v>
      </x:c>
      <x:c r="B499" t="s"/>
      <x:c r="C499" t="s">
        <x:v>854</x:v>
      </x:c>
      <x:c r="D499" t="s">
        <x:v>118</x:v>
      </x:c>
      <x:c r="E499" s="69" t="s">
        <x:v>153</x:v>
      </x:c>
      <x:c r="F499" t="n">
        <x:v>3181</x:v>
      </x:c>
      <x:c r="BI499" s="33" t="s"/>
      <x:c r="BJ499" s="11" t="s">
        <x:v>820</x:v>
      </x:c>
      <x:c r="BK499" s="12" t="str">
        <x:f>=BX499</x:f>
      </x:c>
      <x:c r="BL499" s="12" t="n">
        <x:v>0</x:v>
      </x:c>
      <x:c r="BM499" s="12" t="n">
        <x:v>0</x:v>
      </x:c>
      <x:c r="BN499" s="12" t="n">
        <x:v>1</x:v>
      </x:c>
      <x:c r="BO499" s="12" t="str">
        <x:f>=BW499</x:f>
      </x:c>
      <x:c r="BP499" s="12" t="str">
        <x:f>=CF499</x:f>
      </x:c>
      <x:c r="BQ499" s="12" t="str"/>
      <x:c r="BR499" s="12" t="str">
        <x:v>SS 2021 EOS</x:v>
      </x:c>
      <x:c r="BS499" s="13" t="str"/>
      <x:c r="BT499" s="30" t="n">
        <x:v>0</x:v>
      </x:c>
      <x:c r="BU499" s="30" t="n">
        <x:v>-7427.7886</x:v>
      </x:c>
      <x:c r="BV499" s="30" t="str">
        <x:f>=BT499+BU499</x:f>
      </x:c>
      <x:c r="BW499" s="66" t="str">
        <x:f>=BV499/BT499</x:f>
      </x:c>
      <x:c r="BX499" s="66" t="n">
        <x:v>0</x:v>
      </x:c>
      <x:c r="BY499" s="30" t="n">
        <x:v>6947.20</x:v>
      </x:c>
      <x:c r="BZ499" s="41" t="n">
        <x:v>3181</x:v>
      </x:c>
      <x:c r="CA499" s="30" t="n">
        <x:v>6947.2000000000000000000000001</x:v>
      </x:c>
      <x:c r="CC499" s="30" t="n">
        <x:v>7178.9165789094000000000000000</x:v>
      </x:c>
      <x:c r="CD499" s="30" t="n">
        <x:v>-7427.7886</x:v>
      </x:c>
      <x:c r="CE499" s="30" t="str">
        <x:f>=CC499+CD499</x:f>
      </x:c>
      <x:c r="CF499" s="66" t="str">
        <x:f>=CE499/CC499</x:f>
      </x:c>
      <x:c r="CH499" s="66" t="str">
        <x:f>=CI499+CJ499</x:f>
      </x:c>
      <x:c r="CI499" s="66" t="str">
        <x:f>=BX499+(0.03*7)</x:f>
      </x:c>
      <x:c r="CJ499" s="66" t="str">
        <x:f>=(1-CI499)*0.5</x:f>
      </x:c>
      <x:c r="CK499" s="66" t="str">
        <x:f>=1-CH499</x:f>
      </x:c>
      <x:c r="CM499" s="66" t="str">
        <x:f>=CJ499/(1-CI499)</x:f>
      </x:c>
    </x:row>
    <x:row r="500">
      <x:c r="A500" s="31" t="s">
        <x:v>855</x:v>
      </x:c>
      <x:c r="B500" t="s">
        <x:v>116</x:v>
      </x:c>
      <x:c r="C500" t="s">
        <x:v>856</x:v>
      </x:c>
      <x:c r="D500" t="s">
        <x:v>118</x:v>
      </x:c>
      <x:c r="E500" s="69" t="s">
        <x:v>153</x:v>
      </x:c>
      <x:c r="F500" t="n">
        <x:v>3081</x:v>
      </x:c>
      <x:c r="BI500" s="33" t="s"/>
      <x:c r="BJ500" s="11" t="s">
        <x:v>820</x:v>
      </x:c>
      <x:c r="BK500" s="12" t="str">
        <x:f>=BX500</x:f>
      </x:c>
      <x:c r="BL500" s="12" t="n">
        <x:v>0</x:v>
      </x:c>
      <x:c r="BM500" s="12" t="n">
        <x:v>0</x:v>
      </x:c>
      <x:c r="BN500" s="12" t="n">
        <x:v>1</x:v>
      </x:c>
      <x:c r="BO500" s="12" t="str">
        <x:f>=BW500</x:f>
      </x:c>
      <x:c r="BP500" s="12" t="str">
        <x:f>=CF500</x:f>
      </x:c>
      <x:c r="BQ500" s="12" t="str"/>
      <x:c r="BR500" s="12" t="str">
        <x:v>SS 2021 MSS</x:v>
      </x:c>
      <x:c r="BS500" s="13" t="str"/>
      <x:c r="BT500" s="30" t="n">
        <x:v>0</x:v>
      </x:c>
      <x:c r="BU500" s="30" t="n">
        <x:v>-13437.8796</x:v>
      </x:c>
      <x:c r="BV500" s="30" t="str">
        <x:f>=BT500+BU500</x:f>
      </x:c>
      <x:c r="BW500" s="66" t="str">
        <x:f>=BV500/BT500</x:f>
      </x:c>
      <x:c r="BX500" s="66" t="n">
        <x:v>0</x:v>
      </x:c>
      <x:c r="BY500" s="30" t="n">
        <x:v>13165.50</x:v>
      </x:c>
      <x:c r="BZ500" s="41" t="n">
        <x:v>3081</x:v>
      </x:c>
      <x:c r="CA500" s="30" t="n">
        <x:v>13165.500000000000000000000000</x:v>
      </x:c>
      <x:c r="CC500" s="30" t="n">
        <x:v>11556.347256335700000000000000</x:v>
      </x:c>
      <x:c r="CD500" s="30" t="n">
        <x:v>-13437.8796</x:v>
      </x:c>
      <x:c r="CE500" s="30" t="str">
        <x:f>=CC500+CD500</x:f>
      </x:c>
      <x:c r="CF500" s="66" t="str">
        <x:f>=CE500/CC500</x:f>
      </x:c>
      <x:c r="CH500" s="66" t="str">
        <x:f>=CI500+CJ500</x:f>
      </x:c>
      <x:c r="CI500" s="66" t="str">
        <x:f>=BX500+(0.03*7)</x:f>
      </x:c>
      <x:c r="CJ500" s="66" t="str">
        <x:f>=(1-CI500)*0.5</x:f>
      </x:c>
      <x:c r="CK500" s="66" t="str">
        <x:f>=1-CH500</x:f>
      </x:c>
      <x:c r="CM500" s="66" t="str">
        <x:f>=CJ500/(1-CI500)</x:f>
      </x:c>
    </x:row>
    <x:row r="501">
      <x:c r="A501" s="31" t="s">
        <x:v>857</x:v>
      </x:c>
      <x:c r="B501" t="s"/>
      <x:c r="C501" t="s">
        <x:v>858</x:v>
      </x:c>
      <x:c r="D501" t="s">
        <x:v>118</x:v>
      </x:c>
      <x:c r="E501" s="69" t="s">
        <x:v>153</x:v>
      </x:c>
      <x:c r="F501" t="n">
        <x:v>2102</x:v>
      </x:c>
      <x:c r="BI501" s="33" t="s"/>
      <x:c r="BJ501" s="11" t="s">
        <x:v>820</x:v>
      </x:c>
      <x:c r="BK501" s="12" t="str">
        <x:f>=BX501</x:f>
      </x:c>
      <x:c r="BL501" s="12" t="n">
        <x:v>0</x:v>
      </x:c>
      <x:c r="BM501" s="12" t="n">
        <x:v>0</x:v>
      </x:c>
      <x:c r="BN501" s="12" t="n">
        <x:v>1</x:v>
      </x:c>
      <x:c r="BO501" s="12" t="str">
        <x:f>=BW501</x:f>
      </x:c>
      <x:c r="BP501" s="12" t="str">
        <x:f>=CF501</x:f>
      </x:c>
      <x:c r="BQ501" s="12" t="str"/>
      <x:c r="BR501" s="12" t="str">
        <x:v>SS 2021 MSS</x:v>
      </x:c>
      <x:c r="BS501" s="13" t="str"/>
      <x:c r="BT501" s="30" t="n">
        <x:v>0</x:v>
      </x:c>
      <x:c r="BU501" s="30" t="n">
        <x:v>-11591.5722</x:v>
      </x:c>
      <x:c r="BV501" s="30" t="str">
        <x:f>=BT501+BU501</x:f>
      </x:c>
      <x:c r="BW501" s="66" t="str">
        <x:f>=BV501/BT501</x:f>
      </x:c>
      <x:c r="BX501" s="66" t="n">
        <x:v>0</x:v>
      </x:c>
      <x:c r="BY501" s="30" t="n">
        <x:v>11480.70</x:v>
      </x:c>
      <x:c r="BZ501" s="41" t="n">
        <x:v>2102</x:v>
      </x:c>
      <x:c r="CA501" s="30" t="n">
        <x:v>11480.700000000000000000000000</x:v>
      </x:c>
      <x:c r="CC501" s="30" t="n">
        <x:v>8381.504231495850000000000000</x:v>
      </x:c>
      <x:c r="CD501" s="30" t="n">
        <x:v>-11591.5722</x:v>
      </x:c>
      <x:c r="CE501" s="30" t="str">
        <x:f>=CC501+CD501</x:f>
      </x:c>
      <x:c r="CF501" s="66" t="str">
        <x:f>=CE501/CC501</x:f>
      </x:c>
      <x:c r="CH501" s="66" t="str">
        <x:f>=CI501+CJ501</x:f>
      </x:c>
      <x:c r="CI501" s="66" t="str">
        <x:f>=BX501+(0.03*7)</x:f>
      </x:c>
      <x:c r="CJ501" s="66" t="str">
        <x:f>=(1-CI501)*0.5</x:f>
      </x:c>
      <x:c r="CK501" s="66" t="str">
        <x:f>=1-CH501</x:f>
      </x:c>
      <x:c r="CM501" s="66" t="str">
        <x:f>=CJ501/(1-CI501)</x:f>
      </x:c>
    </x:row>
    <x:row r="502">
      <x:c r="A502" s="31" t="s">
        <x:v>859</x:v>
      </x:c>
      <x:c r="B502" t="s"/>
      <x:c r="C502" t="s">
        <x:v>860</x:v>
      </x:c>
      <x:c r="D502" t="s">
        <x:v>118</x:v>
      </x:c>
      <x:c r="E502" s="69" t="s">
        <x:v>153</x:v>
      </x:c>
      <x:c r="F502" t="n">
        <x:v>2353</x:v>
      </x:c>
      <x:c r="BI502" s="33" t="s"/>
      <x:c r="BJ502" s="11" t="s">
        <x:v>820</x:v>
      </x:c>
      <x:c r="BK502" s="12" t="str">
        <x:f>=BX502</x:f>
      </x:c>
      <x:c r="BL502" s="12" t="n">
        <x:v>0</x:v>
      </x:c>
      <x:c r="BM502" s="12" t="n">
        <x:v>0</x:v>
      </x:c>
      <x:c r="BN502" s="12" t="n">
        <x:v>1</x:v>
      </x:c>
      <x:c r="BO502" s="12" t="str">
        <x:f>=BW502</x:f>
      </x:c>
      <x:c r="BP502" s="12" t="str">
        <x:f>=CF502</x:f>
      </x:c>
      <x:c r="BQ502" s="12" t="str"/>
      <x:c r="BR502" s="12" t="str">
        <x:v>SS 2021 EOS</x:v>
      </x:c>
      <x:c r="BS502" s="13" t="str"/>
      <x:c r="BT502" s="30" t="n">
        <x:v>0</x:v>
      </x:c>
      <x:c r="BU502" s="30" t="n">
        <x:v>-8025.0743</x:v>
      </x:c>
      <x:c r="BV502" s="30" t="str">
        <x:f>=BT502+BU502</x:f>
      </x:c>
      <x:c r="BW502" s="66" t="str">
        <x:f>=BV502/BT502</x:f>
      </x:c>
      <x:c r="BX502" s="66" t="n">
        <x:v>0</x:v>
      </x:c>
      <x:c r="BY502" s="30" t="n">
        <x:v>7747.85</x:v>
      </x:c>
      <x:c r="BZ502" s="41" t="n">
        <x:v>2353</x:v>
      </x:c>
      <x:c r="CA502" s="30" t="n">
        <x:v>7747.8500000000000000000000001</x:v>
      </x:c>
      <x:c r="CC502" s="30" t="n">
        <x:v>6262.8115128052499999999999997</x:v>
      </x:c>
      <x:c r="CD502" s="30" t="n">
        <x:v>-8025.0743</x:v>
      </x:c>
      <x:c r="CE502" s="30" t="str">
        <x:f>=CC502+CD502</x:f>
      </x:c>
      <x:c r="CF502" s="66" t="str">
        <x:f>=CE502/CC502</x:f>
      </x:c>
      <x:c r="CH502" s="66" t="str">
        <x:f>=CI502+CJ502</x:f>
      </x:c>
      <x:c r="CI502" s="66" t="str">
        <x:f>=BX502+(0.03*7)</x:f>
      </x:c>
      <x:c r="CJ502" s="66" t="str">
        <x:f>=(1-CI502)*0.5</x:f>
      </x:c>
      <x:c r="CK502" s="66" t="str">
        <x:f>=1-CH502</x:f>
      </x:c>
      <x:c r="CM502" s="66" t="str">
        <x:f>=CJ502/(1-CI502)</x:f>
      </x:c>
    </x:row>
    <x:row r="503">
      <x:c r="A503" s="31" t="s">
        <x:v>861</x:v>
      </x:c>
      <x:c r="B503" t="s"/>
      <x:c r="C503" t="s">
        <x:v>862</x:v>
      </x:c>
      <x:c r="D503" t="s">
        <x:v>118</x:v>
      </x:c>
      <x:c r="E503" s="69" t="s">
        <x:v>153</x:v>
      </x:c>
      <x:c r="F503" t="n">
        <x:v>2636</x:v>
      </x:c>
      <x:c r="BI503" s="33" t="s"/>
      <x:c r="BJ503" s="11" t="s">
        <x:v>820</x:v>
      </x:c>
      <x:c r="BK503" s="12" t="str">
        <x:f>=BX503</x:f>
      </x:c>
      <x:c r="BL503" s="12" t="n">
        <x:v>0</x:v>
      </x:c>
      <x:c r="BM503" s="12" t="n">
        <x:v>0</x:v>
      </x:c>
      <x:c r="BN503" s="12" t="n">
        <x:v>1</x:v>
      </x:c>
      <x:c r="BO503" s="12" t="str">
        <x:f>=BW503</x:f>
      </x:c>
      <x:c r="BP503" s="12" t="str">
        <x:f>=CF503</x:f>
      </x:c>
      <x:c r="BQ503" s="12" t="str"/>
      <x:c r="BR503" s="12" t="str">
        <x:v>SS 2021 EOS</x:v>
      </x:c>
      <x:c r="BS503" s="13" t="str"/>
      <x:c r="BT503" s="30" t="n">
        <x:v>0</x:v>
      </x:c>
      <x:c r="BU503" s="30" t="n">
        <x:v>-8998.8996</x:v>
      </x:c>
      <x:c r="BV503" s="30" t="str">
        <x:f>=BT503+BU503</x:f>
      </x:c>
      <x:c r="BW503" s="66" t="str">
        <x:f>=BV503/BT503</x:f>
      </x:c>
      <x:c r="BX503" s="66" t="n">
        <x:v>0</x:v>
      </x:c>
      <x:c r="BY503" s="30" t="n">
        <x:v>8688.60</x:v>
      </x:c>
      <x:c r="BZ503" s="41" t="n">
        <x:v>2636</x:v>
      </x:c>
      <x:c r="CA503" s="30" t="n">
        <x:v>8688.600000000000000000000000</x:v>
      </x:c>
      <x:c r="CC503" s="30" t="n">
        <x:v>6960.1322101252500000000000002</x:v>
      </x:c>
      <x:c r="CD503" s="30" t="n">
        <x:v>-8998.8996</x:v>
      </x:c>
      <x:c r="CE503" s="30" t="str">
        <x:f>=CC503+CD503</x:f>
      </x:c>
      <x:c r="CF503" s="66" t="str">
        <x:f>=CE503/CC503</x:f>
      </x:c>
      <x:c r="CH503" s="66" t="str">
        <x:f>=CI503+CJ503</x:f>
      </x:c>
      <x:c r="CI503" s="66" t="str">
        <x:f>=BX503+(0.03*7)</x:f>
      </x:c>
      <x:c r="CJ503" s="66" t="str">
        <x:f>=(1-CI503)*0.5</x:f>
      </x:c>
      <x:c r="CK503" s="66" t="str">
        <x:f>=1-CH503</x:f>
      </x:c>
      <x:c r="CM503" s="66" t="str">
        <x:f>=CJ503/(1-CI503)</x:f>
      </x:c>
    </x:row>
    <x:row r="504">
      <x:c r="A504" s="31" t="s">
        <x:v>863</x:v>
      </x:c>
      <x:c r="B504" t="s"/>
      <x:c r="C504" t="s">
        <x:v>864</x:v>
      </x:c>
      <x:c r="D504" t="s">
        <x:v>118</x:v>
      </x:c>
      <x:c r="E504" s="69" t="s">
        <x:v>153</x:v>
      </x:c>
      <x:c r="F504" t="n">
        <x:v>2928</x:v>
      </x:c>
      <x:c r="BI504" s="33" t="s"/>
      <x:c r="BJ504" s="11" t="s">
        <x:v>820</x:v>
      </x:c>
      <x:c r="BK504" s="12" t="str">
        <x:f>=BX504</x:f>
      </x:c>
      <x:c r="BL504" s="12" t="n">
        <x:v>0</x:v>
      </x:c>
      <x:c r="BM504" s="12" t="n">
        <x:v>0</x:v>
      </x:c>
      <x:c r="BN504" s="12" t="n">
        <x:v>1</x:v>
      </x:c>
      <x:c r="BO504" s="12" t="str">
        <x:f>=BW504</x:f>
      </x:c>
      <x:c r="BP504" s="12" t="str">
        <x:f>=CF504</x:f>
      </x:c>
      <x:c r="BQ504" s="12" t="str"/>
      <x:c r="BR504" s="12" t="str">
        <x:v>SS 2021 EOS</x:v>
      </x:c>
      <x:c r="BS504" s="13" t="str"/>
      <x:c r="BT504" s="30" t="n">
        <x:v>0</x:v>
      </x:c>
      <x:c r="BU504" s="30" t="n">
        <x:v>-9510.0928</x:v>
      </x:c>
      <x:c r="BV504" s="30" t="str">
        <x:f>=BT504+BU504</x:f>
      </x:c>
      <x:c r="BW504" s="66" t="str">
        <x:f>=BV504/BT504</x:f>
      </x:c>
      <x:c r="BX504" s="66" t="n">
        <x:v>0</x:v>
      </x:c>
      <x:c r="BY504" s="30" t="n">
        <x:v>9150.40</x:v>
      </x:c>
      <x:c r="BZ504" s="41" t="n">
        <x:v>2928</x:v>
      </x:c>
      <x:c r="CA504" s="30" t="n">
        <x:v>9150.400000000000000000000000</x:v>
      </x:c>
      <x:c r="CC504" s="30" t="n">
        <x:v>7349.7601497527999999999999998</x:v>
      </x:c>
      <x:c r="CD504" s="30" t="n">
        <x:v>-9510.0928</x:v>
      </x:c>
      <x:c r="CE504" s="30" t="str">
        <x:f>=CC504+CD504</x:f>
      </x:c>
      <x:c r="CF504" s="66" t="str">
        <x:f>=CE504/CC504</x:f>
      </x:c>
      <x:c r="CH504" s="66" t="str">
        <x:f>=CI504+CJ504</x:f>
      </x:c>
      <x:c r="CI504" s="66" t="str">
        <x:f>=BX504+(0.03*7)</x:f>
      </x:c>
      <x:c r="CJ504" s="66" t="str">
        <x:f>=(1-CI504)*0.5</x:f>
      </x:c>
      <x:c r="CK504" s="66" t="str">
        <x:f>=1-CH504</x:f>
      </x:c>
      <x:c r="CM504" s="66" t="str">
        <x:f>=CJ504/(1-CI504)</x:f>
      </x:c>
    </x:row>
    <x:row r="505">
      <x:c r="A505" s="31" t="s">
        <x:v>865</x:v>
      </x:c>
      <x:c r="B505" t="s"/>
      <x:c r="C505" t="s">
        <x:v>866</x:v>
      </x:c>
      <x:c r="D505" t="s">
        <x:v>118</x:v>
      </x:c>
      <x:c r="E505" s="69" t="s">
        <x:v>153</x:v>
      </x:c>
      <x:c r="F505" t="n">
        <x:v>1503</x:v>
      </x:c>
      <x:c r="BI505" s="33" t="s"/>
      <x:c r="BJ505" s="11" t="s">
        <x:v>820</x:v>
      </x:c>
      <x:c r="BK505" s="12" t="str">
        <x:f>=BX505</x:f>
      </x:c>
      <x:c r="BL505" s="12" t="n">
        <x:v>0</x:v>
      </x:c>
      <x:c r="BM505" s="12" t="n">
        <x:v>0</x:v>
      </x:c>
      <x:c r="BN505" s="12" t="n">
        <x:v>1</x:v>
      </x:c>
      <x:c r="BO505" s="12" t="str">
        <x:f>=BW505</x:f>
      </x:c>
      <x:c r="BP505" s="12" t="str">
        <x:f>=CF505</x:f>
      </x:c>
      <x:c r="BQ505" s="12" t="str"/>
      <x:c r="BR505" s="12" t="str">
        <x:v>SS 2021 EOS</x:v>
      </x:c>
      <x:c r="BS505" s="13" t="str"/>
      <x:c r="BT505" s="30" t="n">
        <x:v>0</x:v>
      </x:c>
      <x:c r="BU505" s="30" t="n">
        <x:v>-8532.6713</x:v>
      </x:c>
      <x:c r="BV505" s="30" t="str">
        <x:f>=BT505+BU505</x:f>
      </x:c>
      <x:c r="BW505" s="66" t="str">
        <x:f>=BV505/BT505</x:f>
      </x:c>
      <x:c r="BX505" s="66" t="n">
        <x:v>0</x:v>
      </x:c>
      <x:c r="BY505" s="30" t="n">
        <x:v>8460.95</x:v>
      </x:c>
      <x:c r="BZ505" s="41" t="n">
        <x:v>1503</x:v>
      </x:c>
      <x:c r="CA505" s="30" t="n">
        <x:v>8460.950000000000000000000000</x:v>
      </x:c>
      <x:c r="CC505" s="30" t="n">
        <x:v>6482.4675324610500000000000002</x:v>
      </x:c>
      <x:c r="CD505" s="30" t="n">
        <x:v>-8532.6713</x:v>
      </x:c>
      <x:c r="CE505" s="30" t="str">
        <x:f>=CC505+CD505</x:f>
      </x:c>
      <x:c r="CF505" s="66" t="str">
        <x:f>=CE505/CC505</x:f>
      </x:c>
      <x:c r="CH505" s="66" t="str">
        <x:f>=CI505+CJ505</x:f>
      </x:c>
      <x:c r="CI505" s="66" t="str">
        <x:f>=BX505+(0.03*7)</x:f>
      </x:c>
      <x:c r="CJ505" s="66" t="str">
        <x:f>=(1-CI505)*0.5</x:f>
      </x:c>
      <x:c r="CK505" s="66" t="str">
        <x:f>=1-CH505</x:f>
      </x:c>
      <x:c r="CM505" s="66" t="str">
        <x:f>=CJ505/(1-CI505)</x:f>
      </x:c>
    </x:row>
    <x:row r="506">
      <x:c r="A506" s="31" t="s">
        <x:v>867</x:v>
      </x:c>
      <x:c r="B506" t="s"/>
      <x:c r="C506" t="s">
        <x:v>868</x:v>
      </x:c>
      <x:c r="D506" t="s">
        <x:v>118</x:v>
      </x:c>
      <x:c r="E506" s="69" t="s">
        <x:v>153</x:v>
      </x:c>
      <x:c r="F506" t="n">
        <x:v>1006</x:v>
      </x:c>
      <x:c r="BI506" s="33" t="s"/>
      <x:c r="BJ506" s="11" t="s">
        <x:v>820</x:v>
      </x:c>
      <x:c r="BK506" s="12" t="str">
        <x:f>=BX506</x:f>
      </x:c>
      <x:c r="BL506" s="12" t="n">
        <x:v>0</x:v>
      </x:c>
      <x:c r="BM506" s="12" t="n">
        <x:v>0</x:v>
      </x:c>
      <x:c r="BN506" s="12" t="n">
        <x:v>1</x:v>
      </x:c>
      <x:c r="BO506" s="12" t="str">
        <x:f>=BW506</x:f>
      </x:c>
      <x:c r="BP506" s="12" t="str">
        <x:f>=CF506</x:f>
      </x:c>
      <x:c r="BQ506" s="12" t="str"/>
      <x:c r="BR506" s="12" t="str">
        <x:v>AW 2021 MSS</x:v>
      </x:c>
      <x:c r="BS506" s="13" t="str"/>
      <x:c r="BT506" s="30" t="n">
        <x:v>0</x:v>
      </x:c>
      <x:c r="BU506" s="30" t="n">
        <x:v>-5700.5821</x:v>
      </x:c>
      <x:c r="BV506" s="30" t="str">
        <x:f>=BT506+BU506</x:f>
      </x:c>
      <x:c r="BW506" s="66" t="str">
        <x:f>=BV506/BT506</x:f>
      </x:c>
      <x:c r="BX506" s="66" t="n">
        <x:v>0</x:v>
      </x:c>
      <x:c r="BY506" s="30" t="n">
        <x:v>5652.25</x:v>
      </x:c>
      <x:c r="BZ506" s="41" t="n">
        <x:v>1006</x:v>
      </x:c>
      <x:c r="CA506" s="30" t="n">
        <x:v>5652.2500000000000000000000000</x:v>
      </x:c>
      <x:c r="CC506" s="30" t="n">
        <x:v>4145.2809952768500000000000000</x:v>
      </x:c>
      <x:c r="CD506" s="30" t="n">
        <x:v>-5700.5821</x:v>
      </x:c>
      <x:c r="CE506" s="30" t="str">
        <x:f>=CC506+CD506</x:f>
      </x:c>
      <x:c r="CF506" s="66" t="str">
        <x:f>=CE506/CC506</x:f>
      </x:c>
      <x:c r="CH506" s="66" t="str">
        <x:f>=CI506+CJ506</x:f>
      </x:c>
      <x:c r="CI506" s="66" t="str">
        <x:f>=BX506+(0.03*7)</x:f>
      </x:c>
      <x:c r="CJ506" s="66" t="str">
        <x:f>=(1-CI506)*0.5</x:f>
      </x:c>
      <x:c r="CK506" s="66" t="str">
        <x:f>=1-CH506</x:f>
      </x:c>
      <x:c r="CM506" s="66" t="str">
        <x:f>=CJ506/(1-CI506)</x:f>
      </x:c>
    </x:row>
    <x:row r="507">
      <x:c r="A507" s="31" t="s">
        <x:v>869</x:v>
      </x:c>
      <x:c r="B507" t="s"/>
      <x:c r="C507" t="s">
        <x:v>870</x:v>
      </x:c>
      <x:c r="D507" t="s">
        <x:v>118</x:v>
      </x:c>
      <x:c r="E507" s="69" t="s">
        <x:v>153</x:v>
      </x:c>
      <x:c r="F507" t="n">
        <x:v>2601</x:v>
      </x:c>
      <x:c r="BI507" s="33" t="s"/>
      <x:c r="BJ507" s="11" t="s">
        <x:v>820</x:v>
      </x:c>
      <x:c r="BK507" s="12" t="str">
        <x:f>=BX507</x:f>
      </x:c>
      <x:c r="BL507" s="12" t="n">
        <x:v>0</x:v>
      </x:c>
      <x:c r="BM507" s="12" t="n">
        <x:v>0</x:v>
      </x:c>
      <x:c r="BN507" s="12" t="n">
        <x:v>1</x:v>
      </x:c>
      <x:c r="BO507" s="12" t="str">
        <x:f>=BW507</x:f>
      </x:c>
      <x:c r="BP507" s="12" t="str">
        <x:f>=CF507</x:f>
      </x:c>
      <x:c r="BQ507" s="12" t="str"/>
      <x:c r="BR507" s="12" t="str">
        <x:v>SS 2021 MSS</x:v>
      </x:c>
      <x:c r="BS507" s="13" t="str"/>
      <x:c r="BT507" s="30" t="n">
        <x:v>0</x:v>
      </x:c>
      <x:c r="BU507" s="30" t="n">
        <x:v>-14080.6661</x:v>
      </x:c>
      <x:c r="BV507" s="30" t="str">
        <x:f>=BT507+BU507</x:f>
      </x:c>
      <x:c r="BW507" s="66" t="str">
        <x:f>=BV507/BT507</x:f>
      </x:c>
      <x:c r="BX507" s="66" t="n">
        <x:v>0</x:v>
      </x:c>
      <x:c r="BY507" s="30" t="n">
        <x:v>13935.35</x:v>
      </x:c>
      <x:c r="BZ507" s="41" t="n">
        <x:v>2601</x:v>
      </x:c>
      <x:c r="CA507" s="30" t="n">
        <x:v>13935.350000000000000000000000</x:v>
      </x:c>
      <x:c r="CC507" s="30" t="n">
        <x:v>10173.618423608250000000000000</x:v>
      </x:c>
      <x:c r="CD507" s="30" t="n">
        <x:v>-14080.6661</x:v>
      </x:c>
      <x:c r="CE507" s="30" t="str">
        <x:f>=CC507+CD507</x:f>
      </x:c>
      <x:c r="CF507" s="66" t="str">
        <x:f>=CE507/CC507</x:f>
      </x:c>
      <x:c r="CH507" s="66" t="str">
        <x:f>=CI507+CJ507</x:f>
      </x:c>
      <x:c r="CI507" s="66" t="str">
        <x:f>=BX507+(0.03*7)</x:f>
      </x:c>
      <x:c r="CJ507" s="66" t="str">
        <x:f>=(1-CI507)*0.5</x:f>
      </x:c>
      <x:c r="CK507" s="66" t="str">
        <x:f>=1-CH507</x:f>
      </x:c>
      <x:c r="CM507" s="66" t="str">
        <x:f>=CJ507/(1-CI507)</x:f>
      </x:c>
    </x:row>
    <x:row r="508">
      <x:c r="A508" s="31" t="s">
        <x:v>871</x:v>
      </x:c>
      <x:c r="B508" t="s">
        <x:v>116</x:v>
      </x:c>
      <x:c r="C508" t="s">
        <x:v>872</x:v>
      </x:c>
      <x:c r="D508" t="s">
        <x:v>118</x:v>
      </x:c>
      <x:c r="E508" s="69" t="s">
        <x:v>153</x:v>
      </x:c>
      <x:c r="F508" t="n">
        <x:v>3051</x:v>
      </x:c>
      <x:c r="BI508" s="33" t="s"/>
      <x:c r="BJ508" s="11" t="s">
        <x:v>820</x:v>
      </x:c>
      <x:c r="BK508" s="12" t="str">
        <x:f>=BX508</x:f>
      </x:c>
      <x:c r="BL508" s="12" t="n">
        <x:v>0</x:v>
      </x:c>
      <x:c r="BM508" s="12" t="n">
        <x:v>0</x:v>
      </x:c>
      <x:c r="BN508" s="12" t="n">
        <x:v>1</x:v>
      </x:c>
      <x:c r="BO508" s="12" t="str">
        <x:f>=BW508</x:f>
      </x:c>
      <x:c r="BP508" s="12" t="str">
        <x:f>=CF508</x:f>
      </x:c>
      <x:c r="BQ508" s="12" t="str"/>
      <x:c r="BR508" s="12" t="str">
        <x:v>SS 2021 EOS</x:v>
      </x:c>
      <x:c r="BS508" s="13" t="str"/>
      <x:c r="BT508" s="30" t="n">
        <x:v>0</x:v>
      </x:c>
      <x:c r="BU508" s="30" t="n">
        <x:v>-10246.6291</x:v>
      </x:c>
      <x:c r="BV508" s="30" t="str">
        <x:f>=BT508+BU508</x:f>
      </x:c>
      <x:c r="BW508" s="66" t="str">
        <x:f>=BV508/BT508</x:f>
      </x:c>
      <x:c r="BX508" s="66" t="n">
        <x:v>0</x:v>
      </x:c>
      <x:c r="BY508" s="30" t="n">
        <x:v>9882.25</x:v>
      </x:c>
      <x:c r="BZ508" s="41" t="n">
        <x:v>3051</x:v>
      </x:c>
      <x:c r="CA508" s="30" t="n">
        <x:v>9882.250000000000000000000000</x:v>
      </x:c>
      <x:c r="CC508" s="30" t="n">
        <x:v>7290.4878904806000000000000000</x:v>
      </x:c>
      <x:c r="CD508" s="30" t="n">
        <x:v>-10246.6291</x:v>
      </x:c>
      <x:c r="CE508" s="30" t="str">
        <x:f>=CC508+CD508</x:f>
      </x:c>
      <x:c r="CF508" s="66" t="str">
        <x:f>=CE508/CC508</x:f>
      </x:c>
      <x:c r="CH508" s="66" t="str">
        <x:f>=CI508+CJ508</x:f>
      </x:c>
      <x:c r="CI508" s="66" t="str">
        <x:f>=BX508+(0.03*7)</x:f>
      </x:c>
      <x:c r="CJ508" s="66" t="str">
        <x:f>=(1-CI508)*0.5</x:f>
      </x:c>
      <x:c r="CK508" s="66" t="str">
        <x:f>=1-CH508</x:f>
      </x:c>
      <x:c r="CM508" s="66" t="str">
        <x:f>=CJ508/(1-CI508)</x:f>
      </x:c>
    </x:row>
    <x:row r="509">
      <x:c r="A509" s="31" t="s">
        <x:v>873</x:v>
      </x:c>
      <x:c r="B509" t="s"/>
      <x:c r="C509" t="s">
        <x:v>874</x:v>
      </x:c>
      <x:c r="D509" t="s">
        <x:v>118</x:v>
      </x:c>
      <x:c r="E509" s="69" t="s">
        <x:v>153</x:v>
      </x:c>
      <x:c r="F509" t="n">
        <x:v>2941</x:v>
      </x:c>
      <x:c r="BI509" s="33" t="s"/>
      <x:c r="BJ509" s="11" t="s">
        <x:v>820</x:v>
      </x:c>
      <x:c r="BK509" s="12" t="str">
        <x:f>=BX509</x:f>
      </x:c>
      <x:c r="BL509" s="12" t="n">
        <x:v>0</x:v>
      </x:c>
      <x:c r="BM509" s="12" t="n">
        <x:v>0</x:v>
      </x:c>
      <x:c r="BN509" s="12" t="n">
        <x:v>1</x:v>
      </x:c>
      <x:c r="BO509" s="12" t="str">
        <x:f>=BW509</x:f>
      </x:c>
      <x:c r="BP509" s="12" t="str">
        <x:f>=CF509</x:f>
      </x:c>
      <x:c r="BQ509" s="12" t="str"/>
      <x:c r="BR509" s="12" t="str">
        <x:v>SS 2021 MSS</x:v>
      </x:c>
      <x:c r="BS509" s="13" t="str"/>
      <x:c r="BT509" s="30" t="n">
        <x:v>0</x:v>
      </x:c>
      <x:c r="BU509" s="30" t="n">
        <x:v>-10686.9481</x:v>
      </x:c>
      <x:c r="BV509" s="30" t="str">
        <x:f>=BT509+BU509</x:f>
      </x:c>
      <x:c r="BW509" s="66" t="str">
        <x:f>=BV509/BT509</x:f>
      </x:c>
      <x:c r="BX509" s="66" t="n">
        <x:v>0</x:v>
      </x:c>
      <x:c r="BY509" s="30" t="n">
        <x:v>10360.75</x:v>
      </x:c>
      <x:c r="BZ509" s="41" t="n">
        <x:v>2941</x:v>
      </x:c>
      <x:c r="CA509" s="30" t="n">
        <x:v>10360.750000000000000000000000</x:v>
      </x:c>
      <x:c r="CC509" s="30" t="n">
        <x:v>7737.9353379276000000000000000</x:v>
      </x:c>
      <x:c r="CD509" s="30" t="n">
        <x:v>-10686.9481</x:v>
      </x:c>
      <x:c r="CE509" s="30" t="str">
        <x:f>=CC509+CD509</x:f>
      </x:c>
      <x:c r="CF509" s="66" t="str">
        <x:f>=CE509/CC509</x:f>
      </x:c>
      <x:c r="CH509" s="66" t="str">
        <x:f>=CI509+CJ509</x:f>
      </x:c>
      <x:c r="CI509" s="66" t="str">
        <x:f>=BX509+(0.03*7)</x:f>
      </x:c>
      <x:c r="CJ509" s="66" t="str">
        <x:f>=(1-CI509)*0.5</x:f>
      </x:c>
      <x:c r="CK509" s="66" t="str">
        <x:f>=1-CH509</x:f>
      </x:c>
      <x:c r="CM509" s="66" t="str">
        <x:f>=CJ509/(1-CI509)</x:f>
      </x:c>
    </x:row>
    <x:row r="510">
      <x:c r="A510" s="31" t="s">
        <x:v>875</x:v>
      </x:c>
      <x:c r="B510" t="s"/>
      <x:c r="C510" t="s">
        <x:v>876</x:v>
      </x:c>
      <x:c r="D510" t="s">
        <x:v>118</x:v>
      </x:c>
      <x:c r="E510" s="69" t="s">
        <x:v>153</x:v>
      </x:c>
      <x:c r="F510" t="n">
        <x:v>2678</x:v>
      </x:c>
      <x:c r="BI510" s="33" t="s"/>
      <x:c r="BJ510" s="11" t="s">
        <x:v>820</x:v>
      </x:c>
      <x:c r="BK510" s="12" t="str">
        <x:f>=BX510</x:f>
      </x:c>
      <x:c r="BL510" s="12" t="n">
        <x:v>0</x:v>
      </x:c>
      <x:c r="BM510" s="12" t="n">
        <x:v>0</x:v>
      </x:c>
      <x:c r="BN510" s="12" t="n">
        <x:v>1</x:v>
      </x:c>
      <x:c r="BO510" s="12" t="str">
        <x:f>=BW510</x:f>
      </x:c>
      <x:c r="BP510" s="12" t="str">
        <x:f>=CF510</x:f>
      </x:c>
      <x:c r="BQ510" s="12" t="str"/>
      <x:c r="BR510" s="12" t="str">
        <x:v>SS 2021 MSS</x:v>
      </x:c>
      <x:c r="BS510" s="13" t="str"/>
      <x:c r="BT510" s="30" t="n">
        <x:v>0</x:v>
      </x:c>
      <x:c r="BU510" s="30" t="n">
        <x:v>-6315.6648</x:v>
      </x:c>
      <x:c r="BV510" s="30" t="str">
        <x:f>=BT510+BU510</x:f>
      </x:c>
      <x:c r="BW510" s="66" t="str">
        <x:f>=BV510/BT510</x:f>
      </x:c>
      <x:c r="BX510" s="66" t="n">
        <x:v>0</x:v>
      </x:c>
      <x:c r="BY510" s="30" t="n">
        <x:v>5913.00</x:v>
      </x:c>
      <x:c r="BZ510" s="41" t="n">
        <x:v>2678</x:v>
      </x:c>
      <x:c r="CA510" s="30" t="n">
        <x:v>5913.0000000000000000000000001</x:v>
      </x:c>
      <x:c r="CC510" s="30" t="n">
        <x:v>4956.7879567830000000000000000</x:v>
      </x:c>
      <x:c r="CD510" s="30" t="n">
        <x:v>-6315.6648</x:v>
      </x:c>
      <x:c r="CE510" s="30" t="str">
        <x:f>=CC510+CD510</x:f>
      </x:c>
      <x:c r="CF510" s="66" t="str">
        <x:f>=CE510/CC510</x:f>
      </x:c>
      <x:c r="CH510" s="66" t="str">
        <x:f>=CI510+CJ510</x:f>
      </x:c>
      <x:c r="CI510" s="66" t="str">
        <x:f>=BX510+(0.03*7)</x:f>
      </x:c>
      <x:c r="CJ510" s="66" t="str">
        <x:f>=(1-CI510)*0.5</x:f>
      </x:c>
      <x:c r="CK510" s="66" t="str">
        <x:f>=1-CH510</x:f>
      </x:c>
      <x:c r="CM510" s="66" t="str">
        <x:f>=CJ510/(1-CI510)</x:f>
      </x:c>
    </x:row>
    <x:row r="511">
      <x:c r="A511" s="31" t="s">
        <x:v>877</x:v>
      </x:c>
      <x:c r="B511" t="s"/>
      <x:c r="C511" t="s">
        <x:v>878</x:v>
      </x:c>
      <x:c r="D511" t="s">
        <x:v>118</x:v>
      </x:c>
      <x:c r="E511" s="69" t="s">
        <x:v>153</x:v>
      </x:c>
      <x:c r="F511" t="n">
        <x:v>2117</x:v>
      </x:c>
      <x:c r="BI511" s="33" t="s"/>
      <x:c r="BJ511" s="11" t="s">
        <x:v>820</x:v>
      </x:c>
      <x:c r="BK511" s="12" t="str">
        <x:f>=BX511</x:f>
      </x:c>
      <x:c r="BL511" s="12" t="n">
        <x:v>0</x:v>
      </x:c>
      <x:c r="BM511" s="12" t="n">
        <x:v>0</x:v>
      </x:c>
      <x:c r="BN511" s="12" t="n">
        <x:v>1</x:v>
      </x:c>
      <x:c r="BO511" s="12" t="str">
        <x:f>=BW511</x:f>
      </x:c>
      <x:c r="BP511" s="12" t="str">
        <x:f>=CF511</x:f>
      </x:c>
      <x:c r="BQ511" s="12" t="str"/>
      <x:c r="BR511" s="12" t="str">
        <x:v>AW 2021 MSS</x:v>
      </x:c>
      <x:c r="BS511" s="13" t="str"/>
      <x:c r="BT511" s="30" t="n">
        <x:v>0</x:v>
      </x:c>
      <x:c r="BU511" s="30" t="n">
        <x:v>-7426.1977</x:v>
      </x:c>
      <x:c r="BV511" s="30" t="str">
        <x:f>=BT511+BU511</x:f>
      </x:c>
      <x:c r="BW511" s="66" t="str">
        <x:f>=BV511/BT511</x:f>
      </x:c>
      <x:c r="BX511" s="66" t="n">
        <x:v>0</x:v>
      </x:c>
      <x:c r="BY511" s="30" t="n">
        <x:v>7183.15</x:v>
      </x:c>
      <x:c r="BZ511" s="41" t="n">
        <x:v>2117</x:v>
      </x:c>
      <x:c r="CA511" s="30" t="n">
        <x:v>7183.1500000000000000000000000</x:v>
      </x:c>
      <x:c r="CC511" s="30" t="n">
        <x:v>6181.4574314512500000000000000</x:v>
      </x:c>
      <x:c r="CD511" s="30" t="n">
        <x:v>-7426.1977</x:v>
      </x:c>
      <x:c r="CE511" s="30" t="str">
        <x:f>=CC511+CD511</x:f>
      </x:c>
      <x:c r="CF511" s="66" t="str">
        <x:f>=CE511/CC511</x:f>
      </x:c>
      <x:c r="CH511" s="66" t="str">
        <x:f>=CI511+CJ511</x:f>
      </x:c>
      <x:c r="CI511" s="66" t="str">
        <x:f>=BX511+(0.03*7)</x:f>
      </x:c>
      <x:c r="CJ511" s="66" t="str">
        <x:f>=(1-CI511)*0.5</x:f>
      </x:c>
      <x:c r="CK511" s="66" t="str">
        <x:f>=1-CH511</x:f>
      </x:c>
      <x:c r="CM511" s="66" t="str">
        <x:f>=CJ511/(1-CI511)</x:f>
      </x:c>
    </x:row>
    <x:row r="512">
      <x:c r="A512" s="31" t="s">
        <x:v>879</x:v>
      </x:c>
      <x:c r="B512" t="s"/>
      <x:c r="C512" t="s">
        <x:v>880</x:v>
      </x:c>
      <x:c r="D512" t="s">
        <x:v>118</x:v>
      </x:c>
      <x:c r="E512" s="69" t="s">
        <x:v>153</x:v>
      </x:c>
      <x:c r="F512" t="n">
        <x:v>5020</x:v>
      </x:c>
      <x:c r="BI512" s="33" t="s"/>
      <x:c r="BJ512" s="11" t="s">
        <x:v>820</x:v>
      </x:c>
      <x:c r="BK512" s="12" t="str">
        <x:f>=BX512</x:f>
      </x:c>
      <x:c r="BL512" s="12" t="n">
        <x:v>0</x:v>
      </x:c>
      <x:c r="BM512" s="12" t="n">
        <x:v>0</x:v>
      </x:c>
      <x:c r="BN512" s="12" t="n">
        <x:v>1</x:v>
      </x:c>
      <x:c r="BO512" s="12" t="str">
        <x:f>=BW512</x:f>
      </x:c>
      <x:c r="BP512" s="12" t="str">
        <x:f>=CF512</x:f>
      </x:c>
      <x:c r="BQ512" s="12" t="str"/>
      <x:c r="BR512" s="12" t="str">
        <x:v>SS 2021 MSS</x:v>
      </x:c>
      <x:c r="BS512" s="13" t="str"/>
      <x:c r="BT512" s="30" t="n">
        <x:v>0</x:v>
      </x:c>
      <x:c r="BU512" s="30" t="n">
        <x:v>-27097.3000</x:v>
      </x:c>
      <x:c r="BV512" s="30" t="str">
        <x:f>=BT512+BU512</x:f>
      </x:c>
      <x:c r="BW512" s="66" t="str">
        <x:f>=BV512/BT512</x:f>
      </x:c>
      <x:c r="BX512" s="66" t="n">
        <x:v>0</x:v>
      </x:c>
      <x:c r="BY512" s="30" t="n">
        <x:v>26814.40</x:v>
      </x:c>
      <x:c r="BZ512" s="41" t="n">
        <x:v>5020</x:v>
      </x:c>
      <x:c r="CA512" s="30" t="n">
        <x:v>26814.400000000000000000000000</x:v>
      </x:c>
      <x:c r="CC512" s="30" t="n">
        <x:v>19739.986739967000000000000000</x:v>
      </x:c>
      <x:c r="CD512" s="30" t="n">
        <x:v>-27097.3000</x:v>
      </x:c>
      <x:c r="CE512" s="30" t="str">
        <x:f>=CC512+CD512</x:f>
      </x:c>
      <x:c r="CF512" s="66" t="str">
        <x:f>=CE512/CC512</x:f>
      </x:c>
      <x:c r="CH512" s="66" t="str">
        <x:f>=CI512+CJ512</x:f>
      </x:c>
      <x:c r="CI512" s="66" t="str">
        <x:f>=BX512+(0.03*7)</x:f>
      </x:c>
      <x:c r="CJ512" s="66" t="str">
        <x:f>=(1-CI512)*0.5</x:f>
      </x:c>
      <x:c r="CK512" s="66" t="str">
        <x:f>=1-CH512</x:f>
      </x:c>
      <x:c r="CM512" s="66" t="str">
        <x:f>=CJ512/(1-CI512)</x:f>
      </x:c>
    </x:row>
    <x:row r="513">
      <x:c r="A513" s="31" t="s">
        <x:v>881</x:v>
      </x:c>
      <x:c r="B513" t="s"/>
      <x:c r="C513" t="s">
        <x:v>882</x:v>
      </x:c>
      <x:c r="D513" t="s">
        <x:v>118</x:v>
      </x:c>
      <x:c r="E513" s="69" t="s">
        <x:v>153</x:v>
      </x:c>
      <x:c r="F513" t="n">
        <x:v>3147</x:v>
      </x:c>
      <x:c r="BI513" s="33" t="s"/>
      <x:c r="BJ513" s="11" t="s">
        <x:v>820</x:v>
      </x:c>
      <x:c r="BK513" s="12" t="str">
        <x:f>=BX513</x:f>
      </x:c>
      <x:c r="BL513" s="12" t="n">
        <x:v>0</x:v>
      </x:c>
      <x:c r="BM513" s="12" t="n">
        <x:v>0</x:v>
      </x:c>
      <x:c r="BN513" s="12" t="n">
        <x:v>1</x:v>
      </x:c>
      <x:c r="BO513" s="12" t="str">
        <x:f>=BW513</x:f>
      </x:c>
      <x:c r="BP513" s="12" t="str">
        <x:f>=CF513</x:f>
      </x:c>
      <x:c r="BQ513" s="12" t="str"/>
      <x:c r="BR513" s="12" t="str">
        <x:v>SS 2021 MSS</x:v>
      </x:c>
      <x:c r="BS513" s="13" t="str"/>
      <x:c r="BT513" s="30" t="n">
        <x:v>0</x:v>
      </x:c>
      <x:c r="BU513" s="30" t="n">
        <x:v>-9661.4637</x:v>
      </x:c>
      <x:c r="BV513" s="30" t="str">
        <x:f>=BT513+BU513</x:f>
      </x:c>
      <x:c r="BW513" s="66" t="str">
        <x:f>=BV513/BT513</x:f>
      </x:c>
      <x:c r="BX513" s="66" t="n">
        <x:v>0</x:v>
      </x:c>
      <x:c r="BY513" s="30" t="n">
        <x:v>9257.55</x:v>
      </x:c>
      <x:c r="BZ513" s="41" t="n">
        <x:v>3147</x:v>
      </x:c>
      <x:c r="CA513" s="30" t="n">
        <x:v>9257.550000000000000000000000</x:v>
      </x:c>
      <x:c r="CC513" s="30" t="n">
        <x:v>8278.939978931700000000000000</x:v>
      </x:c>
      <x:c r="CD513" s="30" t="n">
        <x:v>-9661.4637</x:v>
      </x:c>
      <x:c r="CE513" s="30" t="str">
        <x:f>=CC513+CD513</x:f>
      </x:c>
      <x:c r="CF513" s="66" t="str">
        <x:f>=CE513/CC513</x:f>
      </x:c>
      <x:c r="CH513" s="66" t="str">
        <x:f>=CI513+CJ513</x:f>
      </x:c>
      <x:c r="CI513" s="66" t="str">
        <x:f>=BX513+(0.03*7)</x:f>
      </x:c>
      <x:c r="CJ513" s="66" t="str">
        <x:f>=(1-CI513)*0.5</x:f>
      </x:c>
      <x:c r="CK513" s="66" t="str">
        <x:f>=1-CH513</x:f>
      </x:c>
      <x:c r="CM513" s="66" t="str">
        <x:f>=CJ513/(1-CI513)</x:f>
      </x:c>
    </x:row>
    <x:row r="514">
      <x:c r="A514" s="31" t="s">
        <x:v>883</x:v>
      </x:c>
      <x:c r="B514" t="s"/>
      <x:c r="C514" t="s">
        <x:v>884</x:v>
      </x:c>
      <x:c r="D514" t="s">
        <x:v>118</x:v>
      </x:c>
      <x:c r="E514" s="69" t="s">
        <x:v>153</x:v>
      </x:c>
      <x:c r="F514" t="n">
        <x:v>3199</x:v>
      </x:c>
      <x:c r="BI514" s="33" t="s"/>
      <x:c r="BJ514" s="11" t="s">
        <x:v>820</x:v>
      </x:c>
      <x:c r="BK514" s="12" t="str">
        <x:f>=BX514</x:f>
      </x:c>
      <x:c r="BL514" s="12" t="n">
        <x:v>0</x:v>
      </x:c>
      <x:c r="BM514" s="12" t="n">
        <x:v>0</x:v>
      </x:c>
      <x:c r="BN514" s="12" t="n">
        <x:v>1</x:v>
      </x:c>
      <x:c r="BO514" s="12" t="str">
        <x:f>=BW514</x:f>
      </x:c>
      <x:c r="BP514" s="12" t="str">
        <x:f>=CF514</x:f>
      </x:c>
      <x:c r="BQ514" s="12" t="str"/>
      <x:c r="BR514" s="12" t="str">
        <x:v>SS 2021 EOS</x:v>
      </x:c>
      <x:c r="BS514" s="13" t="str"/>
      <x:c r="BT514" s="30" t="n">
        <x:v>0</x:v>
      </x:c>
      <x:c r="BU514" s="30" t="n">
        <x:v>-6645.0659</x:v>
      </x:c>
      <x:c r="BV514" s="30" t="str">
        <x:f>=BT514+BU514</x:f>
      </x:c>
      <x:c r="BW514" s="66" t="str">
        <x:f>=BV514/BT514</x:f>
      </x:c>
      <x:c r="BX514" s="66" t="n">
        <x:v>0</x:v>
      </x:c>
      <x:c r="BY514" s="30" t="n">
        <x:v>6136.25</x:v>
      </x:c>
      <x:c r="BZ514" s="41" t="n">
        <x:v>3199</x:v>
      </x:c>
      <x:c r="CA514" s="30" t="n">
        <x:v>6136.2500000000000000000000000</x:v>
      </x:c>
      <x:c r="CC514" s="30" t="n">
        <x:v>5845.8718458660000000000000000</x:v>
      </x:c>
      <x:c r="CD514" s="30" t="n">
        <x:v>-6645.0659</x:v>
      </x:c>
      <x:c r="CE514" s="30" t="str">
        <x:f>=CC514+CD514</x:f>
      </x:c>
      <x:c r="CF514" s="66" t="str">
        <x:f>=CE514/CC514</x:f>
      </x:c>
      <x:c r="CH514" s="66" t="str">
        <x:f>=CI514+CJ514</x:f>
      </x:c>
      <x:c r="CI514" s="66" t="str">
        <x:f>=BX514+(0.03*7)</x:f>
      </x:c>
      <x:c r="CJ514" s="66" t="str">
        <x:f>=(1-CI514)*0.5</x:f>
      </x:c>
      <x:c r="CK514" s="66" t="str">
        <x:f>=1-CH514</x:f>
      </x:c>
      <x:c r="CM514" s="66" t="str">
        <x:f>=CJ514/(1-CI514)</x:f>
      </x:c>
    </x:row>
    <x:row r="515">
      <x:c r="A515" s="31" t="s">
        <x:v>885</x:v>
      </x:c>
      <x:c r="B515" t="s"/>
      <x:c r="C515" t="s">
        <x:v>886</x:v>
      </x:c>
      <x:c r="D515" t="s">
        <x:v>118</x:v>
      </x:c>
      <x:c r="E515" s="69" t="s">
        <x:v>153</x:v>
      </x:c>
      <x:c r="F515" t="n">
        <x:v>3005</x:v>
      </x:c>
      <x:c r="BI515" s="33" t="s"/>
      <x:c r="BJ515" s="11" t="s">
        <x:v>820</x:v>
      </x:c>
      <x:c r="BK515" s="12" t="str">
        <x:f>=BX515</x:f>
      </x:c>
      <x:c r="BL515" s="12" t="n">
        <x:v>0</x:v>
      </x:c>
      <x:c r="BM515" s="12" t="n">
        <x:v>0</x:v>
      </x:c>
      <x:c r="BN515" s="12" t="n">
        <x:v>1</x:v>
      </x:c>
      <x:c r="BO515" s="12" t="str">
        <x:f>=BW515</x:f>
      </x:c>
      <x:c r="BP515" s="12" t="str">
        <x:f>=CF515</x:f>
      </x:c>
      <x:c r="BQ515" s="12" t="str"/>
      <x:c r="BR515" s="12" t="str">
        <x:v>SS 2021 MSS</x:v>
      </x:c>
      <x:c r="BS515" s="13" t="str"/>
      <x:c r="BT515" s="30" t="n">
        <x:v>0</x:v>
      </x:c>
      <x:c r="BU515" s="30" t="n">
        <x:v>-7017.5265</x:v>
      </x:c>
      <x:c r="BV515" s="30" t="str">
        <x:f>=BT515+BU515</x:f>
      </x:c>
      <x:c r="BW515" s="66" t="str">
        <x:f>=BV515/BT515</x:f>
      </x:c>
      <x:c r="BX515" s="66" t="n">
        <x:v>0</x:v>
      </x:c>
      <x:c r="BY515" s="30" t="n">
        <x:v>6563.55</x:v>
      </x:c>
      <x:c r="BZ515" s="41" t="n">
        <x:v>3005</x:v>
      </x:c>
      <x:c r="CA515" s="30" t="n">
        <x:v>6563.5500000000000000000000000</x:v>
      </x:c>
      <x:c r="CC515" s="30" t="n">
        <x:v>5481.8123318068500000000000000</x:v>
      </x:c>
      <x:c r="CD515" s="30" t="n">
        <x:v>-7017.5265</x:v>
      </x:c>
      <x:c r="CE515" s="30" t="str">
        <x:f>=CC515+CD515</x:f>
      </x:c>
      <x:c r="CF515" s="66" t="str">
        <x:f>=CE515/CC515</x:f>
      </x:c>
      <x:c r="CH515" s="66" t="str">
        <x:f>=CI515+CJ515</x:f>
      </x:c>
      <x:c r="CI515" s="66" t="str">
        <x:f>=BX515+(0.03*7)</x:f>
      </x:c>
      <x:c r="CJ515" s="66" t="str">
        <x:f>=(1-CI515)*0.5</x:f>
      </x:c>
      <x:c r="CK515" s="66" t="str">
        <x:f>=1-CH515</x:f>
      </x:c>
      <x:c r="CM515" s="66" t="str">
        <x:f>=CJ515/(1-CI515)</x:f>
      </x:c>
    </x:row>
    <x:row r="516">
      <x:c r="A516" s="31" t="s">
        <x:v>887</x:v>
      </x:c>
      <x:c r="B516" t="s"/>
      <x:c r="C516" t="s">
        <x:v>888</x:v>
      </x:c>
      <x:c r="D516" t="s">
        <x:v>118</x:v>
      </x:c>
      <x:c r="E516" s="69" t="s">
        <x:v>153</x:v>
      </x:c>
      <x:c r="F516" t="n">
        <x:v>3069</x:v>
      </x:c>
      <x:c r="BI516" s="33" t="s"/>
      <x:c r="BJ516" s="11" t="s">
        <x:v>820</x:v>
      </x:c>
      <x:c r="BK516" s="12" t="str">
        <x:f>=BX516</x:f>
      </x:c>
      <x:c r="BL516" s="12" t="n">
        <x:v>0</x:v>
      </x:c>
      <x:c r="BM516" s="12" t="n">
        <x:v>0</x:v>
      </x:c>
      <x:c r="BN516" s="12" t="n">
        <x:v>1</x:v>
      </x:c>
      <x:c r="BO516" s="12" t="str">
        <x:f>=BW516</x:f>
      </x:c>
      <x:c r="BP516" s="12" t="str">
        <x:f>=CF516</x:f>
      </x:c>
      <x:c r="BQ516" s="12" t="str"/>
      <x:c r="BR516" s="12" t="str">
        <x:v>SS 2021 EOS</x:v>
      </x:c>
      <x:c r="BS516" s="13" t="str"/>
      <x:c r="BT516" s="30" t="n">
        <x:v>0</x:v>
      </x:c>
      <x:c r="BU516" s="30" t="n">
        <x:v>-10101.5359</x:v>
      </x:c>
      <x:c r="BV516" s="30" t="str">
        <x:f>=BT516+BU516</x:f>
      </x:c>
      <x:c r="BW516" s="66" t="str">
        <x:f>=BV516/BT516</x:f>
      </x:c>
      <x:c r="BX516" s="66" t="n">
        <x:v>0</x:v>
      </x:c>
      <x:c r="BY516" s="30" t="n">
        <x:v>9728.65</x:v>
      </x:c>
      <x:c r="BZ516" s="41" t="n">
        <x:v>3069</x:v>
      </x:c>
      <x:c r="CA516" s="30" t="n">
        <x:v>9728.650000000000000000000000</x:v>
      </x:c>
      <x:c r="CC516" s="30" t="n">
        <x:v>8077.298077290000000000000000</x:v>
      </x:c>
      <x:c r="CD516" s="30" t="n">
        <x:v>-10101.5359</x:v>
      </x:c>
      <x:c r="CE516" s="30" t="str">
        <x:f>=CC516+CD516</x:f>
      </x:c>
      <x:c r="CF516" s="66" t="str">
        <x:f>=CE516/CC516</x:f>
      </x:c>
      <x:c r="CH516" s="66" t="str">
        <x:f>=CI516+CJ516</x:f>
      </x:c>
      <x:c r="CI516" s="66" t="str">
        <x:f>=BX516+(0.03*7)</x:f>
      </x:c>
      <x:c r="CJ516" s="66" t="str">
        <x:f>=(1-CI516)*0.5</x:f>
      </x:c>
      <x:c r="CK516" s="66" t="str">
        <x:f>=1-CH516</x:f>
      </x:c>
      <x:c r="CM516" s="66" t="str">
        <x:f>=CJ516/(1-CI516)</x:f>
      </x:c>
    </x:row>
    <x:row r="517">
      <x:c r="A517" s="31" t="s">
        <x:v>889</x:v>
      </x:c>
      <x:c r="B517" t="s"/>
      <x:c r="C517" t="s">
        <x:v>890</x:v>
      </x:c>
      <x:c r="D517" t="s">
        <x:v>118</x:v>
      </x:c>
      <x:c r="E517" s="69" t="s">
        <x:v>153</x:v>
      </x:c>
      <x:c r="F517" t="n">
        <x:v>2694</x:v>
      </x:c>
      <x:c r="BI517" s="33" t="s"/>
      <x:c r="BJ517" s="11" t="s">
        <x:v>820</x:v>
      </x:c>
      <x:c r="BK517" s="12" t="str">
        <x:f>=BX517</x:f>
      </x:c>
      <x:c r="BL517" s="12" t="n">
        <x:v>0</x:v>
      </x:c>
      <x:c r="BM517" s="12" t="n">
        <x:v>0</x:v>
      </x:c>
      <x:c r="BN517" s="12" t="n">
        <x:v>1</x:v>
      </x:c>
      <x:c r="BO517" s="12" t="str">
        <x:f>=BW517</x:f>
      </x:c>
      <x:c r="BP517" s="12" t="str">
        <x:f>=CF517</x:f>
      </x:c>
      <x:c r="BQ517" s="12" t="str"/>
      <x:c r="BR517" s="12" t="str">
        <x:v>SS 2021 EOS</x:v>
      </x:c>
      <x:c r="BS517" s="13" t="str"/>
      <x:c r="BT517" s="30" t="n">
        <x:v>0</x:v>
      </x:c>
      <x:c r="BU517" s="30" t="n">
        <x:v>-8860.2394</x:v>
      </x:c>
      <x:c r="BV517" s="30" t="str">
        <x:f>=BT517+BU517</x:f>
      </x:c>
      <x:c r="BW517" s="66" t="str">
        <x:f>=BV517/BT517</x:f>
      </x:c>
      <x:c r="BX517" s="66" t="n">
        <x:v>0</x:v>
      </x:c>
      <x:c r="BY517" s="30" t="n">
        <x:v>8532.70</x:v>
      </x:c>
      <x:c r="BZ517" s="41" t="n">
        <x:v>2694</x:v>
      </x:c>
      <x:c r="CA517" s="30" t="n">
        <x:v>8532.700000000000000000000000</x:v>
      </x:c>
      <x:c r="CC517" s="30" t="n">
        <x:v>7067.3452673382000000000000000</x:v>
      </x:c>
      <x:c r="CD517" s="30" t="n">
        <x:v>-8860.2394</x:v>
      </x:c>
      <x:c r="CE517" s="30" t="str">
        <x:f>=CC517+CD517</x:f>
      </x:c>
      <x:c r="CF517" s="66" t="str">
        <x:f>=CE517/CC517</x:f>
      </x:c>
      <x:c r="CH517" s="66" t="str">
        <x:f>=CI517+CJ517</x:f>
      </x:c>
      <x:c r="CI517" s="66" t="str">
        <x:f>=BX517+(0.03*7)</x:f>
      </x:c>
      <x:c r="CJ517" s="66" t="str">
        <x:f>=(1-CI517)*0.5</x:f>
      </x:c>
      <x:c r="CK517" s="66" t="str">
        <x:f>=1-CH517</x:f>
      </x:c>
      <x:c r="CM517" s="66" t="str">
        <x:f>=CJ517/(1-CI517)</x:f>
      </x:c>
    </x:row>
    <x:row r="518">
      <x:c r="A518" s="31" t="s">
        <x:v>891</x:v>
      </x:c>
      <x:c r="B518" t="s"/>
      <x:c r="C518" t="s">
        <x:v>892</x:v>
      </x:c>
      <x:c r="D518" t="s">
        <x:v>118</x:v>
      </x:c>
      <x:c r="E518" s="69" t="s">
        <x:v>153</x:v>
      </x:c>
      <x:c r="F518" t="n">
        <x:v>3065</x:v>
      </x:c>
      <x:c r="BI518" s="33" t="s"/>
      <x:c r="BJ518" s="11" t="s">
        <x:v>820</x:v>
      </x:c>
      <x:c r="BK518" s="12" t="str">
        <x:f>=BX518</x:f>
      </x:c>
      <x:c r="BL518" s="12" t="n">
        <x:v>0</x:v>
      </x:c>
      <x:c r="BM518" s="12" t="n">
        <x:v>0</x:v>
      </x:c>
      <x:c r="BN518" s="12" t="n">
        <x:v>1</x:v>
      </x:c>
      <x:c r="BO518" s="12" t="str">
        <x:f>=BW518</x:f>
      </x:c>
      <x:c r="BP518" s="12" t="str">
        <x:f>=CF518</x:f>
      </x:c>
      <x:c r="BQ518" s="12" t="str"/>
      <x:c r="BR518" s="12" t="str">
        <x:v>SS 2021 MSS</x:v>
      </x:c>
      <x:c r="BS518" s="13" t="str"/>
      <x:c r="BT518" s="30" t="n">
        <x:v>0</x:v>
      </x:c>
      <x:c r="BU518" s="30" t="n">
        <x:v>-15318.8815</x:v>
      </x:c>
      <x:c r="BV518" s="30" t="str">
        <x:f>=BT518+BU518</x:f>
      </x:c>
      <x:c r="BW518" s="66" t="str">
        <x:f>=BV518/BT518</x:f>
      </x:c>
      <x:c r="BX518" s="66" t="n">
        <x:v>0</x:v>
      </x:c>
      <x:c r="BY518" s="30" t="n">
        <x:v>15108.25</x:v>
      </x:c>
      <x:c r="BZ518" s="41" t="n">
        <x:v>3065</x:v>
      </x:c>
      <x:c r="CA518" s="30" t="n">
        <x:v>15108.250000000000000000000000</x:v>
      </x:c>
      <x:c r="CC518" s="30" t="n">
        <x:v>12969.002768989800000000000000</x:v>
      </x:c>
      <x:c r="CD518" s="30" t="n">
        <x:v>-15318.8815</x:v>
      </x:c>
      <x:c r="CE518" s="30" t="str">
        <x:f>=CC518+CD518</x:f>
      </x:c>
      <x:c r="CF518" s="66" t="str">
        <x:f>=CE518/CC518</x:f>
      </x:c>
      <x:c r="CH518" s="66" t="str">
        <x:f>=CI518+CJ518</x:f>
      </x:c>
      <x:c r="CI518" s="66" t="str">
        <x:f>=BX518+(0.03*7)</x:f>
      </x:c>
      <x:c r="CJ518" s="66" t="str">
        <x:f>=(1-CI518)*0.5</x:f>
      </x:c>
      <x:c r="CK518" s="66" t="str">
        <x:f>=1-CH518</x:f>
      </x:c>
      <x:c r="CM518" s="66" t="str">
        <x:f>=CJ518/(1-CI518)</x:f>
      </x:c>
    </x:row>
    <x:row r="519">
      <x:c r="A519" s="31" t="s">
        <x:v>893</x:v>
      </x:c>
      <x:c r="B519" t="s"/>
      <x:c r="C519" t="s">
        <x:v>892</x:v>
      </x:c>
      <x:c r="D519" t="s">
        <x:v>118</x:v>
      </x:c>
      <x:c r="E519" s="69" t="s">
        <x:v>153</x:v>
      </x:c>
      <x:c r="F519" t="n">
        <x:v>2998</x:v>
      </x:c>
      <x:c r="BI519" s="33" t="s"/>
      <x:c r="BJ519" s="11" t="s">
        <x:v>820</x:v>
      </x:c>
      <x:c r="BK519" s="12" t="str">
        <x:f>=BX519</x:f>
      </x:c>
      <x:c r="BL519" s="12" t="n">
        <x:v>0</x:v>
      </x:c>
      <x:c r="BM519" s="12" t="n">
        <x:v>0</x:v>
      </x:c>
      <x:c r="BN519" s="12" t="n">
        <x:v>1</x:v>
      </x:c>
      <x:c r="BO519" s="12" t="str">
        <x:f>=BW519</x:f>
      </x:c>
      <x:c r="BP519" s="12" t="str">
        <x:f>=CF519</x:f>
      </x:c>
      <x:c r="BQ519" s="12" t="str"/>
      <x:c r="BR519" s="12" t="str">
        <x:v>SS 2021 MSS</x:v>
      </x:c>
      <x:c r="BS519" s="13" t="str"/>
      <x:c r="BT519" s="30" t="n">
        <x:v>0</x:v>
      </x:c>
      <x:c r="BU519" s="30" t="n">
        <x:v>-14984.2208</x:v>
      </x:c>
      <x:c r="BV519" s="30" t="str">
        <x:f>=BT519+BU519</x:f>
      </x:c>
      <x:c r="BW519" s="66" t="str">
        <x:f>=BV519/BT519</x:f>
      </x:c>
      <x:c r="BX519" s="66" t="n">
        <x:v>0</x:v>
      </x:c>
      <x:c r="BY519" s="30" t="n">
        <x:v>14778.20</x:v>
      </x:c>
      <x:c r="BZ519" s="41" t="n">
        <x:v>2998</x:v>
      </x:c>
      <x:c r="CA519" s="30" t="n">
        <x:v>14778.200000000000000000000000</x:v>
      </x:c>
      <x:c r="CC519" s="30" t="n">
        <x:v>12677.871377858700000000000000</x:v>
      </x:c>
      <x:c r="CD519" s="30" t="n">
        <x:v>-14984.2208</x:v>
      </x:c>
      <x:c r="CE519" s="30" t="str">
        <x:f>=CC519+CD519</x:f>
      </x:c>
      <x:c r="CF519" s="66" t="str">
        <x:f>=CE519/CC519</x:f>
      </x:c>
      <x:c r="CH519" s="66" t="str">
        <x:f>=CI519+CJ519</x:f>
      </x:c>
      <x:c r="CI519" s="66" t="str">
        <x:f>=BX519+(0.03*7)</x:f>
      </x:c>
      <x:c r="CJ519" s="66" t="str">
        <x:f>=(1-CI519)*0.5</x:f>
      </x:c>
      <x:c r="CK519" s="66" t="str">
        <x:f>=1-CH519</x:f>
      </x:c>
      <x:c r="CM519" s="66" t="str">
        <x:f>=CJ519/(1-CI519)</x:f>
      </x:c>
    </x:row>
    <x:row r="520">
      <x:c r="A520" s="31" t="s">
        <x:v>894</x:v>
      </x:c>
      <x:c r="B520" t="s"/>
      <x:c r="C520" t="s">
        <x:v>895</x:v>
      </x:c>
      <x:c r="D520" t="s">
        <x:v>118</x:v>
      </x:c>
      <x:c r="E520" s="69" t="s">
        <x:v>153</x:v>
      </x:c>
      <x:c r="F520" t="n">
        <x:v>3151</x:v>
      </x:c>
      <x:c r="BI520" s="33" t="s"/>
      <x:c r="BJ520" s="11" t="s">
        <x:v>820</x:v>
      </x:c>
      <x:c r="BK520" s="12" t="str">
        <x:f>=BX520</x:f>
      </x:c>
      <x:c r="BL520" s="12" t="n">
        <x:v>0</x:v>
      </x:c>
      <x:c r="BM520" s="12" t="n">
        <x:v>0</x:v>
      </x:c>
      <x:c r="BN520" s="12" t="n">
        <x:v>1</x:v>
      </x:c>
      <x:c r="BO520" s="12" t="str">
        <x:f>=BW520</x:f>
      </x:c>
      <x:c r="BP520" s="12" t="str">
        <x:f>=CF520</x:f>
      </x:c>
      <x:c r="BQ520" s="12" t="str"/>
      <x:c r="BR520" s="12" t="str">
        <x:v>SS 2021 EOS</x:v>
      </x:c>
      <x:c r="BS520" s="13" t="str"/>
      <x:c r="BT520" s="30" t="n">
        <x:v>0</x:v>
      </x:c>
      <x:c r="BU520" s="30" t="n">
        <x:v>-10613.6964</x:v>
      </x:c>
      <x:c r="BV520" s="30" t="str">
        <x:f>=BT520+BU520</x:f>
      </x:c>
      <x:c r="BW520" s="66" t="str">
        <x:f>=BV520/BT520</x:f>
      </x:c>
      <x:c r="BX520" s="66" t="n">
        <x:v>0</x:v>
      </x:c>
      <x:c r="BY520" s="30" t="n">
        <x:v>10238.34</x:v>
      </x:c>
      <x:c r="BZ520" s="41" t="n">
        <x:v>3151</x:v>
      </x:c>
      <x:c r="CA520" s="30" t="n">
        <x:v>10238.340000000000000000000000</x:v>
      </x:c>
      <x:c r="CC520" s="30" t="n">
        <x:v>7200.1267501195500000000000000</x:v>
      </x:c>
      <x:c r="CD520" s="30" t="n">
        <x:v>-10613.6964</x:v>
      </x:c>
      <x:c r="CE520" s="30" t="str">
        <x:f>=CC520+CD520</x:f>
      </x:c>
      <x:c r="CF520" s="66" t="str">
        <x:f>=CE520/CC520</x:f>
      </x:c>
      <x:c r="CH520" s="66" t="str">
        <x:f>=CI520+CJ520</x:f>
      </x:c>
      <x:c r="CI520" s="66" t="str">
        <x:f>=BX520+(0.03*7)</x:f>
      </x:c>
      <x:c r="CJ520" s="66" t="str">
        <x:f>=(1-CI520)*0.5</x:f>
      </x:c>
      <x:c r="CK520" s="66" t="str">
        <x:f>=1-CH520</x:f>
      </x:c>
      <x:c r="CM520" s="66" t="str">
        <x:f>=CJ520/(1-CI520)</x:f>
      </x:c>
    </x:row>
    <x:row r="521">
      <x:c r="A521" s="31" t="s">
        <x:v>896</x:v>
      </x:c>
      <x:c r="B521" t="s"/>
      <x:c r="C521" t="s">
        <x:v>897</x:v>
      </x:c>
      <x:c r="D521" t="s">
        <x:v>118</x:v>
      </x:c>
      <x:c r="E521" s="69" t="s">
        <x:v>153</x:v>
      </x:c>
      <x:c r="F521" t="n">
        <x:v>2486</x:v>
      </x:c>
      <x:c r="BI521" s="33" t="s"/>
      <x:c r="BJ521" s="11" t="s">
        <x:v>820</x:v>
      </x:c>
      <x:c r="BK521" s="12" t="str">
        <x:f>=BX521</x:f>
      </x:c>
      <x:c r="BL521" s="12" t="n">
        <x:v>0</x:v>
      </x:c>
      <x:c r="BM521" s="12" t="n">
        <x:v>0</x:v>
      </x:c>
      <x:c r="BN521" s="12" t="n">
        <x:v>1</x:v>
      </x:c>
      <x:c r="BO521" s="12" t="str">
        <x:f>=BW521</x:f>
      </x:c>
      <x:c r="BP521" s="12" t="str">
        <x:f>=CF521</x:f>
      </x:c>
      <x:c r="BQ521" s="12" t="str"/>
      <x:c r="BR521" s="12" t="str">
        <x:v>SS 2021 MSS</x:v>
      </x:c>
      <x:c r="BS521" s="13" t="str"/>
      <x:c r="BT521" s="30" t="n">
        <x:v>0</x:v>
      </x:c>
      <x:c r="BU521" s="30" t="n">
        <x:v>-5795.8191</x:v>
      </x:c>
      <x:c r="BV521" s="30" t="str">
        <x:f>=BT521+BU521</x:f>
      </x:c>
      <x:c r="BW521" s="66" t="str">
        <x:f>=BV521/BT521</x:f>
      </x:c>
      <x:c r="BX521" s="66" t="n">
        <x:v>0</x:v>
      </x:c>
      <x:c r="BY521" s="30" t="n">
        <x:v>5419.95</x:v>
      </x:c>
      <x:c r="BZ521" s="41" t="n">
        <x:v>2486</x:v>
      </x:c>
      <x:c r="CA521" s="30" t="n">
        <x:v>5419.9500000000000000000000000</x:v>
      </x:c>
      <x:c r="CC521" s="30" t="n">
        <x:v>4497.7184977140000000000000000</x:v>
      </x:c>
      <x:c r="CD521" s="30" t="n">
        <x:v>-5795.8191</x:v>
      </x:c>
      <x:c r="CE521" s="30" t="str">
        <x:f>=CC521+CD521</x:f>
      </x:c>
      <x:c r="CF521" s="66" t="str">
        <x:f>=CE521/CC521</x:f>
      </x:c>
      <x:c r="CH521" s="66" t="str">
        <x:f>=CI521+CJ521</x:f>
      </x:c>
      <x:c r="CI521" s="66" t="str">
        <x:f>=BX521+(0.03*7)</x:f>
      </x:c>
      <x:c r="CJ521" s="66" t="str">
        <x:f>=(1-CI521)*0.5</x:f>
      </x:c>
      <x:c r="CK521" s="66" t="str">
        <x:f>=1-CH521</x:f>
      </x:c>
      <x:c r="CM521" s="66" t="str">
        <x:f>=CJ521/(1-CI521)</x:f>
      </x:c>
    </x:row>
    <x:row r="522">
      <x:c r="A522" s="31" t="s">
        <x:v>898</x:v>
      </x:c>
      <x:c r="B522" t="s"/>
      <x:c r="C522" t="s">
        <x:v>899</x:v>
      </x:c>
      <x:c r="D522" t="s">
        <x:v>118</x:v>
      </x:c>
      <x:c r="E522" s="69" t="s">
        <x:v>153</x:v>
      </x:c>
      <x:c r="F522" t="n">
        <x:v>2075</x:v>
      </x:c>
      <x:c r="BI522" s="33" t="s"/>
      <x:c r="BJ522" s="11" t="s">
        <x:v>820</x:v>
      </x:c>
      <x:c r="BK522" s="12" t="str">
        <x:f>=BX522</x:f>
      </x:c>
      <x:c r="BL522" s="12" t="n">
        <x:v>0</x:v>
      </x:c>
      <x:c r="BM522" s="12" t="n">
        <x:v>0</x:v>
      </x:c>
      <x:c r="BN522" s="12" t="n">
        <x:v>1</x:v>
      </x:c>
      <x:c r="BO522" s="12" t="str">
        <x:f>=BW522</x:f>
      </x:c>
      <x:c r="BP522" s="12" t="str">
        <x:f>=CF522</x:f>
      </x:c>
      <x:c r="BQ522" s="12" t="str"/>
      <x:c r="BR522" s="12" t="str">
        <x:v>SS 2021 MSS</x:v>
      </x:c>
      <x:c r="BS522" s="13" t="str"/>
      <x:c r="BT522" s="30" t="n">
        <x:v>0</x:v>
      </x:c>
      <x:c r="BU522" s="30" t="n">
        <x:v>-4308.0565</x:v>
      </x:c>
      <x:c r="BV522" s="30" t="str">
        <x:f>=BT522+BU522</x:f>
      </x:c>
      <x:c r="BW522" s="66" t="str">
        <x:f>=BV522/BT522</x:f>
      </x:c>
      <x:c r="BX522" s="66" t="n">
        <x:v>0</x:v>
      </x:c>
      <x:c r="BY522" s="30" t="n">
        <x:v>3977.95</x:v>
      </x:c>
      <x:c r="BZ522" s="41" t="n">
        <x:v>2075</x:v>
      </x:c>
      <x:c r="CA522" s="30" t="n">
        <x:v>3977.9499999999999999999999999</x:v>
      </x:c>
      <x:c r="CC522" s="30" t="n">
        <x:v>3789.6474396436500000000000000</x:v>
      </x:c>
      <x:c r="CD522" s="30" t="n">
        <x:v>-4308.0565</x:v>
      </x:c>
      <x:c r="CE522" s="30" t="str">
        <x:f>=CC522+CD522</x:f>
      </x:c>
      <x:c r="CF522" s="66" t="str">
        <x:f>=CE522/CC522</x:f>
      </x:c>
      <x:c r="CH522" s="66" t="str">
        <x:f>=CI522+CJ522</x:f>
      </x:c>
      <x:c r="CI522" s="66" t="str">
        <x:f>=BX522+(0.03*7)</x:f>
      </x:c>
      <x:c r="CJ522" s="66" t="str">
        <x:f>=(1-CI522)*0.5</x:f>
      </x:c>
      <x:c r="CK522" s="66" t="str">
        <x:f>=1-CH522</x:f>
      </x:c>
      <x:c r="CM522" s="66" t="str">
        <x:f>=CJ522/(1-CI522)</x:f>
      </x:c>
    </x:row>
    <x:row r="523">
      <x:c r="A523" s="31" t="s">
        <x:v>900</x:v>
      </x:c>
      <x:c r="B523" t="s"/>
      <x:c r="C523" t="s">
        <x:v>901</x:v>
      </x:c>
      <x:c r="D523" t="s">
        <x:v>118</x:v>
      </x:c>
      <x:c r="E523" s="69" t="s">
        <x:v>153</x:v>
      </x:c>
      <x:c r="F523" t="n">
        <x:v>3150</x:v>
      </x:c>
      <x:c r="BI523" s="33" t="s"/>
      <x:c r="BJ523" s="11" t="s">
        <x:v>820</x:v>
      </x:c>
      <x:c r="BK523" s="12" t="str">
        <x:f>=BX523</x:f>
      </x:c>
      <x:c r="BL523" s="12" t="n">
        <x:v>0</x:v>
      </x:c>
      <x:c r="BM523" s="12" t="n">
        <x:v>0</x:v>
      </x:c>
      <x:c r="BN523" s="12" t="n">
        <x:v>1</x:v>
      </x:c>
      <x:c r="BO523" s="12" t="str">
        <x:f>=BW523</x:f>
      </x:c>
      <x:c r="BP523" s="12" t="str">
        <x:f>=CF523</x:f>
      </x:c>
      <x:c r="BQ523" s="12" t="str"/>
      <x:c r="BR523" s="12" t="str">
        <x:v>SS 2021 MSS</x:v>
      </x:c>
      <x:c r="BS523" s="13" t="str"/>
      <x:c r="BT523" s="30" t="n">
        <x:v>0</x:v>
      </x:c>
      <x:c r="BU523" s="30" t="n">
        <x:v>-10680.7202</x:v>
      </x:c>
      <x:c r="BV523" s="30" t="str">
        <x:f>=BT523+BU523</x:f>
      </x:c>
      <x:c r="BW523" s="66" t="str">
        <x:f>=BV523/BT523</x:f>
      </x:c>
      <x:c r="BX523" s="66" t="n">
        <x:v>0</x:v>
      </x:c>
      <x:c r="BY523" s="30" t="n">
        <x:v>10307.66</x:v>
      </x:c>
      <x:c r="BZ523" s="41" t="n">
        <x:v>3150</x:v>
      </x:c>
      <x:c r="CA523" s="30" t="n">
        <x:v>10307.660000000000000000000000</x:v>
      </x:c>
      <x:c r="CC523" s="30" t="n">
        <x:v>7268.9871689798999999999999998</x:v>
      </x:c>
      <x:c r="CD523" s="30" t="n">
        <x:v>-10680.7202</x:v>
      </x:c>
      <x:c r="CE523" s="30" t="str">
        <x:f>=CC523+CD523</x:f>
      </x:c>
      <x:c r="CF523" s="66" t="str">
        <x:f>=CE523/CC523</x:f>
      </x:c>
      <x:c r="CH523" s="66" t="str">
        <x:f>=CI523+CJ523</x:f>
      </x:c>
      <x:c r="CI523" s="66" t="str">
        <x:f>=BX523+(0.03*7)</x:f>
      </x:c>
      <x:c r="CJ523" s="66" t="str">
        <x:f>=(1-CI523)*0.5</x:f>
      </x:c>
      <x:c r="CK523" s="66" t="str">
        <x:f>=1-CH523</x:f>
      </x:c>
      <x:c r="CM523" s="66" t="str">
        <x:f>=CJ523/(1-CI523)</x:f>
      </x:c>
    </x:row>
    <x:row r="524">
      <x:c r="A524" s="31" t="s">
        <x:v>902</x:v>
      </x:c>
      <x:c r="B524" t="s"/>
      <x:c r="C524" t="s">
        <x:v>903</x:v>
      </x:c>
      <x:c r="D524" t="s">
        <x:v>118</x:v>
      </x:c>
      <x:c r="E524" s="69" t="s">
        <x:v>153</x:v>
      </x:c>
      <x:c r="F524" t="n">
        <x:v>3052</x:v>
      </x:c>
      <x:c r="BI524" s="33" t="s"/>
      <x:c r="BJ524" s="11" t="s">
        <x:v>820</x:v>
      </x:c>
      <x:c r="BK524" s="12" t="str">
        <x:f>=BX524</x:f>
      </x:c>
      <x:c r="BL524" s="12" t="n">
        <x:v>0</x:v>
      </x:c>
      <x:c r="BM524" s="12" t="n">
        <x:v>0</x:v>
      </x:c>
      <x:c r="BN524" s="12" t="n">
        <x:v>1</x:v>
      </x:c>
      <x:c r="BO524" s="12" t="str">
        <x:f>=BW524</x:f>
      </x:c>
      <x:c r="BP524" s="12" t="str">
        <x:f>=CF524</x:f>
      </x:c>
      <x:c r="BQ524" s="12" t="str"/>
      <x:c r="BR524" s="12" t="str">
        <x:v>SS 2021 MSS</x:v>
      </x:c>
      <x:c r="BS524" s="13" t="str"/>
      <x:c r="BT524" s="30" t="n">
        <x:v>0</x:v>
      </x:c>
      <x:c r="BU524" s="30" t="n">
        <x:v>-7144.9797</x:v>
      </x:c>
      <x:c r="BV524" s="30" t="str">
        <x:f>=BT524+BU524</x:f>
      </x:c>
      <x:c r="BW524" s="66" t="str">
        <x:f>=BV524/BT524</x:f>
      </x:c>
      <x:c r="BX524" s="66" t="n">
        <x:v>0</x:v>
      </x:c>
      <x:c r="BY524" s="30" t="n">
        <x:v>6684.45</x:v>
      </x:c>
      <x:c r="BZ524" s="41" t="n">
        <x:v>3052</x:v>
      </x:c>
      <x:c r="CA524" s="30" t="n">
        <x:v>6684.4499999999999999999999999</x:v>
      </x:c>
      <x:c r="CC524" s="30" t="n">
        <x:v>5573.9167739112000000000000000</x:v>
      </x:c>
      <x:c r="CD524" s="30" t="n">
        <x:v>-7144.9797</x:v>
      </x:c>
      <x:c r="CE524" s="30" t="str">
        <x:f>=CC524+CD524</x:f>
      </x:c>
      <x:c r="CF524" s="66" t="str">
        <x:f>=CE524/CC524</x:f>
      </x:c>
      <x:c r="CH524" s="66" t="str">
        <x:f>=CI524+CJ524</x:f>
      </x:c>
      <x:c r="CI524" s="66" t="str">
        <x:f>=BX524+(0.03*7)</x:f>
      </x:c>
      <x:c r="CJ524" s="66" t="str">
        <x:f>=(1-CI524)*0.5</x:f>
      </x:c>
      <x:c r="CK524" s="66" t="str">
        <x:f>=1-CH524</x:f>
      </x:c>
      <x:c r="CM524" s="66" t="str">
        <x:f>=CJ524/(1-CI524)</x:f>
      </x:c>
    </x:row>
    <x:row r="525">
      <x:c r="A525" s="31" t="s">
        <x:v>904</x:v>
      </x:c>
      <x:c r="B525" t="s"/>
      <x:c r="C525" t="s">
        <x:v>905</x:v>
      </x:c>
      <x:c r="D525" t="s">
        <x:v>118</x:v>
      </x:c>
      <x:c r="E525" s="69" t="s">
        <x:v>153</x:v>
      </x:c>
      <x:c r="F525" t="n">
        <x:v>3206</x:v>
      </x:c>
      <x:c r="BI525" s="33" t="s"/>
      <x:c r="BJ525" s="11" t="s">
        <x:v>820</x:v>
      </x:c>
      <x:c r="BK525" s="12" t="str">
        <x:f>=BX525</x:f>
      </x:c>
      <x:c r="BL525" s="12" t="n">
        <x:v>0</x:v>
      </x:c>
      <x:c r="BM525" s="12" t="n">
        <x:v>0</x:v>
      </x:c>
      <x:c r="BN525" s="12" t="n">
        <x:v>1</x:v>
      </x:c>
      <x:c r="BO525" s="12" t="str">
        <x:f>=BW525</x:f>
      </x:c>
      <x:c r="BP525" s="12" t="str">
        <x:f>=CF525</x:f>
      </x:c>
      <x:c r="BQ525" s="12" t="str"/>
      <x:c r="BR525" s="12" t="str">
        <x:v>SS 2021 MSS</x:v>
      </x:c>
      <x:c r="BS525" s="13" t="str"/>
      <x:c r="BT525" s="30" t="n">
        <x:v>0</x:v>
      </x:c>
      <x:c r="BU525" s="30" t="n">
        <x:v>-7648.5921</x:v>
      </x:c>
      <x:c r="BV525" s="30" t="str">
        <x:f>=BT525+BU525</x:f>
      </x:c>
      <x:c r="BW525" s="66" t="str">
        <x:f>=BV525/BT525</x:f>
      </x:c>
      <x:c r="BX525" s="66" t="n">
        <x:v>0</x:v>
      </x:c>
      <x:c r="BY525" s="30" t="n">
        <x:v>7169.25</x:v>
      </x:c>
      <x:c r="BZ525" s="41" t="n">
        <x:v>3206</x:v>
      </x:c>
      <x:c r="CA525" s="30" t="n">
        <x:v>7169.2500000000000000000000000</x:v>
      </x:c>
      <x:c r="CC525" s="30" t="n">
        <x:v>12576.759876747300000000000000</x:v>
      </x:c>
      <x:c r="CD525" s="30" t="n">
        <x:v>-7648.5921</x:v>
      </x:c>
      <x:c r="CE525" s="30" t="str">
        <x:f>=CC525+CD525</x:f>
      </x:c>
      <x:c r="CF525" s="66" t="str">
        <x:f>=CE525/CC525</x:f>
      </x:c>
      <x:c r="CH525" s="66" t="str">
        <x:f>=CI525+CJ525</x:f>
      </x:c>
      <x:c r="CI525" s="66" t="str">
        <x:f>=BX525+(0.03*7)</x:f>
      </x:c>
      <x:c r="CJ525" s="66" t="str">
        <x:f>=(1-CI525)*0.5</x:f>
      </x:c>
      <x:c r="CK525" s="66" t="str">
        <x:f>=1-CH525</x:f>
      </x:c>
      <x:c r="CM525" s="66" t="str">
        <x:f>=CJ525/(1-CI525)</x:f>
      </x:c>
    </x:row>
    <x:row r="526">
      <x:c r="A526" s="31" t="s">
        <x:v>906</x:v>
      </x:c>
      <x:c r="B526" t="s"/>
      <x:c r="C526" t="s">
        <x:v>907</x:v>
      </x:c>
      <x:c r="D526" t="s">
        <x:v>118</x:v>
      </x:c>
      <x:c r="E526" s="69" t="s">
        <x:v>153</x:v>
      </x:c>
      <x:c r="F526" t="n">
        <x:v>3157</x:v>
      </x:c>
      <x:c r="BI526" s="33" t="s"/>
      <x:c r="BJ526" s="11" t="s">
        <x:v>820</x:v>
      </x:c>
      <x:c r="BK526" s="12" t="str">
        <x:f>=BX526</x:f>
      </x:c>
      <x:c r="BL526" s="12" t="n">
        <x:v>0</x:v>
      </x:c>
      <x:c r="BM526" s="12" t="n">
        <x:v>0</x:v>
      </x:c>
      <x:c r="BN526" s="12" t="n">
        <x:v>1</x:v>
      </x:c>
      <x:c r="BO526" s="12" t="str">
        <x:f>=BW526</x:f>
      </x:c>
      <x:c r="BP526" s="12" t="str">
        <x:f>=CF526</x:f>
      </x:c>
      <x:c r="BQ526" s="12" t="str"/>
      <x:c r="BR526" s="12" t="str">
        <x:v>SS 2021 MSS</x:v>
      </x:c>
      <x:c r="BS526" s="13" t="str"/>
      <x:c r="BT526" s="30" t="n">
        <x:v>0</x:v>
      </x:c>
      <x:c r="BU526" s="30" t="n">
        <x:v>-19261.2268</x:v>
      </x:c>
      <x:c r="BV526" s="30" t="str">
        <x:f>=BT526+BU526</x:f>
      </x:c>
      <x:c r="BW526" s="66" t="str">
        <x:f>=BV526/BT526</x:f>
      </x:c>
      <x:c r="BX526" s="66" t="n">
        <x:v>0</x:v>
      </x:c>
      <x:c r="BY526" s="30" t="n">
        <x:v>19151.98</x:v>
      </x:c>
      <x:c r="BZ526" s="41" t="n">
        <x:v>3157</x:v>
      </x:c>
      <x:c r="CA526" s="30" t="n">
        <x:v>19151.980000000000000000000000</x:v>
      </x:c>
      <x:c r="CC526" s="30" t="n">
        <x:v>14081.519831505750000000000000</x:v>
      </x:c>
      <x:c r="CD526" s="30" t="n">
        <x:v>-19261.2268</x:v>
      </x:c>
      <x:c r="CE526" s="30" t="str">
        <x:f>=CC526+CD526</x:f>
      </x:c>
      <x:c r="CF526" s="66" t="str">
        <x:f>=CE526/CC526</x:f>
      </x:c>
      <x:c r="CH526" s="66" t="str">
        <x:f>=CI526+CJ526</x:f>
      </x:c>
      <x:c r="CI526" s="66" t="str">
        <x:f>=BX526+(0.03*7)</x:f>
      </x:c>
      <x:c r="CJ526" s="66" t="str">
        <x:f>=(1-CI526)*0.5</x:f>
      </x:c>
      <x:c r="CK526" s="66" t="str">
        <x:f>=1-CH526</x:f>
      </x:c>
      <x:c r="CM526" s="66" t="str">
        <x:f>=CJ526/(1-CI526)</x:f>
      </x:c>
    </x:row>
    <x:row r="527">
      <x:c r="A527" s="31" t="s">
        <x:v>908</x:v>
      </x:c>
      <x:c r="B527" t="s"/>
      <x:c r="C527" t="s">
        <x:v>909</x:v>
      </x:c>
      <x:c r="D527" t="s">
        <x:v>118</x:v>
      </x:c>
      <x:c r="E527" s="69" t="s">
        <x:v>153</x:v>
      </x:c>
      <x:c r="F527" t="n">
        <x:v>3150</x:v>
      </x:c>
      <x:c r="BI527" s="33" t="s"/>
      <x:c r="BJ527" s="11" t="s">
        <x:v>820</x:v>
      </x:c>
      <x:c r="BK527" s="12" t="str">
        <x:f>=BX527</x:f>
      </x:c>
      <x:c r="BL527" s="12" t="n">
        <x:v>0</x:v>
      </x:c>
      <x:c r="BM527" s="12" t="n">
        <x:v>0</x:v>
      </x:c>
      <x:c r="BN527" s="12" t="n">
        <x:v>1</x:v>
      </x:c>
      <x:c r="BO527" s="12" t="str">
        <x:f>=BW527</x:f>
      </x:c>
      <x:c r="BP527" s="12" t="str">
        <x:f>=CF527</x:f>
      </x:c>
      <x:c r="BQ527" s="12" t="str"/>
      <x:c r="BR527" s="12" t="str">
        <x:v>SS 2021 MSS</x:v>
      </x:c>
      <x:c r="BS527" s="13" t="str"/>
      <x:c r="BT527" s="30" t="n">
        <x:v>0</x:v>
      </x:c>
      <x:c r="BU527" s="30" t="n">
        <x:v>-10551.7296</x:v>
      </x:c>
      <x:c r="BV527" s="30" t="str">
        <x:f>=BT527+BU527</x:f>
      </x:c>
      <x:c r="BW527" s="66" t="str">
        <x:f>=BV527/BT527</x:f>
      </x:c>
      <x:c r="BX527" s="66" t="n">
        <x:v>0</x:v>
      </x:c>
      <x:c r="BY527" s="30" t="n">
        <x:v>10174.68</x:v>
      </x:c>
      <x:c r="BZ527" s="41" t="n">
        <x:v>3150</x:v>
      </x:c>
      <x:c r="CA527" s="30" t="n">
        <x:v>10174.680000000000000000000000</x:v>
      </x:c>
      <x:c r="CC527" s="30" t="n">
        <x:v>7366.6120666047000000000000000</x:v>
      </x:c>
      <x:c r="CD527" s="30" t="n">
        <x:v>-10551.7296</x:v>
      </x:c>
      <x:c r="CE527" s="30" t="str">
        <x:f>=CC527+CD527</x:f>
      </x:c>
      <x:c r="CF527" s="66" t="str">
        <x:f>=CE527/CC527</x:f>
      </x:c>
      <x:c r="CH527" s="66" t="str">
        <x:f>=CI527+CJ527</x:f>
      </x:c>
      <x:c r="CI527" s="66" t="str">
        <x:f>=BX527+(0.03*7)</x:f>
      </x:c>
      <x:c r="CJ527" s="66" t="str">
        <x:f>=(1-CI527)*0.5</x:f>
      </x:c>
      <x:c r="CK527" s="66" t="str">
        <x:f>=1-CH527</x:f>
      </x:c>
      <x:c r="CM527" s="66" t="str">
        <x:f>=CJ527/(1-CI527)</x:f>
      </x:c>
    </x:row>
    <x:row r="528">
      <x:c r="A528" s="31" t="s">
        <x:v>910</x:v>
      </x:c>
      <x:c r="B528" t="s"/>
      <x:c r="C528" t="s">
        <x:v>911</x:v>
      </x:c>
      <x:c r="D528" t="s">
        <x:v>118</x:v>
      </x:c>
      <x:c r="E528" s="69" t="s">
        <x:v>153</x:v>
      </x:c>
      <x:c r="F528" t="n">
        <x:v>3150</x:v>
      </x:c>
      <x:c r="BI528" s="33" t="s"/>
      <x:c r="BJ528" s="11" t="s">
        <x:v>820</x:v>
      </x:c>
      <x:c r="BK528" s="12" t="str">
        <x:f>=BX528</x:f>
      </x:c>
      <x:c r="BL528" s="12" t="n">
        <x:v>0</x:v>
      </x:c>
      <x:c r="BM528" s="12" t="n">
        <x:v>0</x:v>
      </x:c>
      <x:c r="BN528" s="12" t="n">
        <x:v>1</x:v>
      </x:c>
      <x:c r="BO528" s="12" t="str">
        <x:f>=BW528</x:f>
      </x:c>
      <x:c r="BP528" s="12" t="str">
        <x:f>=CF528</x:f>
      </x:c>
      <x:c r="BQ528" s="12" t="str"/>
      <x:c r="BR528" s="12" t="str">
        <x:v>SS 2021 MSS</x:v>
      </x:c>
      <x:c r="BS528" s="13" t="str"/>
      <x:c r="BT528" s="30" t="n">
        <x:v>0</x:v>
      </x:c>
      <x:c r="BU528" s="30" t="n">
        <x:v>-10679.6241</x:v>
      </x:c>
      <x:c r="BV528" s="30" t="str">
        <x:f>=BT528+BU528</x:f>
      </x:c>
      <x:c r="BW528" s="66" t="str">
        <x:f>=BV528/BT528</x:f>
      </x:c>
      <x:c r="BX528" s="66" t="n">
        <x:v>0</x:v>
      </x:c>
      <x:c r="BY528" s="30" t="n">
        <x:v>10306.53</x:v>
      </x:c>
      <x:c r="BZ528" s="41" t="n">
        <x:v>3150</x:v>
      </x:c>
      <x:c r="CA528" s="30" t="n">
        <x:v>10306.530000000000000000000000</x:v>
      </x:c>
      <x:c r="CC528" s="30" t="n">
        <x:v>7269.2777192704500000000000005</x:v>
      </x:c>
      <x:c r="CD528" s="30" t="n">
        <x:v>-10679.6241</x:v>
      </x:c>
      <x:c r="CE528" s="30" t="str">
        <x:f>=CC528+CD528</x:f>
      </x:c>
      <x:c r="CF528" s="66" t="str">
        <x:f>=CE528/CC528</x:f>
      </x:c>
      <x:c r="CH528" s="66" t="str">
        <x:f>=CI528+CJ528</x:f>
      </x:c>
      <x:c r="CI528" s="66" t="str">
        <x:f>=BX528+(0.03*7)</x:f>
      </x:c>
      <x:c r="CJ528" s="66" t="str">
        <x:f>=(1-CI528)*0.5</x:f>
      </x:c>
      <x:c r="CK528" s="66" t="str">
        <x:f>=1-CH528</x:f>
      </x:c>
      <x:c r="CM528" s="66" t="str">
        <x:f>=CJ528/(1-CI528)</x:f>
      </x:c>
    </x:row>
    <x:row r="529">
      <x:c r="A529" s="31" t="s">
        <x:v>912</x:v>
      </x:c>
      <x:c r="B529" t="s"/>
      <x:c r="C529" t="s">
        <x:v>913</x:v>
      </x:c>
      <x:c r="D529" t="s">
        <x:v>118</x:v>
      </x:c>
      <x:c r="E529" s="69" t="s">
        <x:v>153</x:v>
      </x:c>
      <x:c r="F529" t="n">
        <x:v>3148</x:v>
      </x:c>
      <x:c r="BI529" s="33" t="s"/>
      <x:c r="BJ529" s="11" t="s">
        <x:v>820</x:v>
      </x:c>
      <x:c r="BK529" s="12" t="str">
        <x:f>=BX529</x:f>
      </x:c>
      <x:c r="BL529" s="12" t="n">
        <x:v>0</x:v>
      </x:c>
      <x:c r="BM529" s="12" t="n">
        <x:v>0</x:v>
      </x:c>
      <x:c r="BN529" s="12" t="n">
        <x:v>1</x:v>
      </x:c>
      <x:c r="BO529" s="12" t="str">
        <x:f>=BW529</x:f>
      </x:c>
      <x:c r="BP529" s="12" t="str">
        <x:f>=CF529</x:f>
      </x:c>
      <x:c r="BQ529" s="12" t="str"/>
      <x:c r="BR529" s="12" t="str">
        <x:v>SS 2021 MSS</x:v>
      </x:c>
      <x:c r="BS529" s="13" t="str"/>
      <x:c r="BT529" s="30" t="n">
        <x:v>0</x:v>
      </x:c>
      <x:c r="BU529" s="30" t="n">
        <x:v>-20404.1878</x:v>
      </x:c>
      <x:c r="BV529" s="30" t="str">
        <x:f>=BT529+BU529</x:f>
      </x:c>
      <x:c r="BW529" s="66" t="str">
        <x:f>=BV529/BT529</x:f>
      </x:c>
      <x:c r="BX529" s="66" t="n">
        <x:v>0</x:v>
      </x:c>
      <x:c r="BY529" s="30" t="n">
        <x:v>20332.30</x:v>
      </x:c>
      <x:c r="BZ529" s="41" t="n">
        <x:v>3148</x:v>
      </x:c>
      <x:c r="CA529" s="30" t="n">
        <x:v>20332.300000000000000000000000</x:v>
      </x:c>
      <x:c r="CC529" s="30" t="n">
        <x:v>11766.705666693900000000000000</x:v>
      </x:c>
      <x:c r="CD529" s="30" t="n">
        <x:v>-20404.1878</x:v>
      </x:c>
      <x:c r="CE529" s="30" t="str">
        <x:f>=CC529+CD529</x:f>
      </x:c>
      <x:c r="CF529" s="66" t="str">
        <x:f>=CE529/CC529</x:f>
      </x:c>
      <x:c r="CH529" s="66" t="str">
        <x:f>=CI529+CJ529</x:f>
      </x:c>
      <x:c r="CI529" s="66" t="str">
        <x:f>=BX529+(0.03*7)</x:f>
      </x:c>
      <x:c r="CJ529" s="66" t="str">
        <x:f>=(1-CI529)*0.5</x:f>
      </x:c>
      <x:c r="CK529" s="66" t="str">
        <x:f>=1-CH529</x:f>
      </x:c>
      <x:c r="CM529" s="66" t="str">
        <x:f>=CJ529/(1-CI529)</x:f>
      </x:c>
    </x:row>
    <x:row r="530">
      <x:c r="A530" s="31" t="s">
        <x:v>914</x:v>
      </x:c>
      <x:c r="B530" t="s"/>
      <x:c r="C530" t="s">
        <x:v>915</x:v>
      </x:c>
      <x:c r="D530" t="s">
        <x:v>118</x:v>
      </x:c>
      <x:c r="E530" s="69" t="s">
        <x:v>153</x:v>
      </x:c>
      <x:c r="F530" t="n">
        <x:v>2935</x:v>
      </x:c>
      <x:c r="BI530" s="33" t="s"/>
      <x:c r="BJ530" s="11" t="s">
        <x:v>820</x:v>
      </x:c>
      <x:c r="BK530" s="12" t="str">
        <x:f>=BX530</x:f>
      </x:c>
      <x:c r="BL530" s="12" t="n">
        <x:v>0</x:v>
      </x:c>
      <x:c r="BM530" s="12" t="n">
        <x:v>0</x:v>
      </x:c>
      <x:c r="BN530" s="12" t="n">
        <x:v>1</x:v>
      </x:c>
      <x:c r="BO530" s="12" t="str">
        <x:f>=BW530</x:f>
      </x:c>
      <x:c r="BP530" s="12" t="str">
        <x:f>=CF530</x:f>
      </x:c>
      <x:c r="BQ530" s="12" t="str"/>
      <x:c r="BR530" s="12" t="str">
        <x:v>SS 2021 EOS</x:v>
      </x:c>
      <x:c r="BS530" s="13" t="str"/>
      <x:c r="BT530" s="30" t="n">
        <x:v>0</x:v>
      </x:c>
      <x:c r="BU530" s="30" t="n">
        <x:v>-9941.0765</x:v>
      </x:c>
      <x:c r="BV530" s="30" t="str">
        <x:f>=BT530+BU530</x:f>
      </x:c>
      <x:c r="BW530" s="66" t="str">
        <x:f>=BV530/BT530</x:f>
      </x:c>
      <x:c r="BX530" s="66" t="n">
        <x:v>0</x:v>
      </x:c>
      <x:c r="BY530" s="30" t="n">
        <x:v>9593.15</x:v>
      </x:c>
      <x:c r="BZ530" s="41" t="n">
        <x:v>2935</x:v>
      </x:c>
      <x:c r="CA530" s="30" t="n">
        <x:v>9593.150000000000000000000000</x:v>
      </x:c>
      <x:c r="CC530" s="30" t="n">
        <x:v>7698.7110487033500000000000005</x:v>
      </x:c>
      <x:c r="CD530" s="30" t="n">
        <x:v>-9941.0765</x:v>
      </x:c>
      <x:c r="CE530" s="30" t="str">
        <x:f>=CC530+CD530</x:f>
      </x:c>
      <x:c r="CF530" s="66" t="str">
        <x:f>=CE530/CC530</x:f>
      </x:c>
      <x:c r="CH530" s="66" t="str">
        <x:f>=CI530+CJ530</x:f>
      </x:c>
      <x:c r="CI530" s="66" t="str">
        <x:f>=BX530+(0.03*7)</x:f>
      </x:c>
      <x:c r="CJ530" s="66" t="str">
        <x:f>=(1-CI530)*0.5</x:f>
      </x:c>
      <x:c r="CK530" s="66" t="str">
        <x:f>=1-CH530</x:f>
      </x:c>
      <x:c r="CM530" s="66" t="str">
        <x:f>=CJ530/(1-CI530)</x:f>
      </x:c>
    </x:row>
    <x:row r="531">
      <x:c r="A531" s="31" t="s">
        <x:v>916</x:v>
      </x:c>
      <x:c r="B531" t="s"/>
      <x:c r="C531" t="s">
        <x:v>917</x:v>
      </x:c>
      <x:c r="D531" t="s">
        <x:v>118</x:v>
      </x:c>
      <x:c r="E531" s="69" t="s">
        <x:v>153</x:v>
      </x:c>
      <x:c r="F531" t="n">
        <x:v>3157</x:v>
      </x:c>
      <x:c r="BI531" s="33" t="s"/>
      <x:c r="BJ531" s="11" t="s">
        <x:v>820</x:v>
      </x:c>
      <x:c r="BK531" s="12" t="str">
        <x:f>=BX531</x:f>
      </x:c>
      <x:c r="BL531" s="12" t="n">
        <x:v>0</x:v>
      </x:c>
      <x:c r="BM531" s="12" t="n">
        <x:v>0</x:v>
      </x:c>
      <x:c r="BN531" s="12" t="n">
        <x:v>1</x:v>
      </x:c>
      <x:c r="BO531" s="12" t="str">
        <x:f>=BW531</x:f>
      </x:c>
      <x:c r="BP531" s="12" t="str">
        <x:f>=CF531</x:f>
      </x:c>
      <x:c r="BQ531" s="12" t="str"/>
      <x:c r="BR531" s="12" t="str">
        <x:v>SS 2021 MSS</x:v>
      </x:c>
      <x:c r="BS531" s="13" t="str"/>
      <x:c r="BT531" s="30" t="n">
        <x:v>0</x:v>
      </x:c>
      <x:c r="BU531" s="30" t="n">
        <x:v>-19276.0387</x:v>
      </x:c>
      <x:c r="BV531" s="30" t="str">
        <x:f>=BT531+BU531</x:f>
      </x:c>
      <x:c r="BW531" s="66" t="str">
        <x:f>=BV531/BT531</x:f>
      </x:c>
      <x:c r="BX531" s="66" t="n">
        <x:v>0</x:v>
      </x:c>
      <x:c r="BY531" s="30" t="n">
        <x:v>19167.25</x:v>
      </x:c>
      <x:c r="BZ531" s="41" t="n">
        <x:v>3157</x:v>
      </x:c>
      <x:c r="CA531" s="30" t="n">
        <x:v>19167.250000000000000000000000</x:v>
      </x:c>
      <x:c r="CC531" s="30" t="n">
        <x:v>16365.826215809850000000000000</x:v>
      </x:c>
      <x:c r="CD531" s="30" t="n">
        <x:v>-19276.0387</x:v>
      </x:c>
      <x:c r="CE531" s="30" t="str">
        <x:f>=CC531+CD531</x:f>
      </x:c>
      <x:c r="CF531" s="66" t="str">
        <x:f>=CE531/CC531</x:f>
      </x:c>
      <x:c r="CH531" s="66" t="str">
        <x:f>=CI531+CJ531</x:f>
      </x:c>
      <x:c r="CI531" s="66" t="str">
        <x:f>=BX531+(0.03*7)</x:f>
      </x:c>
      <x:c r="CJ531" s="66" t="str">
        <x:f>=(1-CI531)*0.5</x:f>
      </x:c>
      <x:c r="CK531" s="66" t="str">
        <x:f>=1-CH531</x:f>
      </x:c>
      <x:c r="CM531" s="66" t="str">
        <x:f>=CJ531/(1-CI531)</x:f>
      </x:c>
    </x:row>
    <x:row r="532">
      <x:c r="A532" s="31" t="s">
        <x:v>918</x:v>
      </x:c>
      <x:c r="B532" t="s"/>
      <x:c r="C532" t="s">
        <x:v>919</x:v>
      </x:c>
      <x:c r="D532" t="s">
        <x:v>118</x:v>
      </x:c>
      <x:c r="E532" s="69" t="s">
        <x:v>153</x:v>
      </x:c>
      <x:c r="F532" t="n">
        <x:v>3152</x:v>
      </x:c>
      <x:c r="BI532" s="33" t="s"/>
      <x:c r="BJ532" s="11" t="s">
        <x:v>820</x:v>
      </x:c>
      <x:c r="BK532" s="12" t="str">
        <x:f>=BX532</x:f>
      </x:c>
      <x:c r="BL532" s="12" t="n">
        <x:v>0</x:v>
      </x:c>
      <x:c r="BM532" s="12" t="n">
        <x:v>0</x:v>
      </x:c>
      <x:c r="BN532" s="12" t="n">
        <x:v>1</x:v>
      </x:c>
      <x:c r="BO532" s="12" t="str">
        <x:f>=BW532</x:f>
      </x:c>
      <x:c r="BP532" s="12" t="str">
        <x:f>=CF532</x:f>
      </x:c>
      <x:c r="BQ532" s="12" t="str"/>
      <x:c r="BR532" s="12" t="str">
        <x:v>SS 2021 MSS</x:v>
      </x:c>
      <x:c r="BS532" s="13" t="str"/>
      <x:c r="BT532" s="30" t="n">
        <x:v>0</x:v>
      </x:c>
      <x:c r="BU532" s="30" t="n">
        <x:v>-10792.2378</x:v>
      </x:c>
      <x:c r="BV532" s="30" t="str">
        <x:f>=BT532+BU532</x:f>
      </x:c>
      <x:c r="BW532" s="66" t="str">
        <x:f>=BV532/BT532</x:f>
      </x:c>
      <x:c r="BX532" s="66" t="n">
        <x:v>0</x:v>
      </x:c>
      <x:c r="BY532" s="30" t="n">
        <x:v>10422.18</x:v>
      </x:c>
      <x:c r="BZ532" s="41" t="n">
        <x:v>3152</x:v>
      </x:c>
      <x:c r="CA532" s="30" t="n">
        <x:v>10422.180000000000000000000000</x:v>
      </x:c>
      <x:c r="CC532" s="30" t="n">
        <x:v>7368.9364689291000000000000000</x:v>
      </x:c>
      <x:c r="CD532" s="30" t="n">
        <x:v>-10792.2378</x:v>
      </x:c>
      <x:c r="CE532" s="30" t="str">
        <x:f>=CC532+CD532</x:f>
      </x:c>
      <x:c r="CF532" s="66" t="str">
        <x:f>=CE532/CC532</x:f>
      </x:c>
      <x:c r="CH532" s="66" t="str">
        <x:f>=CI532+CJ532</x:f>
      </x:c>
      <x:c r="CI532" s="66" t="str">
        <x:f>=BX532+(0.03*7)</x:f>
      </x:c>
      <x:c r="CJ532" s="66" t="str">
        <x:f>=(1-CI532)*0.5</x:f>
      </x:c>
      <x:c r="CK532" s="66" t="str">
        <x:f>=1-CH532</x:f>
      </x:c>
      <x:c r="CM532" s="66" t="str">
        <x:f>=CJ532/(1-CI532)</x:f>
      </x:c>
    </x:row>
    <x:row r="533">
      <x:c r="A533" s="31" t="s">
        <x:v>920</x:v>
      </x:c>
      <x:c r="B533" t="s"/>
      <x:c r="C533" t="s">
        <x:v>921</x:v>
      </x:c>
      <x:c r="D533" t="s">
        <x:v>118</x:v>
      </x:c>
      <x:c r="E533" s="69" t="s">
        <x:v>153</x:v>
      </x:c>
      <x:c r="F533" t="n">
        <x:v>2935</x:v>
      </x:c>
      <x:c r="BI533" s="33" t="s"/>
      <x:c r="BJ533" s="11" t="s">
        <x:v>820</x:v>
      </x:c>
      <x:c r="BK533" s="12" t="str">
        <x:f>=BX533</x:f>
      </x:c>
      <x:c r="BL533" s="12" t="n">
        <x:v>0</x:v>
      </x:c>
      <x:c r="BM533" s="12" t="n">
        <x:v>0</x:v>
      </x:c>
      <x:c r="BN533" s="12" t="n">
        <x:v>1</x:v>
      </x:c>
      <x:c r="BO533" s="12" t="str">
        <x:f>=BW533</x:f>
      </x:c>
      <x:c r="BP533" s="12" t="str">
        <x:f>=CF533</x:f>
      </x:c>
      <x:c r="BQ533" s="12" t="str"/>
      <x:c r="BR533" s="12" t="str">
        <x:v>SS 2021 EOS</x:v>
      </x:c>
      <x:c r="BS533" s="13" t="str"/>
      <x:c r="BT533" s="30" t="n">
        <x:v>0</x:v>
      </x:c>
      <x:c r="BU533" s="30" t="n">
        <x:v>-12920.8195</x:v>
      </x:c>
      <x:c r="BV533" s="30" t="str">
        <x:f>=BT533+BU533</x:f>
      </x:c>
      <x:c r="BW533" s="66" t="str">
        <x:f>=BV533/BT533</x:f>
      </x:c>
      <x:c r="BX533" s="66" t="n">
        <x:v>0</x:v>
      </x:c>
      <x:c r="BY533" s="30" t="n">
        <x:v>12665.05</x:v>
      </x:c>
      <x:c r="BZ533" s="41" t="n">
        <x:v>2935</x:v>
      </x:c>
      <x:c r="CA533" s="30" t="n">
        <x:v>12665.050000000000000000000000</x:v>
      </x:c>
      <x:c r="CC533" s="30" t="n">
        <x:v>9877.547677537800000000000000</x:v>
      </x:c>
      <x:c r="CD533" s="30" t="n">
        <x:v>-12920.8195</x:v>
      </x:c>
      <x:c r="CE533" s="30" t="str">
        <x:f>=CC533+CD533</x:f>
      </x:c>
      <x:c r="CF533" s="66" t="str">
        <x:f>=CE533/CC533</x:f>
      </x:c>
      <x:c r="CH533" s="66" t="str">
        <x:f>=CI533+CJ533</x:f>
      </x:c>
      <x:c r="CI533" s="66" t="str">
        <x:f>=BX533+(0.03*7)</x:f>
      </x:c>
      <x:c r="CJ533" s="66" t="str">
        <x:f>=(1-CI533)*0.5</x:f>
      </x:c>
      <x:c r="CK533" s="66" t="str">
        <x:f>=1-CH533</x:f>
      </x:c>
      <x:c r="CM533" s="66" t="str">
        <x:f>=CJ533/(1-CI533)</x:f>
      </x:c>
    </x:row>
    <x:row r="534">
      <x:c r="A534" s="31" t="s">
        <x:v>922</x:v>
      </x:c>
      <x:c r="B534" t="s">
        <x:v>116</x:v>
      </x:c>
      <x:c r="C534" t="s">
        <x:v>698</x:v>
      </x:c>
      <x:c r="D534" t="s">
        <x:v>118</x:v>
      </x:c>
      <x:c r="E534" s="69" t="s">
        <x:v>153</x:v>
      </x:c>
      <x:c r="F534" t="n">
        <x:v>501</x:v>
      </x:c>
      <x:c r="BI534" s="33" t="s"/>
      <x:c r="BJ534" s="11" t="s">
        <x:v>820</x:v>
      </x:c>
      <x:c r="BK534" s="12" t="str">
        <x:f>=BX534</x:f>
      </x:c>
      <x:c r="BL534" s="12" t="n">
        <x:v>0</x:v>
      </x:c>
      <x:c r="BM534" s="12" t="n">
        <x:v>0</x:v>
      </x:c>
      <x:c r="BN534" s="12" t="n">
        <x:v>1</x:v>
      </x:c>
      <x:c r="BO534" s="12" t="str">
        <x:f>=BW534</x:f>
      </x:c>
      <x:c r="BP534" s="12" t="str">
        <x:f>=CF534</x:f>
      </x:c>
      <x:c r="BQ534" s="12" t="str"/>
      <x:c r="BR534" s="12" t="str">
        <x:v>SS 2021 EOS</x:v>
      </x:c>
      <x:c r="BS534" s="13" t="str"/>
      <x:c r="BT534" s="30" t="n">
        <x:v>0</x:v>
      </x:c>
      <x:c r="BU534" s="30" t="n">
        <x:v>-2837.4661</x:v>
      </x:c>
      <x:c r="BV534" s="30" t="str">
        <x:f>=BT534+BU534</x:f>
      </x:c>
      <x:c r="BW534" s="66" t="str">
        <x:f>=BV534/BT534</x:f>
      </x:c>
      <x:c r="BX534" s="66" t="n">
        <x:v>0</x:v>
      </x:c>
      <x:c r="BY534" s="30" t="n">
        <x:v>2813.35</x:v>
      </x:c>
      <x:c r="BZ534" s="41" t="n">
        <x:v>501</x:v>
      </x:c>
      <x:c r="CA534" s="30" t="n">
        <x:v>2813.3500000000000000000000000</x:v>
      </x:c>
      <x:c r="CC534" s="30" t="n">
        <x:v>2061.7448617428000000000000000</x:v>
      </x:c>
      <x:c r="CD534" s="30" t="n">
        <x:v>-2837.4661</x:v>
      </x:c>
      <x:c r="CE534" s="30" t="str">
        <x:f>=CC534+CD534</x:f>
      </x:c>
      <x:c r="CF534" s="66" t="str">
        <x:f>=CE534/CC534</x:f>
      </x:c>
      <x:c r="CH534" s="66" t="str">
        <x:f>=CI534+CJ534</x:f>
      </x:c>
      <x:c r="CI534" s="66" t="str">
        <x:f>=BX534+(0.03*7)</x:f>
      </x:c>
      <x:c r="CJ534" s="66" t="str">
        <x:f>=(1-CI534)*0.5</x:f>
      </x:c>
      <x:c r="CK534" s="66" t="str">
        <x:f>=1-CH534</x:f>
      </x:c>
      <x:c r="CM534" s="66" t="str">
        <x:f>=CJ534/(1-CI534)</x:f>
      </x:c>
    </x:row>
    <x:row r="535">
      <x:c r="A535" s="31" t="s">
        <x:v>923</x:v>
      </x:c>
      <x:c r="B535" t="s">
        <x:v>116</x:v>
      </x:c>
      <x:c r="C535" t="s">
        <x:v>924</x:v>
      </x:c>
      <x:c r="D535" t="s">
        <x:v>118</x:v>
      </x:c>
      <x:c r="E535" s="69" t="s">
        <x:v>153</x:v>
      </x:c>
      <x:c r="F535" t="n">
        <x:v>2720</x:v>
      </x:c>
      <x:c r="BI535" s="33" t="s"/>
      <x:c r="BJ535" s="11" t="s">
        <x:v>820</x:v>
      </x:c>
      <x:c r="BK535" s="12" t="str">
        <x:f>=BX535</x:f>
      </x:c>
      <x:c r="BL535" s="12" t="n">
        <x:v>0</x:v>
      </x:c>
      <x:c r="BM535" s="12" t="n">
        <x:v>0</x:v>
      </x:c>
      <x:c r="BN535" s="12" t="n">
        <x:v>1</x:v>
      </x:c>
      <x:c r="BO535" s="12" t="str">
        <x:f>=BW535</x:f>
      </x:c>
      <x:c r="BP535" s="12" t="str">
        <x:f>=CF535</x:f>
      </x:c>
      <x:c r="BQ535" s="12" t="str"/>
      <x:c r="BR535" s="12" t="str">
        <x:v>SS 2021 EOS</x:v>
      </x:c>
      <x:c r="BS535" s="13" t="str"/>
      <x:c r="BT535" s="30" t="n">
        <x:v>0</x:v>
      </x:c>
      <x:c r="BU535" s="30" t="n">
        <x:v>-7979.9021</x:v>
      </x:c>
      <x:c r="BV535" s="30" t="str">
        <x:f>=BT535+BU535</x:f>
      </x:c>
      <x:c r="BW535" s="66" t="str">
        <x:f>=BV535/BT535</x:f>
      </x:c>
      <x:c r="BX535" s="66" t="n">
        <x:v>0</x:v>
      </x:c>
      <x:c r="BY535" s="30" t="n">
        <x:v>7619.33</x:v>
      </x:c>
      <x:c r="BZ535" s="41" t="n">
        <x:v>2720</x:v>
      </x:c>
      <x:c r="CA535" s="30" t="n">
        <x:v>7619.3300000000000000000000000</x:v>
      </x:c>
      <x:c r="CC535" s="30" t="n">
        <x:v>8298.697398689100000000000000</x:v>
      </x:c>
      <x:c r="CD535" s="30" t="n">
        <x:v>-7979.9021</x:v>
      </x:c>
      <x:c r="CE535" s="30" t="str">
        <x:f>=CC535+CD535</x:f>
      </x:c>
      <x:c r="CF535" s="66" t="str">
        <x:f>=CE535/CC535</x:f>
      </x:c>
      <x:c r="CH535" s="66" t="str">
        <x:f>=CI535+CJ535</x:f>
      </x:c>
      <x:c r="CI535" s="66" t="str">
        <x:f>=BX535+(0.03*7)</x:f>
      </x:c>
      <x:c r="CJ535" s="66" t="str">
        <x:f>=(1-CI535)*0.5</x:f>
      </x:c>
      <x:c r="CK535" s="66" t="str">
        <x:f>=1-CH535</x:f>
      </x:c>
      <x:c r="CM535" s="66" t="str">
        <x:f>=CJ535/(1-CI535)</x:f>
      </x:c>
    </x:row>
    <x:row r="536">
      <x:c r="A536" s="31" t="s">
        <x:v>925</x:v>
      </x:c>
      <x:c r="B536" t="s">
        <x:v>116</x:v>
      </x:c>
      <x:c r="C536" t="s">
        <x:v>926</x:v>
      </x:c>
      <x:c r="D536" t="s">
        <x:v>118</x:v>
      </x:c>
      <x:c r="E536" s="69" t="s">
        <x:v>153</x:v>
      </x:c>
      <x:c r="F536" t="n">
        <x:v>2388</x:v>
      </x:c>
      <x:c r="BI536" s="33" t="s"/>
      <x:c r="BJ536" s="11" t="s">
        <x:v>820</x:v>
      </x:c>
      <x:c r="BK536" s="12" t="str">
        <x:f>=BX536</x:f>
      </x:c>
      <x:c r="BL536" s="12" t="n">
        <x:v>0</x:v>
      </x:c>
      <x:c r="BM536" s="12" t="n">
        <x:v>0</x:v>
      </x:c>
      <x:c r="BN536" s="12" t="n">
        <x:v>1</x:v>
      </x:c>
      <x:c r="BO536" s="12" t="str">
        <x:f>=BW536</x:f>
      </x:c>
      <x:c r="BP536" s="12" t="str">
        <x:f>=CF536</x:f>
      </x:c>
      <x:c r="BQ536" s="12" t="str"/>
      <x:c r="BR536" s="12" t="str">
        <x:v>SS 2021 EOS</x:v>
      </x:c>
      <x:c r="BS536" s="13" t="str"/>
      <x:c r="BT536" s="30" t="n">
        <x:v>0</x:v>
      </x:c>
      <x:c r="BU536" s="30" t="n">
        <x:v>-7169.2098</x:v>
      </x:c>
      <x:c r="BV536" s="30" t="str">
        <x:f>=BT536+BU536</x:f>
      </x:c>
      <x:c r="BW536" s="66" t="str">
        <x:f>=BV536/BT536</x:f>
      </x:c>
      <x:c r="BX536" s="66" t="n">
        <x:v>0</x:v>
      </x:c>
      <x:c r="BY536" s="30" t="n">
        <x:v>6857.70</x:v>
      </x:c>
      <x:c r="BZ536" s="41" t="n">
        <x:v>2388</x:v>
      </x:c>
      <x:c r="CA536" s="30" t="n">
        <x:v>6857.7000000000000000000000000</x:v>
      </x:c>
      <x:c r="CC536" s="30" t="n">
        <x:v>5465.8320658266000000000000000</x:v>
      </x:c>
      <x:c r="CD536" s="30" t="n">
        <x:v>-7169.2098</x:v>
      </x:c>
      <x:c r="CE536" s="30" t="str">
        <x:f>=CC536+CD536</x:f>
      </x:c>
      <x:c r="CF536" s="66" t="str">
        <x:f>=CE536/CC536</x:f>
      </x:c>
      <x:c r="CH536" s="66" t="str">
        <x:f>=CI536+CJ536</x:f>
      </x:c>
      <x:c r="CI536" s="66" t="str">
        <x:f>=BX536+(0.03*7)</x:f>
      </x:c>
      <x:c r="CJ536" s="66" t="str">
        <x:f>=(1-CI536)*0.5</x:f>
      </x:c>
      <x:c r="CK536" s="66" t="str">
        <x:f>=1-CH536</x:f>
      </x:c>
      <x:c r="CM536" s="66" t="str">
        <x:f>=CJ536/(1-CI536)</x:f>
      </x:c>
    </x:row>
    <x:row r="537">
      <x:c r="A537" s="31" t="s">
        <x:v>927</x:v>
      </x:c>
      <x:c r="B537" t="s">
        <x:v>116</x:v>
      </x:c>
      <x:c r="C537" t="s">
        <x:v>928</x:v>
      </x:c>
      <x:c r="D537" t="s">
        <x:v>118</x:v>
      </x:c>
      <x:c r="E537" s="69" t="s">
        <x:v>153</x:v>
      </x:c>
      <x:c r="F537" t="n">
        <x:v>2960</x:v>
      </x:c>
      <x:c r="BI537" s="33" t="s"/>
      <x:c r="BJ537" s="11" t="s">
        <x:v>820</x:v>
      </x:c>
      <x:c r="BK537" s="12" t="str">
        <x:f>=BX537</x:f>
      </x:c>
      <x:c r="BL537" s="12" t="n">
        <x:v>0</x:v>
      </x:c>
      <x:c r="BM537" s="12" t="n">
        <x:v>0</x:v>
      </x:c>
      <x:c r="BN537" s="12" t="n">
        <x:v>1</x:v>
      </x:c>
      <x:c r="BO537" s="12" t="str">
        <x:f>=BW537</x:f>
      </x:c>
      <x:c r="BP537" s="12" t="str">
        <x:f>=CF537</x:f>
      </x:c>
      <x:c r="BQ537" s="12" t="str"/>
      <x:c r="BR537" s="12" t="str">
        <x:v>SS 2021 MSS</x:v>
      </x:c>
      <x:c r="BS537" s="13" t="str"/>
      <x:c r="BT537" s="30" t="n">
        <x:v>0</x:v>
      </x:c>
      <x:c r="BU537" s="30" t="n">
        <x:v>-14736.9432</x:v>
      </x:c>
      <x:c r="BV537" s="30" t="str">
        <x:f>=BT537+BU537</x:f>
      </x:c>
      <x:c r="BW537" s="66" t="str">
        <x:f>=BV537/BT537</x:f>
      </x:c>
      <x:c r="BX537" s="66" t="n">
        <x:v>0</x:v>
      </x:c>
      <x:c r="BY537" s="30" t="n">
        <x:v>14531.76</x:v>
      </x:c>
      <x:c r="BZ537" s="41" t="n">
        <x:v>2960</x:v>
      </x:c>
      <x:c r="CA537" s="30" t="n">
        <x:v>14531.760000000000000000000000</x:v>
      </x:c>
      <x:c r="CC537" s="30" t="n">
        <x:v>14541.460941446400000000000000</x:v>
      </x:c>
      <x:c r="CD537" s="30" t="n">
        <x:v>-14736.9432</x:v>
      </x:c>
      <x:c r="CE537" s="30" t="str">
        <x:f>=CC537+CD537</x:f>
      </x:c>
      <x:c r="CF537" s="66" t="str">
        <x:f>=CE537/CC537</x:f>
      </x:c>
      <x:c r="CH537" s="66" t="str">
        <x:f>=CI537+CJ537</x:f>
      </x:c>
      <x:c r="CI537" s="66" t="str">
        <x:f>=BX537+(0.03*7)</x:f>
      </x:c>
      <x:c r="CJ537" s="66" t="str">
        <x:f>=(1-CI537)*0.5</x:f>
      </x:c>
      <x:c r="CK537" s="66" t="str">
        <x:f>=1-CH537</x:f>
      </x:c>
      <x:c r="CM537" s="66" t="str">
        <x:f>=CJ537/(1-CI537)</x:f>
      </x:c>
    </x:row>
    <x:row r="538">
      <x:c r="A538" s="31" t="s">
        <x:v>929</x:v>
      </x:c>
      <x:c r="B538" t="s">
        <x:v>116</x:v>
      </x:c>
      <x:c r="C538" t="s">
        <x:v>930</x:v>
      </x:c>
      <x:c r="D538" t="s">
        <x:v>118</x:v>
      </x:c>
      <x:c r="E538" s="69" t="s">
        <x:v>153</x:v>
      </x:c>
      <x:c r="F538" t="n">
        <x:v>2664</x:v>
      </x:c>
      <x:c r="BI538" s="33" t="s"/>
      <x:c r="BJ538" s="11" t="s">
        <x:v>820</x:v>
      </x:c>
      <x:c r="BK538" s="12" t="str">
        <x:f>=BX538</x:f>
      </x:c>
      <x:c r="BL538" s="12" t="n">
        <x:v>0</x:v>
      </x:c>
      <x:c r="BM538" s="12" t="n">
        <x:v>0</x:v>
      </x:c>
      <x:c r="BN538" s="12" t="n">
        <x:v>1</x:v>
      </x:c>
      <x:c r="BO538" s="12" t="str">
        <x:f>=BW538</x:f>
      </x:c>
      <x:c r="BP538" s="12" t="str">
        <x:f>=CF538</x:f>
      </x:c>
      <x:c r="BQ538" s="12" t="str"/>
      <x:c r="BR538" s="12" t="str">
        <x:v>SS 2021 EOS</x:v>
      </x:c>
      <x:c r="BS538" s="13" t="str"/>
      <x:c r="BT538" s="30" t="n">
        <x:v>0</x:v>
      </x:c>
      <x:c r="BU538" s="30" t="n">
        <x:v>-7637.7009</x:v>
      </x:c>
      <x:c r="BV538" s="30" t="str">
        <x:f>=BT538+BU538</x:f>
      </x:c>
      <x:c r="BW538" s="66" t="str">
        <x:f>=BV538/BT538</x:f>
      </x:c>
      <x:c r="BX538" s="66" t="n">
        <x:v>0</x:v>
      </x:c>
      <x:c r="BY538" s="30" t="n">
        <x:v>7279.05</x:v>
      </x:c>
      <x:c r="BZ538" s="41" t="n">
        <x:v>2664</x:v>
      </x:c>
      <x:c r="CA538" s="30" t="n">
        <x:v>7279.0499999999999999999999999</x:v>
      </x:c>
      <x:c r="CC538" s="30" t="n">
        <x:v>6875.2915252846500000000000005</x:v>
      </x:c>
      <x:c r="CD538" s="30" t="n">
        <x:v>-7637.7009</x:v>
      </x:c>
      <x:c r="CE538" s="30" t="str">
        <x:f>=CC538+CD538</x:f>
      </x:c>
      <x:c r="CF538" s="66" t="str">
        <x:f>=CE538/CC538</x:f>
      </x:c>
      <x:c r="CH538" s="66" t="str">
        <x:f>=CI538+CJ538</x:f>
      </x:c>
      <x:c r="CI538" s="66" t="str">
        <x:f>=BX538+(0.03*7)</x:f>
      </x:c>
      <x:c r="CJ538" s="66" t="str">
        <x:f>=(1-CI538)*0.5</x:f>
      </x:c>
      <x:c r="CK538" s="66" t="str">
        <x:f>=1-CH538</x:f>
      </x:c>
      <x:c r="CM538" s="66" t="str">
        <x:f>=CJ538/(1-CI538)</x:f>
      </x:c>
    </x:row>
    <x:row r="539">
      <x:c r="A539" s="31" t="s">
        <x:v>931</x:v>
      </x:c>
      <x:c r="B539" t="s"/>
      <x:c r="C539" t="s">
        <x:v>932</x:v>
      </x:c>
      <x:c r="D539" t="s">
        <x:v>118</x:v>
      </x:c>
      <x:c r="E539" s="69" t="s">
        <x:v>153</x:v>
      </x:c>
      <x:c r="F539" t="n">
        <x:v>2833</x:v>
      </x:c>
      <x:c r="BI539" s="33" t="s"/>
      <x:c r="BJ539" s="11" t="s">
        <x:v>820</x:v>
      </x:c>
      <x:c r="BK539" s="12" t="str">
        <x:f>=BX539</x:f>
      </x:c>
      <x:c r="BL539" s="12" t="n">
        <x:v>0</x:v>
      </x:c>
      <x:c r="BM539" s="12" t="n">
        <x:v>0</x:v>
      </x:c>
      <x:c r="BN539" s="12" t="n">
        <x:v>1</x:v>
      </x:c>
      <x:c r="BO539" s="12" t="str">
        <x:f>=BW539</x:f>
      </x:c>
      <x:c r="BP539" s="12" t="str">
        <x:f>=CF539</x:f>
      </x:c>
      <x:c r="BQ539" s="12" t="str"/>
      <x:c r="BR539" s="12" t="str">
        <x:v>AW 2021 EOS</x:v>
      </x:c>
      <x:c r="BS539" s="13" t="str"/>
      <x:c r="BT539" s="30" t="n">
        <x:v>0</x:v>
      </x:c>
      <x:c r="BU539" s="30" t="n">
        <x:v>-9271.7993</x:v>
      </x:c>
      <x:c r="BV539" s="30" t="str">
        <x:f>=BT539+BU539</x:f>
      </x:c>
      <x:c r="BW539" s="66" t="str">
        <x:f>=BV539/BT539</x:f>
      </x:c>
      <x:c r="BX539" s="66" t="n">
        <x:v>0</x:v>
      </x:c>
      <x:c r="BY539" s="30" t="n">
        <x:v>8925.95</x:v>
      </x:c>
      <x:c r="BZ539" s="41" t="n">
        <x:v>2833</x:v>
      </x:c>
      <x:c r="CA539" s="30" t="n">
        <x:v>8925.950000000000000000000000</x:v>
      </x:c>
      <x:c r="CC539" s="30" t="n">
        <x:v>6731.1785811718500000000000000</x:v>
      </x:c>
      <x:c r="CD539" s="30" t="n">
        <x:v>-9271.7993</x:v>
      </x:c>
      <x:c r="CE539" s="30" t="str">
        <x:f>=CC539+CD539</x:f>
      </x:c>
      <x:c r="CF539" s="66" t="str">
        <x:f>=CE539/CC539</x:f>
      </x:c>
      <x:c r="CH539" s="66" t="str">
        <x:f>=CI539+CJ539</x:f>
      </x:c>
      <x:c r="CI539" s="66" t="str">
        <x:f>=BX539+(0.03*7)</x:f>
      </x:c>
      <x:c r="CJ539" s="66" t="str">
        <x:f>=(1-CI539)*0.5</x:f>
      </x:c>
      <x:c r="CK539" s="66" t="str">
        <x:f>=1-CH539</x:f>
      </x:c>
      <x:c r="CM539" s="66" t="str">
        <x:f>=CJ539/(1-CI539)</x:f>
      </x:c>
    </x:row>
    <x:row r="540">
      <x:c r="A540" s="31" t="s">
        <x:v>933</x:v>
      </x:c>
      <x:c r="B540" t="s"/>
      <x:c r="C540" t="s">
        <x:v>934</x:v>
      </x:c>
      <x:c r="D540" t="s">
        <x:v>118</x:v>
      </x:c>
      <x:c r="E540" s="69" t="s">
        <x:v>153</x:v>
      </x:c>
      <x:c r="F540" t="n">
        <x:v>3154</x:v>
      </x:c>
      <x:c r="BI540" s="33" t="s"/>
      <x:c r="BJ540" s="11" t="s">
        <x:v>820</x:v>
      </x:c>
      <x:c r="BK540" s="12" t="str">
        <x:f>=BX540</x:f>
      </x:c>
      <x:c r="BL540" s="12" t="n">
        <x:v>0</x:v>
      </x:c>
      <x:c r="BM540" s="12" t="n">
        <x:v>0</x:v>
      </x:c>
      <x:c r="BN540" s="12" t="n">
        <x:v>1</x:v>
      </x:c>
      <x:c r="BO540" s="12" t="str">
        <x:f>=BW540</x:f>
      </x:c>
      <x:c r="BP540" s="12" t="str">
        <x:f>=CF540</x:f>
      </x:c>
      <x:c r="BQ540" s="12" t="str"/>
      <x:c r="BR540" s="12" t="str">
        <x:v>SS 2021 EOS</x:v>
      </x:c>
      <x:c r="BS540" s="13" t="str"/>
      <x:c r="BT540" s="30" t="n">
        <x:v>0</x:v>
      </x:c>
      <x:c r="BU540" s="30" t="n">
        <x:v>-8752.0044</x:v>
      </x:c>
      <x:c r="BV540" s="30" t="str">
        <x:f>=BT540+BU540</x:f>
      </x:c>
      <x:c r="BW540" s="66" t="str">
        <x:f>=BV540/BT540</x:f>
      </x:c>
      <x:c r="BX540" s="66" t="n">
        <x:v>0</x:v>
      </x:c>
      <x:c r="BY540" s="30" t="n">
        <x:v>8318.40</x:v>
      </x:c>
      <x:c r="BZ540" s="41" t="n">
        <x:v>3154</x:v>
      </x:c>
      <x:c r="CA540" s="30" t="n">
        <x:v>8318.400000000000000000000000</x:v>
      </x:c>
      <x:c r="CC540" s="30" t="n">
        <x:v>6471.1360711296000000000000000</x:v>
      </x:c>
      <x:c r="CD540" s="30" t="n">
        <x:v>-8752.0044</x:v>
      </x:c>
      <x:c r="CE540" s="30" t="str">
        <x:f>=CC540+CD540</x:f>
      </x:c>
      <x:c r="CF540" s="66" t="str">
        <x:f>=CE540/CC540</x:f>
      </x:c>
      <x:c r="CH540" s="66" t="str">
        <x:f>=CI540+CJ540</x:f>
      </x:c>
      <x:c r="CI540" s="66" t="str">
        <x:f>=BX540+(0.03*7)</x:f>
      </x:c>
      <x:c r="CJ540" s="66" t="str">
        <x:f>=(1-CI540)*0.5</x:f>
      </x:c>
      <x:c r="CK540" s="66" t="str">
        <x:f>=1-CH540</x:f>
      </x:c>
      <x:c r="CM540" s="66" t="str">
        <x:f>=CJ540/(1-CI540)</x:f>
      </x:c>
    </x:row>
    <x:row r="541">
      <x:c r="A541" s="31" t="s">
        <x:v>935</x:v>
      </x:c>
      <x:c r="B541" t="s"/>
      <x:c r="C541" t="s">
        <x:v>936</x:v>
      </x:c>
      <x:c r="D541" t="s">
        <x:v>118</x:v>
      </x:c>
      <x:c r="E541" s="69" t="s">
        <x:v>153</x:v>
      </x:c>
      <x:c r="F541" t="n">
        <x:v>2110</x:v>
      </x:c>
      <x:c r="BI541" s="33" t="s"/>
      <x:c r="BJ541" s="11" t="s">
        <x:v>820</x:v>
      </x:c>
      <x:c r="BK541" s="12" t="str">
        <x:f>=BX541</x:f>
      </x:c>
      <x:c r="BL541" s="12" t="n">
        <x:v>0</x:v>
      </x:c>
      <x:c r="BM541" s="12" t="n">
        <x:v>0</x:v>
      </x:c>
      <x:c r="BN541" s="12" t="n">
        <x:v>1</x:v>
      </x:c>
      <x:c r="BO541" s="12" t="str">
        <x:f>=BW541</x:f>
      </x:c>
      <x:c r="BP541" s="12" t="str">
        <x:f>=CF541</x:f>
      </x:c>
      <x:c r="BQ541" s="12" t="str"/>
      <x:c r="BR541" s="12" t="str">
        <x:v>SS 2021 EOS</x:v>
      </x:c>
      <x:c r="BS541" s="13" t="str"/>
      <x:c r="BT541" s="30" t="n">
        <x:v>0</x:v>
      </x:c>
      <x:c r="BU541" s="30" t="n">
        <x:v>-10073.1986</x:v>
      </x:c>
      <x:c r="BV541" s="30" t="str">
        <x:f>=BT541+BU541</x:f>
      </x:c>
      <x:c r="BW541" s="66" t="str">
        <x:f>=BV541/BT541</x:f>
      </x:c>
      <x:c r="BX541" s="66" t="n">
        <x:v>0</x:v>
      </x:c>
      <x:c r="BY541" s="30" t="n">
        <x:v>9913.58</x:v>
      </x:c>
      <x:c r="BZ541" s="41" t="n">
        <x:v>2110</x:v>
      </x:c>
      <x:c r="CA541" s="30" t="n">
        <x:v>9913.580000000000000000000000</x:v>
      </x:c>
      <x:c r="CC541" s="30" t="n">
        <x:v>7773.6730236652500000000000000</x:v>
      </x:c>
      <x:c r="CD541" s="30" t="n">
        <x:v>-10073.1986</x:v>
      </x:c>
      <x:c r="CE541" s="30" t="str">
        <x:f>=CC541+CD541</x:f>
      </x:c>
      <x:c r="CF541" s="66" t="str">
        <x:f>=CE541/CC541</x:f>
      </x:c>
      <x:c r="CH541" s="66" t="str">
        <x:f>=CI541+CJ541</x:f>
      </x:c>
      <x:c r="CI541" s="66" t="str">
        <x:f>=BX541+(0.03*7)</x:f>
      </x:c>
      <x:c r="CJ541" s="66" t="str">
        <x:f>=(1-CI541)*0.5</x:f>
      </x:c>
      <x:c r="CK541" s="66" t="str">
        <x:f>=1-CH541</x:f>
      </x:c>
      <x:c r="CM541" s="66" t="str">
        <x:f>=CJ541/(1-CI541)</x:f>
      </x:c>
    </x:row>
    <x:row r="542">
      <x:c r="A542" s="31" t="s">
        <x:v>937</x:v>
      </x:c>
      <x:c r="B542" t="s"/>
      <x:c r="C542" t="s">
        <x:v>938</x:v>
      </x:c>
      <x:c r="D542" t="s">
        <x:v>130</x:v>
      </x:c>
      <x:c r="E542" s="69" t="s">
        <x:v>153</x:v>
      </x:c>
      <x:c r="F542" t="n">
        <x:v>1066</x:v>
      </x:c>
      <x:c r="BI542" s="33" t="s"/>
      <x:c r="BJ542" s="11" t="s">
        <x:v>820</x:v>
      </x:c>
      <x:c r="BK542" s="12" t="str">
        <x:f>=BX542</x:f>
      </x:c>
      <x:c r="BL542" s="12" t="n">
        <x:v>0</x:v>
      </x:c>
      <x:c r="BM542" s="12" t="n">
        <x:v>0</x:v>
      </x:c>
      <x:c r="BN542" s="12" t="n">
        <x:v>1</x:v>
      </x:c>
      <x:c r="BO542" s="12" t="str">
        <x:f>=BW542</x:f>
      </x:c>
      <x:c r="BP542" s="12" t="str">
        <x:f>=CF542</x:f>
      </x:c>
      <x:c r="BQ542" s="12" t="str"/>
      <x:c r="BR542" s="12" t="str">
        <x:v>SS 2021 EOS</x:v>
      </x:c>
      <x:c r="BS542" s="13" t="str"/>
      <x:c r="BT542" s="30" t="n">
        <x:v>0</x:v>
      </x:c>
      <x:c r="BU542" s="30" t="n">
        <x:v>-3699.2687</x:v>
      </x:c>
      <x:c r="BV542" s="30" t="str">
        <x:f>=BT542+BU542</x:f>
      </x:c>
      <x:c r="BW542" s="66" t="str">
        <x:f>=BV542/BT542</x:f>
      </x:c>
      <x:c r="BX542" s="66" t="n">
        <x:v>0</x:v>
      </x:c>
      <x:c r="BY542" s="30" t="n">
        <x:v>3716.75</x:v>
      </x:c>
      <x:c r="BZ542" s="41" t="n">
        <x:v>1066</x:v>
      </x:c>
      <x:c r="CA542" s="30" t="n">
        <x:v>3716.7500000000000000000000000</x:v>
      </x:c>
      <x:c r="CC542" s="30" t="n">
        <x:v>2797.4181974154000000000000001</x:v>
      </x:c>
      <x:c r="CD542" s="30" t="n">
        <x:v>-3699.2687</x:v>
      </x:c>
      <x:c r="CE542" s="30" t="str">
        <x:f>=CC542+CD542</x:f>
      </x:c>
      <x:c r="CF542" s="66" t="str">
        <x:f>=CE542/CC542</x:f>
      </x:c>
      <x:c r="CH542" s="66" t="str">
        <x:f>=CI542+CJ542</x:f>
      </x:c>
      <x:c r="CI542" s="66" t="str">
        <x:f>=BX542+(0.03*7)</x:f>
      </x:c>
      <x:c r="CJ542" s="66" t="str">
        <x:f>=(1-CI542)*0.5</x:f>
      </x:c>
      <x:c r="CK542" s="66" t="str">
        <x:f>=1-CH542</x:f>
      </x:c>
      <x:c r="CM542" s="66" t="str">
        <x:f>=CJ542/(1-CI542)</x:f>
      </x:c>
    </x:row>
    <x:row r="543">
      <x:c r="A543" s="31" t="s">
        <x:v>939</x:v>
      </x:c>
      <x:c r="B543" t="s">
        <x:v>116</x:v>
      </x:c>
      <x:c r="C543" t="s">
        <x:v>940</x:v>
      </x:c>
      <x:c r="D543" t="s">
        <x:v>147</x:v>
      </x:c>
      <x:c r="E543" s="69" t="s">
        <x:v>153</x:v>
      </x:c>
      <x:c r="F543" t="n">
        <x:v>3117</x:v>
      </x:c>
      <x:c r="BI543" s="33" t="s"/>
      <x:c r="BJ543" s="11" t="s">
        <x:v>820</x:v>
      </x:c>
      <x:c r="BK543" s="12" t="str">
        <x:f>=BX543</x:f>
      </x:c>
      <x:c r="BL543" s="12" t="n">
        <x:v>0</x:v>
      </x:c>
      <x:c r="BM543" s="12" t="n">
        <x:v>0</x:v>
      </x:c>
      <x:c r="BN543" s="12" t="n">
        <x:v>1</x:v>
      </x:c>
      <x:c r="BO543" s="12" t="str">
        <x:f>=BW543</x:f>
      </x:c>
      <x:c r="BP543" s="12" t="str">
        <x:f>=CF543</x:f>
      </x:c>
      <x:c r="BQ543" s="12" t="str"/>
      <x:c r="BR543" s="12" t="str">
        <x:v>AW 2021 EOS</x:v>
      </x:c>
      <x:c r="BS543" s="13" t="str"/>
      <x:c r="BT543" s="30" t="n">
        <x:v>0</x:v>
      </x:c>
      <x:c r="BU543" s="30" t="n">
        <x:v>-20879.6938</x:v>
      </x:c>
      <x:c r="BV543" s="30" t="str">
        <x:f>=BT543+BU543</x:f>
      </x:c>
      <x:c r="BW543" s="66" t="str">
        <x:f>=BV543/BT543</x:f>
      </x:c>
      <x:c r="BX543" s="66" t="n">
        <x:v>0</x:v>
      </x:c>
      <x:c r="BY543" s="30" t="n">
        <x:v>20345.44</x:v>
      </x:c>
      <x:c r="BZ543" s="41" t="n">
        <x:v>3117</x:v>
      </x:c>
      <x:c r="CA543" s="30" t="n">
        <x:v>20345.440000000000000000000000</x:v>
      </x:c>
      <x:c r="CC543" s="30" t="n">
        <x:v>16449.214149197700000000000000</x:v>
      </x:c>
      <x:c r="CD543" s="30" t="n">
        <x:v>-20879.6938</x:v>
      </x:c>
      <x:c r="CE543" s="30" t="str">
        <x:f>=CC543+CD543</x:f>
      </x:c>
      <x:c r="CF543" s="66" t="str">
        <x:f>=CE543/CC543</x:f>
      </x:c>
      <x:c r="CH543" s="66" t="str">
        <x:f>=CI543+CJ543</x:f>
      </x:c>
      <x:c r="CI543" s="66" t="str">
        <x:f>=BX543+(0.03*7)</x:f>
      </x:c>
      <x:c r="CJ543" s="66" t="str">
        <x:f>=(1-CI543)*0.5</x:f>
      </x:c>
      <x:c r="CK543" s="66" t="str">
        <x:f>=1-CH543</x:f>
      </x:c>
      <x:c r="CM543" s="66" t="str">
        <x:f>=CJ543/(1-CI543)</x:f>
      </x:c>
    </x:row>
    <x:row r="544">
      <x:c r="A544" s="31" t="s">
        <x:v>941</x:v>
      </x:c>
      <x:c r="B544" t="s"/>
      <x:c r="C544" t="s">
        <x:v>942</x:v>
      </x:c>
      <x:c r="D544" t="s">
        <x:v>147</x:v>
      </x:c>
      <x:c r="E544" s="69" t="s">
        <x:v>153</x:v>
      </x:c>
      <x:c r="F544" t="n">
        <x:v>908</x:v>
      </x:c>
      <x:c r="BI544" s="33" t="s"/>
      <x:c r="BJ544" s="11" t="s">
        <x:v>820</x:v>
      </x:c>
      <x:c r="BK544" s="12" t="str">
        <x:f>=BX544</x:f>
      </x:c>
      <x:c r="BL544" s="12" t="n">
        <x:v>0</x:v>
      </x:c>
      <x:c r="BM544" s="12" t="n">
        <x:v>0</x:v>
      </x:c>
      <x:c r="BN544" s="12" t="n">
        <x:v>1</x:v>
      </x:c>
      <x:c r="BO544" s="12" t="str">
        <x:f>=BW544</x:f>
      </x:c>
      <x:c r="BP544" s="12" t="str">
        <x:f>=CF544</x:f>
      </x:c>
      <x:c r="BQ544" s="12" t="str"/>
      <x:c r="BR544" s="12" t="str">
        <x:v>SS 2021 MSS</x:v>
      </x:c>
      <x:c r="BS544" s="13" t="str"/>
      <x:c r="BT544" s="30" t="n">
        <x:v>0</x:v>
      </x:c>
      <x:c r="BU544" s="30" t="n">
        <x:v>-1934.3512</x:v>
      </x:c>
      <x:c r="BV544" s="30" t="str">
        <x:f>=BT544+BU544</x:f>
      </x:c>
      <x:c r="BW544" s="66" t="str">
        <x:f>=BV544/BT544</x:f>
      </x:c>
      <x:c r="BX544" s="66" t="n">
        <x:v>0</x:v>
      </x:c>
      <x:c r="BY544" s="30" t="n">
        <x:v>1778.72</x:v>
      </x:c>
      <x:c r="BZ544" s="41" t="n">
        <x:v>908</x:v>
      </x:c>
      <x:c r="CA544" s="30" t="n">
        <x:v>1778.7200000000000000000000000</x:v>
      </x:c>
      <x:c r="CC544" s="30" t="n">
        <x:v>1423.6964236950000000000000000</x:v>
      </x:c>
      <x:c r="CD544" s="30" t="n">
        <x:v>-1934.3512</x:v>
      </x:c>
      <x:c r="CE544" s="30" t="str">
        <x:f>=CC544+CD544</x:f>
      </x:c>
      <x:c r="CF544" s="66" t="str">
        <x:f>=CE544/CC544</x:f>
      </x:c>
      <x:c r="CH544" s="66" t="str">
        <x:f>=CI544+CJ544</x:f>
      </x:c>
      <x:c r="CI544" s="66" t="str">
        <x:f>=BX544+(0.03*7)</x:f>
      </x:c>
      <x:c r="CJ544" s="66" t="str">
        <x:f>=(1-CI544)*0.5</x:f>
      </x:c>
      <x:c r="CK544" s="66" t="str">
        <x:f>=1-CH544</x:f>
      </x:c>
      <x:c r="CM544" s="66" t="str">
        <x:f>=CJ544/(1-CI544)</x:f>
      </x:c>
    </x:row>
    <x:row r="545">
      <x:c r="A545" s="31" t="s">
        <x:v>943</x:v>
      </x:c>
      <x:c r="B545" t="s"/>
      <x:c r="C545" t="s">
        <x:v>944</x:v>
      </x:c>
      <x:c r="D545" t="s">
        <x:v>147</x:v>
      </x:c>
      <x:c r="E545" s="69" t="s">
        <x:v>153</x:v>
      </x:c>
      <x:c r="F545" t="n">
        <x:v>2061</x:v>
      </x:c>
      <x:c r="BI545" s="33" t="s"/>
      <x:c r="BJ545" s="11" t="s">
        <x:v>820</x:v>
      </x:c>
      <x:c r="BK545" s="12" t="str">
        <x:f>=BX545</x:f>
      </x:c>
      <x:c r="BL545" s="12" t="n">
        <x:v>0</x:v>
      </x:c>
      <x:c r="BM545" s="12" t="n">
        <x:v>0</x:v>
      </x:c>
      <x:c r="BN545" s="12" t="n">
        <x:v>1</x:v>
      </x:c>
      <x:c r="BO545" s="12" t="str">
        <x:f>=BW545</x:f>
      </x:c>
      <x:c r="BP545" s="12" t="str">
        <x:f>=CF545</x:f>
      </x:c>
      <x:c r="BQ545" s="12" t="str"/>
      <x:c r="BR545" s="12" t="str">
        <x:v>SS 2021 MSS</x:v>
      </x:c>
      <x:c r="BS545" s="13" t="str"/>
      <x:c r="BT545" s="30" t="n">
        <x:v>0</x:v>
      </x:c>
      <x:c r="BU545" s="30" t="n">
        <x:v>-17541.1854</x:v>
      </x:c>
      <x:c r="BV545" s="30" t="str">
        <x:f>=BT545+BU545</x:f>
      </x:c>
      <x:c r="BW545" s="66" t="str">
        <x:f>=BV545/BT545</x:f>
      </x:c>
      <x:c r="BX545" s="66" t="n">
        <x:v>0</x:v>
      </x:c>
      <x:c r="BY545" s="30" t="n">
        <x:v>17187.93</x:v>
      </x:c>
      <x:c r="BZ545" s="41" t="n">
        <x:v>2061</x:v>
      </x:c>
      <x:c r="CA545" s="30" t="n">
        <x:v>17187.929999999999999999999999</x:v>
      </x:c>
      <x:c r="CC545" s="30" t="n">
        <x:v>13102.655902642800000000000000</x:v>
      </x:c>
      <x:c r="CD545" s="30" t="n">
        <x:v>-17541.1854</x:v>
      </x:c>
      <x:c r="CE545" s="30" t="str">
        <x:f>=CC545+CD545</x:f>
      </x:c>
      <x:c r="CF545" s="66" t="str">
        <x:f>=CE545/CC545</x:f>
      </x:c>
      <x:c r="CH545" s="66" t="str">
        <x:f>=CI545+CJ545</x:f>
      </x:c>
      <x:c r="CI545" s="66" t="str">
        <x:f>=BX545+(0.03*7)</x:f>
      </x:c>
      <x:c r="CJ545" s="66" t="str">
        <x:f>=(1-CI545)*0.5</x:f>
      </x:c>
      <x:c r="CK545" s="66" t="str">
        <x:f>=1-CH545</x:f>
      </x:c>
      <x:c r="CM545" s="66" t="str">
        <x:f>=CJ545/(1-CI545)</x:f>
      </x:c>
    </x:row>
    <x:row r="546">
      <x:c r="A546" s="31" t="s">
        <x:v>945</x:v>
      </x:c>
      <x:c r="B546" t="s"/>
      <x:c r="C546" t="s">
        <x:v>946</x:v>
      </x:c>
      <x:c r="D546" t="s">
        <x:v>147</x:v>
      </x:c>
      <x:c r="E546" s="69" t="s">
        <x:v>153</x:v>
      </x:c>
      <x:c r="F546" t="n">
        <x:v>3025</x:v>
      </x:c>
      <x:c r="BI546" s="33" t="s"/>
      <x:c r="BJ546" s="11" t="s">
        <x:v>820</x:v>
      </x:c>
      <x:c r="BK546" s="12" t="str">
        <x:f>=BX546</x:f>
      </x:c>
      <x:c r="BL546" s="12" t="n">
        <x:v>0</x:v>
      </x:c>
      <x:c r="BM546" s="12" t="n">
        <x:v>0</x:v>
      </x:c>
      <x:c r="BN546" s="12" t="n">
        <x:v>1</x:v>
      </x:c>
      <x:c r="BO546" s="12" t="str">
        <x:f>=BW546</x:f>
      </x:c>
      <x:c r="BP546" s="12" t="str">
        <x:f>=CF546</x:f>
      </x:c>
      <x:c r="BQ546" s="12" t="str"/>
      <x:c r="BR546" s="12" t="str">
        <x:v>SS 2021 MSS</x:v>
      </x:c>
      <x:c r="BS546" s="13" t="str"/>
      <x:c r="BT546" s="30" t="n">
        <x:v>0</x:v>
      </x:c>
      <x:c r="BU546" s="30" t="n">
        <x:v>-10126.1450</x:v>
      </x:c>
      <x:c r="BV546" s="30" t="str">
        <x:f>=BT546+BU546</x:f>
      </x:c>
      <x:c r="BW546" s="66" t="str">
        <x:f>=BV546/BT546</x:f>
      </x:c>
      <x:c r="BX546" s="66" t="n">
        <x:v>0</x:v>
      </x:c>
      <x:c r="BY546" s="30" t="n">
        <x:v>9607.66</x:v>
      </x:c>
      <x:c r="BZ546" s="41" t="n">
        <x:v>3025</x:v>
      </x:c>
      <x:c r="CA546" s="30" t="n">
        <x:v>9607.660000000000000000000000</x:v>
      </x:c>
      <x:c r="CC546" s="30" t="n">
        <x:v>7386.6600366526500000000000002</x:v>
      </x:c>
      <x:c r="CD546" s="30" t="n">
        <x:v>-10126.1450</x:v>
      </x:c>
      <x:c r="CE546" s="30" t="str">
        <x:f>=CC546+CD546</x:f>
      </x:c>
      <x:c r="CF546" s="66" t="str">
        <x:f>=CE546/CC546</x:f>
      </x:c>
      <x:c r="CH546" s="66" t="str">
        <x:f>=CI546+CJ546</x:f>
      </x:c>
      <x:c r="CI546" s="66" t="str">
        <x:f>=BX546+(0.03*7)</x:f>
      </x:c>
      <x:c r="CJ546" s="66" t="str">
        <x:f>=(1-CI546)*0.5</x:f>
      </x:c>
      <x:c r="CK546" s="66" t="str">
        <x:f>=1-CH546</x:f>
      </x:c>
      <x:c r="CM546" s="66" t="str">
        <x:f>=CJ546/(1-CI546)</x:f>
      </x:c>
    </x:row>
    <x:row r="547">
      <x:c r="A547" s="31" t="s">
        <x:v>947</x:v>
      </x:c>
      <x:c r="B547" t="s">
        <x:v>116</x:v>
      </x:c>
      <x:c r="C547" t="s">
        <x:v>948</x:v>
      </x:c>
      <x:c r="D547" t="s">
        <x:v>147</x:v>
      </x:c>
      <x:c r="E547" s="69" t="s">
        <x:v>153</x:v>
      </x:c>
      <x:c r="F547" t="n">
        <x:v>2160</x:v>
      </x:c>
      <x:c r="BI547" s="33" t="s"/>
      <x:c r="BJ547" s="11" t="s">
        <x:v>820</x:v>
      </x:c>
      <x:c r="BK547" s="12" t="str">
        <x:f>=BX547</x:f>
      </x:c>
      <x:c r="BL547" s="12" t="n">
        <x:v>0</x:v>
      </x:c>
      <x:c r="BM547" s="12" t="n">
        <x:v>0</x:v>
      </x:c>
      <x:c r="BN547" s="12" t="n">
        <x:v>1</x:v>
      </x:c>
      <x:c r="BO547" s="12" t="str">
        <x:f>=BW547</x:f>
      </x:c>
      <x:c r="BP547" s="12" t="str">
        <x:f>=CF547</x:f>
      </x:c>
      <x:c r="BQ547" s="12" t="str"/>
      <x:c r="BR547" s="12" t="str">
        <x:v>SS 2021 MSS</x:v>
      </x:c>
      <x:c r="BS547" s="13" t="str"/>
      <x:c r="BT547" s="30" t="n">
        <x:v>0</x:v>
      </x:c>
      <x:c r="BU547" s="30" t="n">
        <x:v>-15208.20080</x:v>
      </x:c>
      <x:c r="BV547" s="30" t="str">
        <x:f>=BT547+BU547</x:f>
      </x:c>
      <x:c r="BW547" s="66" t="str">
        <x:f>=BV547/BT547</x:f>
      </x:c>
      <x:c r="BX547" s="66" t="n">
        <x:v>0</x:v>
      </x:c>
      <x:c r="BY547" s="30" t="n">
        <x:v>13538.30</x:v>
      </x:c>
      <x:c r="BZ547" s="41" t="n">
        <x:v>2160</x:v>
      </x:c>
      <x:c r="CA547" s="30" t="n">
        <x:v>13538.300000000000000000000000</x:v>
      </x:c>
      <x:c r="CC547" s="30" t="n">
        <x:v>8353.320853312500000000000000</x:v>
      </x:c>
      <x:c r="CD547" s="30" t="n">
        <x:v>-15208.20080</x:v>
      </x:c>
      <x:c r="CE547" s="30" t="str">
        <x:f>=CC547+CD547</x:f>
      </x:c>
      <x:c r="CF547" s="66" t="str">
        <x:f>=CE547/CC547</x:f>
      </x:c>
      <x:c r="CH547" s="66" t="str">
        <x:f>=CI547+CJ547</x:f>
      </x:c>
      <x:c r="CI547" s="66" t="str">
        <x:f>=BX547+(0.03*7)</x:f>
      </x:c>
      <x:c r="CJ547" s="66" t="str">
        <x:f>=(1-CI547)*0.5</x:f>
      </x:c>
      <x:c r="CK547" s="66" t="str">
        <x:f>=1-CH547</x:f>
      </x:c>
      <x:c r="CM547" s="66" t="str">
        <x:f>=CJ547/(1-CI547)</x:f>
      </x:c>
    </x:row>
    <x:row r="548">
      <x:c r="A548" s="31" t="s">
        <x:v>949</x:v>
      </x:c>
      <x:c r="B548" t="s">
        <x:v>116</x:v>
      </x:c>
      <x:c r="C548" t="s">
        <x:v>950</x:v>
      </x:c>
      <x:c r="D548" t="s">
        <x:v>147</x:v>
      </x:c>
      <x:c r="E548" s="69" t="s">
        <x:v>153</x:v>
      </x:c>
      <x:c r="F548" t="n">
        <x:v>3095</x:v>
      </x:c>
      <x:c r="BI548" s="33" t="s"/>
      <x:c r="BJ548" s="11" t="s">
        <x:v>820</x:v>
      </x:c>
      <x:c r="BK548" s="12" t="str">
        <x:f>=BX548</x:f>
      </x:c>
      <x:c r="BL548" s="12" t="n">
        <x:v>0</x:v>
      </x:c>
      <x:c r="BM548" s="12" t="n">
        <x:v>0</x:v>
      </x:c>
      <x:c r="BN548" s="12" t="n">
        <x:v>1</x:v>
      </x:c>
      <x:c r="BO548" s="12" t="str">
        <x:f>=BW548</x:f>
      </x:c>
      <x:c r="BP548" s="12" t="str">
        <x:f>=CF548</x:f>
      </x:c>
      <x:c r="BQ548" s="12" t="str"/>
      <x:c r="BR548" s="12" t="str">
        <x:v>AW 2021 EOS</x:v>
      </x:c>
      <x:c r="BS548" s="13" t="str"/>
      <x:c r="BT548" s="30" t="n">
        <x:v>0</x:v>
      </x:c>
      <x:c r="BU548" s="30" t="n">
        <x:v>-15634.5830</x:v>
      </x:c>
      <x:c r="BV548" s="30" t="str">
        <x:f>=BT548+BU548</x:f>
      </x:c>
      <x:c r="BW548" s="66" t="str">
        <x:f>=BV548/BT548</x:f>
      </x:c>
      <x:c r="BX548" s="66" t="n">
        <x:v>0</x:v>
      </x:c>
      <x:c r="BY548" s="30" t="n">
        <x:v>15104.10</x:v>
      </x:c>
      <x:c r="BZ548" s="41" t="n">
        <x:v>3095</x:v>
      </x:c>
      <x:c r="CA548" s="30" t="n">
        <x:v>15104.100000000000000000000000</x:v>
      </x:c>
      <x:c r="CC548" s="30" t="n">
        <x:v>12923.095823082900000000000000</x:v>
      </x:c>
      <x:c r="CD548" s="30" t="n">
        <x:v>-15634.5830</x:v>
      </x:c>
      <x:c r="CE548" s="30" t="str">
        <x:f>=CC548+CD548</x:f>
      </x:c>
      <x:c r="CF548" s="66" t="str">
        <x:f>=CE548/CC548</x:f>
      </x:c>
      <x:c r="CH548" s="66" t="str">
        <x:f>=CI548+CJ548</x:f>
      </x:c>
      <x:c r="CI548" s="66" t="str">
        <x:f>=BX548+(0.03*7)</x:f>
      </x:c>
      <x:c r="CJ548" s="66" t="str">
        <x:f>=(1-CI548)*0.5</x:f>
      </x:c>
      <x:c r="CK548" s="66" t="str">
        <x:f>=1-CH548</x:f>
      </x:c>
      <x:c r="CM548" s="66" t="str">
        <x:f>=CJ548/(1-CI548)</x:f>
      </x:c>
    </x:row>
    <x:row r="549">
      <x:c r="A549" s="31" t="s">
        <x:v>951</x:v>
      </x:c>
      <x:c r="B549" t="s">
        <x:v>116</x:v>
      </x:c>
      <x:c r="C549" t="s">
        <x:v>952</x:v>
      </x:c>
      <x:c r="D549" t="s">
        <x:v>147</x:v>
      </x:c>
      <x:c r="E549" s="69" t="s">
        <x:v>153</x:v>
      </x:c>
      <x:c r="F549" t="n">
        <x:v>3136</x:v>
      </x:c>
      <x:c r="BI549" s="33" t="s"/>
      <x:c r="BJ549" s="11" t="s">
        <x:v>820</x:v>
      </x:c>
      <x:c r="BK549" s="12" t="str">
        <x:f>=BX549</x:f>
      </x:c>
      <x:c r="BL549" s="12" t="n">
        <x:v>0</x:v>
      </x:c>
      <x:c r="BM549" s="12" t="n">
        <x:v>0</x:v>
      </x:c>
      <x:c r="BN549" s="12" t="n">
        <x:v>1</x:v>
      </x:c>
      <x:c r="BO549" s="12" t="str">
        <x:f>=BW549</x:f>
      </x:c>
      <x:c r="BP549" s="12" t="str">
        <x:f>=CF549</x:f>
      </x:c>
      <x:c r="BQ549" s="12" t="str"/>
      <x:c r="BR549" s="12" t="str">
        <x:v>SS 2021 MSS</x:v>
      </x:c>
      <x:c r="BS549" s="13" t="str"/>
      <x:c r="BT549" s="30" t="n">
        <x:v>0</x:v>
      </x:c>
      <x:c r="BU549" s="30" t="n">
        <x:v>-13053.7104</x:v>
      </x:c>
      <x:c r="BV549" s="30" t="str">
        <x:f>=BT549+BU549</x:f>
      </x:c>
      <x:c r="BW549" s="66" t="str">
        <x:f>=BV549/BT549</x:f>
      </x:c>
      <x:c r="BX549" s="66" t="n">
        <x:v>0</x:v>
      </x:c>
      <x:c r="BY549" s="30" t="n">
        <x:v>12516.20</x:v>
      </x:c>
      <x:c r="BZ549" s="41" t="n">
        <x:v>3136</x:v>
      </x:c>
      <x:c r="CA549" s="30" t="n">
        <x:v>12516.200000000000000000000000</x:v>
      </x:c>
      <x:c r="CC549" s="30" t="n">
        <x:v>9284.534534525250000000000000</x:v>
      </x:c>
      <x:c r="CD549" s="30" t="n">
        <x:v>-13053.7104</x:v>
      </x:c>
      <x:c r="CE549" s="30" t="str">
        <x:f>=CC549+CD549</x:f>
      </x:c>
      <x:c r="CF549" s="66" t="str">
        <x:f>=CE549/CC549</x:f>
      </x:c>
      <x:c r="CH549" s="66" t="str">
        <x:f>=CI549+CJ549</x:f>
      </x:c>
      <x:c r="CI549" s="66" t="str">
        <x:f>=BX549+(0.03*7)</x:f>
      </x:c>
      <x:c r="CJ549" s="66" t="str">
        <x:f>=(1-CI549)*0.5</x:f>
      </x:c>
      <x:c r="CK549" s="66" t="str">
        <x:f>=1-CH549</x:f>
      </x:c>
      <x:c r="CM549" s="66" t="str">
        <x:f>=CJ549/(1-CI549)</x:f>
      </x:c>
    </x:row>
    <x:row r="550">
      <x:c r="A550" s="31" t="s">
        <x:v>953</x:v>
      </x:c>
      <x:c r="B550" t="s">
        <x:v>116</x:v>
      </x:c>
      <x:c r="C550" t="s">
        <x:v>954</x:v>
      </x:c>
      <x:c r="D550" t="s">
        <x:v>147</x:v>
      </x:c>
      <x:c r="E550" s="69" t="s">
        <x:v>153</x:v>
      </x:c>
      <x:c r="F550" t="n">
        <x:v>2949</x:v>
      </x:c>
      <x:c r="BI550" s="33" t="s"/>
      <x:c r="BJ550" s="11" t="s">
        <x:v>820</x:v>
      </x:c>
      <x:c r="BK550" s="12" t="str">
        <x:f>=BX550</x:f>
      </x:c>
      <x:c r="BL550" s="12" t="n">
        <x:v>0</x:v>
      </x:c>
      <x:c r="BM550" s="12" t="n">
        <x:v>0</x:v>
      </x:c>
      <x:c r="BN550" s="12" t="n">
        <x:v>1</x:v>
      </x:c>
      <x:c r="BO550" s="12" t="str">
        <x:f>=BW550</x:f>
      </x:c>
      <x:c r="BP550" s="12" t="str">
        <x:f>=CF550</x:f>
      </x:c>
      <x:c r="BQ550" s="12" t="str"/>
      <x:c r="BR550" s="12" t="str">
        <x:v>SS 2021 MSS</x:v>
      </x:c>
      <x:c r="BS550" s="13" t="str"/>
      <x:c r="BT550" s="30" t="n">
        <x:v>0</x:v>
      </x:c>
      <x:c r="BU550" s="30" t="n">
        <x:v>-12019.8686</x:v>
      </x:c>
      <x:c r="BV550" s="30" t="str">
        <x:f>=BT550+BU550</x:f>
      </x:c>
      <x:c r="BW550" s="66" t="str">
        <x:f>=BV550/BT550</x:f>
      </x:c>
      <x:c r="BX550" s="66" t="n">
        <x:v>0</x:v>
      </x:c>
      <x:c r="BY550" s="30" t="n">
        <x:v>11514.41</x:v>
      </x:c>
      <x:c r="BZ550" s="41" t="n">
        <x:v>2949</x:v>
      </x:c>
      <x:c r="CA550" s="30" t="n">
        <x:v>11514.410000000000000000000000</x:v>
      </x:c>
      <x:c r="CC550" s="30" t="n">
        <x:v>8726.096876088150000000000001</x:v>
      </x:c>
      <x:c r="CD550" s="30" t="n">
        <x:v>-12019.8686</x:v>
      </x:c>
      <x:c r="CE550" s="30" t="str">
        <x:f>=CC550+CD550</x:f>
      </x:c>
      <x:c r="CF550" s="66" t="str">
        <x:f>=CE550/CC550</x:f>
      </x:c>
      <x:c r="CH550" s="66" t="str">
        <x:f>=CI550+CJ550</x:f>
      </x:c>
      <x:c r="CI550" s="66" t="str">
        <x:f>=BX550+(0.03*7)</x:f>
      </x:c>
      <x:c r="CJ550" s="66" t="str">
        <x:f>=(1-CI550)*0.5</x:f>
      </x:c>
      <x:c r="CK550" s="66" t="str">
        <x:f>=1-CH550</x:f>
      </x:c>
      <x:c r="CM550" s="66" t="str">
        <x:f>=CJ550/(1-CI550)</x:f>
      </x:c>
    </x:row>
    <x:row r="551">
      <x:c r="A551" s="31" t="s">
        <x:v>955</x:v>
      </x:c>
      <x:c r="B551" t="s">
        <x:v>116</x:v>
      </x:c>
      <x:c r="C551" t="s">
        <x:v>956</x:v>
      </x:c>
      <x:c r="D551" t="s">
        <x:v>147</x:v>
      </x:c>
      <x:c r="E551" s="69" t="s">
        <x:v>153</x:v>
      </x:c>
      <x:c r="F551" t="n">
        <x:v>5494</x:v>
      </x:c>
      <x:c r="BI551" s="33" t="s"/>
      <x:c r="BJ551" s="11" t="s">
        <x:v>820</x:v>
      </x:c>
      <x:c r="BK551" s="12" t="str">
        <x:f>=BX551</x:f>
      </x:c>
      <x:c r="BL551" s="12" t="n">
        <x:v>0</x:v>
      </x:c>
      <x:c r="BM551" s="12" t="n">
        <x:v>0</x:v>
      </x:c>
      <x:c r="BN551" s="12" t="n">
        <x:v>1</x:v>
      </x:c>
      <x:c r="BO551" s="12" t="str">
        <x:f>=BW551</x:f>
      </x:c>
      <x:c r="BP551" s="12" t="str">
        <x:f>=CF551</x:f>
      </x:c>
      <x:c r="BQ551" s="12" t="str"/>
      <x:c r="BR551" s="12" t="str">
        <x:v>SS 2021 MSS</x:v>
      </x:c>
      <x:c r="BS551" s="13" t="str"/>
      <x:c r="BT551" s="30" t="n">
        <x:v>0</x:v>
      </x:c>
      <x:c r="BU551" s="30" t="n">
        <x:v>-20797.0416</x:v>
      </x:c>
      <x:c r="BV551" s="30" t="str">
        <x:f>=BT551+BU551</x:f>
      </x:c>
      <x:c r="BW551" s="66" t="str">
        <x:f>=BV551/BT551</x:f>
      </x:c>
      <x:c r="BX551" s="66" t="n">
        <x:v>0</x:v>
      </x:c>
      <x:c r="BY551" s="30" t="n">
        <x:v>19855.37</x:v>
      </x:c>
      <x:c r="BZ551" s="41" t="n">
        <x:v>5494</x:v>
      </x:c>
      <x:c r="CA551" s="30" t="n">
        <x:v>19855.370000000000000000000000</x:v>
      </x:c>
      <x:c r="CC551" s="30" t="n">
        <x:v>15777.752427736650000000000000</x:v>
      </x:c>
      <x:c r="CD551" s="30" t="n">
        <x:v>-20797.0416</x:v>
      </x:c>
      <x:c r="CE551" s="30" t="str">
        <x:f>=CC551+CD551</x:f>
      </x:c>
      <x:c r="CF551" s="66" t="str">
        <x:f>=CE551/CC551</x:f>
      </x:c>
      <x:c r="CH551" s="66" t="str">
        <x:f>=CI551+CJ551</x:f>
      </x:c>
      <x:c r="CI551" s="66" t="str">
        <x:f>=BX551+(0.03*7)</x:f>
      </x:c>
      <x:c r="CJ551" s="66" t="str">
        <x:f>=(1-CI551)*0.5</x:f>
      </x:c>
      <x:c r="CK551" s="66" t="str">
        <x:f>=1-CH551</x:f>
      </x:c>
      <x:c r="CM551" s="66" t="str">
        <x:f>=CJ551/(1-CI551)</x:f>
      </x:c>
    </x:row>
    <x:row r="552">
      <x:c r="A552" s="31" t="s">
        <x:v>957</x:v>
      </x:c>
      <x:c r="B552" t="s"/>
      <x:c r="C552" t="s">
        <x:v>958</x:v>
      </x:c>
      <x:c r="D552" t="s">
        <x:v>147</x:v>
      </x:c>
      <x:c r="E552" s="69" t="s">
        <x:v>153</x:v>
      </x:c>
      <x:c r="F552" t="n">
        <x:v>2963</x:v>
      </x:c>
      <x:c r="BI552" s="33" t="s"/>
      <x:c r="BJ552" s="11" t="s">
        <x:v>820</x:v>
      </x:c>
      <x:c r="BK552" s="12" t="str">
        <x:f>=BX552</x:f>
      </x:c>
      <x:c r="BL552" s="12" t="n">
        <x:v>0</x:v>
      </x:c>
      <x:c r="BM552" s="12" t="n">
        <x:v>0</x:v>
      </x:c>
      <x:c r="BN552" s="12" t="n">
        <x:v>1</x:v>
      </x:c>
      <x:c r="BO552" s="12" t="str">
        <x:f>=BW552</x:f>
      </x:c>
      <x:c r="BP552" s="12" t="str">
        <x:f>=CF552</x:f>
      </x:c>
      <x:c r="BQ552" s="12" t="str"/>
      <x:c r="BR552" s="12" t="str">
        <x:v>SS 2021 MSS</x:v>
      </x:c>
      <x:c r="BS552" s="13" t="str"/>
      <x:c r="BT552" s="30" t="n">
        <x:v>0</x:v>
      </x:c>
      <x:c r="BU552" s="30" t="n">
        <x:v>-9298.5982</x:v>
      </x:c>
      <x:c r="BV552" s="30" t="str">
        <x:f>=BT552+BU552</x:f>
      </x:c>
      <x:c r="BW552" s="66" t="str">
        <x:f>=BV552/BT552</x:f>
      </x:c>
      <x:c r="BX552" s="66" t="n">
        <x:v>0</x:v>
      </x:c>
      <x:c r="BY552" s="30" t="n">
        <x:v>8790.74</x:v>
      </x:c>
      <x:c r="BZ552" s="41" t="n">
        <x:v>2963</x:v>
      </x:c>
      <x:c r="CA552" s="30" t="n">
        <x:v>8790.740000000000000000000000</x:v>
      </x:c>
      <x:c r="CC552" s="30" t="n">
        <x:v>6718.9754689687500000000000000</x:v>
      </x:c>
      <x:c r="CD552" s="30" t="n">
        <x:v>-9298.5982</x:v>
      </x:c>
      <x:c r="CE552" s="30" t="str">
        <x:f>=CC552+CD552</x:f>
      </x:c>
      <x:c r="CF552" s="66" t="str">
        <x:f>=CE552/CC552</x:f>
      </x:c>
      <x:c r="CH552" s="66" t="str">
        <x:f>=CI552+CJ552</x:f>
      </x:c>
      <x:c r="CI552" s="66" t="str">
        <x:f>=BX552+(0.03*7)</x:f>
      </x:c>
      <x:c r="CJ552" s="66" t="str">
        <x:f>=(1-CI552)*0.5</x:f>
      </x:c>
      <x:c r="CK552" s="66" t="str">
        <x:f>=1-CH552</x:f>
      </x:c>
      <x:c r="CM552" s="66" t="str">
        <x:f>=CJ552/(1-CI552)</x:f>
      </x:c>
    </x:row>
    <x:row r="553">
      <x:c r="A553" s="31" t="s">
        <x:v>959</x:v>
      </x:c>
      <x:c r="B553" t="s">
        <x:v>116</x:v>
      </x:c>
      <x:c r="C553" t="s">
        <x:v>960</x:v>
      </x:c>
      <x:c r="D553" t="s">
        <x:v>274</x:v>
      </x:c>
      <x:c r="E553" s="69" t="s">
        <x:v>153</x:v>
      </x:c>
      <x:c r="F553" t="n">
        <x:v>1556</x:v>
      </x:c>
      <x:c r="BI553" s="33" t="s"/>
      <x:c r="BJ553" s="11" t="s">
        <x:v>820</x:v>
      </x:c>
      <x:c r="BK553" s="12" t="str">
        <x:f>=BX553</x:f>
      </x:c>
      <x:c r="BL553" s="12" t="n">
        <x:v>0</x:v>
      </x:c>
      <x:c r="BM553" s="12" t="n">
        <x:v>0</x:v>
      </x:c>
      <x:c r="BN553" s="12" t="n">
        <x:v>1</x:v>
      </x:c>
      <x:c r="BO553" s="12" t="str">
        <x:f>=BW553</x:f>
      </x:c>
      <x:c r="BP553" s="12" t="str">
        <x:f>=CF553</x:f>
      </x:c>
      <x:c r="BQ553" s="12" t="str"/>
      <x:c r="BR553" s="12" t="str">
        <x:v>SS 2021 MSS</x:v>
      </x:c>
      <x:c r="BS553" s="13" t="str"/>
      <x:c r="BT553" s="30" t="n">
        <x:v>0</x:v>
      </x:c>
      <x:c r="BU553" s="30" t="n">
        <x:v>-11125.80774</x:v>
      </x:c>
      <x:c r="BV553" s="30" t="str">
        <x:f>=BT553+BU553</x:f>
      </x:c>
      <x:c r="BW553" s="66" t="str">
        <x:f>=BV553/BT553</x:f>
      </x:c>
      <x:c r="BX553" s="66" t="n">
        <x:v>0</x:v>
      </x:c>
      <x:c r="BY553" s="30" t="n">
        <x:v>10168.39</x:v>
      </x:c>
      <x:c r="BZ553" s="41" t="n">
        <x:v>1556</x:v>
      </x:c>
      <x:c r="CA553" s="30" t="n">
        <x:v>10168.390000000000000000000000</x:v>
      </x:c>
      <x:c r="CC553" s="30" t="n">
        <x:v>8161.267111258950000000000000</x:v>
      </x:c>
      <x:c r="CD553" s="30" t="n">
        <x:v>-11125.80774</x:v>
      </x:c>
      <x:c r="CE553" s="30" t="str">
        <x:f>=CC553+CD553</x:f>
      </x:c>
      <x:c r="CF553" s="66" t="str">
        <x:f>=CE553/CC553</x:f>
      </x:c>
      <x:c r="CH553" s="66" t="str">
        <x:f>=CI553+CJ553</x:f>
      </x:c>
      <x:c r="CI553" s="66" t="str">
        <x:f>=BX553+(0.03*7)</x:f>
      </x:c>
      <x:c r="CJ553" s="66" t="str">
        <x:f>=(1-CI553)*0.5</x:f>
      </x:c>
      <x:c r="CK553" s="66" t="str">
        <x:f>=1-CH553</x:f>
      </x:c>
      <x:c r="CM553" s="66" t="str">
        <x:f>=CJ553/(1-CI553)</x:f>
      </x:c>
    </x:row>
    <x:row r="554">
      <x:c r="A554" s="31" t="s">
        <x:v>961</x:v>
      </x:c>
      <x:c r="B554" t="s">
        <x:v>116</x:v>
      </x:c>
      <x:c r="C554" t="s">
        <x:v>962</x:v>
      </x:c>
      <x:c r="D554" t="s">
        <x:v>274</x:v>
      </x:c>
      <x:c r="E554" s="69" t="s">
        <x:v>153</x:v>
      </x:c>
      <x:c r="F554" t="n">
        <x:v>3128</x:v>
      </x:c>
      <x:c r="BI554" s="33" t="s"/>
      <x:c r="BJ554" s="11" t="s">
        <x:v>820</x:v>
      </x:c>
      <x:c r="BK554" s="12" t="str">
        <x:f>=BX554</x:f>
      </x:c>
      <x:c r="BL554" s="12" t="n">
        <x:v>0</x:v>
      </x:c>
      <x:c r="BM554" s="12" t="n">
        <x:v>0</x:v>
      </x:c>
      <x:c r="BN554" s="12" t="n">
        <x:v>1</x:v>
      </x:c>
      <x:c r="BO554" s="12" t="str">
        <x:f>=BW554</x:f>
      </x:c>
      <x:c r="BP554" s="12" t="str">
        <x:f>=CF554</x:f>
      </x:c>
      <x:c r="BQ554" s="12" t="str"/>
      <x:c r="BR554" s="12" t="str">
        <x:v>SS 2021 MSS</x:v>
      </x:c>
      <x:c r="BS554" s="13" t="str"/>
      <x:c r="BT554" s="30" t="n">
        <x:v>0</x:v>
      </x:c>
      <x:c r="BU554" s="30" t="n">
        <x:v>-19855.22800</x:v>
      </x:c>
      <x:c r="BV554" s="30" t="str">
        <x:f>=BT554+BU554</x:f>
      </x:c>
      <x:c r="BW554" s="66" t="str">
        <x:f>=BV554/BT554</x:f>
      </x:c>
      <x:c r="BX554" s="66" t="n">
        <x:v>0</x:v>
      </x:c>
      <x:c r="BY554" s="30" t="n">
        <x:v>18086.00</x:v>
      </x:c>
      <x:c r="BZ554" s="41" t="n">
        <x:v>3128</x:v>
      </x:c>
      <x:c r="CA554" s="30" t="n">
        <x:v>18086.000000000000000000000000</x:v>
      </x:c>
      <x:c r="CC554" s="30" t="n">
        <x:v>14846.538746523900000000000000</x:v>
      </x:c>
      <x:c r="CD554" s="30" t="n">
        <x:v>-19855.22800</x:v>
      </x:c>
      <x:c r="CE554" s="30" t="str">
        <x:f>=CC554+CD554</x:f>
      </x:c>
      <x:c r="CF554" s="66" t="str">
        <x:f>=CE554/CC554</x:f>
      </x:c>
      <x:c r="CH554" s="66" t="str">
        <x:f>=CI554+CJ554</x:f>
      </x:c>
      <x:c r="CI554" s="66" t="str">
        <x:f>=BX554+(0.03*7)</x:f>
      </x:c>
      <x:c r="CJ554" s="66" t="str">
        <x:f>=(1-CI554)*0.5</x:f>
      </x:c>
      <x:c r="CK554" s="66" t="str">
        <x:f>=1-CH554</x:f>
      </x:c>
      <x:c r="CM554" s="66" t="str">
        <x:f>=CJ554/(1-CI554)</x:f>
      </x:c>
    </x:row>
    <x:row r="555">
      <x:c r="A555" s="31" t="s">
        <x:v>963</x:v>
      </x:c>
      <x:c r="B555" t="s"/>
      <x:c r="C555" t="s">
        <x:v>964</x:v>
      </x:c>
      <x:c r="D555" t="s">
        <x:v>274</x:v>
      </x:c>
      <x:c r="E555" s="69" t="s">
        <x:v>153</x:v>
      </x:c>
      <x:c r="F555" t="n">
        <x:v>2845</x:v>
      </x:c>
      <x:c r="BI555" s="33" t="s"/>
      <x:c r="BJ555" s="11" t="s">
        <x:v>820</x:v>
      </x:c>
      <x:c r="BK555" s="12" t="str">
        <x:f>=BX555</x:f>
      </x:c>
      <x:c r="BL555" s="12" t="n">
        <x:v>0</x:v>
      </x:c>
      <x:c r="BM555" s="12" t="n">
        <x:v>0</x:v>
      </x:c>
      <x:c r="BN555" s="12" t="n">
        <x:v>1</x:v>
      </x:c>
      <x:c r="BO555" s="12" t="str">
        <x:f>=BW555</x:f>
      </x:c>
      <x:c r="BP555" s="12" t="str">
        <x:f>=CF555</x:f>
      </x:c>
      <x:c r="BQ555" s="12" t="str"/>
      <x:c r="BR555" s="12" t="str">
        <x:v>SS 2021 MSS</x:v>
      </x:c>
      <x:c r="BS555" s="13" t="str"/>
      <x:c r="BT555" s="30" t="n">
        <x:v>0</x:v>
      </x:c>
      <x:c r="BU555" s="30" t="n">
        <x:v>-17058.14204</x:v>
      </x:c>
      <x:c r="BV555" s="30" t="str">
        <x:f>=BT555+BU555</x:f>
      </x:c>
      <x:c r="BW555" s="66" t="str">
        <x:f>=BV555/BT555</x:f>
      </x:c>
      <x:c r="BX555" s="66" t="n">
        <x:v>0</x:v>
      </x:c>
      <x:c r="BY555" s="30" t="n">
        <x:v>15510.94</x:v>
      </x:c>
      <x:c r="BZ555" s="41" t="n">
        <x:v>2845</x:v>
      </x:c>
      <x:c r="CA555" s="30" t="n">
        <x:v>15510.940</x:v>
      </x:c>
      <x:c r="CC555" s="30" t="n">
        <x:v>12860.627510614650000000000000</x:v>
      </x:c>
      <x:c r="CD555" s="30" t="n">
        <x:v>-17058.14204</x:v>
      </x:c>
      <x:c r="CE555" s="30" t="str">
        <x:f>=CC555+CD555</x:f>
      </x:c>
      <x:c r="CF555" s="66" t="str">
        <x:f>=CE555/CC555</x:f>
      </x:c>
      <x:c r="CH555" s="66" t="str">
        <x:f>=CI555+CJ555</x:f>
      </x:c>
      <x:c r="CI555" s="66" t="str">
        <x:f>=BX555+(0.03*7)</x:f>
      </x:c>
      <x:c r="CJ555" s="66" t="str">
        <x:f>=(1-CI555)*0.5</x:f>
      </x:c>
      <x:c r="CK555" s="66" t="str">
        <x:f>=1-CH555</x:f>
      </x:c>
      <x:c r="CM555" s="66" t="str">
        <x:f>=CJ555/(1-CI555)</x:f>
      </x:c>
    </x:row>
    <x:row r="556">
      <x:c r="A556" s="31" t="s">
        <x:v>965</x:v>
      </x:c>
      <x:c r="B556" t="s">
        <x:v>116</x:v>
      </x:c>
      <x:c r="C556" t="s">
        <x:v>966</x:v>
      </x:c>
      <x:c r="D556" t="s">
        <x:v>274</x:v>
      </x:c>
      <x:c r="E556" s="69" t="s">
        <x:v>153</x:v>
      </x:c>
      <x:c r="F556" t="n">
        <x:v>3140</x:v>
      </x:c>
      <x:c r="BI556" s="33" t="s"/>
      <x:c r="BJ556" s="11" t="s">
        <x:v>820</x:v>
      </x:c>
      <x:c r="BK556" s="12" t="str">
        <x:f>=BX556</x:f>
      </x:c>
      <x:c r="BL556" s="12" t="n">
        <x:v>0</x:v>
      </x:c>
      <x:c r="BM556" s="12" t="n">
        <x:v>0</x:v>
      </x:c>
      <x:c r="BN556" s="12" t="n">
        <x:v>1</x:v>
      </x:c>
      <x:c r="BO556" s="12" t="str">
        <x:f>=BW556</x:f>
      </x:c>
      <x:c r="BP556" s="12" t="str">
        <x:f>=CF556</x:f>
      </x:c>
      <x:c r="BQ556" s="12" t="str"/>
      <x:c r="BR556" s="12" t="str">
        <x:v>AW 2021 MSS</x:v>
      </x:c>
      <x:c r="BS556" s="13" t="str"/>
      <x:c r="BT556" s="30" t="n">
        <x:v>0</x:v>
      </x:c>
      <x:c r="BU556" s="30" t="n">
        <x:v>-18660.95760</x:v>
      </x:c>
      <x:c r="BV556" s="30" t="str">
        <x:f>=BT556+BU556</x:f>
      </x:c>
      <x:c r="BW556" s="66" t="str">
        <x:f>=BV556/BT556</x:f>
      </x:c>
      <x:c r="BX556" s="66" t="n">
        <x:v>0</x:v>
      </x:c>
      <x:c r="BY556" s="30" t="n">
        <x:v>16963.60</x:v>
      </x:c>
      <x:c r="BZ556" s="41" t="n">
        <x:v>3140</x:v>
      </x:c>
      <x:c r="CA556" s="30" t="n">
        <x:v>16963.600000000000000000000000</x:v>
      </x:c>
      <x:c r="CC556" s="30" t="n">
        <x:v>13801.719901706100000000000000</x:v>
      </x:c>
      <x:c r="CD556" s="30" t="n">
        <x:v>-18660.95760</x:v>
      </x:c>
      <x:c r="CE556" s="30" t="str">
        <x:f>=CC556+CD556</x:f>
      </x:c>
      <x:c r="CF556" s="66" t="str">
        <x:f>=CE556/CC556</x:f>
      </x:c>
      <x:c r="CH556" s="66" t="str">
        <x:f>=CI556+CJ556</x:f>
      </x:c>
      <x:c r="CI556" s="66" t="str">
        <x:f>=BX556+(0.03*7)</x:f>
      </x:c>
      <x:c r="CJ556" s="66" t="str">
        <x:f>=(1-CI556)*0.5</x:f>
      </x:c>
      <x:c r="CK556" s="66" t="str">
        <x:f>=1-CH556</x:f>
      </x:c>
      <x:c r="CM556" s="66" t="str">
        <x:f>=CJ556/(1-CI556)</x:f>
      </x:c>
    </x:row>
    <x:row r="557">
      <x:c r="A557" s="31" t="s">
        <x:v>967</x:v>
      </x:c>
      <x:c r="B557" t="s">
        <x:v>116</x:v>
      </x:c>
      <x:c r="C557" t="s">
        <x:v>968</x:v>
      </x:c>
      <x:c r="D557" t="s">
        <x:v>274</x:v>
      </x:c>
      <x:c r="E557" s="69" t="s">
        <x:v>153</x:v>
      </x:c>
      <x:c r="F557" t="n">
        <x:v>1949</x:v>
      </x:c>
      <x:c r="BI557" s="33" t="s"/>
      <x:c r="BJ557" s="11" t="s">
        <x:v>820</x:v>
      </x:c>
      <x:c r="BK557" s="12" t="str">
        <x:f>=BX557</x:f>
      </x:c>
      <x:c r="BL557" s="12" t="n">
        <x:v>0</x:v>
      </x:c>
      <x:c r="BM557" s="12" t="n">
        <x:v>0</x:v>
      </x:c>
      <x:c r="BN557" s="12" t="n">
        <x:v>1</x:v>
      </x:c>
      <x:c r="BO557" s="12" t="str">
        <x:f>=BW557</x:f>
      </x:c>
      <x:c r="BP557" s="12" t="str">
        <x:f>=CF557</x:f>
      </x:c>
      <x:c r="BQ557" s="12" t="str"/>
      <x:c r="BR557" s="12" t="str">
        <x:v>SS 2021 MSS</x:v>
      </x:c>
      <x:c r="BS557" s="13" t="str"/>
      <x:c r="BT557" s="30" t="n">
        <x:v>0</x:v>
      </x:c>
      <x:c r="BU557" s="30" t="n">
        <x:v>-17078.82600</x:v>
      </x:c>
      <x:c r="BV557" s="30" t="str">
        <x:f>=BT557+BU557</x:f>
      </x:c>
      <x:c r="BW557" s="66" t="str">
        <x:f>=BV557/BT557</x:f>
      </x:c>
      <x:c r="BX557" s="66" t="n">
        <x:v>0</x:v>
      </x:c>
      <x:c r="BY557" s="30" t="n">
        <x:v>15685.00</x:v>
      </x:c>
      <x:c r="BZ557" s="41" t="n">
        <x:v>1949</x:v>
      </x:c>
      <x:c r="CA557" s="30" t="n">
        <x:v>15685.000000000000000000000001</x:v>
      </x:c>
      <x:c r="CC557" s="30" t="n">
        <x:v>12503.250653238150000000000000</x:v>
      </x:c>
      <x:c r="CD557" s="30" t="n">
        <x:v>-17078.82600</x:v>
      </x:c>
      <x:c r="CE557" s="30" t="str">
        <x:f>=CC557+CD557</x:f>
      </x:c>
      <x:c r="CF557" s="66" t="str">
        <x:f>=CE557/CC557</x:f>
      </x:c>
      <x:c r="CH557" s="66" t="str">
        <x:f>=CI557+CJ557</x:f>
      </x:c>
      <x:c r="CI557" s="66" t="str">
        <x:f>=BX557+(0.03*7)</x:f>
      </x:c>
      <x:c r="CJ557" s="66" t="str">
        <x:f>=(1-CI557)*0.5</x:f>
      </x:c>
      <x:c r="CK557" s="66" t="str">
        <x:f>=1-CH557</x:f>
      </x:c>
      <x:c r="CM557" s="66" t="str">
        <x:f>=CJ557/(1-CI557)</x:f>
      </x:c>
    </x:row>
    <x:row r="558">
      <x:c r="A558" s="31" t="s">
        <x:v>969</x:v>
      </x:c>
      <x:c r="B558" t="s">
        <x:v>116</x:v>
      </x:c>
      <x:c r="C558" t="s">
        <x:v>970</x:v>
      </x:c>
      <x:c r="D558" t="s">
        <x:v>274</x:v>
      </x:c>
      <x:c r="E558" s="69" t="s">
        <x:v>153</x:v>
      </x:c>
      <x:c r="F558" t="n">
        <x:v>1902</x:v>
      </x:c>
      <x:c r="BI558" s="33" t="s"/>
      <x:c r="BJ558" s="11" t="s">
        <x:v>820</x:v>
      </x:c>
      <x:c r="BK558" s="12" t="str">
        <x:f>=BX558</x:f>
      </x:c>
      <x:c r="BL558" s="12" t="n">
        <x:v>0</x:v>
      </x:c>
      <x:c r="BM558" s="12" t="n">
        <x:v>0</x:v>
      </x:c>
      <x:c r="BN558" s="12" t="n">
        <x:v>1</x:v>
      </x:c>
      <x:c r="BO558" s="12" t="str">
        <x:f>=BW558</x:f>
      </x:c>
      <x:c r="BP558" s="12" t="str">
        <x:f>=CF558</x:f>
      </x:c>
      <x:c r="BQ558" s="12" t="str"/>
      <x:c r="BR558" s="12" t="str">
        <x:v>SS 2021 MSS</x:v>
      </x:c>
      <x:c r="BS558" s="13" t="str"/>
      <x:c r="BT558" s="30" t="n">
        <x:v>0</x:v>
      </x:c>
      <x:c r="BU558" s="30" t="n">
        <x:v>-12041.85600</x:v>
      </x:c>
      <x:c r="BV558" s="30" t="str">
        <x:f>=BT558+BU558</x:f>
      </x:c>
      <x:c r="BW558" s="66" t="str">
        <x:f>=BV558/BT558</x:f>
      </x:c>
      <x:c r="BX558" s="66" t="n">
        <x:v>0</x:v>
      </x:c>
      <x:c r="BY558" s="30" t="n">
        <x:v>10968.00</x:v>
      </x:c>
      <x:c r="BZ558" s="41" t="n">
        <x:v>1902</x:v>
      </x:c>
      <x:c r="CA558" s="30" t="n">
        <x:v>10968.000000000000000000000000</x:v>
      </x:c>
      <x:c r="CC558" s="30" t="n">
        <x:v>8991.950391941400000000000000</x:v>
      </x:c>
      <x:c r="CD558" s="30" t="n">
        <x:v>-12041.85600</x:v>
      </x:c>
      <x:c r="CE558" s="30" t="str">
        <x:f>=CC558+CD558</x:f>
      </x:c>
      <x:c r="CF558" s="66" t="str">
        <x:f>=CE558/CC558</x:f>
      </x:c>
      <x:c r="CH558" s="66" t="str">
        <x:f>=CI558+CJ558</x:f>
      </x:c>
      <x:c r="CI558" s="66" t="str">
        <x:f>=BX558+(0.03*7)</x:f>
      </x:c>
      <x:c r="CJ558" s="66" t="str">
        <x:f>=(1-CI558)*0.5</x:f>
      </x:c>
      <x:c r="CK558" s="66" t="str">
        <x:f>=1-CH558</x:f>
      </x:c>
      <x:c r="CM558" s="66" t="str">
        <x:f>=CJ558/(1-CI558)</x:f>
      </x:c>
    </x:row>
    <x:row r="559">
      <x:c r="BI559" s="33" t="s"/>
      <x:c r="BJ559" s="11" t="s"/>
      <x:c r="BS559" s="13" t="s"/>
    </x:row>
    <x:row r="560">
      <x:c r="A560" s="35" t="s">
        <x:v>971</x:v>
      </x:c>
      <x:c r="BI560" s="33" t="s"/>
      <x:c r="BJ560" s="11" t="s"/>
      <x:c r="BS560" s="13" t="s"/>
    </x:row>
    <x:row r="561">
      <x:c r="A561" s="17" t="s">
        <x:v>761</x:v>
      </x:c>
      <x:c r="BI561" s="33" t="s"/>
      <x:c r="BJ561" s="11" t="s"/>
      <x:c r="BS561" s="13" t="s"/>
    </x:row>
    <x:row r="562">
      <x:c r="A562" s="31" t="s">
        <x:v>972</x:v>
      </x:c>
      <x:c r="B562" t="s"/>
      <x:c r="C562" t="s">
        <x:v>973</x:v>
      </x:c>
      <x:c r="D562" t="s">
        <x:v>974</x:v>
      </x:c>
      <x:c r="E562" s="96" t="s">
        <x:v>975</x:v>
      </x:c>
      <x:c r="F562" t="n">
        <x:v>2042</x:v>
      </x:c>
      <x:c r="BI562" s="33" t="s"/>
      <x:c r="BJ562" s="11" t="s">
        <x:v>820</x:v>
      </x:c>
      <x:c r="BK562" s="12" t="str">
        <x:f>=BX562</x:f>
      </x:c>
      <x:c r="BL562" s="12" t="n">
        <x:v>0</x:v>
      </x:c>
      <x:c r="BM562" s="12" t="n">
        <x:v>0</x:v>
      </x:c>
      <x:c r="BN562" s="12" t="n">
        <x:v>1</x:v>
      </x:c>
      <x:c r="BO562" s="12" t="str">
        <x:f>=BW562</x:f>
      </x:c>
      <x:c r="BP562" s="12" t="str">
        <x:f>=CF562</x:f>
      </x:c>
      <x:c r="BQ562" s="12" t="str"/>
      <x:c r="BR562" s="12" t="str">
        <x:v>SS 2021 MSS</x:v>
      </x:c>
      <x:c r="BS562" s="13" t="str"/>
      <x:c r="BT562" s="30" t="n">
        <x:v>0</x:v>
      </x:c>
      <x:c r="BU562" s="30" t="n">
        <x:v>-20588.4650</x:v>
      </x:c>
      <x:c r="BV562" s="30" t="str">
        <x:f>=BT562+BU562</x:f>
      </x:c>
      <x:c r="BW562" s="66" t="str">
        <x:f>=BV562/BT562</x:f>
      </x:c>
      <x:c r="BX562" s="66" t="n">
        <x:v>0</x:v>
      </x:c>
      <x:c r="BY562" s="30" t="n">
        <x:v>18888.50</x:v>
      </x:c>
      <x:c r="BZ562" s="41" t="n">
        <x:v>2042</x:v>
      </x:c>
      <x:c r="CA562" s="30" t="n">
        <x:v>18888.50</x:v>
      </x:c>
      <x:c r="CC562" s="30" t="n">
        <x:v>15821.431821416000000000000000</x:v>
      </x:c>
      <x:c r="CD562" s="30" t="n">
        <x:v>-20588.4650</x:v>
      </x:c>
      <x:c r="CE562" s="30" t="str">
        <x:f>=CC562+CD562</x:f>
      </x:c>
      <x:c r="CF562" s="66" t="str">
        <x:f>=CE562/CC562</x:f>
      </x:c>
      <x:c r="CH562" s="66" t="str">
        <x:f>=CI562+CJ562</x:f>
      </x:c>
      <x:c r="CI562" s="66" t="str">
        <x:f>=BX562+(0.03*7)</x:f>
      </x:c>
      <x:c r="CJ562" s="66" t="str">
        <x:f>=(1-CI562)*0.5</x:f>
      </x:c>
      <x:c r="CK562" s="66" t="str">
        <x:f>=1-CH562</x:f>
      </x:c>
      <x:c r="CM562" s="66" t="str">
        <x:f>=CJ562/(1-CI562)</x:f>
      </x:c>
    </x:row>
    <x:row r="563">
      <x:c r="BI563" s="33" t="s"/>
      <x:c r="BJ563" s="11" t="s"/>
      <x:c r="BS563" s="13" t="s"/>
    </x:row>
    <x:row r="564">
      <x:c r="A564" s="35" t="s">
        <x:v>113</x:v>
      </x:c>
      <x:c r="BI564" s="33" t="s"/>
      <x:c r="BJ564" s="11" t="s"/>
      <x:c r="BS564" s="13" t="s"/>
    </x:row>
    <x:row r="565">
      <x:c r="A565" s="17" t="s">
        <x:v>761</x:v>
      </x:c>
      <x:c r="BI565" s="33" t="s"/>
      <x:c r="BJ565" s="11" t="s"/>
      <x:c r="BS565" s="13" t="s"/>
    </x:row>
    <x:row r="566">
      <x:c r="A566" s="31" t="s">
        <x:v>976</x:v>
      </x:c>
      <x:c r="B566" t="s"/>
      <x:c r="C566" t="s">
        <x:v>977</x:v>
      </x:c>
      <x:c r="D566" t="s">
        <x:v>452</x:v>
      </x:c>
      <x:c r="E566" s="68" t="s">
        <x:v>119</x:v>
      </x:c>
      <x:c r="F566" t="n">
        <x:v>1515</x:v>
      </x:c>
      <x:c r="BI566" s="33" t="s"/>
      <x:c r="BJ566" s="11" t="s">
        <x:v>820</x:v>
      </x:c>
      <x:c r="BK566" s="12" t="str">
        <x:f>=BX566</x:f>
      </x:c>
      <x:c r="BL566" s="12" t="n">
        <x:v>0</x:v>
      </x:c>
      <x:c r="BM566" s="12" t="n">
        <x:v>0</x:v>
      </x:c>
      <x:c r="BN566" s="12" t="n">
        <x:v>1</x:v>
      </x:c>
      <x:c r="BO566" s="12" t="str">
        <x:f>=BW566</x:f>
      </x:c>
      <x:c r="BP566" s="12" t="str">
        <x:f>=CF566</x:f>
      </x:c>
      <x:c r="BQ566" s="12" t="str"/>
      <x:c r="BR566" s="12" t="str">
        <x:v>AW 2021 MSS</x:v>
      </x:c>
      <x:c r="BS566" s="13" t="str"/>
      <x:c r="BT566" s="30" t="n">
        <x:v>0</x:v>
      </x:c>
      <x:c r="BU566" s="30" t="n">
        <x:v>-7447.7400</x:v>
      </x:c>
      <x:c r="BV566" s="30" t="str">
        <x:f>=BT566+BU566</x:f>
      </x:c>
      <x:c r="BW566" s="66" t="str">
        <x:f>=BV566/BT566</x:f>
      </x:c>
      <x:c r="BX566" s="66" t="n">
        <x:v>0</x:v>
      </x:c>
      <x:c r="BY566" s="30" t="n">
        <x:v>7272.00</x:v>
      </x:c>
      <x:c r="BZ566" s="41" t="n">
        <x:v>1515</x:v>
      </x:c>
      <x:c r="CA566" s="30" t="n">
        <x:v>7272.00</x:v>
      </x:c>
      <x:c r="CC566" s="30" t="n">
        <x:v>6602.755352748750000000000</x:v>
      </x:c>
      <x:c r="CD566" s="30" t="n">
        <x:v>-7447.7400</x:v>
      </x:c>
      <x:c r="CE566" s="30" t="str">
        <x:f>=CC566+CD566</x:f>
      </x:c>
      <x:c r="CF566" s="66" t="str">
        <x:f>=CE566/CC566</x:f>
      </x:c>
      <x:c r="CH566" s="66" t="str">
        <x:f>=CI566+CJ566</x:f>
      </x:c>
      <x:c r="CI566" s="66" t="str">
        <x:f>=BX566+(0.03*7)</x:f>
      </x:c>
      <x:c r="CJ566" s="66" t="str">
        <x:f>=(1-CI566)*0.5</x:f>
      </x:c>
      <x:c r="CK566" s="66" t="str">
        <x:f>=1-CH566</x:f>
      </x:c>
      <x:c r="CM566" s="66" t="str">
        <x:f>=CJ566/(1-CI566)</x:f>
      </x:c>
    </x:row>
    <x:row r="567">
      <x:c r="A567" s="31" t="s">
        <x:v>978</x:v>
      </x:c>
      <x:c r="B567" t="s"/>
      <x:c r="C567" t="s">
        <x:v>979</x:v>
      </x:c>
      <x:c r="D567" t="s">
        <x:v>452</x:v>
      </x:c>
      <x:c r="E567" s="68" t="s">
        <x:v>119</x:v>
      </x:c>
      <x:c r="F567" t="n">
        <x:v>1482</x:v>
      </x:c>
      <x:c r="BI567" s="33" t="s"/>
      <x:c r="BJ567" s="11" t="s">
        <x:v>820</x:v>
      </x:c>
      <x:c r="BK567" s="12" t="str">
        <x:f>=BX567</x:f>
      </x:c>
      <x:c r="BL567" s="12" t="n">
        <x:v>0</x:v>
      </x:c>
      <x:c r="BM567" s="12" t="n">
        <x:v>0</x:v>
      </x:c>
      <x:c r="BN567" s="12" t="n">
        <x:v>1</x:v>
      </x:c>
      <x:c r="BO567" s="12" t="str">
        <x:f>=BW567</x:f>
      </x:c>
      <x:c r="BP567" s="12" t="str">
        <x:f>=CF567</x:f>
      </x:c>
      <x:c r="BQ567" s="12" t="str"/>
      <x:c r="BR567" s="12" t="str">
        <x:v>AW 2021 MSS</x:v>
      </x:c>
      <x:c r="BS567" s="13" t="str"/>
      <x:c r="BT567" s="30" t="n">
        <x:v>0</x:v>
      </x:c>
      <x:c r="BU567" s="30" t="n">
        <x:v>-7285.5120</x:v>
      </x:c>
      <x:c r="BV567" s="30" t="str">
        <x:f>=BT567+BU567</x:f>
      </x:c>
      <x:c r="BW567" s="66" t="str">
        <x:f>=BV567/BT567</x:f>
      </x:c>
      <x:c r="BX567" s="66" t="n">
        <x:v>0</x:v>
      </x:c>
      <x:c r="BY567" s="30" t="n">
        <x:v>7113.60</x:v>
      </x:c>
      <x:c r="BZ567" s="41" t="n">
        <x:v>1482</x:v>
      </x:c>
      <x:c r="CA567" s="30" t="n">
        <x:v>7113.60</x:v>
      </x:c>
      <x:c r="CC567" s="30" t="n">
        <x:v>6458.932958926500000000000</x:v>
      </x:c>
      <x:c r="CD567" s="30" t="n">
        <x:v>-7285.5120</x:v>
      </x:c>
      <x:c r="CE567" s="30" t="str">
        <x:f>=CC567+CD567</x:f>
      </x:c>
      <x:c r="CF567" s="66" t="str">
        <x:f>=CE567/CC567</x:f>
      </x:c>
      <x:c r="CH567" s="66" t="str">
        <x:f>=CI567+CJ567</x:f>
      </x:c>
      <x:c r="CI567" s="66" t="str">
        <x:f>=BX567+(0.03*7)</x:f>
      </x:c>
      <x:c r="CJ567" s="66" t="str">
        <x:f>=(1-CI567)*0.5</x:f>
      </x:c>
      <x:c r="CK567" s="66" t="str">
        <x:f>=1-CH567</x:f>
      </x:c>
      <x:c r="CM567" s="66" t="str">
        <x:f>=CJ567/(1-CI567)</x:f>
      </x:c>
    </x:row>
    <x:row r="568">
      <x:c r="A568" s="31" t="s">
        <x:v>980</x:v>
      </x:c>
      <x:c r="B568" t="s"/>
      <x:c r="C568" t="s">
        <x:v>981</x:v>
      </x:c>
      <x:c r="D568" t="s">
        <x:v>118</x:v>
      </x:c>
      <x:c r="E568" s="68" t="s">
        <x:v>119</x:v>
      </x:c>
      <x:c r="F568" t="n">
        <x:v>1022</x:v>
      </x:c>
      <x:c r="BI568" s="33" t="s"/>
      <x:c r="BJ568" s="11" t="s">
        <x:v>820</x:v>
      </x:c>
      <x:c r="BK568" s="12" t="str">
        <x:f>=BX568</x:f>
      </x:c>
      <x:c r="BL568" s="12" t="n">
        <x:v>0</x:v>
      </x:c>
      <x:c r="BM568" s="12" t="n">
        <x:v>0</x:v>
      </x:c>
      <x:c r="BN568" s="12" t="n">
        <x:v>1</x:v>
      </x:c>
      <x:c r="BO568" s="12" t="str">
        <x:f>=BW568</x:f>
      </x:c>
      <x:c r="BP568" s="12" t="str">
        <x:f>=CF568</x:f>
      </x:c>
      <x:c r="BQ568" s="12" t="str"/>
      <x:c r="BR568" s="12" t="str">
        <x:v>AW 2021 MSS</x:v>
      </x:c>
      <x:c r="BS568" s="13" t="str"/>
      <x:c r="BT568" s="30" t="n">
        <x:v>0</x:v>
      </x:c>
      <x:c r="BU568" s="30" t="n">
        <x:v>-7801.3348</x:v>
      </x:c>
      <x:c r="BV568" s="30" t="str">
        <x:f>=BT568+BU568</x:f>
      </x:c>
      <x:c r="BW568" s="66" t="str">
        <x:f>=BV568/BT568</x:f>
      </x:c>
      <x:c r="BX568" s="66" t="n">
        <x:v>0</x:v>
      </x:c>
      <x:c r="BY568" s="30" t="n">
        <x:v>7460.60</x:v>
      </x:c>
      <x:c r="BZ568" s="41" t="n">
        <x:v>1022</x:v>
      </x:c>
      <x:c r="CA568" s="30" t="n">
        <x:v>7460.60</x:v>
      </x:c>
      <x:c r="CC568" s="30" t="n">
        <x:v>5938.847938842000000000000</x:v>
      </x:c>
      <x:c r="CD568" s="30" t="n">
        <x:v>-7801.3348</x:v>
      </x:c>
      <x:c r="CE568" s="30" t="str">
        <x:f>=CC568+CD568</x:f>
      </x:c>
      <x:c r="CF568" s="66" t="str">
        <x:f>=CE568/CC568</x:f>
      </x:c>
      <x:c r="CH568" s="66" t="str">
        <x:f>=CI568+CJ568</x:f>
      </x:c>
      <x:c r="CI568" s="66" t="str">
        <x:f>=BX568+(0.03*7)</x:f>
      </x:c>
      <x:c r="CJ568" s="66" t="str">
        <x:f>=(1-CI568)*0.5</x:f>
      </x:c>
      <x:c r="CK568" s="66" t="str">
        <x:f>=1-CH568</x:f>
      </x:c>
      <x:c r="CM568" s="66" t="str">
        <x:f>=CJ568/(1-CI568)</x:f>
      </x:c>
    </x:row>
    <x:row r="569">
      <x:c r="A569" s="31" t="s">
        <x:v>982</x:v>
      </x:c>
      <x:c r="B569" t="s"/>
      <x:c r="C569" t="s">
        <x:v>983</x:v>
      </x:c>
      <x:c r="D569" t="s">
        <x:v>118</x:v>
      </x:c>
      <x:c r="E569" s="68" t="s">
        <x:v>119</x:v>
      </x:c>
      <x:c r="F569" t="n">
        <x:v>1003</x:v>
      </x:c>
      <x:c r="BI569" s="33" t="s"/>
      <x:c r="BJ569" s="11" t="s">
        <x:v>820</x:v>
      </x:c>
      <x:c r="BK569" s="12" t="str">
        <x:f>=BX569</x:f>
      </x:c>
      <x:c r="BL569" s="12" t="n">
        <x:v>0</x:v>
      </x:c>
      <x:c r="BM569" s="12" t="n">
        <x:v>0</x:v>
      </x:c>
      <x:c r="BN569" s="12" t="n">
        <x:v>1</x:v>
      </x:c>
      <x:c r="BO569" s="12" t="str">
        <x:f>=BW569</x:f>
      </x:c>
      <x:c r="BP569" s="12" t="str">
        <x:f>=CF569</x:f>
      </x:c>
      <x:c r="BQ569" s="12" t="str"/>
      <x:c r="BR569" s="12" t="str">
        <x:v>AW 2021 MSS</x:v>
      </x:c>
      <x:c r="BS569" s="13" t="str"/>
      <x:c r="BT569" s="30" t="n">
        <x:v>0</x:v>
      </x:c>
      <x:c r="BU569" s="30" t="n">
        <x:v>-7656.3002</x:v>
      </x:c>
      <x:c r="BV569" s="30" t="str">
        <x:f>=BT569+BU569</x:f>
      </x:c>
      <x:c r="BW569" s="66" t="str">
        <x:f>=BV569/BT569</x:f>
      </x:c>
      <x:c r="BX569" s="66" t="n">
        <x:v>0</x:v>
      </x:c>
      <x:c r="BY569" s="30" t="n">
        <x:v>7321.90</x:v>
      </x:c>
      <x:c r="BZ569" s="41" t="n">
        <x:v>1003</x:v>
      </x:c>
      <x:c r="CA569" s="30" t="n">
        <x:v>7321.90</x:v>
      </x:c>
      <x:c r="CC569" s="30" t="n">
        <x:v>5828.438828433000000000000</x:v>
      </x:c>
      <x:c r="CD569" s="30" t="n">
        <x:v>-7656.3002</x:v>
      </x:c>
      <x:c r="CE569" s="30" t="str">
        <x:f>=CC569+CD569</x:f>
      </x:c>
      <x:c r="CF569" s="66" t="str">
        <x:f>=CE569/CC569</x:f>
      </x:c>
      <x:c r="CH569" s="66" t="str">
        <x:f>=CI569+CJ569</x:f>
      </x:c>
      <x:c r="CI569" s="66" t="str">
        <x:f>=BX569+(0.03*7)</x:f>
      </x:c>
      <x:c r="CJ569" s="66" t="str">
        <x:f>=(1-CI569)*0.5</x:f>
      </x:c>
      <x:c r="CK569" s="66" t="str">
        <x:f>=1-CH569</x:f>
      </x:c>
      <x:c r="CM569" s="66" t="str">
        <x:f>=CJ569/(1-CI569)</x:f>
      </x:c>
    </x:row>
    <x:row r="570">
      <x:c r="BI570" s="33" t="s"/>
      <x:c r="BJ570" s="11" t="s"/>
      <x:c r="BS570" s="13" t="s"/>
    </x:row>
    <x:row r="571">
      <x:c r="A571" s="35" t="s">
        <x:v>126</x:v>
      </x:c>
      <x:c r="BI571" s="33" t="s"/>
      <x:c r="BJ571" s="11" t="s"/>
      <x:c r="BS571" s="13" t="s"/>
    </x:row>
    <x:row r="572">
      <x:c r="A572" s="17" t="s">
        <x:v>761</x:v>
      </x:c>
      <x:c r="BI572" s="33" t="s"/>
      <x:c r="BJ572" s="11" t="s"/>
      <x:c r="BS572" s="13" t="s"/>
    </x:row>
    <x:row r="573">
      <x:c r="A573" s="31" t="s">
        <x:v>984</x:v>
      </x:c>
      <x:c r="B573" t="s"/>
      <x:c r="C573" t="s">
        <x:v>985</x:v>
      </x:c>
      <x:c r="D573" t="s">
        <x:v>452</x:v>
      </x:c>
      <x:c r="E573" s="67" t="s">
        <x:v>131</x:v>
      </x:c>
      <x:c r="F573" t="n">
        <x:v>786</x:v>
      </x:c>
      <x:c r="BI573" s="33" t="s"/>
      <x:c r="BJ573" s="11" t="s">
        <x:v>820</x:v>
      </x:c>
      <x:c r="BK573" s="12" t="str">
        <x:f>=BX573</x:f>
      </x:c>
      <x:c r="BL573" s="12" t="n">
        <x:v>0</x:v>
      </x:c>
      <x:c r="BM573" s="12" t="n">
        <x:v>0</x:v>
      </x:c>
      <x:c r="BN573" s="12" t="n">
        <x:v>1</x:v>
      </x:c>
      <x:c r="BO573" s="12" t="str">
        <x:f>=BW573</x:f>
      </x:c>
      <x:c r="BP573" s="12" t="str">
        <x:f>=CF573</x:f>
      </x:c>
      <x:c r="BQ573" s="12" t="str"/>
      <x:c r="BR573" s="12" t="str">
        <x:v>AW 2021 EOS</x:v>
      </x:c>
      <x:c r="BS573" s="13" t="str"/>
      <x:c r="BT573" s="30" t="n">
        <x:v>0</x:v>
      </x:c>
      <x:c r="BU573" s="30" t="n">
        <x:v>-8086.3680</x:v>
      </x:c>
      <x:c r="BV573" s="30" t="str">
        <x:f>=BT573+BU573</x:f>
      </x:c>
      <x:c r="BW573" s="66" t="str">
        <x:f>=BV573/BT573</x:f>
      </x:c>
      <x:c r="BX573" s="66" t="n">
        <x:v>0</x:v>
      </x:c>
      <x:c r="BY573" s="30" t="n">
        <x:v>7231.20</x:v>
      </x:c>
      <x:c r="BZ573" s="41" t="n">
        <x:v>786</x:v>
      </x:c>
      <x:c r="CA573" s="30" t="n">
        <x:v>7231.20</x:v>
      </x:c>
      <x:c r="CC573" s="30" t="n">
        <x:v>6089.934089928000000000000</x:v>
      </x:c>
      <x:c r="CD573" s="30" t="n">
        <x:v>-8086.3680</x:v>
      </x:c>
      <x:c r="CE573" s="30" t="str">
        <x:f>=CC573+CD573</x:f>
      </x:c>
      <x:c r="CF573" s="66" t="str">
        <x:f>=CE573/CC573</x:f>
      </x:c>
      <x:c r="CH573" s="66" t="str">
        <x:f>=CI573+CJ573</x:f>
      </x:c>
      <x:c r="CI573" s="66" t="str">
        <x:f>=BX573+(0.03*7)</x:f>
      </x:c>
      <x:c r="CJ573" s="66" t="str">
        <x:f>=(1-CI573)*0.5</x:f>
      </x:c>
      <x:c r="CK573" s="66" t="str">
        <x:f>=1-CH573</x:f>
      </x:c>
      <x:c r="CM573" s="66" t="str">
        <x:f>=CJ573/(1-CI573)</x:f>
      </x:c>
    </x:row>
    <x:row r="574">
      <x:c r="A574" s="31" t="s">
        <x:v>986</x:v>
      </x:c>
      <x:c r="B574" t="s"/>
      <x:c r="C574" t="s">
        <x:v>987</x:v>
      </x:c>
      <x:c r="D574" t="s">
        <x:v>452</x:v>
      </x:c>
      <x:c r="E574" s="67" t="s">
        <x:v>131</x:v>
      </x:c>
      <x:c r="F574" t="n">
        <x:v>2520</x:v>
      </x:c>
      <x:c r="BI574" s="33" t="s"/>
      <x:c r="BJ574" s="11" t="s">
        <x:v>820</x:v>
      </x:c>
      <x:c r="BK574" s="12" t="str">
        <x:f>=BX574</x:f>
      </x:c>
      <x:c r="BL574" s="12" t="n">
        <x:v>0</x:v>
      </x:c>
      <x:c r="BM574" s="12" t="n">
        <x:v>0</x:v>
      </x:c>
      <x:c r="BN574" s="12" t="n">
        <x:v>1</x:v>
      </x:c>
      <x:c r="BO574" s="12" t="str">
        <x:f>=BW574</x:f>
      </x:c>
      <x:c r="BP574" s="12" t="str">
        <x:f>=CF574</x:f>
      </x:c>
      <x:c r="BQ574" s="12" t="str"/>
      <x:c r="BR574" s="12" t="str">
        <x:v>SS 2021 MSS</x:v>
      </x:c>
      <x:c r="BS574" s="13" t="str"/>
      <x:c r="BT574" s="30" t="n">
        <x:v>0</x:v>
      </x:c>
      <x:c r="BU574" s="30" t="n">
        <x:v>-10543.6800</x:v>
      </x:c>
      <x:c r="BV574" s="30" t="str">
        <x:f>=BT574+BU574</x:f>
      </x:c>
      <x:c r="BW574" s="66" t="str">
        <x:f>=BV574/BT574</x:f>
      </x:c>
      <x:c r="BX574" s="66" t="n">
        <x:v>0</x:v>
      </x:c>
      <x:c r="BY574" s="30" t="n">
        <x:v>9072.00</x:v>
      </x:c>
      <x:c r="BZ574" s="41" t="n">
        <x:v>2520</x:v>
      </x:c>
      <x:c r="CA574" s="30" t="n">
        <x:v>9072.00</x:v>
      </x:c>
      <x:c r="CC574" s="30" t="n">
        <x:v>9762.489762480000000000000</x:v>
      </x:c>
      <x:c r="CD574" s="30" t="n">
        <x:v>-10543.6800</x:v>
      </x:c>
      <x:c r="CE574" s="30" t="str">
        <x:f>=CC574+CD574</x:f>
      </x:c>
      <x:c r="CF574" s="66" t="str">
        <x:f>=CE574/CC574</x:f>
      </x:c>
      <x:c r="CH574" s="66" t="str">
        <x:f>=CI574+CJ574</x:f>
      </x:c>
      <x:c r="CI574" s="66" t="str">
        <x:f>=BX574+(0.03*7)</x:f>
      </x:c>
      <x:c r="CJ574" s="66" t="str">
        <x:f>=(1-CI574)*0.5</x:f>
      </x:c>
      <x:c r="CK574" s="66" t="str">
        <x:f>=1-CH574</x:f>
      </x:c>
      <x:c r="CM574" s="66" t="str">
        <x:f>=CJ574/(1-CI574)</x:f>
      </x:c>
    </x:row>
    <x:row r="575">
      <x:c r="A575" s="31" t="s">
        <x:v>988</x:v>
      </x:c>
      <x:c r="B575" t="s"/>
      <x:c r="C575" t="s">
        <x:v>989</x:v>
      </x:c>
      <x:c r="D575" t="s">
        <x:v>452</x:v>
      </x:c>
      <x:c r="E575" s="67" t="s">
        <x:v>131</x:v>
      </x:c>
      <x:c r="F575" t="n">
        <x:v>744</x:v>
      </x:c>
      <x:c r="BI575" s="33" t="s"/>
      <x:c r="BJ575" s="11" t="s">
        <x:v>820</x:v>
      </x:c>
      <x:c r="BK575" s="12" t="str">
        <x:f>=BX575</x:f>
      </x:c>
      <x:c r="BL575" s="12" t="n">
        <x:v>0</x:v>
      </x:c>
      <x:c r="BM575" s="12" t="n">
        <x:v>0</x:v>
      </x:c>
      <x:c r="BN575" s="12" t="n">
        <x:v>1</x:v>
      </x:c>
      <x:c r="BO575" s="12" t="str">
        <x:f>=BW575</x:f>
      </x:c>
      <x:c r="BP575" s="12" t="str">
        <x:f>=CF575</x:f>
      </x:c>
      <x:c r="BQ575" s="12" t="str"/>
      <x:c r="BR575" s="12" t="str">
        <x:v>SS 2021 MSS</x:v>
      </x:c>
      <x:c r="BS575" s="13" t="str"/>
      <x:c r="BT575" s="30" t="n">
        <x:v>0</x:v>
      </x:c>
      <x:c r="BU575" s="30" t="n">
        <x:v>-3680.5680</x:v>
      </x:c>
      <x:c r="BV575" s="30" t="str">
        <x:f>=BT575+BU575</x:f>
      </x:c>
      <x:c r="BW575" s="66" t="str">
        <x:f>=BV575/BT575</x:f>
      </x:c>
      <x:c r="BX575" s="66" t="n">
        <x:v>0</x:v>
      </x:c>
      <x:c r="BY575" s="30" t="n">
        <x:v>3199.20</x:v>
      </x:c>
      <x:c r="BZ575" s="41" t="n">
        <x:v>744</x:v>
      </x:c>
      <x:c r="CA575" s="30" t="n">
        <x:v>3199.20</x:v>
      </x:c>
      <x:c r="CC575" s="30" t="n">
        <x:v>2882.258882256000000000000</x:v>
      </x:c>
      <x:c r="CD575" s="30" t="n">
        <x:v>-3680.5680</x:v>
      </x:c>
      <x:c r="CE575" s="30" t="str">
        <x:f>=CC575+CD575</x:f>
      </x:c>
      <x:c r="CF575" s="66" t="str">
        <x:f>=CE575/CC575</x:f>
      </x:c>
      <x:c r="CH575" s="66" t="str">
        <x:f>=CI575+CJ575</x:f>
      </x:c>
      <x:c r="CI575" s="66" t="str">
        <x:f>=BX575+(0.03*7)</x:f>
      </x:c>
      <x:c r="CJ575" s="66" t="str">
        <x:f>=(1-CI575)*0.5</x:f>
      </x:c>
      <x:c r="CK575" s="66" t="str">
        <x:f>=1-CH575</x:f>
      </x:c>
      <x:c r="CM575" s="66" t="str">
        <x:f>=CJ575/(1-CI575)</x:f>
      </x:c>
    </x:row>
    <x:row r="576">
      <x:c r="A576" s="31" t="s">
        <x:v>990</x:v>
      </x:c>
      <x:c r="B576" t="s"/>
      <x:c r="C576" t="s">
        <x:v>991</x:v>
      </x:c>
      <x:c r="D576" t="s">
        <x:v>452</x:v>
      </x:c>
      <x:c r="E576" s="67" t="s">
        <x:v>131</x:v>
      </x:c>
      <x:c r="F576" t="n">
        <x:v>791</x:v>
      </x:c>
      <x:c r="BI576" s="33" t="s"/>
      <x:c r="BJ576" s="11" t="s">
        <x:v>820</x:v>
      </x:c>
      <x:c r="BK576" s="12" t="str">
        <x:f>=BX576</x:f>
      </x:c>
      <x:c r="BL576" s="12" t="n">
        <x:v>0</x:v>
      </x:c>
      <x:c r="BM576" s="12" t="n">
        <x:v>0</x:v>
      </x:c>
      <x:c r="BN576" s="12" t="n">
        <x:v>1</x:v>
      </x:c>
      <x:c r="BO576" s="12" t="str">
        <x:f>=BW576</x:f>
      </x:c>
      <x:c r="BP576" s="12" t="str">
        <x:f>=CF576</x:f>
      </x:c>
      <x:c r="BQ576" s="12" t="str"/>
      <x:c r="BR576" s="12" t="str">
        <x:v>SS 2021 MSS</x:v>
      </x:c>
      <x:c r="BS576" s="13" t="str"/>
      <x:c r="BT576" s="30" t="n">
        <x:v>0</x:v>
      </x:c>
      <x:c r="BU576" s="30" t="n">
        <x:v>-8137.8080</x:v>
      </x:c>
      <x:c r="BV576" s="30" t="str">
        <x:f>=BT576+BU576</x:f>
      </x:c>
      <x:c r="BW576" s="66" t="str">
        <x:f>=BV576/BT576</x:f>
      </x:c>
      <x:c r="BX576" s="66" t="n">
        <x:v>0</x:v>
      </x:c>
      <x:c r="BY576" s="30" t="n">
        <x:v>7277.20</x:v>
      </x:c>
      <x:c r="BZ576" s="41" t="n">
        <x:v>791</x:v>
      </x:c>
      <x:c r="CA576" s="30" t="n">
        <x:v>7277.20</x:v>
      </x:c>
      <x:c r="CC576" s="30" t="n">
        <x:v>6128.6741286680000000000000000</x:v>
      </x:c>
      <x:c r="CD576" s="30" t="n">
        <x:v>-8137.8080</x:v>
      </x:c>
      <x:c r="CE576" s="30" t="str">
        <x:f>=CC576+CD576</x:f>
      </x:c>
      <x:c r="CF576" s="66" t="str">
        <x:f>=CE576/CC576</x:f>
      </x:c>
      <x:c r="CH576" s="66" t="str">
        <x:f>=CI576+CJ576</x:f>
      </x:c>
      <x:c r="CI576" s="66" t="str">
        <x:f>=BX576+(0.03*7)</x:f>
      </x:c>
      <x:c r="CJ576" s="66" t="str">
        <x:f>=(1-CI576)*0.5</x:f>
      </x:c>
      <x:c r="CK576" s="66" t="str">
        <x:f>=1-CH576</x:f>
      </x:c>
      <x:c r="CM576" s="66" t="str">
        <x:f>=CJ576/(1-CI576)</x:f>
      </x:c>
    </x:row>
    <x:row r="577">
      <x:c r="A577" s="31" t="s">
        <x:v>992</x:v>
      </x:c>
      <x:c r="B577" t="s"/>
      <x:c r="C577" t="s">
        <x:v>993</x:v>
      </x:c>
      <x:c r="D577" t="s">
        <x:v>452</x:v>
      </x:c>
      <x:c r="E577" s="67" t="s">
        <x:v>131</x:v>
      </x:c>
      <x:c r="F577" t="n">
        <x:v>771</x:v>
      </x:c>
      <x:c r="BI577" s="33" t="s"/>
      <x:c r="BJ577" s="11" t="s">
        <x:v>820</x:v>
      </x:c>
      <x:c r="BK577" s="12" t="str">
        <x:f>=BX577</x:f>
      </x:c>
      <x:c r="BL577" s="12" t="n">
        <x:v>0</x:v>
      </x:c>
      <x:c r="BM577" s="12" t="n">
        <x:v>0</x:v>
      </x:c>
      <x:c r="BN577" s="12" t="n">
        <x:v>1</x:v>
      </x:c>
      <x:c r="BO577" s="12" t="str">
        <x:f>=BW577</x:f>
      </x:c>
      <x:c r="BP577" s="12" t="str">
        <x:f>=CF577</x:f>
      </x:c>
      <x:c r="BQ577" s="12" t="str"/>
      <x:c r="BR577" s="12" t="str">
        <x:v>SS 2021 MSS</x:v>
      </x:c>
      <x:c r="BS577" s="13" t="str"/>
      <x:c r="BT577" s="30" t="n">
        <x:v>0</x:v>
      </x:c>
      <x:c r="BU577" s="30" t="n">
        <x:v>-2461.1091</x:v>
      </x:c>
      <x:c r="BV577" s="30" t="str">
        <x:f>=BT577+BU577</x:f>
      </x:c>
      <x:c r="BW577" s="66" t="str">
        <x:f>=BV577/BT577</x:f>
      </x:c>
      <x:c r="BX577" s="66" t="n">
        <x:v>0</x:v>
      </x:c>
      <x:c r="BY577" s="30" t="n">
        <x:v>2073.99</x:v>
      </x:c>
      <x:c r="BZ577" s="41" t="n">
        <x:v>771</x:v>
      </x:c>
      <x:c r="CA577" s="30" t="n">
        <x:v>2073.99</x:v>
      </x:c>
      <x:c r="CC577" s="30" t="n">
        <x:v>1866.785616783750000000000</x:v>
      </x:c>
      <x:c r="CD577" s="30" t="n">
        <x:v>-2461.1091</x:v>
      </x:c>
      <x:c r="CE577" s="30" t="str">
        <x:f>=CC577+CD577</x:f>
      </x:c>
      <x:c r="CF577" s="66" t="str">
        <x:f>=CE577/CC577</x:f>
      </x:c>
      <x:c r="CH577" s="66" t="str">
        <x:f>=CI577+CJ577</x:f>
      </x:c>
      <x:c r="CI577" s="66" t="str">
        <x:f>=BX577+(0.03*7)</x:f>
      </x:c>
      <x:c r="CJ577" s="66" t="str">
        <x:f>=(1-CI577)*0.5</x:f>
      </x:c>
      <x:c r="CK577" s="66" t="str">
        <x:f>=1-CH577</x:f>
      </x:c>
      <x:c r="CM577" s="66" t="str">
        <x:f>=CJ577/(1-CI577)</x:f>
      </x:c>
    </x:row>
    <x:row r="578">
      <x:c r="A578" s="31" t="s">
        <x:v>994</x:v>
      </x:c>
      <x:c r="B578" t="s"/>
      <x:c r="C578" t="s">
        <x:v>995</x:v>
      </x:c>
      <x:c r="D578" t="s">
        <x:v>452</x:v>
      </x:c>
      <x:c r="E578" s="67" t="s">
        <x:v>131</x:v>
      </x:c>
      <x:c r="F578" t="n">
        <x:v>3001</x:v>
      </x:c>
      <x:c r="BI578" s="33" t="s"/>
      <x:c r="BJ578" s="11" t="s">
        <x:v>820</x:v>
      </x:c>
      <x:c r="BK578" s="12" t="str">
        <x:f>=BX578</x:f>
      </x:c>
      <x:c r="BL578" s="12" t="n">
        <x:v>0</x:v>
      </x:c>
      <x:c r="BM578" s="12" t="n">
        <x:v>0</x:v>
      </x:c>
      <x:c r="BN578" s="12" t="n">
        <x:v>1</x:v>
      </x:c>
      <x:c r="BO578" s="12" t="str">
        <x:f>=BW578</x:f>
      </x:c>
      <x:c r="BP578" s="12" t="str">
        <x:f>=CF578</x:f>
      </x:c>
      <x:c r="BQ578" s="12" t="str"/>
      <x:c r="BR578" s="12" t="str">
        <x:v>SS 2021 MSS</x:v>
      </x:c>
      <x:c r="BS578" s="13" t="str"/>
      <x:c r="BT578" s="30" t="n">
        <x:v>0</x:v>
      </x:c>
      <x:c r="BU578" s="30" t="n">
        <x:v>-19354.34930</x:v>
      </x:c>
      <x:c r="BV578" s="30" t="str">
        <x:f>=BT578+BU578</x:f>
      </x:c>
      <x:c r="BW578" s="66" t="str">
        <x:f>=BV578/BT578</x:f>
      </x:c>
      <x:c r="BX578" s="66" t="n">
        <x:v>0</x:v>
      </x:c>
      <x:c r="BY578" s="30" t="n">
        <x:v>17945.98</x:v>
      </x:c>
      <x:c r="BZ578" s="41" t="n">
        <x:v>3001</x:v>
      </x:c>
      <x:c r="CA578" s="30" t="n">
        <x:v>17945.98</x:v>
      </x:c>
      <x:c r="CC578" s="30" t="n">
        <x:v>14532.357032342500000000000000</x:v>
      </x:c>
      <x:c r="CD578" s="30" t="n">
        <x:v>-19354.34930</x:v>
      </x:c>
      <x:c r="CE578" s="30" t="str">
        <x:f>=CC578+CD578</x:f>
      </x:c>
      <x:c r="CF578" s="66" t="str">
        <x:f>=CE578/CC578</x:f>
      </x:c>
      <x:c r="CH578" s="66" t="str">
        <x:f>=CI578+CJ578</x:f>
      </x:c>
      <x:c r="CI578" s="66" t="str">
        <x:f>=BX578+(0.03*7)</x:f>
      </x:c>
      <x:c r="CJ578" s="66" t="str">
        <x:f>=(1-CI578)*0.5</x:f>
      </x:c>
      <x:c r="CK578" s="66" t="str">
        <x:f>=1-CH578</x:f>
      </x:c>
      <x:c r="CM578" s="66" t="str">
        <x:f>=CJ578/(1-CI578)</x:f>
      </x:c>
    </x:row>
    <x:row r="579">
      <x:c r="A579" s="31" t="s">
        <x:v>996</x:v>
      </x:c>
      <x:c r="B579" t="s"/>
      <x:c r="C579" t="s">
        <x:v>997</x:v>
      </x:c>
      <x:c r="D579" t="s">
        <x:v>193</x:v>
      </x:c>
      <x:c r="E579" s="67" t="s">
        <x:v>131</x:v>
      </x:c>
      <x:c r="F579" t="n">
        <x:v>993</x:v>
      </x:c>
      <x:c r="BI579" s="33" t="s"/>
      <x:c r="BJ579" s="11" t="s">
        <x:v>820</x:v>
      </x:c>
      <x:c r="BK579" s="12" t="str">
        <x:f>=BX579</x:f>
      </x:c>
      <x:c r="BL579" s="12" t="n">
        <x:v>0</x:v>
      </x:c>
      <x:c r="BM579" s="12" t="n">
        <x:v>0</x:v>
      </x:c>
      <x:c r="BN579" s="12" t="n">
        <x:v>1</x:v>
      </x:c>
      <x:c r="BO579" s="12" t="str">
        <x:f>=BW579</x:f>
      </x:c>
      <x:c r="BP579" s="12" t="str">
        <x:f>=CF579</x:f>
      </x:c>
      <x:c r="BQ579" s="12" t="str"/>
      <x:c r="BR579" s="12" t="str">
        <x:v>SS 2021 MSS</x:v>
      </x:c>
      <x:c r="BS579" s="13" t="str"/>
      <x:c r="BT579" s="30" t="n">
        <x:v>0</x:v>
      </x:c>
      <x:c r="BU579" s="30" t="n">
        <x:v>-5276.8020</x:v>
      </x:c>
      <x:c r="BV579" s="30" t="str">
        <x:f>=BT579+BU579</x:f>
      </x:c>
      <x:c r="BW579" s="66" t="str">
        <x:f>=BV579/BT579</x:f>
      </x:c>
      <x:c r="BX579" s="66" t="n">
        <x:v>0</x:v>
      </x:c>
      <x:c r="BY579" s="30" t="n">
        <x:v>5163.60</x:v>
      </x:c>
      <x:c r="BZ579" s="41" t="n">
        <x:v>993</x:v>
      </x:c>
      <x:c r="CA579" s="30" t="n">
        <x:v>5163.60</x:v>
      </x:c>
      <x:c r="CC579" s="30" t="n">
        <x:v>4327.746577742250000000000</x:v>
      </x:c>
      <x:c r="CD579" s="30" t="n">
        <x:v>-5276.8020</x:v>
      </x:c>
      <x:c r="CE579" s="30" t="str">
        <x:f>=CC579+CD579</x:f>
      </x:c>
      <x:c r="CF579" s="66" t="str">
        <x:f>=CE579/CC579</x:f>
      </x:c>
      <x:c r="CH579" s="66" t="str">
        <x:f>=CI579+CJ579</x:f>
      </x:c>
      <x:c r="CI579" s="66" t="str">
        <x:f>=BX579+(0.03*7)</x:f>
      </x:c>
      <x:c r="CJ579" s="66" t="str">
        <x:f>=(1-CI579)*0.5</x:f>
      </x:c>
      <x:c r="CK579" s="66" t="str">
        <x:f>=1-CH579</x:f>
      </x:c>
      <x:c r="CM579" s="66" t="str">
        <x:f>=CJ579/(1-CI579)</x:f>
      </x:c>
    </x:row>
    <x:row r="580">
      <x:c r="A580" s="31" t="s">
        <x:v>998</x:v>
      </x:c>
      <x:c r="B580" t="s"/>
      <x:c r="C580" t="s">
        <x:v>999</x:v>
      </x:c>
      <x:c r="D580" t="s">
        <x:v>193</x:v>
      </x:c>
      <x:c r="E580" s="67" t="s">
        <x:v>131</x:v>
      </x:c>
      <x:c r="F580" t="n">
        <x:v>1401</x:v>
      </x:c>
      <x:c r="BI580" s="33" t="s"/>
      <x:c r="BJ580" s="11" t="s">
        <x:v>820</x:v>
      </x:c>
      <x:c r="BK580" s="12" t="str">
        <x:f>=BX580</x:f>
      </x:c>
      <x:c r="BL580" s="12" t="n">
        <x:v>0</x:v>
      </x:c>
      <x:c r="BM580" s="12" t="n">
        <x:v>0</x:v>
      </x:c>
      <x:c r="BN580" s="12" t="n">
        <x:v>1</x:v>
      </x:c>
      <x:c r="BO580" s="12" t="str">
        <x:f>=BW580</x:f>
      </x:c>
      <x:c r="BP580" s="12" t="str">
        <x:f>=CF580</x:f>
      </x:c>
      <x:c r="BQ580" s="12" t="str"/>
      <x:c r="BR580" s="12" t="str">
        <x:v>SS 2021 MSS</x:v>
      </x:c>
      <x:c r="BS580" s="13" t="str"/>
      <x:c r="BT580" s="30" t="n">
        <x:v>0</x:v>
      </x:c>
      <x:c r="BU580" s="30" t="n">
        <x:v>-10434.6480</x:v>
      </x:c>
      <x:c r="BV580" s="30" t="str">
        <x:f>=BT580+BU580</x:f>
      </x:c>
      <x:c r="BW580" s="66" t="str">
        <x:f>=BV580/BT580</x:f>
      </x:c>
      <x:c r="BX580" s="66" t="n">
        <x:v>0</x:v>
      </x:c>
      <x:c r="BY580" s="30" t="n">
        <x:v>10367.40</x:v>
      </x:c>
      <x:c r="BZ580" s="41" t="n">
        <x:v>1401</x:v>
      </x:c>
      <x:c r="CA580" s="30" t="n">
        <x:v>10367.40</x:v>
      </x:c>
      <x:c r="CC580" s="30" t="n">
        <x:v>8141.219141211000000000000</x:v>
      </x:c>
      <x:c r="CD580" s="30" t="n">
        <x:v>-10434.6480</x:v>
      </x:c>
      <x:c r="CE580" s="30" t="str">
        <x:f>=CC580+CD580</x:f>
      </x:c>
      <x:c r="CF580" s="66" t="str">
        <x:f>=CE580/CC580</x:f>
      </x:c>
      <x:c r="CH580" s="66" t="str">
        <x:f>=CI580+CJ580</x:f>
      </x:c>
      <x:c r="CI580" s="66" t="str">
        <x:f>=BX580+(0.03*7)</x:f>
      </x:c>
      <x:c r="CJ580" s="66" t="str">
        <x:f>=(1-CI580)*0.5</x:f>
      </x:c>
      <x:c r="CK580" s="66" t="str">
        <x:f>=1-CH580</x:f>
      </x:c>
      <x:c r="CM580" s="66" t="str">
        <x:f>=CJ580/(1-CI580)</x:f>
      </x:c>
    </x:row>
    <x:row r="581">
      <x:c r="A581" s="31" t="s">
        <x:v>1000</x:v>
      </x:c>
      <x:c r="B581" t="s"/>
      <x:c r="C581" t="s">
        <x:v>1001</x:v>
      </x:c>
      <x:c r="D581" t="s">
        <x:v>193</x:v>
      </x:c>
      <x:c r="E581" s="67" t="s">
        <x:v>131</x:v>
      </x:c>
      <x:c r="F581" t="n">
        <x:v>1007</x:v>
      </x:c>
      <x:c r="BI581" s="33" t="s"/>
      <x:c r="BJ581" s="11" t="s">
        <x:v>820</x:v>
      </x:c>
      <x:c r="BK581" s="12" t="str">
        <x:f>=BX581</x:f>
      </x:c>
      <x:c r="BL581" s="12" t="n">
        <x:v>0</x:v>
      </x:c>
      <x:c r="BM581" s="12" t="n">
        <x:v>0</x:v>
      </x:c>
      <x:c r="BN581" s="12" t="n">
        <x:v>1</x:v>
      </x:c>
      <x:c r="BO581" s="12" t="str">
        <x:f>=BW581</x:f>
      </x:c>
      <x:c r="BP581" s="12" t="str">
        <x:f>=CF581</x:f>
      </x:c>
      <x:c r="BQ581" s="12" t="str"/>
      <x:c r="BR581" s="12" t="str">
        <x:v>SS 2021 MSS</x:v>
      </x:c>
      <x:c r="BS581" s="13" t="str"/>
      <x:c r="BT581" s="30" t="n">
        <x:v>0</x:v>
      </x:c>
      <x:c r="BU581" s="30" t="n">
        <x:v>-5351.1980</x:v>
      </x:c>
      <x:c r="BV581" s="30" t="str">
        <x:f>=BT581+BU581</x:f>
      </x:c>
      <x:c r="BW581" s="66" t="str">
        <x:f>=BV581/BT581</x:f>
      </x:c>
      <x:c r="BX581" s="66" t="n">
        <x:v>0</x:v>
      </x:c>
      <x:c r="BY581" s="30" t="n">
        <x:v>5236.40</x:v>
      </x:c>
      <x:c r="BZ581" s="41" t="n">
        <x:v>1007</x:v>
      </x:c>
      <x:c r="CA581" s="30" t="n">
        <x:v>5236.40</x:v>
      </x:c>
      <x:c r="CC581" s="30" t="n">
        <x:v>4388.762138757750000000000</x:v>
      </x:c>
      <x:c r="CD581" s="30" t="n">
        <x:v>-5351.1980</x:v>
      </x:c>
      <x:c r="CE581" s="30" t="str">
        <x:f>=CC581+CD581</x:f>
      </x:c>
      <x:c r="CF581" s="66" t="str">
        <x:f>=CE581/CC581</x:f>
      </x:c>
      <x:c r="CH581" s="66" t="str">
        <x:f>=CI581+CJ581</x:f>
      </x:c>
      <x:c r="CI581" s="66" t="str">
        <x:f>=BX581+(0.03*7)</x:f>
      </x:c>
      <x:c r="CJ581" s="66" t="str">
        <x:f>=(1-CI581)*0.5</x:f>
      </x:c>
      <x:c r="CK581" s="66" t="str">
        <x:f>=1-CH581</x:f>
      </x:c>
      <x:c r="CM581" s="66" t="str">
        <x:f>=CJ581/(1-CI581)</x:f>
      </x:c>
    </x:row>
    <x:row r="582">
      <x:c r="A582" s="31" t="s">
        <x:v>1002</x:v>
      </x:c>
      <x:c r="B582" t="s"/>
      <x:c r="C582" t="s">
        <x:v>1003</x:v>
      </x:c>
      <x:c r="D582" t="s">
        <x:v>193</x:v>
      </x:c>
      <x:c r="E582" s="67" t="s">
        <x:v>131</x:v>
      </x:c>
      <x:c r="F582" t="n">
        <x:v>1529</x:v>
      </x:c>
      <x:c r="BI582" s="33" t="s"/>
      <x:c r="BJ582" s="11" t="s">
        <x:v>820</x:v>
      </x:c>
      <x:c r="BK582" s="12" t="str">
        <x:f>=BX582</x:f>
      </x:c>
      <x:c r="BL582" s="12" t="n">
        <x:v>0</x:v>
      </x:c>
      <x:c r="BM582" s="12" t="n">
        <x:v>0</x:v>
      </x:c>
      <x:c r="BN582" s="12" t="n">
        <x:v>1</x:v>
      </x:c>
      <x:c r="BO582" s="12" t="str">
        <x:f>=BW582</x:f>
      </x:c>
      <x:c r="BP582" s="12" t="str">
        <x:f>=CF582</x:f>
      </x:c>
      <x:c r="BQ582" s="12" t="str"/>
      <x:c r="BR582" s="12" t="str">
        <x:v>SS 2021 MSS</x:v>
      </x:c>
      <x:c r="BS582" s="13" t="str"/>
      <x:c r="BT582" s="30" t="n">
        <x:v>0</x:v>
      </x:c>
      <x:c r="BU582" s="30" t="n">
        <x:v>-8199.2625</x:v>
      </x:c>
      <x:c r="BV582" s="30" t="str">
        <x:f>=BT582+BU582</x:f>
      </x:c>
      <x:c r="BW582" s="66" t="str">
        <x:f>=BV582/BT582</x:f>
      </x:c>
      <x:c r="BX582" s="66" t="n">
        <x:v>0</x:v>
      </x:c>
      <x:c r="BY582" s="30" t="n">
        <x:v>8027.25</x:v>
      </x:c>
      <x:c r="BZ582" s="41" t="n">
        <x:v>1529</x:v>
      </x:c>
      <x:c r="CA582" s="30" t="n">
        <x:v>8027.25</x:v>
      </x:c>
      <x:c r="CC582" s="30" t="n">
        <x:v>8885.027885019000000000000</x:v>
      </x:c>
      <x:c r="CD582" s="30" t="n">
        <x:v>-8199.2625</x:v>
      </x:c>
      <x:c r="CE582" s="30" t="str">
        <x:f>=CC582+CD582</x:f>
      </x:c>
      <x:c r="CF582" s="66" t="str">
        <x:f>=CE582/CC582</x:f>
      </x:c>
      <x:c r="CH582" s="66" t="str">
        <x:f>=CI582+CJ582</x:f>
      </x:c>
      <x:c r="CI582" s="66" t="str">
        <x:f>=BX582+(0.03*7)</x:f>
      </x:c>
      <x:c r="CJ582" s="66" t="str">
        <x:f>=(1-CI582)*0.5</x:f>
      </x:c>
      <x:c r="CK582" s="66" t="str">
        <x:f>=1-CH582</x:f>
      </x:c>
      <x:c r="CM582" s="66" t="str">
        <x:f>=CJ582/(1-CI582)</x:f>
      </x:c>
    </x:row>
    <x:row r="583">
      <x:c r="A583" s="31" t="s">
        <x:v>1004</x:v>
      </x:c>
      <x:c r="B583" t="s"/>
      <x:c r="C583" t="s">
        <x:v>1005</x:v>
      </x:c>
      <x:c r="D583" t="s">
        <x:v>193</x:v>
      </x:c>
      <x:c r="E583" s="67" t="s">
        <x:v>131</x:v>
      </x:c>
      <x:c r="F583" t="n">
        <x:v>1541</x:v>
      </x:c>
      <x:c r="BI583" s="33" t="s"/>
      <x:c r="BJ583" s="11" t="s">
        <x:v>820</x:v>
      </x:c>
      <x:c r="BK583" s="12" t="str">
        <x:f>=BX583</x:f>
      </x:c>
      <x:c r="BL583" s="12" t="n">
        <x:v>0</x:v>
      </x:c>
      <x:c r="BM583" s="12" t="n">
        <x:v>0</x:v>
      </x:c>
      <x:c r="BN583" s="12" t="n">
        <x:v>1</x:v>
      </x:c>
      <x:c r="BO583" s="12" t="str">
        <x:f>=BW583</x:f>
      </x:c>
      <x:c r="BP583" s="12" t="str">
        <x:f>=CF583</x:f>
      </x:c>
      <x:c r="BQ583" s="12" t="str"/>
      <x:c r="BR583" s="12" t="str">
        <x:v>SS 2021 MSS</x:v>
      </x:c>
      <x:c r="BS583" s="13" t="str"/>
      <x:c r="BT583" s="30" t="n">
        <x:v>0</x:v>
      </x:c>
      <x:c r="BU583" s="30" t="n">
        <x:v>-10565.5583</x:v>
      </x:c>
      <x:c r="BV583" s="30" t="str">
        <x:f>=BT583+BU583</x:f>
      </x:c>
      <x:c r="BW583" s="66" t="str">
        <x:f>=BV583/BT583</x:f>
      </x:c>
      <x:c r="BX583" s="66" t="n">
        <x:v>0</x:v>
      </x:c>
      <x:c r="BY583" s="30" t="n">
        <x:v>10463.39</x:v>
      </x:c>
      <x:c r="BZ583" s="41" t="n">
        <x:v>1541</x:v>
      </x:c>
      <x:c r="CA583" s="30" t="n">
        <x:v>10463.39</x:v>
      </x:c>
      <x:c r="CC583" s="30" t="n">
        <x:v>10447.219947209500000000000000</x:v>
      </x:c>
      <x:c r="CD583" s="30" t="n">
        <x:v>-10565.5583</x:v>
      </x:c>
      <x:c r="CE583" s="30" t="str">
        <x:f>=CC583+CD583</x:f>
      </x:c>
      <x:c r="CF583" s="66" t="str">
        <x:f>=CE583/CC583</x:f>
      </x:c>
      <x:c r="CH583" s="66" t="str">
        <x:f>=CI583+CJ583</x:f>
      </x:c>
      <x:c r="CI583" s="66" t="str">
        <x:f>=BX583+(0.03*7)</x:f>
      </x:c>
      <x:c r="CJ583" s="66" t="str">
        <x:f>=(1-CI583)*0.5</x:f>
      </x:c>
      <x:c r="CK583" s="66" t="str">
        <x:f>=1-CH583</x:f>
      </x:c>
      <x:c r="CM583" s="66" t="str">
        <x:f>=CJ583/(1-CI583)</x:f>
      </x:c>
    </x:row>
    <x:row r="584">
      <x:c r="A584" s="31" t="s">
        <x:v>1006</x:v>
      </x:c>
      <x:c r="B584" t="s"/>
      <x:c r="C584" t="s">
        <x:v>1007</x:v>
      </x:c>
      <x:c r="D584" t="s">
        <x:v>193</x:v>
      </x:c>
      <x:c r="E584" s="67" t="s">
        <x:v>131</x:v>
      </x:c>
      <x:c r="F584" t="n">
        <x:v>1454</x:v>
      </x:c>
      <x:c r="BI584" s="33" t="s"/>
      <x:c r="BJ584" s="11" t="s">
        <x:v>820</x:v>
      </x:c>
      <x:c r="BK584" s="12" t="str">
        <x:f>=BX584</x:f>
      </x:c>
      <x:c r="BL584" s="12" t="n">
        <x:v>0</x:v>
      </x:c>
      <x:c r="BM584" s="12" t="n">
        <x:v>0</x:v>
      </x:c>
      <x:c r="BN584" s="12" t="n">
        <x:v>1</x:v>
      </x:c>
      <x:c r="BO584" s="12" t="str">
        <x:f>=BW584</x:f>
      </x:c>
      <x:c r="BP584" s="12" t="str">
        <x:f>=CF584</x:f>
      </x:c>
      <x:c r="BQ584" s="12" t="str"/>
      <x:c r="BR584" s="12" t="str">
        <x:v>SS 2021 MSS</x:v>
      </x:c>
      <x:c r="BS584" s="13" t="str"/>
      <x:c r="BT584" s="30" t="n">
        <x:v>0</x:v>
      </x:c>
      <x:c r="BU584" s="30" t="n">
        <x:v>-10829.3920</x:v>
      </x:c>
      <x:c r="BV584" s="30" t="str">
        <x:f>=BT584+BU584</x:f>
      </x:c>
      <x:c r="BW584" s="66" t="str">
        <x:f>=BV584/BT584</x:f>
      </x:c>
      <x:c r="BX584" s="66" t="n">
        <x:v>0</x:v>
      </x:c>
      <x:c r="BY584" s="30" t="n">
        <x:v>10759.60</x:v>
      </x:c>
      <x:c r="BZ584" s="41" t="n">
        <x:v>1454</x:v>
      </x:c>
      <x:c r="CA584" s="30" t="n">
        <x:v>10759.60</x:v>
      </x:c>
      <x:c r="CC584" s="30" t="n">
        <x:v>8449.202449194000000000000</x:v>
      </x:c>
      <x:c r="CD584" s="30" t="n">
        <x:v>-10829.3920</x:v>
      </x:c>
      <x:c r="CE584" s="30" t="str">
        <x:f>=CC584+CD584</x:f>
      </x:c>
      <x:c r="CF584" s="66" t="str">
        <x:f>=CE584/CC584</x:f>
      </x:c>
      <x:c r="CH584" s="66" t="str">
        <x:f>=CI584+CJ584</x:f>
      </x:c>
      <x:c r="CI584" s="66" t="str">
        <x:f>=BX584+(0.03*7)</x:f>
      </x:c>
      <x:c r="CJ584" s="66" t="str">
        <x:f>=(1-CI584)*0.5</x:f>
      </x:c>
      <x:c r="CK584" s="66" t="str">
        <x:f>=1-CH584</x:f>
      </x:c>
      <x:c r="CM584" s="66" t="str">
        <x:f>=CJ584/(1-CI584)</x:f>
      </x:c>
    </x:row>
    <x:row r="585">
      <x:c r="A585" s="31" t="s">
        <x:v>1008</x:v>
      </x:c>
      <x:c r="B585" t="s"/>
      <x:c r="C585" t="s">
        <x:v>1009</x:v>
      </x:c>
      <x:c r="D585" t="s">
        <x:v>193</x:v>
      </x:c>
      <x:c r="E585" s="67" t="s">
        <x:v>131</x:v>
      </x:c>
      <x:c r="F585" t="n">
        <x:v>963</x:v>
      </x:c>
      <x:c r="BI585" s="33" t="s"/>
      <x:c r="BJ585" s="11" t="s">
        <x:v>820</x:v>
      </x:c>
      <x:c r="BK585" s="12" t="str">
        <x:f>=BX585</x:f>
      </x:c>
      <x:c r="BL585" s="12" t="n">
        <x:v>0</x:v>
      </x:c>
      <x:c r="BM585" s="12" t="n">
        <x:v>0</x:v>
      </x:c>
      <x:c r="BN585" s="12" t="n">
        <x:v>1</x:v>
      </x:c>
      <x:c r="BO585" s="12" t="str">
        <x:f>=BW585</x:f>
      </x:c>
      <x:c r="BP585" s="12" t="str">
        <x:f>=CF585</x:f>
      </x:c>
      <x:c r="BQ585" s="12" t="str"/>
      <x:c r="BR585" s="12" t="str">
        <x:v>SS 2021 MSS</x:v>
      </x:c>
      <x:c r="BS585" s="13" t="str"/>
      <x:c r="BT585" s="30" t="n">
        <x:v>0</x:v>
      </x:c>
      <x:c r="BU585" s="30" t="n">
        <x:v>-14902.9065</x:v>
      </x:c>
      <x:c r="BV585" s="30" t="str">
        <x:f>=BT585+BU585</x:f>
      </x:c>
      <x:c r="BW585" s="66" t="str">
        <x:f>=BV585/BT585</x:f>
      </x:c>
      <x:c r="BX585" s="66" t="n">
        <x:v>0</x:v>
      </x:c>
      <x:c r="BY585" s="30" t="n">
        <x:v>13433.85</x:v>
      </x:c>
      <x:c r="BZ585" s="41" t="n">
        <x:v>963</x:v>
      </x:c>
      <x:c r="CA585" s="30" t="n">
        <x:v>13433.85</x:v>
      </x:c>
      <x:c r="CC585" s="30" t="n">
        <x:v>12124.663624651500000000000</x:v>
      </x:c>
      <x:c r="CD585" s="30" t="n">
        <x:v>-14902.9065</x:v>
      </x:c>
      <x:c r="CE585" s="30" t="str">
        <x:f>=CC585+CD585</x:f>
      </x:c>
      <x:c r="CF585" s="66" t="str">
        <x:f>=CE585/CC585</x:f>
      </x:c>
      <x:c r="CH585" s="66" t="str">
        <x:f>=CI585+CJ585</x:f>
      </x:c>
      <x:c r="CI585" s="66" t="str">
        <x:f>=BX585+(0.03*7)</x:f>
      </x:c>
      <x:c r="CJ585" s="66" t="str">
        <x:f>=(1-CI585)*0.5</x:f>
      </x:c>
      <x:c r="CK585" s="66" t="str">
        <x:f>=1-CH585</x:f>
      </x:c>
      <x:c r="CM585" s="66" t="str">
        <x:f>=CJ585/(1-CI585)</x:f>
      </x:c>
    </x:row>
    <x:row r="586">
      <x:c r="A586" s="31" t="s">
        <x:v>1010</x:v>
      </x:c>
      <x:c r="B586" t="s"/>
      <x:c r="C586" t="s">
        <x:v>1011</x:v>
      </x:c>
      <x:c r="D586" t="s">
        <x:v>193</x:v>
      </x:c>
      <x:c r="E586" s="67" t="s">
        <x:v>131</x:v>
      </x:c>
      <x:c r="F586" t="n">
        <x:v>1568</x:v>
      </x:c>
      <x:c r="BI586" s="33" t="s"/>
      <x:c r="BJ586" s="11" t="s">
        <x:v>820</x:v>
      </x:c>
      <x:c r="BK586" s="12" t="str">
        <x:f>=BX586</x:f>
      </x:c>
      <x:c r="BL586" s="12" t="n">
        <x:v>0</x:v>
      </x:c>
      <x:c r="BM586" s="12" t="n">
        <x:v>0</x:v>
      </x:c>
      <x:c r="BN586" s="12" t="n">
        <x:v>1</x:v>
      </x:c>
      <x:c r="BO586" s="12" t="str">
        <x:f>=BW586</x:f>
      </x:c>
      <x:c r="BP586" s="12" t="str">
        <x:f>=CF586</x:f>
      </x:c>
      <x:c r="BQ586" s="12" t="str"/>
      <x:c r="BR586" s="12" t="str">
        <x:v>SS 2021 MSS</x:v>
      </x:c>
      <x:c r="BS586" s="13" t="str"/>
      <x:c r="BT586" s="30" t="n">
        <x:v>0</x:v>
      </x:c>
      <x:c r="BU586" s="30" t="n">
        <x:v>-8408.4000</x:v>
      </x:c>
      <x:c r="BV586" s="30" t="str">
        <x:f>=BT586+BU586</x:f>
      </x:c>
      <x:c r="BW586" s="66" t="str">
        <x:f>=BV586/BT586</x:f>
      </x:c>
      <x:c r="BX586" s="66" t="n">
        <x:v>0</x:v>
      </x:c>
      <x:c r="BY586" s="30" t="n">
        <x:v>8232.00</x:v>
      </x:c>
      <x:c r="BZ586" s="41" t="n">
        <x:v>1568</x:v>
      </x:c>
      <x:c r="CA586" s="30" t="n">
        <x:v>8232.00</x:v>
      </x:c>
      <x:c r="CC586" s="30" t="n">
        <x:v>6833.742833736000000000000</x:v>
      </x:c>
      <x:c r="CD586" s="30" t="n">
        <x:v>-8408.4000</x:v>
      </x:c>
      <x:c r="CE586" s="30" t="str">
        <x:f>=CC586+CD586</x:f>
      </x:c>
      <x:c r="CF586" s="66" t="str">
        <x:f>=CE586/CC586</x:f>
      </x:c>
      <x:c r="CH586" s="66" t="str">
        <x:f>=CI586+CJ586</x:f>
      </x:c>
      <x:c r="CI586" s="66" t="str">
        <x:f>=BX586+(0.03*7)</x:f>
      </x:c>
      <x:c r="CJ586" s="66" t="str">
        <x:f>=(1-CI586)*0.5</x:f>
      </x:c>
      <x:c r="CK586" s="66" t="str">
        <x:f>=1-CH586</x:f>
      </x:c>
      <x:c r="CM586" s="66" t="str">
        <x:f>=CJ586/(1-CI586)</x:f>
      </x:c>
    </x:row>
    <x:row r="587">
      <x:c r="A587" s="31" t="s">
        <x:v>1012</x:v>
      </x:c>
      <x:c r="B587" t="s"/>
      <x:c r="C587" t="s">
        <x:v>1013</x:v>
      </x:c>
      <x:c r="D587" t="s">
        <x:v>193</x:v>
      </x:c>
      <x:c r="E587" s="67" t="s">
        <x:v>131</x:v>
      </x:c>
      <x:c r="F587" t="n">
        <x:v>1557</x:v>
      </x:c>
      <x:c r="BI587" s="33" t="s"/>
      <x:c r="BJ587" s="11" t="s">
        <x:v>820</x:v>
      </x:c>
      <x:c r="BK587" s="12" t="str">
        <x:f>=BX587</x:f>
      </x:c>
      <x:c r="BL587" s="12" t="n">
        <x:v>0</x:v>
      </x:c>
      <x:c r="BM587" s="12" t="n">
        <x:v>0</x:v>
      </x:c>
      <x:c r="BN587" s="12" t="n">
        <x:v>1</x:v>
      </x:c>
      <x:c r="BO587" s="12" t="str">
        <x:f>=BW587</x:f>
      </x:c>
      <x:c r="BP587" s="12" t="str">
        <x:f>=CF587</x:f>
      </x:c>
      <x:c r="BQ587" s="12" t="str"/>
      <x:c r="BR587" s="12" t="str">
        <x:v>SS 2021 MSS</x:v>
      </x:c>
      <x:c r="BS587" s="13" t="str"/>
      <x:c r="BT587" s="30" t="n">
        <x:v>0</x:v>
      </x:c>
      <x:c r="BU587" s="30" t="n">
        <x:v>-11672.0505</x:v>
      </x:c>
      <x:c r="BV587" s="30" t="str">
        <x:f>=BT587+BU587</x:f>
      </x:c>
      <x:c r="BW587" s="66" t="str">
        <x:f>=BV587/BT587</x:f>
      </x:c>
      <x:c r="BX587" s="66" t="n">
        <x:v>0</x:v>
      </x:c>
      <x:c r="BY587" s="30" t="n">
        <x:v>11599.65</x:v>
      </x:c>
      <x:c r="BZ587" s="41" t="n">
        <x:v>1557</x:v>
      </x:c>
      <x:c r="CA587" s="30" t="n">
        <x:v>11599.65</x:v>
      </x:c>
      <x:c r="CC587" s="30" t="n">
        <x:v>9424.7250497156250000000000</x:v>
      </x:c>
      <x:c r="CD587" s="30" t="n">
        <x:v>-11672.0505</x:v>
      </x:c>
      <x:c r="CE587" s="30" t="str">
        <x:f>=CC587+CD587</x:f>
      </x:c>
      <x:c r="CF587" s="66" t="str">
        <x:f>=CE587/CC587</x:f>
      </x:c>
      <x:c r="CH587" s="66" t="str">
        <x:f>=CI587+CJ587</x:f>
      </x:c>
      <x:c r="CI587" s="66" t="str">
        <x:f>=BX587+(0.03*7)</x:f>
      </x:c>
      <x:c r="CJ587" s="66" t="str">
        <x:f>=(1-CI587)*0.5</x:f>
      </x:c>
      <x:c r="CK587" s="66" t="str">
        <x:f>=1-CH587</x:f>
      </x:c>
      <x:c r="CM587" s="66" t="str">
        <x:f>=CJ587/(1-CI587)</x:f>
      </x:c>
    </x:row>
    <x:row r="588">
      <x:c r="A588" s="31" t="s">
        <x:v>1014</x:v>
      </x:c>
      <x:c r="B588" t="s"/>
      <x:c r="C588" t="s">
        <x:v>1015</x:v>
      </x:c>
      <x:c r="D588" t="s">
        <x:v>193</x:v>
      </x:c>
      <x:c r="E588" s="67" t="s">
        <x:v>131</x:v>
      </x:c>
      <x:c r="F588" t="n">
        <x:v>1031</x:v>
      </x:c>
      <x:c r="BI588" s="33" t="s"/>
      <x:c r="BJ588" s="11" t="s">
        <x:v>820</x:v>
      </x:c>
      <x:c r="BK588" s="12" t="str">
        <x:f>=BX588</x:f>
      </x:c>
      <x:c r="BL588" s="12" t="n">
        <x:v>0</x:v>
      </x:c>
      <x:c r="BM588" s="12" t="n">
        <x:v>0</x:v>
      </x:c>
      <x:c r="BN588" s="12" t="n">
        <x:v>1</x:v>
      </x:c>
      <x:c r="BO588" s="12" t="str">
        <x:f>=BW588</x:f>
      </x:c>
      <x:c r="BP588" s="12" t="str">
        <x:f>=CF588</x:f>
      </x:c>
      <x:c r="BQ588" s="12" t="str"/>
      <x:c r="BR588" s="12" t="str">
        <x:v>SS 2021 MSS</x:v>
      </x:c>
      <x:c r="BS588" s="13" t="str"/>
      <x:c r="BT588" s="30" t="n">
        <x:v>0</x:v>
      </x:c>
      <x:c r="BU588" s="30" t="n">
        <x:v>-9038.4677</x:v>
      </x:c>
      <x:c r="BV588" s="30" t="str">
        <x:f>=BT588+BU588</x:f>
      </x:c>
      <x:c r="BW588" s="66" t="str">
        <x:f>=BV588/BT588</x:f>
      </x:c>
      <x:c r="BX588" s="66" t="n">
        <x:v>0</x:v>
      </x:c>
      <x:c r="BY588" s="30" t="n">
        <x:v>7784.05</x:v>
      </x:c>
      <x:c r="BZ588" s="41" t="n">
        <x:v>1031</x:v>
      </x:c>
      <x:c r="CA588" s="30" t="n">
        <x:v>7784.05</x:v>
      </x:c>
      <x:c r="CC588" s="30" t="n">
        <x:v>6490.4092404027500000000000000</x:v>
      </x:c>
      <x:c r="CD588" s="30" t="n">
        <x:v>-9038.4677</x:v>
      </x:c>
      <x:c r="CE588" s="30" t="str">
        <x:f>=CC588+CD588</x:f>
      </x:c>
      <x:c r="CF588" s="66" t="str">
        <x:f>=CE588/CC588</x:f>
      </x:c>
      <x:c r="CH588" s="66" t="str">
        <x:f>=CI588+CJ588</x:f>
      </x:c>
      <x:c r="CI588" s="66" t="str">
        <x:f>=BX588+(0.03*7)</x:f>
      </x:c>
      <x:c r="CJ588" s="66" t="str">
        <x:f>=(1-CI588)*0.5</x:f>
      </x:c>
      <x:c r="CK588" s="66" t="str">
        <x:f>=1-CH588</x:f>
      </x:c>
      <x:c r="CM588" s="66" t="str">
        <x:f>=CJ588/(1-CI588)</x:f>
      </x:c>
    </x:row>
    <x:row r="589">
      <x:c r="A589" s="31" t="s">
        <x:v>1016</x:v>
      </x:c>
      <x:c r="B589" t="s"/>
      <x:c r="C589" t="s">
        <x:v>1017</x:v>
      </x:c>
      <x:c r="D589" t="s">
        <x:v>193</x:v>
      </x:c>
      <x:c r="E589" s="67" t="s">
        <x:v>131</x:v>
      </x:c>
      <x:c r="F589" t="n">
        <x:v>1545</x:v>
      </x:c>
      <x:c r="BI589" s="33" t="s"/>
      <x:c r="BJ589" s="11" t="s">
        <x:v>820</x:v>
      </x:c>
      <x:c r="BK589" s="12" t="str">
        <x:f>=BX589</x:f>
      </x:c>
      <x:c r="BL589" s="12" t="n">
        <x:v>0</x:v>
      </x:c>
      <x:c r="BM589" s="12" t="n">
        <x:v>0</x:v>
      </x:c>
      <x:c r="BN589" s="12" t="n">
        <x:v>1</x:v>
      </x:c>
      <x:c r="BO589" s="12" t="str">
        <x:f>=BW589</x:f>
      </x:c>
      <x:c r="BP589" s="12" t="str">
        <x:f>=CF589</x:f>
      </x:c>
      <x:c r="BQ589" s="12" t="str"/>
      <x:c r="BR589" s="12" t="str">
        <x:v>SS 2021 MSS</x:v>
      </x:c>
      <x:c r="BS589" s="13" t="str"/>
      <x:c r="BT589" s="30" t="n">
        <x:v>0</x:v>
      </x:c>
      <x:c r="BU589" s="30" t="n">
        <x:v>-10592.9835</x:v>
      </x:c>
      <x:c r="BV589" s="30" t="str">
        <x:f>=BT589+BU589</x:f>
      </x:c>
      <x:c r="BW589" s="66" t="str">
        <x:f>=BV589/BT589</x:f>
      </x:c>
      <x:c r="BX589" s="66" t="n">
        <x:v>0</x:v>
      </x:c>
      <x:c r="BY589" s="30" t="n">
        <x:v>10490.55</x:v>
      </x:c>
      <x:c r="BZ589" s="41" t="n">
        <x:v>1545</x:v>
      </x:c>
      <x:c r="CA589" s="30" t="n">
        <x:v>10490.55</x:v>
      </x:c>
      <x:c r="CC589" s="30" t="n">
        <x:v>10474.337974327500000000000</x:v>
      </x:c>
      <x:c r="CD589" s="30" t="n">
        <x:v>-10592.9835</x:v>
      </x:c>
      <x:c r="CE589" s="30" t="str">
        <x:f>=CC589+CD589</x:f>
      </x:c>
      <x:c r="CF589" s="66" t="str">
        <x:f>=CE589/CC589</x:f>
      </x:c>
      <x:c r="CH589" s="66" t="str">
        <x:f>=CI589+CJ589</x:f>
      </x:c>
      <x:c r="CI589" s="66" t="str">
        <x:f>=BX589+(0.03*7)</x:f>
      </x:c>
      <x:c r="CJ589" s="66" t="str">
        <x:f>=(1-CI589)*0.5</x:f>
      </x:c>
      <x:c r="CK589" s="66" t="str">
        <x:f>=1-CH589</x:f>
      </x:c>
      <x:c r="CM589" s="66" t="str">
        <x:f>=CJ589/(1-CI589)</x:f>
      </x:c>
    </x:row>
    <x:row r="590">
      <x:c r="A590" s="31" t="s">
        <x:v>1018</x:v>
      </x:c>
      <x:c r="B590" t="s"/>
      <x:c r="C590" t="s">
        <x:v>1019</x:v>
      </x:c>
      <x:c r="D590" t="s">
        <x:v>193</x:v>
      </x:c>
      <x:c r="E590" s="67" t="s">
        <x:v>131</x:v>
      </x:c>
      <x:c r="F590" t="n">
        <x:v>1527</x:v>
      </x:c>
      <x:c r="BI590" s="33" t="s"/>
      <x:c r="BJ590" s="11" t="s">
        <x:v>820</x:v>
      </x:c>
      <x:c r="BK590" s="12" t="str">
        <x:f>=BX590</x:f>
      </x:c>
      <x:c r="BL590" s="12" t="n">
        <x:v>0</x:v>
      </x:c>
      <x:c r="BM590" s="12" t="n">
        <x:v>0</x:v>
      </x:c>
      <x:c r="BN590" s="12" t="n">
        <x:v>1</x:v>
      </x:c>
      <x:c r="BO590" s="12" t="str">
        <x:f>=BW590</x:f>
      </x:c>
      <x:c r="BP590" s="12" t="str">
        <x:f>=CF590</x:f>
      </x:c>
      <x:c r="BQ590" s="12" t="str"/>
      <x:c r="BR590" s="12" t="str">
        <x:v>SS 2021 MSS</x:v>
      </x:c>
      <x:c r="BS590" s="13" t="str"/>
      <x:c r="BT590" s="30" t="n">
        <x:v>0</x:v>
      </x:c>
      <x:c r="BU590" s="30" t="n">
        <x:v>-11447.1555</x:v>
      </x:c>
      <x:c r="BV590" s="30" t="str">
        <x:f>=BT590+BU590</x:f>
      </x:c>
      <x:c r="BW590" s="66" t="str">
        <x:f>=BV590/BT590</x:f>
      </x:c>
      <x:c r="BX590" s="66" t="n">
        <x:v>0</x:v>
      </x:c>
      <x:c r="BY590" s="30" t="n">
        <x:v>11376.15</x:v>
      </x:c>
      <x:c r="BZ590" s="41" t="n">
        <x:v>1527</x:v>
      </x:c>
      <x:c r="CA590" s="30" t="n">
        <x:v>11376.15</x:v>
      </x:c>
      <x:c r="CC590" s="30" t="n">
        <x:v>9243.1311181218750000000000</x:v>
      </x:c>
      <x:c r="CD590" s="30" t="n">
        <x:v>-11447.1555</x:v>
      </x:c>
      <x:c r="CE590" s="30" t="str">
        <x:f>=CC590+CD590</x:f>
      </x:c>
      <x:c r="CF590" s="66" t="str">
        <x:f>=CE590/CC590</x:f>
      </x:c>
      <x:c r="CH590" s="66" t="str">
        <x:f>=CI590+CJ590</x:f>
      </x:c>
      <x:c r="CI590" s="66" t="str">
        <x:f>=BX590+(0.03*7)</x:f>
      </x:c>
      <x:c r="CJ590" s="66" t="str">
        <x:f>=(1-CI590)*0.5</x:f>
      </x:c>
      <x:c r="CK590" s="66" t="str">
        <x:f>=1-CH590</x:f>
      </x:c>
      <x:c r="CM590" s="66" t="str">
        <x:f>=CJ590/(1-CI590)</x:f>
      </x:c>
    </x:row>
    <x:row r="591">
      <x:c r="A591" s="31" t="s">
        <x:v>1020</x:v>
      </x:c>
      <x:c r="B591" t="s"/>
      <x:c r="C591" t="s">
        <x:v>1021</x:v>
      </x:c>
      <x:c r="D591" t="s">
        <x:v>118</x:v>
      </x:c>
      <x:c r="E591" s="67" t="s">
        <x:v>131</x:v>
      </x:c>
      <x:c r="F591" t="n">
        <x:v>1987</x:v>
      </x:c>
      <x:c r="BI591" s="33" t="s"/>
      <x:c r="BJ591" s="11" t="s">
        <x:v>820</x:v>
      </x:c>
      <x:c r="BK591" s="12" t="str">
        <x:f>=BX591</x:f>
      </x:c>
      <x:c r="BL591" s="12" t="n">
        <x:v>0</x:v>
      </x:c>
      <x:c r="BM591" s="12" t="n">
        <x:v>0</x:v>
      </x:c>
      <x:c r="BN591" s="12" t="n">
        <x:v>1</x:v>
      </x:c>
      <x:c r="BO591" s="12" t="str">
        <x:f>=BW591</x:f>
      </x:c>
      <x:c r="BP591" s="12" t="str">
        <x:f>=CF591</x:f>
      </x:c>
      <x:c r="BQ591" s="12" t="str"/>
      <x:c r="BR591" s="12" t="str">
        <x:v>AW 2021 MSS</x:v>
      </x:c>
      <x:c r="BS591" s="13" t="str"/>
      <x:c r="BT591" s="30" t="n">
        <x:v>0</x:v>
      </x:c>
      <x:c r="BU591" s="30" t="n">
        <x:v>-14935.4498</x:v>
      </x:c>
      <x:c r="BV591" s="30" t="str">
        <x:f>=BT591+BU591</x:f>
      </x:c>
      <x:c r="BW591" s="66" t="str">
        <x:f>=BV591/BT591</x:f>
      </x:c>
      <x:c r="BX591" s="66" t="n">
        <x:v>0</x:v>
      </x:c>
      <x:c r="BY591" s="30" t="n">
        <x:v>14007.70</x:v>
      </x:c>
      <x:c r="BZ591" s="41" t="n">
        <x:v>1987</x:v>
      </x:c>
      <x:c r="CA591" s="30" t="n">
        <x:v>14007.700000000000000000000000</x:v>
      </x:c>
      <x:c r="CC591" s="30" t="n">
        <x:v>11546.468546457000000000000</x:v>
      </x:c>
      <x:c r="CD591" s="30" t="n">
        <x:v>-14935.4498</x:v>
      </x:c>
      <x:c r="CE591" s="30" t="str">
        <x:f>=CC591+CD591</x:f>
      </x:c>
      <x:c r="CF591" s="66" t="str">
        <x:f>=CE591/CC591</x:f>
      </x:c>
      <x:c r="CH591" s="66" t="str">
        <x:f>=CI591+CJ591</x:f>
      </x:c>
      <x:c r="CI591" s="66" t="str">
        <x:f>=BX591+(0.03*7)</x:f>
      </x:c>
      <x:c r="CJ591" s="66" t="str">
        <x:f>=(1-CI591)*0.5</x:f>
      </x:c>
      <x:c r="CK591" s="66" t="str">
        <x:f>=1-CH591</x:f>
      </x:c>
      <x:c r="CM591" s="66" t="str">
        <x:f>=CJ591/(1-CI591)</x:f>
      </x:c>
    </x:row>
    <x:row r="592">
      <x:c r="A592" s="31" t="s">
        <x:v>1022</x:v>
      </x:c>
      <x:c r="B592" t="s"/>
      <x:c r="C592" t="s">
        <x:v>1023</x:v>
      </x:c>
      <x:c r="D592" t="s">
        <x:v>118</x:v>
      </x:c>
      <x:c r="E592" s="67" t="s">
        <x:v>131</x:v>
      </x:c>
      <x:c r="F592" t="n">
        <x:v>2000</x:v>
      </x:c>
      <x:c r="BI592" s="33" t="s"/>
      <x:c r="BJ592" s="11" t="s">
        <x:v>820</x:v>
      </x:c>
      <x:c r="BK592" s="12" t="str">
        <x:f>=BX592</x:f>
      </x:c>
      <x:c r="BL592" s="12" t="n">
        <x:v>0</x:v>
      </x:c>
      <x:c r="BM592" s="12" t="n">
        <x:v>0</x:v>
      </x:c>
      <x:c r="BN592" s="12" t="n">
        <x:v>1</x:v>
      </x:c>
      <x:c r="BO592" s="12" t="str">
        <x:f>=BW592</x:f>
      </x:c>
      <x:c r="BP592" s="12" t="str">
        <x:f>=CF592</x:f>
      </x:c>
      <x:c r="BQ592" s="12" t="str"/>
      <x:c r="BR592" s="12" t="str">
        <x:v>AW 2021 MSS</x:v>
      </x:c>
      <x:c r="BS592" s="13" t="str"/>
      <x:c r="BT592" s="30" t="n">
        <x:v>0</x:v>
      </x:c>
      <x:c r="BU592" s="30" t="n">
        <x:v>-14335.6134</x:v>
      </x:c>
      <x:c r="BV592" s="30" t="str">
        <x:f>=BT592+BU592</x:f>
      </x:c>
      <x:c r="BW592" s="66" t="str">
        <x:f>=BV592/BT592</x:f>
      </x:c>
      <x:c r="BX592" s="66" t="n">
        <x:v>0</x:v>
      </x:c>
      <x:c r="BY592" s="30" t="n">
        <x:v>13380.22</x:v>
      </x:c>
      <x:c r="BZ592" s="41" t="n">
        <x:v>2000</x:v>
      </x:c>
      <x:c r="CA592" s="30" t="n">
        <x:v>13380.22000</x:v>
      </x:c>
      <x:c r="CC592" s="30" t="n">
        <x:v>10653.510653500000000000000000</x:v>
      </x:c>
      <x:c r="CD592" s="30" t="n">
        <x:v>-14335.6134</x:v>
      </x:c>
      <x:c r="CE592" s="30" t="str">
        <x:f>=CC592+CD592</x:f>
      </x:c>
      <x:c r="CF592" s="66" t="str">
        <x:f>=CE592/CC592</x:f>
      </x:c>
      <x:c r="CH592" s="66" t="str">
        <x:f>=CI592+CJ592</x:f>
      </x:c>
      <x:c r="CI592" s="66" t="str">
        <x:f>=BX592+(0.03*7)</x:f>
      </x:c>
      <x:c r="CJ592" s="66" t="str">
        <x:f>=(1-CI592)*0.5</x:f>
      </x:c>
      <x:c r="CK592" s="66" t="str">
        <x:f>=1-CH592</x:f>
      </x:c>
      <x:c r="CM592" s="66" t="str">
        <x:f>=CJ592/(1-CI592)</x:f>
      </x:c>
    </x:row>
    <x:row r="593">
      <x:c r="A593" s="31" t="s">
        <x:v>1024</x:v>
      </x:c>
      <x:c r="B593" t="s"/>
      <x:c r="C593" t="s">
        <x:v>1025</x:v>
      </x:c>
      <x:c r="D593" t="s">
        <x:v>118</x:v>
      </x:c>
      <x:c r="E593" s="67" t="s">
        <x:v>131</x:v>
      </x:c>
      <x:c r="F593" t="n">
        <x:v>874</x:v>
      </x:c>
      <x:c r="BI593" s="33" t="s"/>
      <x:c r="BJ593" s="11" t="s">
        <x:v>820</x:v>
      </x:c>
      <x:c r="BK593" s="12" t="str">
        <x:f>=BX593</x:f>
      </x:c>
      <x:c r="BL593" s="12" t="n">
        <x:v>0</x:v>
      </x:c>
      <x:c r="BM593" s="12" t="n">
        <x:v>0</x:v>
      </x:c>
      <x:c r="BN593" s="12" t="n">
        <x:v>1</x:v>
      </x:c>
      <x:c r="BO593" s="12" t="str">
        <x:f>=BW593</x:f>
      </x:c>
      <x:c r="BP593" s="12" t="str">
        <x:f>=CF593</x:f>
      </x:c>
      <x:c r="BQ593" s="12" t="str"/>
      <x:c r="BR593" s="12" t="str">
        <x:v>AW 2021 MSS</x:v>
      </x:c>
      <x:c r="BS593" s="13" t="str"/>
      <x:c r="BT593" s="30" t="n">
        <x:v>0</x:v>
      </x:c>
      <x:c r="BU593" s="30" t="n">
        <x:v>-8689.2206</x:v>
      </x:c>
      <x:c r="BV593" s="30" t="str">
        <x:f>=BT593+BU593</x:f>
      </x:c>
      <x:c r="BW593" s="66" t="str">
        <x:f>=BV593/BT593</x:f>
      </x:c>
      <x:c r="BX593" s="66" t="n">
        <x:v>0</x:v>
      </x:c>
      <x:c r="BY593" s="30" t="n">
        <x:v>8346.70</x:v>
      </x:c>
      <x:c r="BZ593" s="41" t="n">
        <x:v>874</x:v>
      </x:c>
      <x:c r="CA593" s="30" t="n">
        <x:v>8346.70</x:v>
      </x:c>
      <x:c r="CC593" s="30" t="n">
        <x:v>6348.523848517500000000000</x:v>
      </x:c>
      <x:c r="CD593" s="30" t="n">
        <x:v>-8689.2206</x:v>
      </x:c>
      <x:c r="CE593" s="30" t="str">
        <x:f>=CC593+CD593</x:f>
      </x:c>
      <x:c r="CF593" s="66" t="str">
        <x:f>=CE593/CC593</x:f>
      </x:c>
      <x:c r="CH593" s="66" t="str">
        <x:f>=CI593+CJ593</x:f>
      </x:c>
      <x:c r="CI593" s="66" t="str">
        <x:f>=BX593+(0.03*7)</x:f>
      </x:c>
      <x:c r="CJ593" s="66" t="str">
        <x:f>=(1-CI593)*0.5</x:f>
      </x:c>
      <x:c r="CK593" s="66" t="str">
        <x:f>=1-CH593</x:f>
      </x:c>
      <x:c r="CM593" s="66" t="str">
        <x:f>=CJ593/(1-CI593)</x:f>
      </x:c>
    </x:row>
    <x:row r="594">
      <x:c r="A594" s="31" t="s">
        <x:v>1026</x:v>
      </x:c>
      <x:c r="B594" t="s"/>
      <x:c r="C594" t="s">
        <x:v>1027</x:v>
      </x:c>
      <x:c r="D594" t="s">
        <x:v>118</x:v>
      </x:c>
      <x:c r="E594" s="67" t="s">
        <x:v>131</x:v>
      </x:c>
      <x:c r="F594" t="n">
        <x:v>896</x:v>
      </x:c>
      <x:c r="BI594" s="33" t="s"/>
      <x:c r="BJ594" s="11" t="s">
        <x:v>820</x:v>
      </x:c>
      <x:c r="BK594" s="12" t="str">
        <x:f>=BX594</x:f>
      </x:c>
      <x:c r="BL594" s="12" t="n">
        <x:v>0</x:v>
      </x:c>
      <x:c r="BM594" s="12" t="n">
        <x:v>0</x:v>
      </x:c>
      <x:c r="BN594" s="12" t="n">
        <x:v>1</x:v>
      </x:c>
      <x:c r="BO594" s="12" t="str">
        <x:f>=BW594</x:f>
      </x:c>
      <x:c r="BP594" s="12" t="str">
        <x:f>=CF594</x:f>
      </x:c>
      <x:c r="BQ594" s="12" t="str"/>
      <x:c r="BR594" s="12" t="str">
        <x:v>AW 2021 MSS</x:v>
      </x:c>
      <x:c r="BS594" s="13" t="str"/>
      <x:c r="BT594" s="30" t="n">
        <x:v>0</x:v>
      </x:c>
      <x:c r="BU594" s="30" t="n">
        <x:v>-6170.2144</x:v>
      </x:c>
      <x:c r="BV594" s="30" t="str">
        <x:f>=BT594+BU594</x:f>
      </x:c>
      <x:c r="BW594" s="66" t="str">
        <x:f>=BV594/BT594</x:f>
      </x:c>
      <x:c r="BX594" s="66" t="n">
        <x:v>0</x:v>
      </x:c>
      <x:c r="BY594" s="30" t="n">
        <x:v>5734.40</x:v>
      </x:c>
      <x:c r="BZ594" s="41" t="n">
        <x:v>896</x:v>
      </x:c>
      <x:c r="CA594" s="30" t="n">
        <x:v>5734.40</x:v>
      </x:c>
      <x:c r="CC594" s="30" t="n">
        <x:v>5206.661206656000000000000</x:v>
      </x:c>
      <x:c r="CD594" s="30" t="n">
        <x:v>-6170.2144</x:v>
      </x:c>
      <x:c r="CE594" s="30" t="str">
        <x:f>=CC594+CD594</x:f>
      </x:c>
      <x:c r="CF594" s="66" t="str">
        <x:f>=CE594/CC594</x:f>
      </x:c>
      <x:c r="CH594" s="66" t="str">
        <x:f>=CI594+CJ594</x:f>
      </x:c>
      <x:c r="CI594" s="66" t="str">
        <x:f>=BX594+(0.03*7)</x:f>
      </x:c>
      <x:c r="CJ594" s="66" t="str">
        <x:f>=(1-CI594)*0.5</x:f>
      </x:c>
      <x:c r="CK594" s="66" t="str">
        <x:f>=1-CH594</x:f>
      </x:c>
      <x:c r="CM594" s="66" t="str">
        <x:f>=CJ594/(1-CI594)</x:f>
      </x:c>
    </x:row>
    <x:row r="595">
      <x:c r="A595" s="31" t="s">
        <x:v>1028</x:v>
      </x:c>
      <x:c r="B595" t="s"/>
      <x:c r="C595" t="s">
        <x:v>1029</x:v>
      </x:c>
      <x:c r="D595" t="s">
        <x:v>118</x:v>
      </x:c>
      <x:c r="E595" s="67" t="s">
        <x:v>131</x:v>
      </x:c>
      <x:c r="F595" t="n">
        <x:v>1692</x:v>
      </x:c>
      <x:c r="BI595" s="33" t="s"/>
      <x:c r="BJ595" s="11" t="s">
        <x:v>820</x:v>
      </x:c>
      <x:c r="BK595" s="12" t="str">
        <x:f>=BX595</x:f>
      </x:c>
      <x:c r="BL595" s="12" t="n">
        <x:v>0</x:v>
      </x:c>
      <x:c r="BM595" s="12" t="n">
        <x:v>0</x:v>
      </x:c>
      <x:c r="BN595" s="12" t="n">
        <x:v>1</x:v>
      </x:c>
      <x:c r="BO595" s="12" t="str">
        <x:f>=BW595</x:f>
      </x:c>
      <x:c r="BP595" s="12" t="str">
        <x:f>=CF595</x:f>
      </x:c>
      <x:c r="BQ595" s="12" t="str"/>
      <x:c r="BR595" s="12" t="str">
        <x:v>AW 2021 MSS</x:v>
      </x:c>
      <x:c r="BS595" s="13" t="str"/>
      <x:c r="BT595" s="30" t="n">
        <x:v>0</x:v>
      </x:c>
      <x:c r="BU595" s="30" t="n">
        <x:v>-11651.7888</x:v>
      </x:c>
      <x:c r="BV595" s="30" t="str">
        <x:f>=BT595+BU595</x:f>
      </x:c>
      <x:c r="BW595" s="66" t="str">
        <x:f>=BV595/BT595</x:f>
      </x:c>
      <x:c r="BX595" s="66" t="n">
        <x:v>0</x:v>
      </x:c>
      <x:c r="BY595" s="30" t="n">
        <x:v>10828.80</x:v>
      </x:c>
      <x:c r="BZ595" s="41" t="n">
        <x:v>1692</x:v>
      </x:c>
      <x:c r="CA595" s="30" t="n">
        <x:v>10828.80</x:v>
      </x:c>
      <x:c r="CC595" s="30" t="n">
        <x:v>9832.221832212000000000000</x:v>
      </x:c>
      <x:c r="CD595" s="30" t="n">
        <x:v>-11651.7888</x:v>
      </x:c>
      <x:c r="CE595" s="30" t="str">
        <x:f>=CC595+CD595</x:f>
      </x:c>
      <x:c r="CF595" s="66" t="str">
        <x:f>=CE595/CC595</x:f>
      </x:c>
      <x:c r="CH595" s="66" t="str">
        <x:f>=CI595+CJ595</x:f>
      </x:c>
      <x:c r="CI595" s="66" t="str">
        <x:f>=BX595+(0.03*7)</x:f>
      </x:c>
      <x:c r="CJ595" s="66" t="str">
        <x:f>=(1-CI595)*0.5</x:f>
      </x:c>
      <x:c r="CK595" s="66" t="str">
        <x:f>=1-CH595</x:f>
      </x:c>
      <x:c r="CM595" s="66" t="str">
        <x:f>=CJ595/(1-CI595)</x:f>
      </x:c>
    </x:row>
    <x:row r="596">
      <x:c r="A596" s="31" t="s">
        <x:v>1030</x:v>
      </x:c>
      <x:c r="B596" t="s"/>
      <x:c r="C596" t="s">
        <x:v>1031</x:v>
      </x:c>
      <x:c r="D596" t="s">
        <x:v>118</x:v>
      </x:c>
      <x:c r="E596" s="67" t="s">
        <x:v>131</x:v>
      </x:c>
      <x:c r="F596" t="n">
        <x:v>1886</x:v>
      </x:c>
      <x:c r="BI596" s="33" t="s"/>
      <x:c r="BJ596" s="11" t="s">
        <x:v>820</x:v>
      </x:c>
      <x:c r="BK596" s="12" t="str">
        <x:f>=BX596</x:f>
      </x:c>
      <x:c r="BL596" s="12" t="n">
        <x:v>0</x:v>
      </x:c>
      <x:c r="BM596" s="12" t="n">
        <x:v>0</x:v>
      </x:c>
      <x:c r="BN596" s="12" t="n">
        <x:v>1</x:v>
      </x:c>
      <x:c r="BO596" s="12" t="str">
        <x:f>=BW596</x:f>
      </x:c>
      <x:c r="BP596" s="12" t="str">
        <x:f>=CF596</x:f>
      </x:c>
      <x:c r="BQ596" s="12" t="str"/>
      <x:c r="BR596" s="12" t="str">
        <x:v>AW 2021 MSS</x:v>
      </x:c>
      <x:c r="BS596" s="13" t="str"/>
      <x:c r="BT596" s="30" t="n">
        <x:v>0</x:v>
      </x:c>
      <x:c r="BU596" s="30" t="n">
        <x:v>-11341.2724</x:v>
      </x:c>
      <x:c r="BV596" s="30" t="str">
        <x:f>=BT596+BU596</x:f>
      </x:c>
      <x:c r="BW596" s="66" t="str">
        <x:f>=BV596/BT596</x:f>
      </x:c>
      <x:c r="BX596" s="66" t="n">
        <x:v>0</x:v>
      </x:c>
      <x:c r="BY596" s="30" t="n">
        <x:v>10373.00</x:v>
      </x:c>
      <x:c r="BZ596" s="41" t="n">
        <x:v>1886</x:v>
      </x:c>
      <x:c r="CA596" s="30" t="n">
        <x:v>10373.00</x:v>
      </x:c>
      <x:c r="CC596" s="30" t="n">
        <x:v>8219.667719659500000000000</x:v>
      </x:c>
      <x:c r="CD596" s="30" t="n">
        <x:v>-11341.2724</x:v>
      </x:c>
      <x:c r="CE596" s="30" t="str">
        <x:f>=CC596+CD596</x:f>
      </x:c>
      <x:c r="CF596" s="66" t="str">
        <x:f>=CE596/CC596</x:f>
      </x:c>
      <x:c r="CH596" s="66" t="str">
        <x:f>=CI596+CJ596</x:f>
      </x:c>
      <x:c r="CI596" s="66" t="str">
        <x:f>=BX596+(0.03*7)</x:f>
      </x:c>
      <x:c r="CJ596" s="66" t="str">
        <x:f>=(1-CI596)*0.5</x:f>
      </x:c>
      <x:c r="CK596" s="66" t="str">
        <x:f>=1-CH596</x:f>
      </x:c>
      <x:c r="CM596" s="66" t="str">
        <x:f>=CJ596/(1-CI596)</x:f>
      </x:c>
    </x:row>
    <x:row r="597">
      <x:c r="A597" s="31" t="s">
        <x:v>1032</x:v>
      </x:c>
      <x:c r="B597" t="s"/>
      <x:c r="C597" t="s">
        <x:v>1033</x:v>
      </x:c>
      <x:c r="D597" t="s">
        <x:v>118</x:v>
      </x:c>
      <x:c r="E597" s="67" t="s">
        <x:v>131</x:v>
      </x:c>
      <x:c r="F597" t="n">
        <x:v>831</x:v>
      </x:c>
      <x:c r="BI597" s="33" t="s"/>
      <x:c r="BJ597" s="11" t="s">
        <x:v>820</x:v>
      </x:c>
      <x:c r="BK597" s="12" t="str">
        <x:f>=BX597</x:f>
      </x:c>
      <x:c r="BL597" s="12" t="n">
        <x:v>0</x:v>
      </x:c>
      <x:c r="BM597" s="12" t="n">
        <x:v>0</x:v>
      </x:c>
      <x:c r="BN597" s="12" t="n">
        <x:v>1</x:v>
      </x:c>
      <x:c r="BO597" s="12" t="str">
        <x:f>=BW597</x:f>
      </x:c>
      <x:c r="BP597" s="12" t="str">
        <x:f>=CF597</x:f>
      </x:c>
      <x:c r="BQ597" s="12" t="str"/>
      <x:c r="BR597" s="12" t="str">
        <x:v>SS 2021 EOS</x:v>
      </x:c>
      <x:c r="BS597" s="13" t="str"/>
      <x:c r="BT597" s="30" t="n">
        <x:v>0</x:v>
      </x:c>
      <x:c r="BU597" s="30" t="n">
        <x:v>-9615.9165</x:v>
      </x:c>
      <x:c r="BV597" s="30" t="str">
        <x:f>=BT597+BU597</x:f>
      </x:c>
      <x:c r="BW597" s="66" t="str">
        <x:f>=BV597/BT597</x:f>
      </x:c>
      <x:c r="BX597" s="66" t="n">
        <x:v>0</x:v>
      </x:c>
      <x:c r="BY597" s="30" t="n">
        <x:v>9332.13</x:v>
      </x:c>
      <x:c r="BZ597" s="41" t="n">
        <x:v>831</x:v>
      </x:c>
      <x:c r="CA597" s="30" t="n">
        <x:v>9332.13</x:v>
      </x:c>
      <x:c r="CC597" s="30" t="n">
        <x:v>6841.006590999750000000000</x:v>
      </x:c>
      <x:c r="CD597" s="30" t="n">
        <x:v>-9615.9165</x:v>
      </x:c>
      <x:c r="CE597" s="30" t="str">
        <x:f>=CC597+CD597</x:f>
      </x:c>
      <x:c r="CF597" s="66" t="str">
        <x:f>=CE597/CC597</x:f>
      </x:c>
      <x:c r="CH597" s="66" t="str">
        <x:f>=CI597+CJ597</x:f>
      </x:c>
      <x:c r="CI597" s="66" t="str">
        <x:f>=BX597+(0.03*7)</x:f>
      </x:c>
      <x:c r="CJ597" s="66" t="str">
        <x:f>=(1-CI597)*0.5</x:f>
      </x:c>
      <x:c r="CK597" s="66" t="str">
        <x:f>=1-CH597</x:f>
      </x:c>
      <x:c r="CM597" s="66" t="str">
        <x:f>=CJ597/(1-CI597)</x:f>
      </x:c>
    </x:row>
    <x:row r="598">
      <x:c r="A598" s="31" t="s">
        <x:v>1034</x:v>
      </x:c>
      <x:c r="B598" t="s"/>
      <x:c r="C598" t="s">
        <x:v>1035</x:v>
      </x:c>
      <x:c r="D598" t="s">
        <x:v>118</x:v>
      </x:c>
      <x:c r="E598" s="67" t="s">
        <x:v>131</x:v>
      </x:c>
      <x:c r="F598" t="n">
        <x:v>1954</x:v>
      </x:c>
      <x:c r="BI598" s="33" t="s"/>
      <x:c r="BJ598" s="11" t="s">
        <x:v>820</x:v>
      </x:c>
      <x:c r="BK598" s="12" t="str">
        <x:f>=BX598</x:f>
      </x:c>
      <x:c r="BL598" s="12" t="n">
        <x:v>0</x:v>
      </x:c>
      <x:c r="BM598" s="12" t="n">
        <x:v>0</x:v>
      </x:c>
      <x:c r="BN598" s="12" t="n">
        <x:v>1</x:v>
      </x:c>
      <x:c r="BO598" s="12" t="str">
        <x:f>=BW598</x:f>
      </x:c>
      <x:c r="BP598" s="12" t="str">
        <x:f>=CF598</x:f>
      </x:c>
      <x:c r="BQ598" s="12" t="str"/>
      <x:c r="BR598" s="12" t="str">
        <x:v>AW 2021 MSS</x:v>
      </x:c>
      <x:c r="BS598" s="13" t="str"/>
      <x:c r="BT598" s="30" t="n">
        <x:v>0</x:v>
      </x:c>
      <x:c r="BU598" s="30" t="n">
        <x:v>-11750.1836</x:v>
      </x:c>
      <x:c r="BV598" s="30" t="str">
        <x:f>=BT598+BU598</x:f>
      </x:c>
      <x:c r="BW598" s="66" t="str">
        <x:f>=BV598/BT598</x:f>
      </x:c>
      <x:c r="BX598" s="66" t="n">
        <x:v>0</x:v>
      </x:c>
      <x:c r="BY598" s="30" t="n">
        <x:v>10747.00</x:v>
      </x:c>
      <x:c r="BZ598" s="41" t="n">
        <x:v>1954</x:v>
      </x:c>
      <x:c r="CA598" s="30" t="n">
        <x:v>10747.00</x:v>
      </x:c>
      <x:c r="CC598" s="30" t="n">
        <x:v>8516.029016020500000000000</x:v>
      </x:c>
      <x:c r="CD598" s="30" t="n">
        <x:v>-11750.1836</x:v>
      </x:c>
      <x:c r="CE598" s="30" t="str">
        <x:f>=CC598+CD598</x:f>
      </x:c>
      <x:c r="CF598" s="66" t="str">
        <x:f>=CE598/CC598</x:f>
      </x:c>
      <x:c r="CH598" s="66" t="str">
        <x:f>=CI598+CJ598</x:f>
      </x:c>
      <x:c r="CI598" s="66" t="str">
        <x:f>=BX598+(0.03*7)</x:f>
      </x:c>
      <x:c r="CJ598" s="66" t="str">
        <x:f>=(1-CI598)*0.5</x:f>
      </x:c>
      <x:c r="CK598" s="66" t="str">
        <x:f>=1-CH598</x:f>
      </x:c>
      <x:c r="CM598" s="66" t="str">
        <x:f>=CJ598/(1-CI598)</x:f>
      </x:c>
    </x:row>
    <x:row r="599">
      <x:c r="A599" s="31" t="s">
        <x:v>1036</x:v>
      </x:c>
      <x:c r="B599" t="s"/>
      <x:c r="C599" t="s">
        <x:v>1037</x:v>
      </x:c>
      <x:c r="D599" t="s">
        <x:v>118</x:v>
      </x:c>
      <x:c r="E599" s="67" t="s">
        <x:v>131</x:v>
      </x:c>
      <x:c r="F599" t="n">
        <x:v>1911</x:v>
      </x:c>
      <x:c r="BI599" s="33" t="s"/>
      <x:c r="BJ599" s="11" t="s">
        <x:v>820</x:v>
      </x:c>
      <x:c r="BK599" s="12" t="str">
        <x:f>=BX599</x:f>
      </x:c>
      <x:c r="BL599" s="12" t="n">
        <x:v>0</x:v>
      </x:c>
      <x:c r="BM599" s="12" t="n">
        <x:v>0</x:v>
      </x:c>
      <x:c r="BN599" s="12" t="n">
        <x:v>1</x:v>
      </x:c>
      <x:c r="BO599" s="12" t="str">
        <x:f>=BW599</x:f>
      </x:c>
      <x:c r="BP599" s="12" t="str">
        <x:f>=CF599</x:f>
      </x:c>
      <x:c r="BQ599" s="12" t="str"/>
      <x:c r="BR599" s="12" t="str">
        <x:v>AW 2021 MSS</x:v>
      </x:c>
      <x:c r="BS599" s="13" t="str"/>
      <x:c r="BT599" s="30" t="n">
        <x:v>0</x:v>
      </x:c>
      <x:c r="BU599" s="30" t="n">
        <x:v>-14457.4794</x:v>
      </x:c>
      <x:c r="BV599" s="30" t="str">
        <x:f>=BT599+BU599</x:f>
      </x:c>
      <x:c r="BW599" s="66" t="str">
        <x:f>=BV599/BT599</x:f>
      </x:c>
      <x:c r="BX599" s="66" t="n">
        <x:v>0</x:v>
      </x:c>
      <x:c r="BY599" s="30" t="n">
        <x:v>13568.10</x:v>
      </x:c>
      <x:c r="BZ599" s="41" t="n">
        <x:v>1911</x:v>
      </x:c>
      <x:c r="CA599" s="30" t="n">
        <x:v>13568.10</x:v>
      </x:c>
      <x:c r="CC599" s="30" t="n">
        <x:v>10179.429429419250000000000</x:v>
      </x:c>
      <x:c r="CD599" s="30" t="n">
        <x:v>-14457.4794</x:v>
      </x:c>
      <x:c r="CE599" s="30" t="str">
        <x:f>=CC599+CD599</x:f>
      </x:c>
      <x:c r="CF599" s="66" t="str">
        <x:f>=CE599/CC599</x:f>
      </x:c>
      <x:c r="CH599" s="66" t="str">
        <x:f>=CI599+CJ599</x:f>
      </x:c>
      <x:c r="CI599" s="66" t="str">
        <x:f>=BX599+(0.03*7)</x:f>
      </x:c>
      <x:c r="CJ599" s="66" t="str">
        <x:f>=(1-CI599)*0.5</x:f>
      </x:c>
      <x:c r="CK599" s="66" t="str">
        <x:f>=1-CH599</x:f>
      </x:c>
      <x:c r="CM599" s="66" t="str">
        <x:f>=CJ599/(1-CI599)</x:f>
      </x:c>
    </x:row>
    <x:row r="600">
      <x:c r="A600" s="31" t="s">
        <x:v>1038</x:v>
      </x:c>
      <x:c r="B600" t="s"/>
      <x:c r="C600" t="s">
        <x:v>1039</x:v>
      </x:c>
      <x:c r="D600" t="s">
        <x:v>118</x:v>
      </x:c>
      <x:c r="E600" s="67" t="s">
        <x:v>131</x:v>
      </x:c>
      <x:c r="F600" t="n">
        <x:v>1951</x:v>
      </x:c>
      <x:c r="BI600" s="33" t="s"/>
      <x:c r="BJ600" s="11" t="s">
        <x:v>820</x:v>
      </x:c>
      <x:c r="BK600" s="12" t="str">
        <x:f>=BX600</x:f>
      </x:c>
      <x:c r="BL600" s="12" t="n">
        <x:v>0</x:v>
      </x:c>
      <x:c r="BM600" s="12" t="n">
        <x:v>0</x:v>
      </x:c>
      <x:c r="BN600" s="12" t="n">
        <x:v>1</x:v>
      </x:c>
      <x:c r="BO600" s="12" t="str">
        <x:f>=BW600</x:f>
      </x:c>
      <x:c r="BP600" s="12" t="str">
        <x:f>=CF600</x:f>
      </x:c>
      <x:c r="BQ600" s="12" t="str"/>
      <x:c r="BR600" s="12" t="str">
        <x:v>AW 2021 MSS</x:v>
      </x:c>
      <x:c r="BS600" s="13" t="str"/>
      <x:c r="BT600" s="30" t="n">
        <x:v>0</x:v>
      </x:c>
      <x:c r="BU600" s="30" t="n">
        <x:v>-15517.0834</x:v>
      </x:c>
      <x:c r="BV600" s="30" t="str">
        <x:f>=BT600+BU600</x:f>
      </x:c>
      <x:c r="BW600" s="66" t="str">
        <x:f>=BV600/BT600</x:f>
      </x:c>
      <x:c r="BX600" s="66" t="n">
        <x:v>0</x:v>
      </x:c>
      <x:c r="BY600" s="30" t="n">
        <x:v>14632.50</x:v>
      </x:c>
      <x:c r="BZ600" s="41" t="n">
        <x:v>1951</x:v>
      </x:c>
      <x:c r="CA600" s="30" t="n">
        <x:v>14632.50</x:v>
      </x:c>
      <x:c r="CC600" s="30" t="n">
        <x:v>13226.817726804500000000000000</x:v>
      </x:c>
      <x:c r="CD600" s="30" t="n">
        <x:v>-15517.0834</x:v>
      </x:c>
      <x:c r="CE600" s="30" t="str">
        <x:f>=CC600+CD600</x:f>
      </x:c>
      <x:c r="CF600" s="66" t="str">
        <x:f>=CE600/CC600</x:f>
      </x:c>
      <x:c r="CH600" s="66" t="str">
        <x:f>=CI600+CJ600</x:f>
      </x:c>
      <x:c r="CI600" s="66" t="str">
        <x:f>=BX600+(0.03*7)</x:f>
      </x:c>
      <x:c r="CJ600" s="66" t="str">
        <x:f>=(1-CI600)*0.5</x:f>
      </x:c>
      <x:c r="CK600" s="66" t="str">
        <x:f>=1-CH600</x:f>
      </x:c>
      <x:c r="CM600" s="66" t="str">
        <x:f>=CJ600/(1-CI600)</x:f>
      </x:c>
    </x:row>
    <x:row r="601">
      <x:c r="A601" s="31" t="s">
        <x:v>1040</x:v>
      </x:c>
      <x:c r="B601" t="s"/>
      <x:c r="C601" t="s">
        <x:v>1041</x:v>
      </x:c>
      <x:c r="D601" t="s">
        <x:v>118</x:v>
      </x:c>
      <x:c r="E601" s="67" t="s">
        <x:v>131</x:v>
      </x:c>
      <x:c r="F601" t="n">
        <x:v>2002</x:v>
      </x:c>
      <x:c r="BI601" s="33" t="s"/>
      <x:c r="BJ601" s="11" t="s">
        <x:v>820</x:v>
      </x:c>
      <x:c r="BK601" s="12" t="str">
        <x:f>=BX601</x:f>
      </x:c>
      <x:c r="BL601" s="12" t="n">
        <x:v>0</x:v>
      </x:c>
      <x:c r="BM601" s="12" t="n">
        <x:v>0</x:v>
      </x:c>
      <x:c r="BN601" s="12" t="n">
        <x:v>1</x:v>
      </x:c>
      <x:c r="BO601" s="12" t="str">
        <x:f>=BW601</x:f>
      </x:c>
      <x:c r="BP601" s="12" t="str">
        <x:f>=CF601</x:f>
      </x:c>
      <x:c r="BQ601" s="12" t="str"/>
      <x:c r="BR601" s="12" t="str">
        <x:v>AW 2021 MSS</x:v>
      </x:c>
      <x:c r="BS601" s="13" t="str"/>
      <x:c r="BT601" s="30" t="n">
        <x:v>0</x:v>
      </x:c>
      <x:c r="BU601" s="30" t="n">
        <x:v>-13883.6698</x:v>
      </x:c>
      <x:c r="BV601" s="30" t="str">
        <x:f>=BT601+BU601</x:f>
      </x:c>
      <x:c r="BW601" s="66" t="str">
        <x:f>=BV601/BT601</x:f>
      </x:c>
      <x:c r="BX601" s="66" t="n">
        <x:v>0</x:v>
      </x:c>
      <x:c r="BY601" s="30" t="n">
        <x:v>12912.90</x:v>
      </x:c>
      <x:c r="BZ601" s="41" t="n">
        <x:v>2002</x:v>
      </x:c>
      <x:c r="CA601" s="30" t="n">
        <x:v>12912.90</x:v>
      </x:c>
      <x:c r="CC601" s="30" t="n">
        <x:v>10664.164164153500000000000000</x:v>
      </x:c>
      <x:c r="CD601" s="30" t="n">
        <x:v>-13883.6698</x:v>
      </x:c>
      <x:c r="CE601" s="30" t="str">
        <x:f>=CC601+CD601</x:f>
      </x:c>
      <x:c r="CF601" s="66" t="str">
        <x:f>=CE601/CC601</x:f>
      </x:c>
      <x:c r="CH601" s="66" t="str">
        <x:f>=CI601+CJ601</x:f>
      </x:c>
      <x:c r="CI601" s="66" t="str">
        <x:f>=BX601+(0.03*7)</x:f>
      </x:c>
      <x:c r="CJ601" s="66" t="str">
        <x:f>=(1-CI601)*0.5</x:f>
      </x:c>
      <x:c r="CK601" s="66" t="str">
        <x:f>=1-CH601</x:f>
      </x:c>
      <x:c r="CM601" s="66" t="str">
        <x:f>=CJ601/(1-CI601)</x:f>
      </x:c>
    </x:row>
    <x:row r="602">
      <x:c r="A602" s="31" t="s">
        <x:v>1042</x:v>
      </x:c>
      <x:c r="B602" t="s"/>
      <x:c r="C602" t="s">
        <x:v>1043</x:v>
      </x:c>
      <x:c r="D602" t="s">
        <x:v>118</x:v>
      </x:c>
      <x:c r="E602" s="67" t="s">
        <x:v>131</x:v>
      </x:c>
      <x:c r="F602" t="n">
        <x:v>1965</x:v>
      </x:c>
      <x:c r="BI602" s="33" t="s"/>
      <x:c r="BJ602" s="11" t="s">
        <x:v>820</x:v>
      </x:c>
      <x:c r="BK602" s="12" t="str">
        <x:f>=BX602</x:f>
      </x:c>
      <x:c r="BL602" s="12" t="n">
        <x:v>0</x:v>
      </x:c>
      <x:c r="BM602" s="12" t="n">
        <x:v>0</x:v>
      </x:c>
      <x:c r="BN602" s="12" t="n">
        <x:v>1</x:v>
      </x:c>
      <x:c r="BO602" s="12" t="str">
        <x:f>=BW602</x:f>
      </x:c>
      <x:c r="BP602" s="12" t="str">
        <x:f>=CF602</x:f>
      </x:c>
      <x:c r="BQ602" s="12" t="str"/>
      <x:c r="BR602" s="12" t="str">
        <x:v>AW 2021 MSS</x:v>
      </x:c>
      <x:c r="BS602" s="13" t="str"/>
      <x:c r="BT602" s="30" t="n">
        <x:v>0</x:v>
      </x:c>
      <x:c r="BU602" s="30" t="n">
        <x:v>-14294.1960</x:v>
      </x:c>
      <x:c r="BV602" s="30" t="str">
        <x:f>=BT602+BU602</x:f>
      </x:c>
      <x:c r="BW602" s="66" t="str">
        <x:f>=BV602/BT602</x:f>
      </x:c>
      <x:c r="BX602" s="66" t="n">
        <x:v>0</x:v>
      </x:c>
      <x:c r="BY602" s="30" t="n">
        <x:v>13362.00</x:v>
      </x:c>
      <x:c r="BZ602" s="41" t="n">
        <x:v>1965</x:v>
      </x:c>
      <x:c r="CA602" s="30" t="n">
        <x:v>13362.00</x:v>
      </x:c>
      <x:c r="CC602" s="30" t="n">
        <x:v>10467.074217063750000000000</x:v>
      </x:c>
      <x:c r="CD602" s="30" t="n">
        <x:v>-14294.1960</x:v>
      </x:c>
      <x:c r="CE602" s="30" t="str">
        <x:f>=CC602+CD602</x:f>
      </x:c>
      <x:c r="CF602" s="66" t="str">
        <x:f>=CE602/CC602</x:f>
      </x:c>
      <x:c r="CH602" s="66" t="str">
        <x:f>=CI602+CJ602</x:f>
      </x:c>
      <x:c r="CI602" s="66" t="str">
        <x:f>=BX602+(0.03*7)</x:f>
      </x:c>
      <x:c r="CJ602" s="66" t="str">
        <x:f>=(1-CI602)*0.5</x:f>
      </x:c>
      <x:c r="CK602" s="66" t="str">
        <x:f>=1-CH602</x:f>
      </x:c>
      <x:c r="CM602" s="66" t="str">
        <x:f>=CJ602/(1-CI602)</x:f>
      </x:c>
    </x:row>
    <x:row r="603">
      <x:c r="A603" s="31" t="s">
        <x:v>1044</x:v>
      </x:c>
      <x:c r="B603" t="s"/>
      <x:c r="C603" t="s">
        <x:v>1045</x:v>
      </x:c>
      <x:c r="D603" t="s">
        <x:v>118</x:v>
      </x:c>
      <x:c r="E603" s="67" t="s">
        <x:v>131</x:v>
      </x:c>
      <x:c r="F603" t="n">
        <x:v>1979</x:v>
      </x:c>
      <x:c r="BI603" s="33" t="s"/>
      <x:c r="BJ603" s="11" t="s">
        <x:v>820</x:v>
      </x:c>
      <x:c r="BK603" s="12" t="str">
        <x:f>=BX603</x:f>
      </x:c>
      <x:c r="BL603" s="12" t="n">
        <x:v>0</x:v>
      </x:c>
      <x:c r="BM603" s="12" t="n">
        <x:v>0</x:v>
      </x:c>
      <x:c r="BN603" s="12" t="n">
        <x:v>1</x:v>
      </x:c>
      <x:c r="BO603" s="12" t="str">
        <x:f>=BW603</x:f>
      </x:c>
      <x:c r="BP603" s="12" t="str">
        <x:f>=CF603</x:f>
      </x:c>
      <x:c r="BQ603" s="12" t="str"/>
      <x:c r="BR603" s="12" t="str">
        <x:v>AW 2021 MSS</x:v>
      </x:c>
      <x:c r="BS603" s="13" t="str"/>
      <x:c r="BT603" s="30" t="n">
        <x:v>0</x:v>
      </x:c>
      <x:c r="BU603" s="30" t="n">
        <x:v>-11900.5186</x:v>
      </x:c>
      <x:c r="BV603" s="30" t="str">
        <x:f>=BT603+BU603</x:f>
      </x:c>
      <x:c r="BW603" s="66" t="str">
        <x:f>=BV603/BT603</x:f>
      </x:c>
      <x:c r="BX603" s="66" t="n">
        <x:v>0</x:v>
      </x:c>
      <x:c r="BY603" s="30" t="n">
        <x:v>10884.50</x:v>
      </x:c>
      <x:c r="BZ603" s="41" t="n">
        <x:v>1979</x:v>
      </x:c>
      <x:c r="CA603" s="30" t="n">
        <x:v>10884.50</x:v>
      </x:c>
      <x:c r="CC603" s="30" t="n">
        <x:v>8624.985374976750000000000</x:v>
      </x:c>
      <x:c r="CD603" s="30" t="n">
        <x:v>-11900.5186</x:v>
      </x:c>
      <x:c r="CE603" s="30" t="str">
        <x:f>=CC603+CD603</x:f>
      </x:c>
      <x:c r="CF603" s="66" t="str">
        <x:f>=CE603/CC603</x:f>
      </x:c>
      <x:c r="CH603" s="66" t="str">
        <x:f>=CI603+CJ603</x:f>
      </x:c>
      <x:c r="CI603" s="66" t="str">
        <x:f>=BX603+(0.03*7)</x:f>
      </x:c>
      <x:c r="CJ603" s="66" t="str">
        <x:f>=(1-CI603)*0.5</x:f>
      </x:c>
      <x:c r="CK603" s="66" t="str">
        <x:f>=1-CH603</x:f>
      </x:c>
      <x:c r="CM603" s="66" t="str">
        <x:f>=CJ603/(1-CI603)</x:f>
      </x:c>
    </x:row>
    <x:row r="604">
      <x:c r="A604" s="31" t="s">
        <x:v>1046</x:v>
      </x:c>
      <x:c r="B604" t="s"/>
      <x:c r="C604" t="s">
        <x:v>1047</x:v>
      </x:c>
      <x:c r="D604" t="s">
        <x:v>118</x:v>
      </x:c>
      <x:c r="E604" s="67" t="s">
        <x:v>131</x:v>
      </x:c>
      <x:c r="F604" t="n">
        <x:v>1969</x:v>
      </x:c>
      <x:c r="BI604" s="33" t="s"/>
      <x:c r="BJ604" s="11" t="s">
        <x:v>820</x:v>
      </x:c>
      <x:c r="BK604" s="12" t="str">
        <x:f>=BX604</x:f>
      </x:c>
      <x:c r="BL604" s="12" t="n">
        <x:v>0</x:v>
      </x:c>
      <x:c r="BM604" s="12" t="n">
        <x:v>0</x:v>
      </x:c>
      <x:c r="BN604" s="12" t="n">
        <x:v>1</x:v>
      </x:c>
      <x:c r="BO604" s="12" t="str">
        <x:f>=BW604</x:f>
      </x:c>
      <x:c r="BP604" s="12" t="str">
        <x:f>=CF604</x:f>
      </x:c>
      <x:c r="BQ604" s="12" t="str"/>
      <x:c r="BR604" s="12" t="str">
        <x:v>AW 2021 MSS</x:v>
      </x:c>
      <x:c r="BS604" s="13" t="str"/>
      <x:c r="BT604" s="30" t="n">
        <x:v>0</x:v>
      </x:c>
      <x:c r="BU604" s="30" t="n">
        <x:v>-15660.2446</x:v>
      </x:c>
      <x:c r="BV604" s="30" t="str">
        <x:f>=BT604+BU604</x:f>
      </x:c>
      <x:c r="BW604" s="66" t="str">
        <x:f>=BV604/BT604</x:f>
      </x:c>
      <x:c r="BX604" s="66" t="n">
        <x:v>0</x:v>
      </x:c>
      <x:c r="BY604" s="30" t="n">
        <x:v>14767.50</x:v>
      </x:c>
      <x:c r="BZ604" s="41" t="n">
        <x:v>1969</x:v>
      </x:c>
      <x:c r="CA604" s="30" t="n">
        <x:v>14767.50</x:v>
      </x:c>
      <x:c r="CC604" s="30" t="n">
        <x:v>13348.848848835500000000000000</x:v>
      </x:c>
      <x:c r="CD604" s="30" t="n">
        <x:v>-15660.2446</x:v>
      </x:c>
      <x:c r="CE604" s="30" t="str">
        <x:f>=CC604+CD604</x:f>
      </x:c>
      <x:c r="CF604" s="66" t="str">
        <x:f>=CE604/CC604</x:f>
      </x:c>
      <x:c r="CH604" s="66" t="str">
        <x:f>=CI604+CJ604</x:f>
      </x:c>
      <x:c r="CI604" s="66" t="str">
        <x:f>=BX604+(0.03*7)</x:f>
      </x:c>
      <x:c r="CJ604" s="66" t="str">
        <x:f>=(1-CI604)*0.5</x:f>
      </x:c>
      <x:c r="CK604" s="66" t="str">
        <x:f>=1-CH604</x:f>
      </x:c>
      <x:c r="CM604" s="66" t="str">
        <x:f>=CJ604/(1-CI604)</x:f>
      </x:c>
    </x:row>
    <x:row r="605">
      <x:c r="A605" s="31" t="s">
        <x:v>1048</x:v>
      </x:c>
      <x:c r="B605" t="s"/>
      <x:c r="C605" t="s">
        <x:v>1049</x:v>
      </x:c>
      <x:c r="D605" t="s">
        <x:v>118</x:v>
      </x:c>
      <x:c r="E605" s="67" t="s">
        <x:v>131</x:v>
      </x:c>
      <x:c r="F605" t="n">
        <x:v>862</x:v>
      </x:c>
      <x:c r="BI605" s="33" t="s"/>
      <x:c r="BJ605" s="11" t="s">
        <x:v>820</x:v>
      </x:c>
      <x:c r="BK605" s="12" t="str">
        <x:f>=BX605</x:f>
      </x:c>
      <x:c r="BL605" s="12" t="n">
        <x:v>0</x:v>
      </x:c>
      <x:c r="BM605" s="12" t="n">
        <x:v>0</x:v>
      </x:c>
      <x:c r="BN605" s="12" t="n">
        <x:v>1</x:v>
      </x:c>
      <x:c r="BO605" s="12" t="str">
        <x:f>=BW605</x:f>
      </x:c>
      <x:c r="BP605" s="12" t="str">
        <x:f>=CF605</x:f>
      </x:c>
      <x:c r="BQ605" s="12" t="str"/>
      <x:c r="BR605" s="12" t="str">
        <x:v>SS 2021 EOS</x:v>
      </x:c>
      <x:c r="BS605" s="13" t="str"/>
      <x:c r="BT605" s="30" t="n">
        <x:v>0</x:v>
      </x:c>
      <x:c r="BU605" s="30" t="n">
        <x:v>-9974.6330</x:v>
      </x:c>
      <x:c r="BV605" s="30" t="str">
        <x:f>=BT605+BU605</x:f>
      </x:c>
      <x:c r="BW605" s="66" t="str">
        <x:f>=BV605/BT605</x:f>
      </x:c>
      <x:c r="BX605" s="66" t="n">
        <x:v>0</x:v>
      </x:c>
      <x:c r="BY605" s="30" t="n">
        <x:v>9680.26</x:v>
      </x:c>
      <x:c r="BZ605" s="41" t="n">
        <x:v>862</x:v>
      </x:c>
      <x:c r="CA605" s="30" t="n">
        <x:v>9680.26</x:v>
      </x:c>
      <x:c r="CC605" s="30" t="n">
        <x:v>7096.2065961995000000000000000</x:v>
      </x:c>
      <x:c r="CD605" s="30" t="n">
        <x:v>-9974.6330</x:v>
      </x:c>
      <x:c r="CE605" s="30" t="str">
        <x:f>=CC605+CD605</x:f>
      </x:c>
      <x:c r="CF605" s="66" t="str">
        <x:f>=CE605/CC605</x:f>
      </x:c>
      <x:c r="CH605" s="66" t="str">
        <x:f>=CI605+CJ605</x:f>
      </x:c>
      <x:c r="CI605" s="66" t="str">
        <x:f>=BX605+(0.03*7)</x:f>
      </x:c>
      <x:c r="CJ605" s="66" t="str">
        <x:f>=(1-CI605)*0.5</x:f>
      </x:c>
      <x:c r="CK605" s="66" t="str">
        <x:f>=1-CH605</x:f>
      </x:c>
      <x:c r="CM605" s="66" t="str">
        <x:f>=CJ605/(1-CI605)</x:f>
      </x:c>
    </x:row>
    <x:row r="606">
      <x:c r="A606" s="31" t="s">
        <x:v>1050</x:v>
      </x:c>
      <x:c r="B606" t="s"/>
      <x:c r="C606" t="s">
        <x:v>1051</x:v>
      </x:c>
      <x:c r="D606" t="s">
        <x:v>130</x:v>
      </x:c>
      <x:c r="E606" s="67" t="s">
        <x:v>131</x:v>
      </x:c>
      <x:c r="F606" t="n">
        <x:v>470</x:v>
      </x:c>
      <x:c r="BI606" s="33" t="s"/>
      <x:c r="BJ606" s="11" t="s">
        <x:v>820</x:v>
      </x:c>
      <x:c r="BK606" s="12" t="str">
        <x:f>=BX606</x:f>
      </x:c>
      <x:c r="BL606" s="12" t="n">
        <x:v>0</x:v>
      </x:c>
      <x:c r="BM606" s="12" t="n">
        <x:v>0</x:v>
      </x:c>
      <x:c r="BN606" s="12" t="n">
        <x:v>1</x:v>
      </x:c>
      <x:c r="BO606" s="12" t="str">
        <x:f>=BW606</x:f>
      </x:c>
      <x:c r="BP606" s="12" t="str">
        <x:f>=CF606</x:f>
      </x:c>
      <x:c r="BQ606" s="12" t="str"/>
      <x:c r="BR606" s="12" t="str">
        <x:v>SS 2021 MSS</x:v>
      </x:c>
      <x:c r="BS606" s="13" t="str"/>
      <x:c r="BT606" s="30" t="n">
        <x:v>0</x:v>
      </x:c>
      <x:c r="BU606" s="30" t="n">
        <x:v>-3432.1750</x:v>
      </x:c>
      <x:c r="BV606" s="30" t="str">
        <x:f>=BT606+BU606</x:f>
      </x:c>
      <x:c r="BW606" s="66" t="str">
        <x:f>=BV606/BT606</x:f>
      </x:c>
      <x:c r="BX606" s="66" t="n">
        <x:v>0</x:v>
      </x:c>
      <x:c r="BY606" s="30" t="n">
        <x:v>3454.50</x:v>
      </x:c>
      <x:c r="BZ606" s="41" t="n">
        <x:v>470</x:v>
      </x:c>
      <x:c r="CA606" s="30" t="n">
        <x:v>3454.50</x:v>
      </x:c>
      <x:c r="CC606" s="30" t="n">
        <x:v>2958.7704587675000000000000000</x:v>
      </x:c>
      <x:c r="CD606" s="30" t="n">
        <x:v>-3432.1750</x:v>
      </x:c>
      <x:c r="CE606" s="30" t="str">
        <x:f>=CC606+CD606</x:f>
      </x:c>
      <x:c r="CF606" s="66" t="str">
        <x:f>=CE606/CC606</x:f>
      </x:c>
      <x:c r="CH606" s="66" t="str">
        <x:f>=CI606+CJ606</x:f>
      </x:c>
      <x:c r="CI606" s="66" t="str">
        <x:f>=BX606+(0.03*7)</x:f>
      </x:c>
      <x:c r="CJ606" s="66" t="str">
        <x:f>=(1-CI606)*0.5</x:f>
      </x:c>
      <x:c r="CK606" s="66" t="str">
        <x:f>=1-CH606</x:f>
      </x:c>
      <x:c r="CM606" s="66" t="str">
        <x:f>=CJ606/(1-CI606)</x:f>
      </x:c>
    </x:row>
    <x:row r="607">
      <x:c r="A607" s="31" t="s">
        <x:v>1052</x:v>
      </x:c>
      <x:c r="B607" t="s"/>
      <x:c r="C607" t="s">
        <x:v>1053</x:v>
      </x:c>
      <x:c r="D607" t="s">
        <x:v>130</x:v>
      </x:c>
      <x:c r="E607" s="67" t="s">
        <x:v>131</x:v>
      </x:c>
      <x:c r="F607" t="n">
        <x:v>498</x:v>
      </x:c>
      <x:c r="BI607" s="33" t="s"/>
      <x:c r="BJ607" s="11" t="s">
        <x:v>820</x:v>
      </x:c>
      <x:c r="BK607" s="12" t="str">
        <x:f>=BX607</x:f>
      </x:c>
      <x:c r="BL607" s="12" t="n">
        <x:v>0</x:v>
      </x:c>
      <x:c r="BM607" s="12" t="n">
        <x:v>0</x:v>
      </x:c>
      <x:c r="BN607" s="12" t="n">
        <x:v>1</x:v>
      </x:c>
      <x:c r="BO607" s="12" t="str">
        <x:f>=BW607</x:f>
      </x:c>
      <x:c r="BP607" s="12" t="str">
        <x:f>=CF607</x:f>
      </x:c>
      <x:c r="BQ607" s="12" t="str"/>
      <x:c r="BR607" s="12" t="str">
        <x:v>SS 2021 MSS</x:v>
      </x:c>
      <x:c r="BS607" s="13" t="str"/>
      <x:c r="BT607" s="30" t="n">
        <x:v>0</x:v>
      </x:c>
      <x:c r="BU607" s="30" t="n">
        <x:v>-5037.73973333276196000000</x:v>
      </x:c>
      <x:c r="BV607" s="30" t="str">
        <x:f>=BT607+BU607</x:f>
      </x:c>
      <x:c r="BW607" s="66" t="str">
        <x:f>=BV607/BT607</x:f>
      </x:c>
      <x:c r="BX607" s="66" t="n">
        <x:v>0</x:v>
      </x:c>
      <x:c r="BY607" s="30" t="n">
        <x:v>5104.727560136868000000</x:v>
      </x:c>
      <x:c r="BZ607" s="41" t="n">
        <x:v>498</x:v>
      </x:c>
      <x:c r="CA607" s="30" t="n">
        <x:v>5104.727560136868000000</x:v>
      </x:c>
      <x:c r="CC607" s="30" t="n">
        <x:v>4099.664599660500000000000</x:v>
      </x:c>
      <x:c r="CD607" s="30" t="n">
        <x:v>-5037.73973333276196000000</x:v>
      </x:c>
      <x:c r="CE607" s="30" t="str">
        <x:f>=CC607+CD607</x:f>
      </x:c>
      <x:c r="CF607" s="66" t="str">
        <x:f>=CE607/CC607</x:f>
      </x:c>
      <x:c r="CH607" s="66" t="str">
        <x:f>=CI607+CJ607</x:f>
      </x:c>
      <x:c r="CI607" s="66" t="str">
        <x:f>=BX607+(0.03*7)</x:f>
      </x:c>
      <x:c r="CJ607" s="66" t="str">
        <x:f>=(1-CI607)*0.5</x:f>
      </x:c>
      <x:c r="CK607" s="66" t="str">
        <x:f>=1-CH607</x:f>
      </x:c>
      <x:c r="CM607" s="66" t="str">
        <x:f>=CJ607/(1-CI607)</x:f>
      </x:c>
    </x:row>
    <x:row r="608">
      <x:c r="A608" s="31" t="s">
        <x:v>1054</x:v>
      </x:c>
      <x:c r="B608" t="s"/>
      <x:c r="C608" t="s">
        <x:v>1055</x:v>
      </x:c>
      <x:c r="D608" t="s">
        <x:v>130</x:v>
      </x:c>
      <x:c r="E608" s="67" t="s">
        <x:v>131</x:v>
      </x:c>
      <x:c r="F608" t="n">
        <x:v>484</x:v>
      </x:c>
      <x:c r="BI608" s="33" t="s"/>
      <x:c r="BJ608" s="11" t="s">
        <x:v>820</x:v>
      </x:c>
      <x:c r="BK608" s="12" t="str">
        <x:f>=BX608</x:f>
      </x:c>
      <x:c r="BL608" s="12" t="n">
        <x:v>0</x:v>
      </x:c>
      <x:c r="BM608" s="12" t="n">
        <x:v>0</x:v>
      </x:c>
      <x:c r="BN608" s="12" t="n">
        <x:v>1</x:v>
      </x:c>
      <x:c r="BO608" s="12" t="str">
        <x:f>=BW608</x:f>
      </x:c>
      <x:c r="BP608" s="12" t="str">
        <x:f>=CF608</x:f>
      </x:c>
      <x:c r="BQ608" s="12" t="str"/>
      <x:c r="BR608" s="12" t="str">
        <x:v>SS 2021 MSS</x:v>
      </x:c>
      <x:c r="BS608" s="13" t="str"/>
      <x:c r="BT608" s="30" t="n">
        <x:v>0</x:v>
      </x:c>
      <x:c r="BU608" s="30" t="n">
        <x:v>-3587.79239003606168306680</x:v>
      </x:c>
      <x:c r="BV608" s="30" t="str">
        <x:f>=BT608+BU608</x:f>
      </x:c>
      <x:c r="BW608" s="66" t="str">
        <x:f>=BV608/BT608</x:f>
      </x:c>
      <x:c r="BX608" s="66" t="n">
        <x:v>0</x:v>
      </x:c>
      <x:c r="BY608" s="30" t="n">
        <x:v>3612.433391789754312440</x:v>
      </x:c>
      <x:c r="BZ608" s="41" t="n">
        <x:v>484</x:v>
      </x:c>
      <x:c r="CA608" s="30" t="n">
        <x:v>3612.433391789754312440</x:v>
      </x:c>
      <x:c r="CC608" s="30" t="n">
        <x:v>3046.9040469010000000000000000</x:v>
      </x:c>
      <x:c r="CD608" s="30" t="n">
        <x:v>-3587.79239003606168306680</x:v>
      </x:c>
      <x:c r="CE608" s="30" t="str">
        <x:f>=CC608+CD608</x:f>
      </x:c>
      <x:c r="CF608" s="66" t="str">
        <x:f>=CE608/CC608</x:f>
      </x:c>
      <x:c r="CH608" s="66" t="str">
        <x:f>=CI608+CJ608</x:f>
      </x:c>
      <x:c r="CI608" s="66" t="str">
        <x:f>=BX608+(0.03*7)</x:f>
      </x:c>
      <x:c r="CJ608" s="66" t="str">
        <x:f>=(1-CI608)*0.5</x:f>
      </x:c>
      <x:c r="CK608" s="66" t="str">
        <x:f>=1-CH608</x:f>
      </x:c>
      <x:c r="CM608" s="66" t="str">
        <x:f>=CJ608/(1-CI608)</x:f>
      </x:c>
    </x:row>
    <x:row r="609">
      <x:c r="A609" s="31" t="s">
        <x:v>1056</x:v>
      </x:c>
      <x:c r="B609" t="s"/>
      <x:c r="C609" t="s">
        <x:v>1057</x:v>
      </x:c>
      <x:c r="D609" t="s">
        <x:v>130</x:v>
      </x:c>
      <x:c r="E609" s="67" t="s">
        <x:v>131</x:v>
      </x:c>
      <x:c r="F609" t="n">
        <x:v>500</x:v>
      </x:c>
      <x:c r="BI609" s="33" t="s"/>
      <x:c r="BJ609" s="11" t="s">
        <x:v>820</x:v>
      </x:c>
      <x:c r="BK609" s="12" t="str">
        <x:f>=BX609</x:f>
      </x:c>
      <x:c r="BL609" s="12" t="n">
        <x:v>0</x:v>
      </x:c>
      <x:c r="BM609" s="12" t="n">
        <x:v>0</x:v>
      </x:c>
      <x:c r="BN609" s="12" t="n">
        <x:v>1</x:v>
      </x:c>
      <x:c r="BO609" s="12" t="str">
        <x:f>=BW609</x:f>
      </x:c>
      <x:c r="BP609" s="12" t="str">
        <x:f>=CF609</x:f>
      </x:c>
      <x:c r="BQ609" s="12" t="str"/>
      <x:c r="BR609" s="12" t="str">
        <x:v>SS 2021 MSS</x:v>
      </x:c>
      <x:c r="BS609" s="13" t="str"/>
      <x:c r="BT609" s="30" t="n">
        <x:v>0</x:v>
      </x:c>
      <x:c r="BU609" s="30" t="n">
        <x:v>-4227.24560033097841435000</x:v>
      </x:c>
      <x:c r="BV609" s="30" t="str">
        <x:f>=BT609+BU609</x:f>
      </x:c>
      <x:c r="BW609" s="66" t="str">
        <x:f>=BV609/BT609</x:f>
      </x:c>
      <x:c r="BX609" s="66" t="n">
        <x:v>0</x:v>
      </x:c>
      <x:c r="BY609" s="30" t="n">
        <x:v>4268.809897248431355000</x:v>
      </x:c>
      <x:c r="BZ609" s="41" t="n">
        <x:v>500</x:v>
      </x:c>
      <x:c r="CA609" s="30" t="n">
        <x:v>4268.809897248431355000</x:v>
      </x:c>
      <x:c r="CC609" s="30" t="n">
        <x:v>3389.7533897500000000000000000</x:v>
      </x:c>
      <x:c r="CD609" s="30" t="n">
        <x:v>-4227.24560033097841435000</x:v>
      </x:c>
      <x:c r="CE609" s="30" t="str">
        <x:f>=CC609+CD609</x:f>
      </x:c>
      <x:c r="CF609" s="66" t="str">
        <x:f>=CE609/CC609</x:f>
      </x:c>
      <x:c r="CH609" s="66" t="str">
        <x:f>=CI609+CJ609</x:f>
      </x:c>
      <x:c r="CI609" s="66" t="str">
        <x:f>=BX609+(0.03*7)</x:f>
      </x:c>
      <x:c r="CJ609" s="66" t="str">
        <x:f>=(1-CI609)*0.5</x:f>
      </x:c>
      <x:c r="CK609" s="66" t="str">
        <x:f>=1-CH609</x:f>
      </x:c>
      <x:c r="CM609" s="66" t="str">
        <x:f>=CJ609/(1-CI609)</x:f>
      </x:c>
    </x:row>
    <x:row r="610">
      <x:c r="A610" s="31" t="s">
        <x:v>1058</x:v>
      </x:c>
      <x:c r="B610" t="s"/>
      <x:c r="C610" t="s">
        <x:v>1059</x:v>
      </x:c>
      <x:c r="D610" t="s">
        <x:v>130</x:v>
      </x:c>
      <x:c r="E610" s="67" t="s">
        <x:v>131</x:v>
      </x:c>
      <x:c r="F610" t="n">
        <x:v>493</x:v>
      </x:c>
      <x:c r="BI610" s="33" t="s"/>
      <x:c r="BJ610" s="11" t="s">
        <x:v>820</x:v>
      </x:c>
      <x:c r="BK610" s="12" t="str">
        <x:f>=BX610</x:f>
      </x:c>
      <x:c r="BL610" s="12" t="n">
        <x:v>0</x:v>
      </x:c>
      <x:c r="BM610" s="12" t="n">
        <x:v>0</x:v>
      </x:c>
      <x:c r="BN610" s="12" t="n">
        <x:v>1</x:v>
      </x:c>
      <x:c r="BO610" s="12" t="str">
        <x:f>=BW610</x:f>
      </x:c>
      <x:c r="BP610" s="12" t="str">
        <x:f>=CF610</x:f>
      </x:c>
      <x:c r="BQ610" s="12" t="str"/>
      <x:c r="BR610" s="12" t="str">
        <x:v>SS 2021 MSS</x:v>
      </x:c>
      <x:c r="BS610" s="13" t="str"/>
      <x:c r="BT610" s="30" t="n">
        <x:v>0</x:v>
      </x:c>
      <x:c r="BU610" s="30" t="n">
        <x:v>-3859.93018744133756813030</x:v>
      </x:c>
      <x:c r="BV610" s="30" t="str">
        <x:f>=BT610+BU610</x:f>
      </x:c>
      <x:c r="BW610" s="66" t="str">
        <x:f>=BV610/BT610</x:f>
      </x:c>
      <x:c r="BX610" s="66" t="n">
        <x:v>0</x:v>
      </x:c>
      <x:c r="BY610" s="30" t="n">
        <x:v>3891.382667465296461990</x:v>
      </x:c>
      <x:c r="BZ610" s="41" t="n">
        <x:v>493</x:v>
      </x:c>
      <x:c r="CA610" s="30" t="n">
        <x:v>3891.382667465296461990</x:v>
      </x:c>
      <x:c r="CC610" s="30" t="n">
        <x:v>3342.2968422935000000000000000</x:v>
      </x:c>
      <x:c r="CD610" s="30" t="n">
        <x:v>-3859.93018744133756813030</x:v>
      </x:c>
      <x:c r="CE610" s="30" t="str">
        <x:f>=CC610+CD610</x:f>
      </x:c>
      <x:c r="CF610" s="66" t="str">
        <x:f>=CE610/CC610</x:f>
      </x:c>
      <x:c r="CH610" s="66" t="str">
        <x:f>=CI610+CJ610</x:f>
      </x:c>
      <x:c r="CI610" s="66" t="str">
        <x:f>=BX610+(0.03*7)</x:f>
      </x:c>
      <x:c r="CJ610" s="66" t="str">
        <x:f>=(1-CI610)*0.5</x:f>
      </x:c>
      <x:c r="CK610" s="66" t="str">
        <x:f>=1-CH610</x:f>
      </x:c>
      <x:c r="CM610" s="66" t="str">
        <x:f>=CJ610/(1-CI610)</x:f>
      </x:c>
    </x:row>
    <x:row r="611">
      <x:c r="A611" s="31" t="s">
        <x:v>1060</x:v>
      </x:c>
      <x:c r="B611" t="s"/>
      <x:c r="C611" t="s">
        <x:v>1061</x:v>
      </x:c>
      <x:c r="D611" t="s">
        <x:v>147</x:v>
      </x:c>
      <x:c r="E611" s="67" t="s">
        <x:v>131</x:v>
      </x:c>
      <x:c r="F611" t="n">
        <x:v>1023</x:v>
      </x:c>
      <x:c r="BI611" s="33" t="s"/>
      <x:c r="BJ611" s="11" t="s">
        <x:v>820</x:v>
      </x:c>
      <x:c r="BK611" s="12" t="str">
        <x:f>=BX611</x:f>
      </x:c>
      <x:c r="BL611" s="12" t="n">
        <x:v>0</x:v>
      </x:c>
      <x:c r="BM611" s="12" t="n">
        <x:v>0</x:v>
      </x:c>
      <x:c r="BN611" s="12" t="n">
        <x:v>1</x:v>
      </x:c>
      <x:c r="BO611" s="12" t="str">
        <x:f>=BW611</x:f>
      </x:c>
      <x:c r="BP611" s="12" t="str">
        <x:f>=CF611</x:f>
      </x:c>
      <x:c r="BQ611" s="12" t="str"/>
      <x:c r="BR611" s="12" t="str">
        <x:v>SS 2021 MSS</x:v>
      </x:c>
      <x:c r="BS611" s="13" t="str"/>
      <x:c r="BT611" s="30" t="n">
        <x:v>0</x:v>
      </x:c>
      <x:c r="BU611" s="30" t="n">
        <x:v>-7843.9548</x:v>
      </x:c>
      <x:c r="BV611" s="30" t="str">
        <x:f>=BT611+BU611</x:f>
      </x:c>
      <x:c r="BW611" s="66" t="str">
        <x:f>=BV611/BT611</x:f>
      </x:c>
      <x:c r="BX611" s="66" t="n">
        <x:v>0</x:v>
      </x:c>
      <x:c r="BY611" s="30" t="n">
        <x:v>7539.51</x:v>
      </x:c>
      <x:c r="BZ611" s="41" t="n">
        <x:v>1023</x:v>
      </x:c>
      <x:c r="CA611" s="30" t="n">
        <x:v>7539.51</x:v>
      </x:c>
      <x:c r="CC611" s="30" t="n">
        <x:v>5944.658944653000000000000</x:v>
      </x:c>
      <x:c r="CD611" s="30" t="n">
        <x:v>-7843.9548</x:v>
      </x:c>
      <x:c r="CE611" s="30" t="str">
        <x:f>=CC611+CD611</x:f>
      </x:c>
      <x:c r="CF611" s="66" t="str">
        <x:f>=CE611/CC611</x:f>
      </x:c>
      <x:c r="CH611" s="66" t="str">
        <x:f>=CI611+CJ611</x:f>
      </x:c>
      <x:c r="CI611" s="66" t="str">
        <x:f>=BX611+(0.03*7)</x:f>
      </x:c>
      <x:c r="CJ611" s="66" t="str">
        <x:f>=(1-CI611)*0.5</x:f>
      </x:c>
      <x:c r="CK611" s="66" t="str">
        <x:f>=1-CH611</x:f>
      </x:c>
      <x:c r="CM611" s="66" t="str">
        <x:f>=CJ611/(1-CI611)</x:f>
      </x:c>
    </x:row>
    <x:row r="612">
      <x:c r="A612" s="31" t="s">
        <x:v>1062</x:v>
      </x:c>
      <x:c r="B612" t="s"/>
      <x:c r="C612" t="s">
        <x:v>1063</x:v>
      </x:c>
      <x:c r="D612" t="s">
        <x:v>147</x:v>
      </x:c>
      <x:c r="E612" s="67" t="s">
        <x:v>131</x:v>
      </x:c>
      <x:c r="F612" t="n">
        <x:v>503</x:v>
      </x:c>
      <x:c r="BI612" s="33" t="s"/>
      <x:c r="BJ612" s="11" t="s">
        <x:v>820</x:v>
      </x:c>
      <x:c r="BK612" s="12" t="str">
        <x:f>=BX612</x:f>
      </x:c>
      <x:c r="BL612" s="12" t="n">
        <x:v>0</x:v>
      </x:c>
      <x:c r="BM612" s="12" t="n">
        <x:v>0</x:v>
      </x:c>
      <x:c r="BN612" s="12" t="n">
        <x:v>1</x:v>
      </x:c>
      <x:c r="BO612" s="12" t="str">
        <x:f>=BW612</x:f>
      </x:c>
      <x:c r="BP612" s="12" t="str">
        <x:f>=CF612</x:f>
      </x:c>
      <x:c r="BQ612" s="12" t="str"/>
      <x:c r="BR612" s="12" t="str">
        <x:v>SS 2021 MSS</x:v>
      </x:c>
      <x:c r="BS612" s="13" t="str"/>
      <x:c r="BT612" s="30" t="n">
        <x:v>0</x:v>
      </x:c>
      <x:c r="BU612" s="30" t="n">
        <x:v>-4470.4628</x:v>
      </x:c>
      <x:c r="BV612" s="30" t="str">
        <x:f>=BT612+BU612</x:f>
      </x:c>
      <x:c r="BW612" s="66" t="str">
        <x:f>=BV612/BT612</x:f>
      </x:c>
      <x:c r="BX612" s="66" t="n">
        <x:v>0</x:v>
      </x:c>
      <x:c r="BY612" s="30" t="n">
        <x:v>4320.77</x:v>
      </x:c>
      <x:c r="BZ612" s="41" t="n">
        <x:v>503</x:v>
      </x:c>
      <x:c r="CA612" s="30" t="n">
        <x:v>4320.77</x:v>
      </x:c>
      <x:c r="CC612" s="30" t="n">
        <x:v>3166.5139165107500000000000000</x:v>
      </x:c>
      <x:c r="CD612" s="30" t="n">
        <x:v>-4470.4628</x:v>
      </x:c>
      <x:c r="CE612" s="30" t="str">
        <x:f>=CC612+CD612</x:f>
      </x:c>
      <x:c r="CF612" s="66" t="str">
        <x:f>=CE612/CC612</x:f>
      </x:c>
      <x:c r="CH612" s="66" t="str">
        <x:f>=CI612+CJ612</x:f>
      </x:c>
      <x:c r="CI612" s="66" t="str">
        <x:f>=BX612+(0.03*7)</x:f>
      </x:c>
      <x:c r="CJ612" s="66" t="str">
        <x:f>=(1-CI612)*0.5</x:f>
      </x:c>
      <x:c r="CK612" s="66" t="str">
        <x:f>=1-CH612</x:f>
      </x:c>
      <x:c r="CM612" s="66" t="str">
        <x:f>=CJ612/(1-CI612)</x:f>
      </x:c>
    </x:row>
    <x:row r="613">
      <x:c r="A613" s="31" t="s">
        <x:v>1064</x:v>
      </x:c>
      <x:c r="B613" t="s"/>
      <x:c r="C613" t="s">
        <x:v>1065</x:v>
      </x:c>
      <x:c r="D613" t="s">
        <x:v>147</x:v>
      </x:c>
      <x:c r="E613" s="67" t="s">
        <x:v>131</x:v>
      </x:c>
      <x:c r="F613" t="n">
        <x:v>986</x:v>
      </x:c>
      <x:c r="BI613" s="33" t="s"/>
      <x:c r="BJ613" s="11" t="s">
        <x:v>820</x:v>
      </x:c>
      <x:c r="BK613" s="12" t="str">
        <x:f>=BX613</x:f>
      </x:c>
      <x:c r="BL613" s="12" t="n">
        <x:v>0</x:v>
      </x:c>
      <x:c r="BM613" s="12" t="n">
        <x:v>0</x:v>
      </x:c>
      <x:c r="BN613" s="12" t="n">
        <x:v>1</x:v>
      </x:c>
      <x:c r="BO613" s="12" t="str">
        <x:f>=BW613</x:f>
      </x:c>
      <x:c r="BP613" s="12" t="str">
        <x:f>=CF613</x:f>
      </x:c>
      <x:c r="BQ613" s="12" t="str"/>
      <x:c r="BR613" s="12" t="str">
        <x:v>SS 2021 MSS</x:v>
      </x:c>
      <x:c r="BS613" s="13" t="str"/>
      <x:c r="BT613" s="30" t="n">
        <x:v>0</x:v>
      </x:c>
      <x:c r="BU613" s="30" t="n">
        <x:v>-8526.5336</x:v>
      </x:c>
      <x:c r="BV613" s="30" t="str">
        <x:f>=BT613+BU613</x:f>
      </x:c>
      <x:c r="BW613" s="66" t="str">
        <x:f>=BV613/BT613</x:f>
      </x:c>
      <x:c r="BX613" s="66" t="n">
        <x:v>0</x:v>
      </x:c>
      <x:c r="BY613" s="30" t="n">
        <x:v>8233.10</x:v>
      </x:c>
      <x:c r="BZ613" s="41" t="n">
        <x:v>986</x:v>
      </x:c>
      <x:c r="CA613" s="30" t="n">
        <x:v>8233.10</x:v>
      </x:c>
      <x:c r="CC613" s="30" t="n">
        <x:v>6207.1227071165000000000000000</x:v>
      </x:c>
      <x:c r="CD613" s="30" t="n">
        <x:v>-8526.5336</x:v>
      </x:c>
      <x:c r="CE613" s="30" t="str">
        <x:f>=CC613+CD613</x:f>
      </x:c>
      <x:c r="CF613" s="66" t="str">
        <x:f>=CE613/CC613</x:f>
      </x:c>
      <x:c r="CH613" s="66" t="str">
        <x:f>=CI613+CJ613</x:f>
      </x:c>
      <x:c r="CI613" s="66" t="str">
        <x:f>=BX613+(0.03*7)</x:f>
      </x:c>
      <x:c r="CJ613" s="66" t="str">
        <x:f>=(1-CI613)*0.5</x:f>
      </x:c>
      <x:c r="CK613" s="66" t="str">
        <x:f>=1-CH613</x:f>
      </x:c>
      <x:c r="CM613" s="66" t="str">
        <x:f>=CJ613/(1-CI613)</x:f>
      </x:c>
    </x:row>
    <x:row r="614">
      <x:c r="A614" s="31" t="s">
        <x:v>1066</x:v>
      </x:c>
      <x:c r="B614" t="s"/>
      <x:c r="C614" t="s">
        <x:v>1067</x:v>
      </x:c>
      <x:c r="D614" t="s">
        <x:v>147</x:v>
      </x:c>
      <x:c r="E614" s="67" t="s">
        <x:v>131</x:v>
      </x:c>
      <x:c r="F614" t="n">
        <x:v>405</x:v>
      </x:c>
      <x:c r="BI614" s="33" t="s"/>
      <x:c r="BJ614" s="11" t="s">
        <x:v>820</x:v>
      </x:c>
      <x:c r="BK614" s="12" t="str">
        <x:f>=BX614</x:f>
      </x:c>
      <x:c r="BL614" s="12" t="n">
        <x:v>0</x:v>
      </x:c>
      <x:c r="BM614" s="12" t="n">
        <x:v>0</x:v>
      </x:c>
      <x:c r="BN614" s="12" t="n">
        <x:v>1</x:v>
      </x:c>
      <x:c r="BO614" s="12" t="str">
        <x:f>=BW614</x:f>
      </x:c>
      <x:c r="BP614" s="12" t="str">
        <x:f>=CF614</x:f>
      </x:c>
      <x:c r="BQ614" s="12" t="str"/>
      <x:c r="BR614" s="12" t="str">
        <x:v>SS 2021 MSS</x:v>
      </x:c>
      <x:c r="BS614" s="13" t="str"/>
      <x:c r="BT614" s="30" t="n">
        <x:v>0</x:v>
      </x:c>
      <x:c r="BU614" s="30" t="n">
        <x:v>-3105.3780</x:v>
      </x:c>
      <x:c r="BV614" s="30" t="str">
        <x:f>=BT614+BU614</x:f>
      </x:c>
      <x:c r="BW614" s="66" t="str">
        <x:f>=BV614/BT614</x:f>
      </x:c>
      <x:c r="BX614" s="66" t="n">
        <x:v>0</x:v>
      </x:c>
      <x:c r="BY614" s="30" t="n">
        <x:v>2984.85</x:v>
      </x:c>
      <x:c r="BZ614" s="41" t="n">
        <x:v>405</x:v>
      </x:c>
      <x:c r="CA614" s="30" t="n">
        <x:v>2984.85</x:v>
      </x:c>
      <x:c r="CC614" s="30" t="n">
        <x:v>2353.457353455000000000000</x:v>
      </x:c>
      <x:c r="CD614" s="30" t="n">
        <x:v>-3105.3780</x:v>
      </x:c>
      <x:c r="CE614" s="30" t="str">
        <x:f>=CC614+CD614</x:f>
      </x:c>
      <x:c r="CF614" s="66" t="str">
        <x:f>=CE614/CC614</x:f>
      </x:c>
      <x:c r="CH614" s="66" t="str">
        <x:f>=CI614+CJ614</x:f>
      </x:c>
      <x:c r="CI614" s="66" t="str">
        <x:f>=BX614+(0.03*7)</x:f>
      </x:c>
      <x:c r="CJ614" s="66" t="str">
        <x:f>=(1-CI614)*0.5</x:f>
      </x:c>
      <x:c r="CK614" s="66" t="str">
        <x:f>=1-CH614</x:f>
      </x:c>
      <x:c r="CM614" s="66" t="str">
        <x:f>=CJ614/(1-CI614)</x:f>
      </x:c>
    </x:row>
    <x:row r="615">
      <x:c r="A615" s="31" t="s">
        <x:v>1068</x:v>
      </x:c>
      <x:c r="B615" t="s"/>
      <x:c r="C615" t="s">
        <x:v>1069</x:v>
      </x:c>
      <x:c r="D615" t="s">
        <x:v>147</x:v>
      </x:c>
      <x:c r="E615" s="67" t="s">
        <x:v>131</x:v>
      </x:c>
      <x:c r="F615" t="n">
        <x:v>466</x:v>
      </x:c>
      <x:c r="BI615" s="33" t="s"/>
      <x:c r="BJ615" s="11" t="s">
        <x:v>820</x:v>
      </x:c>
      <x:c r="BK615" s="12" t="str">
        <x:f>=BX615</x:f>
      </x:c>
      <x:c r="BL615" s="12" t="n">
        <x:v>0</x:v>
      </x:c>
      <x:c r="BM615" s="12" t="n">
        <x:v>0</x:v>
      </x:c>
      <x:c r="BN615" s="12" t="n">
        <x:v>1</x:v>
      </x:c>
      <x:c r="BO615" s="12" t="str">
        <x:f>=BW615</x:f>
      </x:c>
      <x:c r="BP615" s="12" t="str">
        <x:f>=CF615</x:f>
      </x:c>
      <x:c r="BQ615" s="12" t="str"/>
      <x:c r="BR615" s="12" t="str">
        <x:v>SS 2021 MSS</x:v>
      </x:c>
      <x:c r="BS615" s="13" t="str"/>
      <x:c r="BT615" s="30" t="n">
        <x:v>0</x:v>
      </x:c>
      <x:c r="BU615" s="30" t="n">
        <x:v>-2561.8816</x:v>
      </x:c>
      <x:c r="BV615" s="30" t="str">
        <x:f>=BT615+BU615</x:f>
      </x:c>
      <x:c r="BW615" s="66" t="str">
        <x:f>=BV615/BT615</x:f>
      </x:c>
      <x:c r="BX615" s="66" t="n">
        <x:v>0</x:v>
      </x:c>
      <x:c r="BY615" s="30" t="n">
        <x:v>2423.20</x:v>
      </x:c>
      <x:c r="BZ615" s="41" t="n">
        <x:v>466</x:v>
      </x:c>
      <x:c r="CA615" s="30" t="n">
        <x:v>2423.20</x:v>
      </x:c>
      <x:c r="CC615" s="30" t="n">
        <x:v>1805.2858052840000000000000000</x:v>
      </x:c>
      <x:c r="CD615" s="30" t="n">
        <x:v>-2561.8816</x:v>
      </x:c>
      <x:c r="CE615" s="30" t="str">
        <x:f>=CC615+CD615</x:f>
      </x:c>
      <x:c r="CF615" s="66" t="str">
        <x:f>=CE615/CC615</x:f>
      </x:c>
      <x:c r="CH615" s="66" t="str">
        <x:f>=CI615+CJ615</x:f>
      </x:c>
      <x:c r="CI615" s="66" t="str">
        <x:f>=BX615+(0.03*7)</x:f>
      </x:c>
      <x:c r="CJ615" s="66" t="str">
        <x:f>=(1-CI615)*0.5</x:f>
      </x:c>
      <x:c r="CK615" s="66" t="str">
        <x:f>=1-CH615</x:f>
      </x:c>
      <x:c r="CM615" s="66" t="str">
        <x:f>=CJ615/(1-CI615)</x:f>
      </x:c>
    </x:row>
    <x:row r="616">
      <x:c r="A616" s="31" t="s">
        <x:v>1070</x:v>
      </x:c>
      <x:c r="B616" t="s"/>
      <x:c r="C616" t="s">
        <x:v>1071</x:v>
      </x:c>
      <x:c r="D616" t="s">
        <x:v>147</x:v>
      </x:c>
      <x:c r="E616" s="67" t="s">
        <x:v>131</x:v>
      </x:c>
      <x:c r="F616" t="n">
        <x:v>456</x:v>
      </x:c>
      <x:c r="BI616" s="33" t="s"/>
      <x:c r="BJ616" s="11" t="s">
        <x:v>820</x:v>
      </x:c>
      <x:c r="BK616" s="12" t="str">
        <x:f>=BX616</x:f>
      </x:c>
      <x:c r="BL616" s="12" t="n">
        <x:v>0</x:v>
      </x:c>
      <x:c r="BM616" s="12" t="n">
        <x:v>0</x:v>
      </x:c>
      <x:c r="BN616" s="12" t="n">
        <x:v>1</x:v>
      </x:c>
      <x:c r="BO616" s="12" t="str">
        <x:f>=BW616</x:f>
      </x:c>
      <x:c r="BP616" s="12" t="str">
        <x:f>=CF616</x:f>
      </x:c>
      <x:c r="BQ616" s="12" t="str"/>
      <x:c r="BR616" s="12" t="str">
        <x:v>AW 2020 EOS</x:v>
      </x:c>
      <x:c r="BS616" s="13" t="str"/>
      <x:c r="BT616" s="30" t="n">
        <x:v>0</x:v>
      </x:c>
      <x:c r="BU616" s="30" t="n">
        <x:v>-4052.7456</x:v>
      </x:c>
      <x:c r="BV616" s="30" t="str">
        <x:f>=BT616+BU616</x:f>
      </x:c>
      <x:c r="BW616" s="66" t="str">
        <x:f>=BV616/BT616</x:f>
      </x:c>
      <x:c r="BX616" s="66" t="n">
        <x:v>0</x:v>
      </x:c>
      <x:c r="BY616" s="30" t="n">
        <x:v>3917.04</x:v>
      </x:c>
      <x:c r="BZ616" s="41" t="n">
        <x:v>456</x:v>
      </x:c>
      <x:c r="CA616" s="30" t="n">
        <x:v>3917.04</x:v>
      </x:c>
      <x:c r="CC616" s="30" t="n">
        <x:v>2870.636870634000000000000</x:v>
      </x:c>
      <x:c r="CD616" s="30" t="n">
        <x:v>-4052.7456</x:v>
      </x:c>
      <x:c r="CE616" s="30" t="str">
        <x:f>=CC616+CD616</x:f>
      </x:c>
      <x:c r="CF616" s="66" t="str">
        <x:f>=CE616/CC616</x:f>
      </x:c>
      <x:c r="CH616" s="66" t="str">
        <x:f>=CI616+CJ616</x:f>
      </x:c>
      <x:c r="CI616" s="66" t="str">
        <x:f>=BX616+(0.03*7)</x:f>
      </x:c>
      <x:c r="CJ616" s="66" t="str">
        <x:f>=(1-CI616)*0.5</x:f>
      </x:c>
      <x:c r="CK616" s="66" t="str">
        <x:f>=1-CH616</x:f>
      </x:c>
      <x:c r="CM616" s="66" t="str">
        <x:f>=CJ616/(1-CI616)</x:f>
      </x:c>
    </x:row>
    <x:row r="617">
      <x:c r="A617" s="31" t="s">
        <x:v>1072</x:v>
      </x:c>
      <x:c r="B617" t="s"/>
      <x:c r="C617" t="s">
        <x:v>1073</x:v>
      </x:c>
      <x:c r="D617" t="s">
        <x:v>147</x:v>
      </x:c>
      <x:c r="E617" s="67" t="s">
        <x:v>131</x:v>
      </x:c>
      <x:c r="F617" t="n">
        <x:v>413</x:v>
      </x:c>
      <x:c r="BI617" s="33" t="s"/>
      <x:c r="BJ617" s="11" t="s">
        <x:v>820</x:v>
      </x:c>
      <x:c r="BK617" s="12" t="str">
        <x:f>=BX617</x:f>
      </x:c>
      <x:c r="BL617" s="12" t="n">
        <x:v>0</x:v>
      </x:c>
      <x:c r="BM617" s="12" t="n">
        <x:v>0</x:v>
      </x:c>
      <x:c r="BN617" s="12" t="n">
        <x:v>1</x:v>
      </x:c>
      <x:c r="BO617" s="12" t="str">
        <x:f>=BW617</x:f>
      </x:c>
      <x:c r="BP617" s="12" t="str">
        <x:f>=CF617</x:f>
      </x:c>
      <x:c r="BQ617" s="12" t="str"/>
      <x:c r="BR617" s="12" t="str">
        <x:v>SS 2021 MSS</x:v>
      </x:c>
      <x:c r="BS617" s="13" t="str"/>
      <x:c r="BT617" s="30" t="n">
        <x:v>0</x:v>
      </x:c>
      <x:c r="BU617" s="30" t="n">
        <x:v>-2158.9988</x:v>
      </x:c>
      <x:c r="BV617" s="30" t="str">
        <x:f>=BT617+BU617</x:f>
      </x:c>
      <x:c r="BW617" s="66" t="str">
        <x:f>=BV617/BT617</x:f>
      </x:c>
      <x:c r="BX617" s="66" t="n">
        <x:v>0</x:v>
      </x:c>
      <x:c r="BY617" s="30" t="n">
        <x:v>2036.09</x:v>
      </x:c>
      <x:c r="BZ617" s="41" t="n">
        <x:v>413</x:v>
      </x:c>
      <x:c r="CA617" s="30" t="n">
        <x:v>2036.09</x:v>
      </x:c>
      <x:c r="CC617" s="30" t="n">
        <x:v>2199.9499499477500000000000000</x:v>
      </x:c>
      <x:c r="CD617" s="30" t="n">
        <x:v>-2158.9988</x:v>
      </x:c>
      <x:c r="CE617" s="30" t="str">
        <x:f>=CC617+CD617</x:f>
      </x:c>
      <x:c r="CF617" s="66" t="str">
        <x:f>=CE617/CC617</x:f>
      </x:c>
      <x:c r="CH617" s="66" t="str">
        <x:f>=CI617+CJ617</x:f>
      </x:c>
      <x:c r="CI617" s="66" t="str">
        <x:f>=BX617+(0.03*7)</x:f>
      </x:c>
      <x:c r="CJ617" s="66" t="str">
        <x:f>=(1-CI617)*0.5</x:f>
      </x:c>
      <x:c r="CK617" s="66" t="str">
        <x:f>=1-CH617</x:f>
      </x:c>
      <x:c r="CM617" s="66" t="str">
        <x:f>=CJ617/(1-CI617)</x:f>
      </x:c>
    </x:row>
    <x:row r="618">
      <x:c r="A618" s="31" t="s">
        <x:v>1074</x:v>
      </x:c>
      <x:c r="B618" t="s"/>
      <x:c r="C618" t="s">
        <x:v>1075</x:v>
      </x:c>
      <x:c r="D618" t="s">
        <x:v>147</x:v>
      </x:c>
      <x:c r="E618" s="67" t="s">
        <x:v>131</x:v>
      </x:c>
      <x:c r="F618" t="n">
        <x:v>1017</x:v>
      </x:c>
      <x:c r="BI618" s="33" t="s"/>
      <x:c r="BJ618" s="11" t="s">
        <x:v>820</x:v>
      </x:c>
      <x:c r="BK618" s="12" t="str">
        <x:f>=BX618</x:f>
      </x:c>
      <x:c r="BL618" s="12" t="n">
        <x:v>0</x:v>
      </x:c>
      <x:c r="BM618" s="12" t="n">
        <x:v>0</x:v>
      </x:c>
      <x:c r="BN618" s="12" t="n">
        <x:v>1</x:v>
      </x:c>
      <x:c r="BO618" s="12" t="str">
        <x:f>=BW618</x:f>
      </x:c>
      <x:c r="BP618" s="12" t="str">
        <x:f>=CF618</x:f>
      </x:c>
      <x:c r="BQ618" s="12" t="str"/>
      <x:c r="BR618" s="12" t="str">
        <x:v>SS 2021 MSS</x:v>
      </x:c>
      <x:c r="BS618" s="13" t="str"/>
      <x:c r="BT618" s="30" t="n">
        <x:v>0</x:v>
      </x:c>
      <x:c r="BU618" s="30" t="n">
        <x:v>-13320.2592</x:v>
      </x:c>
      <x:c r="BV618" s="30" t="str">
        <x:f>=BT618+BU618</x:f>
      </x:c>
      <x:c r="BW618" s="66" t="str">
        <x:f>=BV618/BT618</x:f>
      </x:c>
      <x:c r="BX618" s="66" t="n">
        <x:v>0</x:v>
      </x:c>
      <x:c r="BY618" s="30" t="n">
        <x:v>13017.60</x:v>
      </x:c>
      <x:c r="BZ618" s="41" t="n">
        <x:v>1017</x:v>
      </x:c>
      <x:c r="CA618" s="30" t="n">
        <x:v>13017.60</x:v>
      </x:c>
      <x:c r="CC618" s="30" t="n">
        <x:v>9357.172107162750000000000</x:v>
      </x:c>
      <x:c r="CD618" s="30" t="n">
        <x:v>-13320.2592</x:v>
      </x:c>
      <x:c r="CE618" s="30" t="str">
        <x:f>=CC618+CD618</x:f>
      </x:c>
      <x:c r="CF618" s="66" t="str">
        <x:f>=CE618/CC618</x:f>
      </x:c>
      <x:c r="CH618" s="66" t="str">
        <x:f>=CI618+CJ618</x:f>
      </x:c>
      <x:c r="CI618" s="66" t="str">
        <x:f>=BX618+(0.03*7)</x:f>
      </x:c>
      <x:c r="CJ618" s="66" t="str">
        <x:f>=(1-CI618)*0.5</x:f>
      </x:c>
      <x:c r="CK618" s="66" t="str">
        <x:f>=1-CH618</x:f>
      </x:c>
      <x:c r="CM618" s="66" t="str">
        <x:f>=CJ618/(1-CI618)</x:f>
      </x:c>
    </x:row>
    <x:row r="619">
      <x:c r="A619" s="31" t="s">
        <x:v>1076</x:v>
      </x:c>
      <x:c r="B619" t="s">
        <x:v>116</x:v>
      </x:c>
      <x:c r="C619" t="s">
        <x:v>1077</x:v>
      </x:c>
      <x:c r="D619" t="s">
        <x:v>147</x:v>
      </x:c>
      <x:c r="E619" s="67" t="s">
        <x:v>131</x:v>
      </x:c>
      <x:c r="F619" t="n">
        <x:v>1395</x:v>
      </x:c>
      <x:c r="BI619" s="33" t="s"/>
      <x:c r="BJ619" s="11" t="s">
        <x:v>820</x:v>
      </x:c>
      <x:c r="BK619" s="12" t="str">
        <x:f>=BX619</x:f>
      </x:c>
      <x:c r="BL619" s="12" t="n">
        <x:v>0</x:v>
      </x:c>
      <x:c r="BM619" s="12" t="n">
        <x:v>0</x:v>
      </x:c>
      <x:c r="BN619" s="12" t="n">
        <x:v>1</x:v>
      </x:c>
      <x:c r="BO619" s="12" t="str">
        <x:f>=BW619</x:f>
      </x:c>
      <x:c r="BP619" s="12" t="str">
        <x:f>=CF619</x:f>
      </x:c>
      <x:c r="BQ619" s="12" t="str"/>
      <x:c r="BR619" s="12" t="str">
        <x:v>SS 2021 MSS</x:v>
      </x:c>
      <x:c r="BS619" s="13" t="str"/>
      <x:c r="BT619" s="30" t="n">
        <x:v>0</x:v>
      </x:c>
      <x:c r="BU619" s="30" t="n">
        <x:v>-16876.1520</x:v>
      </x:c>
      <x:c r="BV619" s="30" t="str">
        <x:f>=BT619+BU619</x:f>
      </x:c>
      <x:c r="BW619" s="66" t="str">
        <x:f>=BV619/BT619</x:f>
      </x:c>
      <x:c r="BX619" s="66" t="n">
        <x:v>0</x:v>
      </x:c>
      <x:c r="BY619" s="30" t="n">
        <x:v>16461.00</x:v>
      </x:c>
      <x:c r="BZ619" s="41" t="n">
        <x:v>1395</x:v>
      </x:c>
      <x:c r="CA619" s="30" t="n">
        <x:v>16461.00</x:v>
      </x:c>
      <x:c r="CC619" s="30" t="n">
        <x:v>11821.7649467531250000000000</x:v>
      </x:c>
      <x:c r="CD619" s="30" t="n">
        <x:v>-16876.1520</x:v>
      </x:c>
      <x:c r="CE619" s="30" t="str">
        <x:f>=CC619+CD619</x:f>
      </x:c>
      <x:c r="CF619" s="66" t="str">
        <x:f>=CE619/CC619</x:f>
      </x:c>
      <x:c r="CH619" s="66" t="str">
        <x:f>=CI619+CJ619</x:f>
      </x:c>
      <x:c r="CI619" s="66" t="str">
        <x:f>=BX619+(0.03*7)</x:f>
      </x:c>
      <x:c r="CJ619" s="66" t="str">
        <x:f>=(1-CI619)*0.5</x:f>
      </x:c>
      <x:c r="CK619" s="66" t="str">
        <x:f>=1-CH619</x:f>
      </x:c>
      <x:c r="CM619" s="66" t="str">
        <x:f>=CJ619/(1-CI619)</x:f>
      </x:c>
    </x:row>
    <x:row r="620">
      <x:c r="A620" s="31" t="s">
        <x:v>1078</x:v>
      </x:c>
      <x:c r="B620" t="s"/>
      <x:c r="C620" t="s">
        <x:v>1079</x:v>
      </x:c>
      <x:c r="D620" t="s">
        <x:v>147</x:v>
      </x:c>
      <x:c r="E620" s="67" t="s">
        <x:v>131</x:v>
      </x:c>
      <x:c r="F620" t="n">
        <x:v>1436</x:v>
      </x:c>
      <x:c r="BI620" s="33" t="s"/>
      <x:c r="BJ620" s="11" t="s">
        <x:v>820</x:v>
      </x:c>
      <x:c r="BK620" s="12" t="str">
        <x:f>=BX620</x:f>
      </x:c>
      <x:c r="BL620" s="12" t="n">
        <x:v>0</x:v>
      </x:c>
      <x:c r="BM620" s="12" t="n">
        <x:v>0</x:v>
      </x:c>
      <x:c r="BN620" s="12" t="n">
        <x:v>1</x:v>
      </x:c>
      <x:c r="BO620" s="12" t="str">
        <x:f>=BW620</x:f>
      </x:c>
      <x:c r="BP620" s="12" t="str">
        <x:f>=CF620</x:f>
      </x:c>
      <x:c r="BQ620" s="12" t="str"/>
      <x:c r="BR620" s="12" t="str">
        <x:v>SS 2021 MSS</x:v>
      </x:c>
      <x:c r="BS620" s="13" t="str"/>
      <x:c r="BT620" s="30" t="n">
        <x:v>0</x:v>
      </x:c>
      <x:c r="BU620" s="30" t="n">
        <x:v>-17372.1536</x:v>
      </x:c>
      <x:c r="BV620" s="30" t="str">
        <x:f>=BT620+BU620</x:f>
      </x:c>
      <x:c r="BW620" s="66" t="str">
        <x:f>=BV620/BT620</x:f>
      </x:c>
      <x:c r="BX620" s="66" t="n">
        <x:v>0</x:v>
      </x:c>
      <x:c r="BY620" s="30" t="n">
        <x:v>16944.80</x:v>
      </x:c>
      <x:c r="BZ620" s="41" t="n">
        <x:v>1436</x:v>
      </x:c>
      <x:c r="CA620" s="30" t="n">
        <x:v>16944.80</x:v>
      </x:c>
      <x:c r="CC620" s="30" t="n">
        <x:v>12169.214669202500000000000000</x:v>
      </x:c>
      <x:c r="CD620" s="30" t="n">
        <x:v>-17372.1536</x:v>
      </x:c>
      <x:c r="CE620" s="30" t="str">
        <x:f>=CC620+CD620</x:f>
      </x:c>
      <x:c r="CF620" s="66" t="str">
        <x:f>=CE620/CC620</x:f>
      </x:c>
      <x:c r="CH620" s="66" t="str">
        <x:f>=CI620+CJ620</x:f>
      </x:c>
      <x:c r="CI620" s="66" t="str">
        <x:f>=BX620+(0.03*7)</x:f>
      </x:c>
      <x:c r="CJ620" s="66" t="str">
        <x:f>=(1-CI620)*0.5</x:f>
      </x:c>
      <x:c r="CK620" s="66" t="str">
        <x:f>=1-CH620</x:f>
      </x:c>
      <x:c r="CM620" s="66" t="str">
        <x:f>=CJ620/(1-CI620)</x:f>
      </x:c>
    </x:row>
    <x:row r="621">
      <x:c r="A621" s="31" t="s">
        <x:v>1080</x:v>
      </x:c>
      <x:c r="B621" t="s">
        <x:v>116</x:v>
      </x:c>
      <x:c r="C621" t="s">
        <x:v>1081</x:v>
      </x:c>
      <x:c r="D621" t="s">
        <x:v>147</x:v>
      </x:c>
      <x:c r="E621" s="67" t="s">
        <x:v>131</x:v>
      </x:c>
      <x:c r="F621" t="n">
        <x:v>1504</x:v>
      </x:c>
      <x:c r="BI621" s="33" t="s"/>
      <x:c r="BJ621" s="11" t="s">
        <x:v>820</x:v>
      </x:c>
      <x:c r="BK621" s="12" t="str">
        <x:f>=BX621</x:f>
      </x:c>
      <x:c r="BL621" s="12" t="n">
        <x:v>0</x:v>
      </x:c>
      <x:c r="BM621" s="12" t="n">
        <x:v>0</x:v>
      </x:c>
      <x:c r="BN621" s="12" t="n">
        <x:v>1</x:v>
      </x:c>
      <x:c r="BO621" s="12" t="str">
        <x:f>=BW621</x:f>
      </x:c>
      <x:c r="BP621" s="12" t="str">
        <x:f>=CF621</x:f>
      </x:c>
      <x:c r="BQ621" s="12" t="str"/>
      <x:c r="BR621" s="12" t="str">
        <x:v>SS 2021 MSS</x:v>
      </x:c>
      <x:c r="BS621" s="13" t="str"/>
      <x:c r="BT621" s="30" t="n">
        <x:v>0</x:v>
      </x:c>
      <x:c r="BU621" s="30" t="n">
        <x:v>-19819.1104</x:v>
      </x:c>
      <x:c r="BV621" s="30" t="str">
        <x:f>=BT621+BU621</x:f>
      </x:c>
      <x:c r="BW621" s="66" t="str">
        <x:f>=BV621/BT621</x:f>
      </x:c>
      <x:c r="BX621" s="66" t="n">
        <x:v>0</x:v>
      </x:c>
      <x:c r="BY621" s="30" t="n">
        <x:v>19371.52</x:v>
      </x:c>
      <x:c r="BZ621" s="41" t="n">
        <x:v>1504</x:v>
      </x:c>
      <x:c r="CA621" s="30" t="n">
        <x:v>19371.52</x:v>
      </x:c>
      <x:c r="CC621" s="30" t="n">
        <x:v>10196.378196368000000000000000</x:v>
      </x:c>
      <x:c r="CD621" s="30" t="n">
        <x:v>-19819.1104</x:v>
      </x:c>
      <x:c r="CE621" s="30" t="str">
        <x:f>=CC621+CD621</x:f>
      </x:c>
      <x:c r="CF621" s="66" t="str">
        <x:f>=CE621/CC621</x:f>
      </x:c>
      <x:c r="CH621" s="66" t="str">
        <x:f>=CI621+CJ621</x:f>
      </x:c>
      <x:c r="CI621" s="66" t="str">
        <x:f>=BX621+(0.03*7)</x:f>
      </x:c>
      <x:c r="CJ621" s="66" t="str">
        <x:f>=(1-CI621)*0.5</x:f>
      </x:c>
      <x:c r="CK621" s="66" t="str">
        <x:f>=1-CH621</x:f>
      </x:c>
      <x:c r="CM621" s="66" t="str">
        <x:f>=CJ621/(1-CI621)</x:f>
      </x:c>
    </x:row>
    <x:row r="622">
      <x:c r="A622" s="31" t="s">
        <x:v>1082</x:v>
      </x:c>
      <x:c r="B622" t="s">
        <x:v>116</x:v>
      </x:c>
      <x:c r="C622" t="s">
        <x:v>1083</x:v>
      </x:c>
      <x:c r="D622" t="s">
        <x:v>274</x:v>
      </x:c>
      <x:c r="E622" s="67" t="s">
        <x:v>131</x:v>
      </x:c>
      <x:c r="F622" t="n">
        <x:v>502</x:v>
      </x:c>
      <x:c r="BI622" s="33" t="s"/>
      <x:c r="BJ622" s="11" t="s">
        <x:v>820</x:v>
      </x:c>
      <x:c r="BK622" s="12" t="str">
        <x:f>=BX622</x:f>
      </x:c>
      <x:c r="BL622" s="12" t="n">
        <x:v>0</x:v>
      </x:c>
      <x:c r="BM622" s="12" t="n">
        <x:v>0</x:v>
      </x:c>
      <x:c r="BN622" s="12" t="n">
        <x:v>1</x:v>
      </x:c>
      <x:c r="BO622" s="12" t="str">
        <x:f>=BW622</x:f>
      </x:c>
      <x:c r="BP622" s="12" t="str">
        <x:f>=CF622</x:f>
      </x:c>
      <x:c r="BQ622" s="12" t="str"/>
      <x:c r="BR622" s="12" t="str">
        <x:v>AW 2021 MSS</x:v>
      </x:c>
      <x:c r="BS622" s="13" t="str"/>
      <x:c r="BT622" s="30" t="n">
        <x:v>0</x:v>
      </x:c>
      <x:c r="BU622" s="30" t="n">
        <x:v>-3490.45620</x:v>
      </x:c>
      <x:c r="BV622" s="30" t="str">
        <x:f>=BT622+BU622</x:f>
      </x:c>
      <x:c r="BW622" s="66" t="str">
        <x:f>=BV622/BT622</x:f>
      </x:c>
      <x:c r="BX622" s="66" t="n">
        <x:v>0</x:v>
      </x:c>
      <x:c r="BY622" s="30" t="n">
        <x:v>3187.70</x:v>
      </x:c>
      <x:c r="BZ622" s="41" t="n">
        <x:v>502</x:v>
      </x:c>
      <x:c r="CA622" s="30" t="n">
        <x:v>3187.70</x:v>
      </x:c>
      <x:c r="CC622" s="30" t="n">
        <x:v>2917.124917122000000000000</x:v>
      </x:c>
      <x:c r="CD622" s="30" t="n">
        <x:v>-3490.45620</x:v>
      </x:c>
      <x:c r="CE622" s="30" t="str">
        <x:f>=CC622+CD622</x:f>
      </x:c>
      <x:c r="CF622" s="66" t="str">
        <x:f>=CE622/CC622</x:f>
      </x:c>
      <x:c r="CH622" s="66" t="str">
        <x:f>=CI622+CJ622</x:f>
      </x:c>
      <x:c r="CI622" s="66" t="str">
        <x:f>=BX622+(0.03*7)</x:f>
      </x:c>
      <x:c r="CJ622" s="66" t="str">
        <x:f>=(1-CI622)*0.5</x:f>
      </x:c>
      <x:c r="CK622" s="66" t="str">
        <x:f>=1-CH622</x:f>
      </x:c>
      <x:c r="CM622" s="66" t="str">
        <x:f>=CJ622/(1-CI622)</x:f>
      </x:c>
    </x:row>
    <x:row r="623">
      <x:c r="A623" s="31" t="s">
        <x:v>1084</x:v>
      </x:c>
      <x:c r="B623" t="s"/>
      <x:c r="C623" t="s">
        <x:v>1085</x:v>
      </x:c>
      <x:c r="D623" t="s">
        <x:v>274</x:v>
      </x:c>
      <x:c r="E623" s="67" t="s">
        <x:v>131</x:v>
      </x:c>
      <x:c r="F623" t="n">
        <x:v>1508</x:v>
      </x:c>
      <x:c r="BI623" s="33" t="s"/>
      <x:c r="BJ623" s="11" t="s">
        <x:v>820</x:v>
      </x:c>
      <x:c r="BK623" s="12" t="str">
        <x:f>=BX623</x:f>
      </x:c>
      <x:c r="BL623" s="12" t="n">
        <x:v>0</x:v>
      </x:c>
      <x:c r="BM623" s="12" t="n">
        <x:v>0</x:v>
      </x:c>
      <x:c r="BN623" s="12" t="n">
        <x:v>1</x:v>
      </x:c>
      <x:c r="BO623" s="12" t="str">
        <x:f>=BW623</x:f>
      </x:c>
      <x:c r="BP623" s="12" t="str">
        <x:f>=CF623</x:f>
      </x:c>
      <x:c r="BQ623" s="12" t="str"/>
      <x:c r="BR623" s="12" t="str">
        <x:v>SS 2021 MSS</x:v>
      </x:c>
      <x:c r="BS623" s="13" t="str"/>
      <x:c r="BT623" s="30" t="n">
        <x:v>0</x:v>
      </x:c>
      <x:c r="BU623" s="30" t="n">
        <x:v>-17397.64520</x:v>
      </x:c>
      <x:c r="BV623" s="30" t="str">
        <x:f>=BT623+BU623</x:f>
      </x:c>
      <x:c r="BW623" s="66" t="str">
        <x:f>=BV623/BT623</x:f>
      </x:c>
      <x:c r="BX623" s="66" t="n">
        <x:v>0</x:v>
      </x:c>
      <x:c r="BY623" s="30" t="n">
        <x:v>16060.20</x:v>
      </x:c>
      <x:c r="BZ623" s="41" t="n">
        <x:v>1508</x:v>
      </x:c>
      <x:c r="CA623" s="30" t="n">
        <x:v>16060.20</x:v>
      </x:c>
      <x:c r="CC623" s="30" t="n">
        <x:v>13874.744874731000000000000000</x:v>
      </x:c>
      <x:c r="CD623" s="30" t="n">
        <x:v>-17397.64520</x:v>
      </x:c>
      <x:c r="CE623" s="30" t="str">
        <x:f>=CC623+CD623</x:f>
      </x:c>
      <x:c r="CF623" s="66" t="str">
        <x:f>=CE623/CC623</x:f>
      </x:c>
      <x:c r="CH623" s="66" t="str">
        <x:f>=CI623+CJ623</x:f>
      </x:c>
      <x:c r="CI623" s="66" t="str">
        <x:f>=BX623+(0.03*7)</x:f>
      </x:c>
      <x:c r="CJ623" s="66" t="str">
        <x:f>=(1-CI623)*0.5</x:f>
      </x:c>
      <x:c r="CK623" s="66" t="str">
        <x:f>=1-CH623</x:f>
      </x:c>
      <x:c r="CM623" s="66" t="str">
        <x:f>=CJ623/(1-CI623)</x:f>
      </x:c>
    </x:row>
    <x:row r="624">
      <x:c r="A624" s="31" t="s">
        <x:v>1086</x:v>
      </x:c>
      <x:c r="B624" t="s">
        <x:v>116</x:v>
      </x:c>
      <x:c r="C624" t="s">
        <x:v>1087</x:v>
      </x:c>
      <x:c r="D624" t="s">
        <x:v>274</x:v>
      </x:c>
      <x:c r="E624" s="67" t="s">
        <x:v>131</x:v>
      </x:c>
      <x:c r="F624" t="n">
        <x:v>507</x:v>
      </x:c>
      <x:c r="BI624" s="33" t="s"/>
      <x:c r="BJ624" s="11" t="s">
        <x:v>820</x:v>
      </x:c>
      <x:c r="BK624" s="12" t="str">
        <x:f>=BX624</x:f>
      </x:c>
      <x:c r="BL624" s="12" t="n">
        <x:v>0</x:v>
      </x:c>
      <x:c r="BM624" s="12" t="n">
        <x:v>0</x:v>
      </x:c>
      <x:c r="BN624" s="12" t="n">
        <x:v>1</x:v>
      </x:c>
      <x:c r="BO624" s="12" t="str">
        <x:f>=BW624</x:f>
      </x:c>
      <x:c r="BP624" s="12" t="str">
        <x:f>=CF624</x:f>
      </x:c>
      <x:c r="BQ624" s="12" t="str"/>
      <x:c r="BR624" s="12" t="str">
        <x:v>AW 2021 MSS</x:v>
      </x:c>
      <x:c r="BS624" s="13" t="str"/>
      <x:c r="BT624" s="30" t="n">
        <x:v>0</x:v>
      </x:c>
      <x:c r="BU624" s="30" t="n">
        <x:v>-4335.91470</x:v>
      </x:c>
      <x:c r="BV624" s="30" t="str">
        <x:f>=BT624+BU624</x:f>
      </x:c>
      <x:c r="BW624" s="66" t="str">
        <x:f>=BV624/BT624</x:f>
      </x:c>
      <x:c r="BX624" s="66" t="n">
        <x:v>0</x:v>
      </x:c>
      <x:c r="BY624" s="30" t="n">
        <x:v>3979.95</x:v>
      </x:c>
      <x:c r="BZ624" s="41" t="n">
        <x:v>507</x:v>
      </x:c>
      <x:c r="CA624" s="30" t="n">
        <x:v>3979.95</x:v>
      </x:c>
      <x:c r="CC624" s="30" t="n">
        <x:v>3682.724932721250000000000</x:v>
      </x:c>
      <x:c r="CD624" s="30" t="n">
        <x:v>-4335.91470</x:v>
      </x:c>
      <x:c r="CE624" s="30" t="str">
        <x:f>=CC624+CD624</x:f>
      </x:c>
      <x:c r="CF624" s="66" t="str">
        <x:f>=CE624/CC624</x:f>
      </x:c>
      <x:c r="CH624" s="66" t="str">
        <x:f>=CI624+CJ624</x:f>
      </x:c>
      <x:c r="CI624" s="66" t="str">
        <x:f>=BX624+(0.03*7)</x:f>
      </x:c>
      <x:c r="CJ624" s="66" t="str">
        <x:f>=(1-CI624)*0.5</x:f>
      </x:c>
      <x:c r="CK624" s="66" t="str">
        <x:f>=1-CH624</x:f>
      </x:c>
      <x:c r="CM624" s="66" t="str">
        <x:f>=CJ624/(1-CI624)</x:f>
      </x:c>
    </x:row>
    <x:row r="625">
      <x:c r="A625" s="31" t="s">
        <x:v>1088</x:v>
      </x:c>
      <x:c r="B625" t="s"/>
      <x:c r="C625" t="s">
        <x:v>1089</x:v>
      </x:c>
      <x:c r="D625" t="s">
        <x:v>274</x:v>
      </x:c>
      <x:c r="E625" s="67" t="s">
        <x:v>131</x:v>
      </x:c>
      <x:c r="F625" t="n">
        <x:v>1455</x:v>
      </x:c>
      <x:c r="BI625" s="33" t="s"/>
      <x:c r="BJ625" s="11" t="s">
        <x:v>820</x:v>
      </x:c>
      <x:c r="BK625" s="12" t="str">
        <x:f>=BX625</x:f>
      </x:c>
      <x:c r="BL625" s="12" t="n">
        <x:v>0</x:v>
      </x:c>
      <x:c r="BM625" s="12" t="n">
        <x:v>0</x:v>
      </x:c>
      <x:c r="BN625" s="12" t="n">
        <x:v>1</x:v>
      </x:c>
      <x:c r="BO625" s="12" t="str">
        <x:f>=BW625</x:f>
      </x:c>
      <x:c r="BP625" s="12" t="str">
        <x:f>=CF625</x:f>
      </x:c>
      <x:c r="BQ625" s="12" t="str"/>
      <x:c r="BR625" s="12" t="str">
        <x:v>SS 2021 MSS</x:v>
      </x:c>
      <x:c r="BS625" s="13" t="str"/>
      <x:c r="BT625" s="30" t="n">
        <x:v>0</x:v>
      </x:c>
      <x:c r="BU625" s="30" t="n">
        <x:v>-16786.18950</x:v>
      </x:c>
      <x:c r="BV625" s="30" t="str">
        <x:f>=BT625+BU625</x:f>
      </x:c>
      <x:c r="BW625" s="66" t="str">
        <x:f>=BV625/BT625</x:f>
      </x:c>
      <x:c r="BX625" s="66" t="n">
        <x:v>0</x:v>
      </x:c>
      <x:c r="BY625" s="30" t="n">
        <x:v>15495.75</x:v>
      </x:c>
      <x:c r="BZ625" s="41" t="n">
        <x:v>1455</x:v>
      </x:c>
      <x:c r="CA625" s="30" t="n">
        <x:v>15495.75</x:v>
      </x:c>
      <x:c r="CC625" s="30" t="n">
        <x:v>13387.104637091250000000000</x:v>
      </x:c>
      <x:c r="CD625" s="30" t="n">
        <x:v>-16786.18950</x:v>
      </x:c>
      <x:c r="CE625" s="30" t="str">
        <x:f>=CC625+CD625</x:f>
      </x:c>
      <x:c r="CF625" s="66" t="str">
        <x:f>=CE625/CC625</x:f>
      </x:c>
      <x:c r="CH625" s="66" t="str">
        <x:f>=CI625+CJ625</x:f>
      </x:c>
      <x:c r="CI625" s="66" t="str">
        <x:f>=BX625+(0.03*7)</x:f>
      </x:c>
      <x:c r="CJ625" s="66" t="str">
        <x:f>=(1-CI625)*0.5</x:f>
      </x:c>
      <x:c r="CK625" s="66" t="str">
        <x:f>=1-CH625</x:f>
      </x:c>
      <x:c r="CM625" s="66" t="str">
        <x:f>=CJ625/(1-CI625)</x:f>
      </x:c>
    </x:row>
    <x:row r="626">
      <x:c r="A626" s="31" t="s">
        <x:v>1090</x:v>
      </x:c>
      <x:c r="B626" t="s"/>
      <x:c r="C626" t="s">
        <x:v>1091</x:v>
      </x:c>
      <x:c r="D626" t="s">
        <x:v>274</x:v>
      </x:c>
      <x:c r="E626" s="67" t="s">
        <x:v>131</x:v>
      </x:c>
      <x:c r="F626" t="n">
        <x:v>1456</x:v>
      </x:c>
      <x:c r="BI626" s="33" t="s"/>
      <x:c r="BJ626" s="11" t="s">
        <x:v>820</x:v>
      </x:c>
      <x:c r="BK626" s="12" t="str">
        <x:f>=BX626</x:f>
      </x:c>
      <x:c r="BL626" s="12" t="n">
        <x:v>0</x:v>
      </x:c>
      <x:c r="BM626" s="12" t="n">
        <x:v>0</x:v>
      </x:c>
      <x:c r="BN626" s="12" t="n">
        <x:v>1</x:v>
      </x:c>
      <x:c r="BO626" s="12" t="str">
        <x:f>=BW626</x:f>
      </x:c>
      <x:c r="BP626" s="12" t="str">
        <x:f>=CF626</x:f>
      </x:c>
      <x:c r="BQ626" s="12" t="str"/>
      <x:c r="BR626" s="12" t="str">
        <x:v>SS 2021 MSS</x:v>
      </x:c>
      <x:c r="BS626" s="13" t="str"/>
      <x:c r="BT626" s="30" t="n">
        <x:v>0</x:v>
      </x:c>
      <x:c r="BU626" s="30" t="n">
        <x:v>-16254.49280</x:v>
      </x:c>
      <x:c r="BV626" s="30" t="str">
        <x:f>=BT626+BU626</x:f>
      </x:c>
      <x:c r="BW626" s="66" t="str">
        <x:f>=BV626/BT626</x:f>
      </x:c>
      <x:c r="BX626" s="66" t="n">
        <x:v>0</x:v>
      </x:c>
      <x:c r="BY626" s="30" t="n">
        <x:v>14996.80</x:v>
      </x:c>
      <x:c r="BZ626" s="41" t="n">
        <x:v>1456</x:v>
      </x:c>
      <x:c r="CA626" s="30" t="n">
        <x:v>14996.80</x:v>
      </x:c>
      <x:c r="CC626" s="30" t="n">
        <x:v>11986.167986156000000000000000</x:v>
      </x:c>
      <x:c r="CD626" s="30" t="n">
        <x:v>-16254.49280</x:v>
      </x:c>
      <x:c r="CE626" s="30" t="str">
        <x:f>=CC626+CD626</x:f>
      </x:c>
      <x:c r="CF626" s="66" t="str">
        <x:f>=CE626/CC626</x:f>
      </x:c>
      <x:c r="CH626" s="66" t="str">
        <x:f>=CI626+CJ626</x:f>
      </x:c>
      <x:c r="CI626" s="66" t="str">
        <x:f>=BX626+(0.03*7)</x:f>
      </x:c>
      <x:c r="CJ626" s="66" t="str">
        <x:f>=(1-CI626)*0.5</x:f>
      </x:c>
      <x:c r="CK626" s="66" t="str">
        <x:f>=1-CH626</x:f>
      </x:c>
      <x:c r="CM626" s="66" t="str">
        <x:f>=CJ626/(1-CI626)</x:f>
      </x:c>
    </x:row>
    <x:row r="627">
      <x:c r="A627" s="31" t="s">
        <x:v>1092</x:v>
      </x:c>
      <x:c r="B627" t="s"/>
      <x:c r="C627" t="s">
        <x:v>1093</x:v>
      </x:c>
      <x:c r="D627" t="s">
        <x:v>274</x:v>
      </x:c>
      <x:c r="E627" s="67" t="s">
        <x:v>131</x:v>
      </x:c>
      <x:c r="F627" t="n">
        <x:v>1354</x:v>
      </x:c>
      <x:c r="BI627" s="33" t="s"/>
      <x:c r="BJ627" s="11" t="s">
        <x:v>820</x:v>
      </x:c>
      <x:c r="BK627" s="12" t="str">
        <x:f>=BX627</x:f>
      </x:c>
      <x:c r="BL627" s="12" t="n">
        <x:v>0</x:v>
      </x:c>
      <x:c r="BM627" s="12" t="n">
        <x:v>0</x:v>
      </x:c>
      <x:c r="BN627" s="12" t="n">
        <x:v>1</x:v>
      </x:c>
      <x:c r="BO627" s="12" t="str">
        <x:f>=BW627</x:f>
      </x:c>
      <x:c r="BP627" s="12" t="str">
        <x:f>=CF627</x:f>
      </x:c>
      <x:c r="BQ627" s="12" t="str"/>
      <x:c r="BR627" s="12" t="str">
        <x:v>SS 2021 MSS</x:v>
      </x:c>
      <x:c r="BS627" s="13" t="str"/>
      <x:c r="BT627" s="30" t="n">
        <x:v>0</x:v>
      </x:c>
      <x:c r="BU627" s="30" t="n">
        <x:v>-15115.78520</x:v>
      </x:c>
      <x:c r="BV627" s="30" t="str">
        <x:f>=BT627+BU627</x:f>
      </x:c>
      <x:c r="BW627" s="66" t="str">
        <x:f>=BV627/BT627</x:f>
      </x:c>
      <x:c r="BX627" s="66" t="n">
        <x:v>0</x:v>
      </x:c>
      <x:c r="BY627" s="30" t="n">
        <x:v>13946.20</x:v>
      </x:c>
      <x:c r="BZ627" s="41" t="n">
        <x:v>1354</x:v>
      </x:c>
      <x:c r="CA627" s="30" t="n">
        <x:v>13946.20</x:v>
      </x:c>
      <x:c r="CC627" s="30" t="n">
        <x:v>11146.477646466500000000000000</x:v>
      </x:c>
      <x:c r="CD627" s="30" t="n">
        <x:v>-15115.78520</x:v>
      </x:c>
      <x:c r="CE627" s="30" t="str">
        <x:f>=CC627+CD627</x:f>
      </x:c>
      <x:c r="CF627" s="66" t="str">
        <x:f>=CE627/CC627</x:f>
      </x:c>
      <x:c r="CH627" s="66" t="str">
        <x:f>=CI627+CJ627</x:f>
      </x:c>
      <x:c r="CI627" s="66" t="str">
        <x:f>=BX627+(0.03*7)</x:f>
      </x:c>
      <x:c r="CJ627" s="66" t="str">
        <x:f>=(1-CI627)*0.5</x:f>
      </x:c>
      <x:c r="CK627" s="66" t="str">
        <x:f>=1-CH627</x:f>
      </x:c>
      <x:c r="CM627" s="66" t="str">
        <x:f>=CJ627/(1-CI627)</x:f>
      </x:c>
    </x:row>
    <x:row r="628">
      <x:c r="A628" s="34" t="s"/>
      <x:c r="B628" s="6" t="s"/>
      <x:c r="C628" s="6" t="s"/>
      <x:c r="D628" s="6" t="s"/>
      <x:c r="E628" s="6" t="s"/>
      <x:c r="F628" s="6" t="s"/>
      <x:c r="G628" s="6" t="s"/>
      <x:c r="H628" s="6" t="s"/>
      <x:c r="I628" s="6" t="s"/>
      <x:c r="J628" s="6" t="s"/>
      <x:c r="K628" s="6" t="s"/>
      <x:c r="L628" s="6" t="s"/>
      <x:c r="M628" s="6" t="s"/>
      <x:c r="N628" s="6" t="s"/>
      <x:c r="O628" s="6" t="s"/>
      <x:c r="P628" s="6" t="s"/>
      <x:c r="Q628" s="6" t="s"/>
      <x:c r="R628" s="6" t="s"/>
      <x:c r="S628" s="6" t="s"/>
      <x:c r="T628" s="6" t="s"/>
      <x:c r="U628" s="6" t="s"/>
      <x:c r="V628" s="6" t="s"/>
      <x:c r="W628" s="6" t="s"/>
      <x:c r="X628" s="6" t="s"/>
      <x:c r="Y628" s="6" t="s"/>
      <x:c r="Z628" s="6" t="s"/>
      <x:c r="AA628" s="6" t="s"/>
      <x:c r="AB628" s="6" t="s"/>
      <x:c r="AC628" s="6" t="s"/>
      <x:c r="AD628" s="6" t="s"/>
      <x:c r="AE628" s="6" t="s"/>
      <x:c r="AF628" s="6" t="s"/>
      <x:c r="AG628" s="6" t="s"/>
      <x:c r="AH628" s="6" t="s"/>
      <x:c r="AI628" s="6" t="s"/>
      <x:c r="AJ628" s="6" t="s"/>
      <x:c r="AK628" s="6" t="s"/>
      <x:c r="AL628" s="6" t="s"/>
      <x:c r="AM628" s="6" t="s"/>
      <x:c r="AN628" s="6" t="s"/>
      <x:c r="AO628" s="6" t="s"/>
      <x:c r="AP628" s="6" t="s"/>
      <x:c r="AQ628" s="6" t="s"/>
      <x:c r="AR628" s="6" t="s"/>
      <x:c r="AS628" s="6" t="s"/>
      <x:c r="AT628" s="6" t="s"/>
      <x:c r="AU628" s="6" t="s"/>
      <x:c r="AV628" s="6" t="s"/>
      <x:c r="AW628" s="6" t="s"/>
      <x:c r="AX628" s="6" t="s"/>
      <x:c r="AY628" s="6" t="s"/>
      <x:c r="AZ628" s="6" t="s"/>
      <x:c r="BA628" s="6" t="s"/>
      <x:c r="BB628" s="6" t="s"/>
      <x:c r="BC628" s="6" t="s"/>
      <x:c r="BD628" s="6" t="s"/>
      <x:c r="BE628" s="6" t="s"/>
      <x:c r="BF628" s="6" t="s"/>
      <x:c r="BG628" s="6" t="s"/>
      <x:c r="BH628" s="6" t="s"/>
      <x:c r="BI628" s="8" t="s"/>
      <x:c r="BJ628" s="14" t="s">
        <x:v>36</x:v>
      </x:c>
      <x:c r="BK628" s="15" t="s"/>
      <x:c r="BL628" s="15" t="s"/>
      <x:c r="BM628" s="15" t="s"/>
      <x:c r="BN628" s="15" t="s"/>
      <x:c r="BO628" s="37" t="s">
        <x:f>=BV629/BT629</x:f>
      </x:c>
      <x:c r="BP628" s="37">
        <x:f>=CF629</x:f>
      </x:c>
      <x:c r="BQ628" s="15" t="s"/>
      <x:c r="BR628" s="15" t="s"/>
      <x:c r="BS628" s="16" t="s"/>
      <x:c r="BT628" s="20" t="n">
        <x:v>0</x:v>
      </x:c>
      <x:c r="BU628" s="20" t="n">
        <x:v>-1534711.99941260953962554710</x:v>
      </x:c>
      <x:c r="BV628" s="20" t="str">
        <x:f>=BT628+BU628</x:f>
      </x:c>
      <x:c r="BW628" s="21" t="n">
        <x:v>0</x:v>
      </x:c>
      <x:c r="BY628" s="20" t="n">
        <x:v>-1461323.713516640350129430</x:v>
      </x:c>
      <x:c r="BZ628" s="20" t="n">
        <x:v>288533</x:v>
      </x:c>
      <x:c r="CA628" s="20" t="n">
        <x:v>1461323.7135166403501294300000</x:v>
      </x:c>
      <x:c r="CC628" s="20" t="n">
        <x:v>1192333.8907076983750000000000</x:v>
      </x:c>
      <x:c r="CD628" s="20" t="n">
        <x:v>-1534711.99941260953962554710</x:v>
      </x:c>
      <x:c r="CE628" s="20" t="str">
        <x:f>=CC628+CD628</x:f>
      </x:c>
      <x:c r="CF628" s="21" t="n">
        <x:v>-0.2871495236134703118958314874</x:v>
      </x:c>
    </x:row>
    <x:row r="629">
      <x:c r="BT629" s="18" t="n">
        <x:v>0</x:v>
      </x:c>
      <x:c r="BU629" s="18" t="n">
        <x:v>-1534711.99941260953962554710</x:v>
      </x:c>
      <x:c r="BV629" s="18" t="str">
        <x:f>=BT629+BU629</x:f>
      </x:c>
      <x:c r="BW629" s="19" t="n">
        <x:v>0</x:v>
      </x:c>
      <x:c r="BY629" s="18" t="n">
        <x:v>-1461323.713516640350129430</x:v>
      </x:c>
      <x:c r="BZ629" s="18" t="n">
        <x:v>288533</x:v>
      </x:c>
      <x:c r="CA629" s="18" t="n">
        <x:v>1461323.7135166403501294300000</x:v>
      </x:c>
      <x:c r="CC629" s="18" t="n">
        <x:v>1192333.8907076983750000000000</x:v>
      </x:c>
      <x:c r="CD629" s="18" t="n">
        <x:v>-1534711.99941260953962554710</x:v>
      </x:c>
      <x:c r="CE629" s="18" t="str">
        <x:f>=CC629+CD629</x:f>
      </x:c>
      <x:c r="CF629" s="19" t="n">
        <x:v>-0.2871495236134703118958314874</x:v>
      </x:c>
    </x:row>
    <x:row r="630">
      <x:c r="A630" s="71"/>
      <x:c r="B630" s="72"/>
      <x:c r="C630" s="72"/>
      <x:c r="D630" s="72"/>
      <x:c r="E630" s="72"/>
      <x:c r="F630" s="73"/>
      <x:c r="G630" s="72"/>
      <x:c r="H630" s="72"/>
      <x:c r="I630" s="72"/>
      <x:c r="J630" s="72"/>
      <x:c r="K630" s="72"/>
      <x:c r="L630" s="72"/>
      <x:c r="M630" s="72"/>
      <x:c r="N630" s="72"/>
      <x:c r="O630" s="72"/>
      <x:c r="P630" s="72"/>
      <x:c r="Q630" s="72"/>
      <x:c r="R630" s="72"/>
      <x:c r="S630" s="72"/>
      <x:c r="T630" s="72"/>
      <x:c r="U630" s="72"/>
      <x:c r="V630" s="72"/>
      <x:c r="W630" s="72"/>
      <x:c r="X630" s="72"/>
      <x:c r="Y630" s="72"/>
      <x:c r="Z630" s="72"/>
      <x:c r="AA630" s="72"/>
      <x:c r="AB630" s="72"/>
      <x:c r="AC630" s="72"/>
      <x:c r="AD630" s="72"/>
      <x:c r="AE630" s="74"/>
      <x:c r="AF630" s="74"/>
      <x:c r="AG630" s="74"/>
      <x:c r="AH630" s="74"/>
      <x:c r="AI630" s="75"/>
    </x:row>
    <x:row r="631">
      <x:c r="A631" s="76"/>
      <x:c r="B631" s="77"/>
      <x:c r="C631" s="77"/>
      <x:c r="D631" s="77"/>
      <x:c r="E631" s="78" t="s">
        <x:v>29</x:v>
      </x:c>
      <x:c r="F631" s="77"/>
      <x:c r="G631" s="77"/>
      <x:c r="H631" s="77"/>
      <x:c r="I631" s="77"/>
      <x:c r="J631" s="77"/>
      <x:c r="K631" s="77"/>
      <x:c r="L631" s="77"/>
      <x:c r="M631" s="77"/>
      <x:c r="N631" s="77"/>
      <x:c r="O631" s="77"/>
      <x:c r="P631" s="79" t="s">
        <x:v>30</x:v>
      </x:c>
      <x:c r="Q631" s="77"/>
      <x:c r="R631" s="77"/>
      <x:c r="S631" s="77"/>
      <x:c r="T631" s="77"/>
      <x:c r="U631" s="77"/>
      <x:c r="V631" s="77"/>
      <x:c r="W631" s="79" t="s">
        <x:v>31</x:v>
      </x:c>
      <x:c r="X631" s="79"/>
      <x:c r="Y631" s="79"/>
      <x:c r="Z631" s="77"/>
      <x:c r="AA631" s="77"/>
      <x:c r="AB631" s="77"/>
      <x:c r="AC631" s="77"/>
      <x:c r="AD631" s="79" t="s">
        <x:v>32</x:v>
      </x:c>
      <x:c r="AE631" s="79"/>
      <x:c r="AF631" s="79"/>
      <x:c r="AG631" s="77"/>
      <x:c r="AH631" s="80"/>
      <x:c r="AI631" s="81"/>
    </x:row>
    <x:row r="632">
      <x:c r="A632" s="77"/>
      <x:c r="B632" s="77"/>
      <x:c r="C632" s="77"/>
      <x:c r="D632" s="77"/>
      <x:c r="E632" s="82" t="s">
        <x:v>33</x:v>
      </x:c>
      <x:c r="F632" s="77" t="s">
        <x:v>19</x:v>
      </x:c>
      <x:c r="G632" s="77" t="s">
        <x:v>20</x:v>
      </x:c>
      <x:c r="H632" s="77" t="s">
        <x:v>21</x:v>
      </x:c>
      <x:c r="I632" s="77" t="s">
        <x:v>15</x:v>
      </x:c>
      <x:c r="J632" s="77"/>
      <x:c r="K632" s="83" t="s">
        <x:v>16</x:v>
      </x:c>
      <x:c r="L632" s="83"/>
      <x:c r="M632" s="83" t="s">
        <x:v>34</x:v>
      </x:c>
      <x:c r="N632" s="83" t="s">
        <x:v>35</x:v>
      </x:c>
      <x:c r="O632" s="77"/>
      <x:c r="P632" s="77" t="s">
        <x:v>19</x:v>
      </x:c>
      <x:c r="Q632" s="77" t="s">
        <x:v>20</x:v>
      </x:c>
      <x:c r="R632" s="77" t="s">
        <x:v>21</x:v>
      </x:c>
      <x:c r="S632" s="77" t="s">
        <x:v>15</x:v>
      </x:c>
      <x:c r="T632" s="77"/>
      <x:c r="U632" s="77"/>
      <x:c r="V632" s="77"/>
      <x:c r="W632" s="80" t="s">
        <x:v>36</x:v>
      </x:c>
      <x:c r="X632" s="80" t="s">
        <x:v>37</x:v>
      </x:c>
      <x:c r="Y632" s="80" t="s">
        <x:v>38</x:v>
      </x:c>
      <x:c r="Z632" s="80" t="s">
        <x:v>39</x:v>
      </x:c>
      <x:c r="AA632" s="77"/>
      <x:c r="AB632" s="77" t="s">
        <x:v>40</x:v>
      </x:c>
      <x:c r="AC632" s="77"/>
      <x:c r="AD632" s="80" t="s">
        <x:v>36</x:v>
      </x:c>
      <x:c r="AE632" s="80" t="s">
        <x:v>37</x:v>
      </x:c>
      <x:c r="AF632" s="80" t="s">
        <x:v>38</x:v>
      </x:c>
      <x:c r="AG632" s="80" t="s">
        <x:v>39</x:v>
      </x:c>
      <x:c r="AH632" s="80"/>
      <x:c r="AI632" s="81"/>
    </x:row>
    <x:row r="633">
      <x:c r="AI633" s="33" t="s"/>
    </x:row>
    <x:row r="634">
      <x:c r="A634" s="17" t="s">
        <x:v>42</x:v>
      </x:c>
      <x:c r="AI634" s="33" t="s"/>
    </x:row>
    <x:row r="635">
      <x:c r="A635" s="31"/>
      <x:c r="B635"/>
      <x:c r="C635" s="44" t="s">
        <x:v>119</x:v>
      </x:c>
      <x:c r="D635"/>
      <x:c r="E635" s="41" t="str">
        <x:f>=COUNTIF($E$4:$E$24,C635)</x:f>
      </x:c>
      <x:c r="F635" s="28" t="str">
        <x:f>=SUMIF($E$4:$E$24,C635,$BT$4:$BT$24)/1000</x:f>
      </x:c>
      <x:c r="G635" s="28" t="str">
        <x:f>=SUMIF($E$4:$E$24,C635,$BU$4:$BU$24)/1000</x:f>
      </x:c>
      <x:c r="H635" s="28" t="str">
        <x:f>=F635+G635</x:f>
      </x:c>
      <x:c r="I635" s="93" t="str">
        <x:f>=H635/F635</x:f>
      </x:c>
      <x:c r="K635" s="28" t="str">
        <x:f>=SUMIF($E$4:$E$24,C635,$BY$4:$BY$24)/1000</x:f>
      </x:c>
      <x:c r="M635" s="28" t="str">
        <x:f>=SUMIF($E$4:$E$24,C635,$BZ$4:$BZ$24)/1000</x:f>
      </x:c>
      <x:c r="N635" s="28" t="str">
        <x:f>=SUMIF($E$4:$E$24,C635,$CA$4:$CA$24)/1000</x:f>
      </x:c>
      <x:c r="P635" s="28" t="str">
        <x:f>=SUMIF($E$4:$E$24,C635,$CC$4:$CC$24)/1000</x:f>
      </x:c>
      <x:c r="Q635" s="28" t="str">
        <x:f>=SUMIF($E$4:$E$24,C635,$CD$4:$CD$24)/1000</x:f>
      </x:c>
      <x:c r="R635" s="28" t="str">
        <x:f>=P635+Q635</x:f>
      </x:c>
      <x:c r="S635" s="93" t="str">
        <x:f>=R635/P635</x:f>
      </x:c>
      <x:c r="W635" s="93" t="str">
        <x:f>=SUMIFS($BK$4:$BK$24,$E$4:$E$24,C635)/E635</x:f>
      </x:c>
      <x:c r="X635" s="93" t="str">
        <x:f>=SUMIFS($BL$4:$BL$24,$E$4:$E$24,C635)/E635</x:f>
      </x:c>
      <x:c r="Y635" s="93" t="str">
        <x:f>=SUMIFS($BM$4:$BM$24,$E$4:$E$24,C635)/E635</x:f>
      </x:c>
      <x:c r="Z635" s="93" t="str">
        <x:f>=IF(W635&gt;0,1-W635,0)</x:f>
      </x:c>
      <x:c r="AB635" s="93" t="str">
        <x:f>=Y635/(1-X635)</x:f>
      </x:c>
      <x:c r="AD635" s="93" t="str">
        <x:f>=SUMIFS($CH$4:$CH$24,$E$4:$E$24,C635)/E635</x:f>
      </x:c>
      <x:c r="AE635" s="93" t="str">
        <x:f>=SUMIFS($CI$4:$CI$24,$E$4:$E$24,C635)/E635</x:f>
      </x:c>
      <x:c r="AF635" s="93" t="str">
        <x:f>=SUMIFS($CJ$4:$CJ$24,$E$4:$E$24,C635)/E635</x:f>
      </x:c>
      <x:c r="AG635" s="93" t="str">
        <x:f>=IF(AD635&gt;0,1-AD635,0)</x:f>
      </x:c>
      <x:c r="AI635" s="33" t="s"/>
    </x:row>
    <x:row r="636">
      <x:c r="A636" s="31"/>
      <x:c r="B636"/>
      <x:c r="C636" s="43" t="s">
        <x:v>131</x:v>
      </x:c>
      <x:c r="D636"/>
      <x:c r="E636" s="41" t="str">
        <x:f>=COUNTIF($E$4:$E$24,C636)</x:f>
      </x:c>
      <x:c r="F636" s="28" t="str">
        <x:f>=SUMIF($E$4:$E$24,C636,$BT$4:$BT$24)/1000</x:f>
      </x:c>
      <x:c r="G636" s="28" t="str">
        <x:f>=SUMIF($E$4:$E$24,C636,$BU$4:$BU$24)/1000</x:f>
      </x:c>
      <x:c r="H636" s="28" t="str">
        <x:f>=F636+G636</x:f>
      </x:c>
      <x:c r="I636" s="93" t="str">
        <x:f>=H636/F636</x:f>
      </x:c>
      <x:c r="K636" s="28" t="str">
        <x:f>=SUMIF($E$4:$E$24,C636,$BY$4:$BY$24)/1000</x:f>
      </x:c>
      <x:c r="M636" s="28" t="str">
        <x:f>=SUMIF($E$4:$E$24,C636,$BZ$4:$BZ$24)/1000</x:f>
      </x:c>
      <x:c r="N636" s="28" t="str">
        <x:f>=SUMIF($E$4:$E$24,C636,$CA$4:$CA$24)/1000</x:f>
      </x:c>
      <x:c r="P636" s="28" t="str">
        <x:f>=SUMIF($E$4:$E$24,C636,$CC$4:$CC$24)/1000</x:f>
      </x:c>
      <x:c r="Q636" s="28" t="str">
        <x:f>=SUMIF($E$4:$E$24,C636,$CD$4:$CD$24)/1000</x:f>
      </x:c>
      <x:c r="R636" s="28" t="str">
        <x:f>=P636+Q636</x:f>
      </x:c>
      <x:c r="S636" s="93" t="str">
        <x:f>=R636/P636</x:f>
      </x:c>
      <x:c r="W636" s="93" t="str">
        <x:f>=SUMIFS($BK$4:$BK$24,$E$4:$E$24,C636)/E636</x:f>
      </x:c>
      <x:c r="X636" s="93" t="str">
        <x:f>=SUMIFS($BL$4:$BL$24,$E$4:$E$24,C636)/E636</x:f>
      </x:c>
      <x:c r="Y636" s="93" t="str">
        <x:f>=SUMIFS($BM$4:$BM$24,$E$4:$E$24,C636)/E636</x:f>
      </x:c>
      <x:c r="Z636" s="93" t="str">
        <x:f>=IF(W636&gt;0,1-W636,0)</x:f>
      </x:c>
      <x:c r="AB636" s="93" t="str">
        <x:f>=Y636/(1-X636)</x:f>
      </x:c>
      <x:c r="AD636" s="93" t="str">
        <x:f>=SUMIFS($CH$4:$CH$24,$E$4:$E$24,C636)/E636</x:f>
      </x:c>
      <x:c r="AE636" s="93" t="str">
        <x:f>=SUMIFS($CI$4:$CI$24,$E$4:$E$24,C636)/E636</x:f>
      </x:c>
      <x:c r="AF636" s="93" t="str">
        <x:f>=SUMIFS($CJ$4:$CJ$24,$E$4:$E$24,C636)/E636</x:f>
      </x:c>
      <x:c r="AG636" s="93" t="str">
        <x:f>=IF(AD636&gt;0,1-AD636,0)</x:f>
      </x:c>
      <x:c r="AI636" s="33" t="s"/>
    </x:row>
    <x:row r="637">
      <x:c r="A637" s="31" t="s"/>
      <x:c r="B637"/>
      <x:c r="C637"/>
      <x:c r="D637"/>
      <x:c r="E637" s="91">
        <x:f>=SUM(E635:E636)</x:f>
      </x:c>
      <x:c r="F637" s="90">
        <x:f>=SUM(F635:F636)</x:f>
      </x:c>
      <x:c r="G637" s="90">
        <x:f>=SUM(G635:G636)</x:f>
      </x:c>
      <x:c r="H637" s="90">
        <x:f>=SUM(H635:H636)</x:f>
      </x:c>
      <x:c r="I637" s="92">
        <x:f>=H637/F637</x:f>
      </x:c>
      <x:c r="K637" s="90">
        <x:f>=SUM(K635:K636)</x:f>
      </x:c>
      <x:c r="M637" s="90">
        <x:f>=SUM(M635:K636)</x:f>
      </x:c>
      <x:c r="N637" s="90">
        <x:f>=SUM(N635:K636)</x:f>
      </x:c>
      <x:c r="P637" s="90">
        <x:f>=SUM(P635:P636)</x:f>
      </x:c>
      <x:c r="Q637" s="90">
        <x:f>=SUM(Q635:Q636)</x:f>
      </x:c>
      <x:c r="R637" s="90">
        <x:f>=SUM(R635:R636)</x:f>
      </x:c>
      <x:c r="S637" s="92">
        <x:f>=R637/P637</x:f>
      </x:c>
      <x:c r="W637" s="92">
        <x:f>=SUM(AY$4:AY$24)/E637</x:f>
      </x:c>
      <x:c r="X637" s="92">
        <x:f>=SUM(AZ$4:AZ$24)/E637</x:f>
      </x:c>
      <x:c r="Y637" s="92">
        <x:f>=SUM(BA$4:BA$24)/E637</x:f>
      </x:c>
      <x:c r="Z637" s="92" t="str">
        <x:f>=IF(W637&gt;0,1-W637,0)</x:f>
      </x:c>
      <x:c r="AD637" s="92">
        <x:f>=SUM(BS$4:BS$24)/E637</x:f>
      </x:c>
      <x:c r="AE637" s="92">
        <x:f>=SUM(BT$4:BT$24)/E637</x:f>
      </x:c>
      <x:c r="AF637" s="92">
        <x:f>=SUM(BU$4:BU$24)/E637</x:f>
      </x:c>
      <x:c r="AG637" s="92" t="str">
        <x:f>=IF(AD637&gt;0,1-AD637,0)</x:f>
      </x:c>
      <x:c r="AI637" s="33" t="s"/>
    </x:row>
    <x:row r="638">
      <x:c r="A638" s="17" t="s">
        <x:v>149</x:v>
      </x:c>
      <x:c r="AI638" s="33" t="s"/>
    </x:row>
    <x:row r="639">
      <x:c r="A639" s="31"/>
      <x:c r="B639"/>
      <x:c r="C639" s="45" t="s">
        <x:v>153</x:v>
      </x:c>
      <x:c r="D639"/>
      <x:c r="E639" s="41" t="str">
        <x:f>=COUNTIF($E$26:$E$54,C639)</x:f>
      </x:c>
      <x:c r="F639" s="28" t="str">
        <x:f>=SUMIF($E$26:$E$54,C639,$BT$26:$BT$54)/1000</x:f>
      </x:c>
      <x:c r="G639" s="28" t="str">
        <x:f>=SUMIF($E$26:$E$54,C639,$BU$26:$BU$54)/1000</x:f>
      </x:c>
      <x:c r="H639" s="28" t="str">
        <x:f>=F639+G639</x:f>
      </x:c>
      <x:c r="I639" s="93" t="str">
        <x:f>=H639/F639</x:f>
      </x:c>
      <x:c r="K639" s="28" t="str">
        <x:f>=SUMIF($E$26:$E$54,C639,$BY$26:$BY$54)/1000</x:f>
      </x:c>
      <x:c r="M639" s="28" t="str">
        <x:f>=SUMIF($E$26:$E$54,C639,$BZ$26:$BZ$54)/1000</x:f>
      </x:c>
      <x:c r="N639" s="28" t="str">
        <x:f>=SUMIF($E$26:$E$54,C639,$CA$26:$CA$54)/1000</x:f>
      </x:c>
      <x:c r="P639" s="28" t="str">
        <x:f>=SUMIF($E$26:$E$54,C639,$CC$26:$CC$54)/1000</x:f>
      </x:c>
      <x:c r="Q639" s="28" t="str">
        <x:f>=SUMIF($E$26:$E$54,C639,$CD$26:$CD$54)/1000</x:f>
      </x:c>
      <x:c r="R639" s="28" t="str">
        <x:f>=P639+Q639</x:f>
      </x:c>
      <x:c r="S639" s="93" t="str">
        <x:f>=R639/P639</x:f>
      </x:c>
      <x:c r="W639" s="93" t="str">
        <x:f>=SUMIFS($BK$26:$BK$54,$E$26:$E$54,C639)/E639</x:f>
      </x:c>
      <x:c r="X639" s="93" t="str">
        <x:f>=SUMIFS($BL$26:$BL$54,$E$26:$E$54,C639)/E639</x:f>
      </x:c>
      <x:c r="Y639" s="93" t="str">
        <x:f>=SUMIFS($BM$26:$BM$54,$E$26:$E$54,C639)/E639</x:f>
      </x:c>
      <x:c r="Z639" s="93" t="str">
        <x:f>=IF(W639&gt;0,1-W639,0)</x:f>
      </x:c>
      <x:c r="AB639" s="93" t="str">
        <x:f>=Y639/(1-X639)</x:f>
      </x:c>
      <x:c r="AD639" s="93" t="str">
        <x:f>=SUMIFS($CH$26:$CH$54,$E$26:$E$54,C639)/E639</x:f>
      </x:c>
      <x:c r="AE639" s="93" t="str">
        <x:f>=SUMIFS($CI$26:$CI$54,$E$26:$E$54,C639)/E639</x:f>
      </x:c>
      <x:c r="AF639" s="93" t="str">
        <x:f>=SUMIFS($CJ$26:$CJ$54,$E$26:$E$54,C639)/E639</x:f>
      </x:c>
      <x:c r="AG639" s="93" t="str">
        <x:f>=IF(AD639&gt;0,1-AD639,0)</x:f>
      </x:c>
      <x:c r="AI639" s="33" t="s"/>
    </x:row>
    <x:row r="640">
      <x:c r="A640" s="31"/>
      <x:c r="B640"/>
      <x:c r="C640" s="43" t="s">
        <x:v>131</x:v>
      </x:c>
      <x:c r="D640"/>
      <x:c r="E640" s="41" t="str">
        <x:f>=COUNTIF($E$26:$E$54,C640)</x:f>
      </x:c>
      <x:c r="F640" s="28" t="str">
        <x:f>=SUMIF($E$26:$E$54,C640,$BT$26:$BT$54)/1000</x:f>
      </x:c>
      <x:c r="G640" s="28" t="str">
        <x:f>=SUMIF($E$26:$E$54,C640,$BU$26:$BU$54)/1000</x:f>
      </x:c>
      <x:c r="H640" s="28" t="str">
        <x:f>=F640+G640</x:f>
      </x:c>
      <x:c r="I640" s="93" t="str">
        <x:f>=H640/F640</x:f>
      </x:c>
      <x:c r="K640" s="28" t="str">
        <x:f>=SUMIF($E$26:$E$54,C640,$BY$26:$BY$54)/1000</x:f>
      </x:c>
      <x:c r="M640" s="28" t="str">
        <x:f>=SUMIF($E$26:$E$54,C640,$BZ$26:$BZ$54)/1000</x:f>
      </x:c>
      <x:c r="N640" s="28" t="str">
        <x:f>=SUMIF($E$26:$E$54,C640,$CA$26:$CA$54)/1000</x:f>
      </x:c>
      <x:c r="P640" s="28" t="str">
        <x:f>=SUMIF($E$26:$E$54,C640,$CC$26:$CC$54)/1000</x:f>
      </x:c>
      <x:c r="Q640" s="28" t="str">
        <x:f>=SUMIF($E$26:$E$54,C640,$CD$26:$CD$54)/1000</x:f>
      </x:c>
      <x:c r="R640" s="28" t="str">
        <x:f>=P640+Q640</x:f>
      </x:c>
      <x:c r="S640" s="93" t="str">
        <x:f>=R640/P640</x:f>
      </x:c>
      <x:c r="W640" s="93" t="str">
        <x:f>=SUMIFS($BK$26:$BK$54,$E$26:$E$54,C640)/E640</x:f>
      </x:c>
      <x:c r="X640" s="93" t="str">
        <x:f>=SUMIFS($BL$26:$BL$54,$E$26:$E$54,C640)/E640</x:f>
      </x:c>
      <x:c r="Y640" s="93" t="str">
        <x:f>=SUMIFS($BM$26:$BM$54,$E$26:$E$54,C640)/E640</x:f>
      </x:c>
      <x:c r="Z640" s="93" t="str">
        <x:f>=IF(W640&gt;0,1-W640,0)</x:f>
      </x:c>
      <x:c r="AB640" s="93" t="str">
        <x:f>=Y640/(1-X640)</x:f>
      </x:c>
      <x:c r="AD640" s="93" t="str">
        <x:f>=SUMIFS($CH$26:$CH$54,$E$26:$E$54,C640)/E640</x:f>
      </x:c>
      <x:c r="AE640" s="93" t="str">
        <x:f>=SUMIFS($CI$26:$CI$54,$E$26:$E$54,C640)/E640</x:f>
      </x:c>
      <x:c r="AF640" s="93" t="str">
        <x:f>=SUMIFS($CJ$26:$CJ$54,$E$26:$E$54,C640)/E640</x:f>
      </x:c>
      <x:c r="AG640" s="93" t="str">
        <x:f>=IF(AD640&gt;0,1-AD640,0)</x:f>
      </x:c>
      <x:c r="AI640" s="33" t="s"/>
    </x:row>
    <x:row r="641">
      <x:c r="A641" s="31" t="s"/>
      <x:c r="B641"/>
      <x:c r="C641"/>
      <x:c r="D641"/>
      <x:c r="E641" s="91">
        <x:f>=SUM(E639:E640)</x:f>
      </x:c>
      <x:c r="F641" s="90">
        <x:f>=SUM(F639:F640)</x:f>
      </x:c>
      <x:c r="G641" s="90">
        <x:f>=SUM(G639:G640)</x:f>
      </x:c>
      <x:c r="H641" s="90">
        <x:f>=SUM(H639:H640)</x:f>
      </x:c>
      <x:c r="I641" s="92">
        <x:f>=H641/F641</x:f>
      </x:c>
      <x:c r="K641" s="90">
        <x:f>=SUM(K639:K640)</x:f>
      </x:c>
      <x:c r="M641" s="90">
        <x:f>=SUM(M639:K640)</x:f>
      </x:c>
      <x:c r="N641" s="90">
        <x:f>=SUM(N639:K640)</x:f>
      </x:c>
      <x:c r="P641" s="90">
        <x:f>=SUM(P639:P640)</x:f>
      </x:c>
      <x:c r="Q641" s="90">
        <x:f>=SUM(Q639:Q640)</x:f>
      </x:c>
      <x:c r="R641" s="90">
        <x:f>=SUM(R639:R640)</x:f>
      </x:c>
      <x:c r="S641" s="92">
        <x:f>=R641/P641</x:f>
      </x:c>
      <x:c r="W641" s="92">
        <x:f>=SUM(AY$26:AY$54)/E641</x:f>
      </x:c>
      <x:c r="X641" s="92">
        <x:f>=SUM(AZ$26:AZ$54)/E641</x:f>
      </x:c>
      <x:c r="Y641" s="92">
        <x:f>=SUM(BA$26:BA$54)/E641</x:f>
      </x:c>
      <x:c r="Z641" s="92" t="str">
        <x:f>=IF(W641&gt;0,1-W641,0)</x:f>
      </x:c>
      <x:c r="AD641" s="92">
        <x:f>=SUM(BS$26:BS$54)/E641</x:f>
      </x:c>
      <x:c r="AE641" s="92">
        <x:f>=SUM(BT$26:BT$54)/E641</x:f>
      </x:c>
      <x:c r="AF641" s="92">
        <x:f>=SUM(BU$26:BU$54)/E641</x:f>
      </x:c>
      <x:c r="AG641" s="92" t="str">
        <x:f>=IF(AD641&gt;0,1-AD641,0)</x:f>
      </x:c>
      <x:c r="AI641" s="33" t="s"/>
    </x:row>
    <x:row r="642">
      <x:c r="A642" s="17" t="s">
        <x:v>194</x:v>
      </x:c>
      <x:c r="AI642" s="33" t="s"/>
    </x:row>
    <x:row r="643">
      <x:c r="A643" s="31"/>
      <x:c r="B643"/>
      <x:c r="C643" s="45" t="s">
        <x:v>153</x:v>
      </x:c>
      <x:c r="D643"/>
      <x:c r="E643" s="41" t="str">
        <x:f>=COUNTIF($E$56:$E$99,C643)</x:f>
      </x:c>
      <x:c r="F643" s="28" t="str">
        <x:f>=SUMIF($E$56:$E$99,C643,$BT$56:$BT$99)/1000</x:f>
      </x:c>
      <x:c r="G643" s="28" t="str">
        <x:f>=SUMIF($E$56:$E$99,C643,$BU$56:$BU$99)/1000</x:f>
      </x:c>
      <x:c r="H643" s="28" t="str">
        <x:f>=F643+G643</x:f>
      </x:c>
      <x:c r="I643" s="93" t="str">
        <x:f>=H643/F643</x:f>
      </x:c>
      <x:c r="K643" s="28" t="str">
        <x:f>=SUMIF($E$56:$E$99,C643,$BY$56:$BY$99)/1000</x:f>
      </x:c>
      <x:c r="M643" s="28" t="str">
        <x:f>=SUMIF($E$56:$E$99,C643,$BZ$56:$BZ$99)/1000</x:f>
      </x:c>
      <x:c r="N643" s="28" t="str">
        <x:f>=SUMIF($E$56:$E$99,C643,$CA$56:$CA$99)/1000</x:f>
      </x:c>
      <x:c r="P643" s="28" t="str">
        <x:f>=SUMIF($E$56:$E$99,C643,$CC$56:$CC$99)/1000</x:f>
      </x:c>
      <x:c r="Q643" s="28" t="str">
        <x:f>=SUMIF($E$56:$E$99,C643,$CD$56:$CD$99)/1000</x:f>
      </x:c>
      <x:c r="R643" s="28" t="str">
        <x:f>=P643+Q643</x:f>
      </x:c>
      <x:c r="S643" s="93" t="str">
        <x:f>=R643/P643</x:f>
      </x:c>
      <x:c r="W643" s="93" t="str">
        <x:f>=SUMIFS($BK$56:$BK$99,$E$56:$E$99,C643)/E643</x:f>
      </x:c>
      <x:c r="X643" s="93" t="str">
        <x:f>=SUMIFS($BL$56:$BL$99,$E$56:$E$99,C643)/E643</x:f>
      </x:c>
      <x:c r="Y643" s="93" t="str">
        <x:f>=SUMIFS($BM$56:$BM$99,$E$56:$E$99,C643)/E643</x:f>
      </x:c>
      <x:c r="Z643" s="93" t="str">
        <x:f>=IF(W643&gt;0,1-W643,0)</x:f>
      </x:c>
      <x:c r="AB643" s="93" t="str">
        <x:f>=Y643/(1-X643)</x:f>
      </x:c>
      <x:c r="AD643" s="93" t="str">
        <x:f>=SUMIFS($CH$56:$CH$99,$E$56:$E$99,C643)/E643</x:f>
      </x:c>
      <x:c r="AE643" s="93" t="str">
        <x:f>=SUMIFS($CI$56:$CI$99,$E$56:$E$99,C643)/E643</x:f>
      </x:c>
      <x:c r="AF643" s="93" t="str">
        <x:f>=SUMIFS($CJ$56:$CJ$99,$E$56:$E$99,C643)/E643</x:f>
      </x:c>
      <x:c r="AG643" s="93" t="str">
        <x:f>=IF(AD643&gt;0,1-AD643,0)</x:f>
      </x:c>
      <x:c r="AI643" s="33" t="s"/>
    </x:row>
    <x:row r="644">
      <x:c r="A644" s="31"/>
      <x:c r="B644"/>
      <x:c r="C644" s="44" t="s">
        <x:v>119</x:v>
      </x:c>
      <x:c r="D644"/>
      <x:c r="E644" s="41" t="str">
        <x:f>=COUNTIF($E$56:$E$99,C644)</x:f>
      </x:c>
      <x:c r="F644" s="28" t="str">
        <x:f>=SUMIF($E$56:$E$99,C644,$BT$56:$BT$99)/1000</x:f>
      </x:c>
      <x:c r="G644" s="28" t="str">
        <x:f>=SUMIF($E$56:$E$99,C644,$BU$56:$BU$99)/1000</x:f>
      </x:c>
      <x:c r="H644" s="28" t="str">
        <x:f>=F644+G644</x:f>
      </x:c>
      <x:c r="I644" s="93" t="str">
        <x:f>=H644/F644</x:f>
      </x:c>
      <x:c r="K644" s="28" t="str">
        <x:f>=SUMIF($E$56:$E$99,C644,$BY$56:$BY$99)/1000</x:f>
      </x:c>
      <x:c r="M644" s="28" t="str">
        <x:f>=SUMIF($E$56:$E$99,C644,$BZ$56:$BZ$99)/1000</x:f>
      </x:c>
      <x:c r="N644" s="28" t="str">
        <x:f>=SUMIF($E$56:$E$99,C644,$CA$56:$CA$99)/1000</x:f>
      </x:c>
      <x:c r="P644" s="28" t="str">
        <x:f>=SUMIF($E$56:$E$99,C644,$CC$56:$CC$99)/1000</x:f>
      </x:c>
      <x:c r="Q644" s="28" t="str">
        <x:f>=SUMIF($E$56:$E$99,C644,$CD$56:$CD$99)/1000</x:f>
      </x:c>
      <x:c r="R644" s="28" t="str">
        <x:f>=P644+Q644</x:f>
      </x:c>
      <x:c r="S644" s="93" t="str">
        <x:f>=R644/P644</x:f>
      </x:c>
      <x:c r="W644" s="93" t="str">
        <x:f>=SUMIFS($BK$56:$BK$99,$E$56:$E$99,C644)/E644</x:f>
      </x:c>
      <x:c r="X644" s="93" t="str">
        <x:f>=SUMIFS($BL$56:$BL$99,$E$56:$E$99,C644)/E644</x:f>
      </x:c>
      <x:c r="Y644" s="93" t="str">
        <x:f>=SUMIFS($BM$56:$BM$99,$E$56:$E$99,C644)/E644</x:f>
      </x:c>
      <x:c r="Z644" s="93" t="str">
        <x:f>=IF(W644&gt;0,1-W644,0)</x:f>
      </x:c>
      <x:c r="AB644" s="93" t="str">
        <x:f>=Y644/(1-X644)</x:f>
      </x:c>
      <x:c r="AD644" s="93" t="str">
        <x:f>=SUMIFS($CH$56:$CH$99,$E$56:$E$99,C644)/E644</x:f>
      </x:c>
      <x:c r="AE644" s="93" t="str">
        <x:f>=SUMIFS($CI$56:$CI$99,$E$56:$E$99,C644)/E644</x:f>
      </x:c>
      <x:c r="AF644" s="93" t="str">
        <x:f>=SUMIFS($CJ$56:$CJ$99,$E$56:$E$99,C644)/E644</x:f>
      </x:c>
      <x:c r="AG644" s="93" t="str">
        <x:f>=IF(AD644&gt;0,1-AD644,0)</x:f>
      </x:c>
      <x:c r="AI644" s="33" t="s"/>
    </x:row>
    <x:row r="645">
      <x:c r="A645" s="31"/>
      <x:c r="B645"/>
      <x:c r="C645" s="43" t="s">
        <x:v>131</x:v>
      </x:c>
      <x:c r="D645"/>
      <x:c r="E645" s="41" t="str">
        <x:f>=COUNTIF($E$56:$E$99,C645)</x:f>
      </x:c>
      <x:c r="F645" s="28" t="str">
        <x:f>=SUMIF($E$56:$E$99,C645,$BT$56:$BT$99)/1000</x:f>
      </x:c>
      <x:c r="G645" s="28" t="str">
        <x:f>=SUMIF($E$56:$E$99,C645,$BU$56:$BU$99)/1000</x:f>
      </x:c>
      <x:c r="H645" s="28" t="str">
        <x:f>=F645+G645</x:f>
      </x:c>
      <x:c r="I645" s="93" t="str">
        <x:f>=H645/F645</x:f>
      </x:c>
      <x:c r="K645" s="28" t="str">
        <x:f>=SUMIF($E$56:$E$99,C645,$BY$56:$BY$99)/1000</x:f>
      </x:c>
      <x:c r="M645" s="28" t="str">
        <x:f>=SUMIF($E$56:$E$99,C645,$BZ$56:$BZ$99)/1000</x:f>
      </x:c>
      <x:c r="N645" s="28" t="str">
        <x:f>=SUMIF($E$56:$E$99,C645,$CA$56:$CA$99)/1000</x:f>
      </x:c>
      <x:c r="P645" s="28" t="str">
        <x:f>=SUMIF($E$56:$E$99,C645,$CC$56:$CC$99)/1000</x:f>
      </x:c>
      <x:c r="Q645" s="28" t="str">
        <x:f>=SUMIF($E$56:$E$99,C645,$CD$56:$CD$99)/1000</x:f>
      </x:c>
      <x:c r="R645" s="28" t="str">
        <x:f>=P645+Q645</x:f>
      </x:c>
      <x:c r="S645" s="93" t="str">
        <x:f>=R645/P645</x:f>
      </x:c>
      <x:c r="W645" s="93" t="str">
        <x:f>=SUMIFS($BK$56:$BK$99,$E$56:$E$99,C645)/E645</x:f>
      </x:c>
      <x:c r="X645" s="93" t="str">
        <x:f>=SUMIFS($BL$56:$BL$99,$E$56:$E$99,C645)/E645</x:f>
      </x:c>
      <x:c r="Y645" s="93" t="str">
        <x:f>=SUMIFS($BM$56:$BM$99,$E$56:$E$99,C645)/E645</x:f>
      </x:c>
      <x:c r="Z645" s="93" t="str">
        <x:f>=IF(W645&gt;0,1-W645,0)</x:f>
      </x:c>
      <x:c r="AB645" s="93" t="str">
        <x:f>=Y645/(1-X645)</x:f>
      </x:c>
      <x:c r="AD645" s="93" t="str">
        <x:f>=SUMIFS($CH$56:$CH$99,$E$56:$E$99,C645)/E645</x:f>
      </x:c>
      <x:c r="AE645" s="93" t="str">
        <x:f>=SUMIFS($CI$56:$CI$99,$E$56:$E$99,C645)/E645</x:f>
      </x:c>
      <x:c r="AF645" s="93" t="str">
        <x:f>=SUMIFS($CJ$56:$CJ$99,$E$56:$E$99,C645)/E645</x:f>
      </x:c>
      <x:c r="AG645" s="93" t="str">
        <x:f>=IF(AD645&gt;0,1-AD645,0)</x:f>
      </x:c>
      <x:c r="AI645" s="33" t="s"/>
    </x:row>
    <x:row r="646">
      <x:c r="A646" s="31" t="s"/>
      <x:c r="B646"/>
      <x:c r="C646"/>
      <x:c r="D646"/>
      <x:c r="E646" s="91">
        <x:f>=SUM(E643:E645)</x:f>
      </x:c>
      <x:c r="F646" s="90">
        <x:f>=SUM(F643:F645)</x:f>
      </x:c>
      <x:c r="G646" s="90">
        <x:f>=SUM(G643:G645)</x:f>
      </x:c>
      <x:c r="H646" s="90">
        <x:f>=SUM(H643:H645)</x:f>
      </x:c>
      <x:c r="I646" s="92">
        <x:f>=H646/F646</x:f>
      </x:c>
      <x:c r="K646" s="90">
        <x:f>=SUM(K643:K645)</x:f>
      </x:c>
      <x:c r="M646" s="90">
        <x:f>=SUM(M643:K645)</x:f>
      </x:c>
      <x:c r="N646" s="90">
        <x:f>=SUM(N643:K645)</x:f>
      </x:c>
      <x:c r="P646" s="90">
        <x:f>=SUM(P643:P645)</x:f>
      </x:c>
      <x:c r="Q646" s="90">
        <x:f>=SUM(Q643:Q645)</x:f>
      </x:c>
      <x:c r="R646" s="90">
        <x:f>=SUM(R643:R645)</x:f>
      </x:c>
      <x:c r="S646" s="92">
        <x:f>=R646/P646</x:f>
      </x:c>
      <x:c r="W646" s="92">
        <x:f>=SUM(AY$56:AY$99)/E646</x:f>
      </x:c>
      <x:c r="X646" s="92">
        <x:f>=SUM(AZ$56:AZ$99)/E646</x:f>
      </x:c>
      <x:c r="Y646" s="92">
        <x:f>=SUM(BA$56:BA$99)/E646</x:f>
      </x:c>
      <x:c r="Z646" s="92" t="str">
        <x:f>=IF(W646&gt;0,1-W646,0)</x:f>
      </x:c>
      <x:c r="AD646" s="92">
        <x:f>=SUM(BS$56:BS$99)/E646</x:f>
      </x:c>
      <x:c r="AE646" s="92">
        <x:f>=SUM(BT$56:BT$99)/E646</x:f>
      </x:c>
      <x:c r="AF646" s="92">
        <x:f>=SUM(BU$56:BU$99)/E646</x:f>
      </x:c>
      <x:c r="AG646" s="92" t="str">
        <x:f>=IF(AD646&gt;0,1-AD646,0)</x:f>
      </x:c>
      <x:c r="AI646" s="33" t="s"/>
    </x:row>
    <x:row r="647">
      <x:c r="A647" s="17" t="s">
        <x:v>259</x:v>
      </x:c>
      <x:c r="AI647" s="33" t="s"/>
    </x:row>
    <x:row r="648">
      <x:c r="A648" s="31"/>
      <x:c r="B648"/>
      <x:c r="C648" s="45" t="s">
        <x:v>153</x:v>
      </x:c>
      <x:c r="D648"/>
      <x:c r="E648" s="41" t="str">
        <x:f>=COUNTIF($E$101:$E$133,C648)</x:f>
      </x:c>
      <x:c r="F648" s="28" t="str">
        <x:f>=SUMIF($E$101:$E$133,C648,$BT$101:$BT$133)/1000</x:f>
      </x:c>
      <x:c r="G648" s="28" t="str">
        <x:f>=SUMIF($E$101:$E$133,C648,$BU$101:$BU$133)/1000</x:f>
      </x:c>
      <x:c r="H648" s="28" t="str">
        <x:f>=F648+G648</x:f>
      </x:c>
      <x:c r="I648" s="93" t="str">
        <x:f>=H648/F648</x:f>
      </x:c>
      <x:c r="K648" s="28" t="str">
        <x:f>=SUMIF($E$101:$E$133,C648,$BY$101:$BY$133)/1000</x:f>
      </x:c>
      <x:c r="M648" s="28" t="str">
        <x:f>=SUMIF($E$101:$E$133,C648,$BZ$101:$BZ$133)/1000</x:f>
      </x:c>
      <x:c r="N648" s="28" t="str">
        <x:f>=SUMIF($E$101:$E$133,C648,$CA$101:$CA$133)/1000</x:f>
      </x:c>
      <x:c r="P648" s="28" t="str">
        <x:f>=SUMIF($E$101:$E$133,C648,$CC$101:$CC$133)/1000</x:f>
      </x:c>
      <x:c r="Q648" s="28" t="str">
        <x:f>=SUMIF($E$101:$E$133,C648,$CD$101:$CD$133)/1000</x:f>
      </x:c>
      <x:c r="R648" s="28" t="str">
        <x:f>=P648+Q648</x:f>
      </x:c>
      <x:c r="S648" s="93" t="str">
        <x:f>=R648/P648</x:f>
      </x:c>
      <x:c r="W648" s="93" t="str">
        <x:f>=SUMIFS($BK$101:$BK$133,$E$101:$E$133,C648)/E648</x:f>
      </x:c>
      <x:c r="X648" s="93" t="str">
        <x:f>=SUMIFS($BL$101:$BL$133,$E$101:$E$133,C648)/E648</x:f>
      </x:c>
      <x:c r="Y648" s="93" t="str">
        <x:f>=SUMIFS($BM$101:$BM$133,$E$101:$E$133,C648)/E648</x:f>
      </x:c>
      <x:c r="Z648" s="93" t="str">
        <x:f>=IF(W648&gt;0,1-W648,0)</x:f>
      </x:c>
      <x:c r="AB648" s="93" t="str">
        <x:f>=Y648/(1-X648)</x:f>
      </x:c>
      <x:c r="AD648" s="93" t="str">
        <x:f>=SUMIFS($CH$101:$CH$133,$E$101:$E$133,C648)/E648</x:f>
      </x:c>
      <x:c r="AE648" s="93" t="str">
        <x:f>=SUMIFS($CI$101:$CI$133,$E$101:$E$133,C648)/E648</x:f>
      </x:c>
      <x:c r="AF648" s="93" t="str">
        <x:f>=SUMIFS($CJ$101:$CJ$133,$E$101:$E$133,C648)/E648</x:f>
      </x:c>
      <x:c r="AG648" s="93" t="str">
        <x:f>=IF(AD648&gt;0,1-AD648,0)</x:f>
      </x:c>
      <x:c r="AI648" s="33" t="s"/>
    </x:row>
    <x:row r="649">
      <x:c r="A649" s="31"/>
      <x:c r="B649"/>
      <x:c r="C649" s="43" t="s">
        <x:v>131</x:v>
      </x:c>
      <x:c r="D649"/>
      <x:c r="E649" s="41" t="str">
        <x:f>=COUNTIF($E$101:$E$133,C649)</x:f>
      </x:c>
      <x:c r="F649" s="28" t="str">
        <x:f>=SUMIF($E$101:$E$133,C649,$BT$101:$BT$133)/1000</x:f>
      </x:c>
      <x:c r="G649" s="28" t="str">
        <x:f>=SUMIF($E$101:$E$133,C649,$BU$101:$BU$133)/1000</x:f>
      </x:c>
      <x:c r="H649" s="28" t="str">
        <x:f>=F649+G649</x:f>
      </x:c>
      <x:c r="I649" s="93" t="str">
        <x:f>=H649/F649</x:f>
      </x:c>
      <x:c r="K649" s="28" t="str">
        <x:f>=SUMIF($E$101:$E$133,C649,$BY$101:$BY$133)/1000</x:f>
      </x:c>
      <x:c r="M649" s="28" t="str">
        <x:f>=SUMIF($E$101:$E$133,C649,$BZ$101:$BZ$133)/1000</x:f>
      </x:c>
      <x:c r="N649" s="28" t="str">
        <x:f>=SUMIF($E$101:$E$133,C649,$CA$101:$CA$133)/1000</x:f>
      </x:c>
      <x:c r="P649" s="28" t="str">
        <x:f>=SUMIF($E$101:$E$133,C649,$CC$101:$CC$133)/1000</x:f>
      </x:c>
      <x:c r="Q649" s="28" t="str">
        <x:f>=SUMIF($E$101:$E$133,C649,$CD$101:$CD$133)/1000</x:f>
      </x:c>
      <x:c r="R649" s="28" t="str">
        <x:f>=P649+Q649</x:f>
      </x:c>
      <x:c r="S649" s="93" t="str">
        <x:f>=R649/P649</x:f>
      </x:c>
      <x:c r="W649" s="93" t="str">
        <x:f>=SUMIFS($BK$101:$BK$133,$E$101:$E$133,C649)/E649</x:f>
      </x:c>
      <x:c r="X649" s="93" t="str">
        <x:f>=SUMIFS($BL$101:$BL$133,$E$101:$E$133,C649)/E649</x:f>
      </x:c>
      <x:c r="Y649" s="93" t="str">
        <x:f>=SUMIFS($BM$101:$BM$133,$E$101:$E$133,C649)/E649</x:f>
      </x:c>
      <x:c r="Z649" s="93" t="str">
        <x:f>=IF(W649&gt;0,1-W649,0)</x:f>
      </x:c>
      <x:c r="AB649" s="93" t="str">
        <x:f>=Y649/(1-X649)</x:f>
      </x:c>
      <x:c r="AD649" s="93" t="str">
        <x:f>=SUMIFS($CH$101:$CH$133,$E$101:$E$133,C649)/E649</x:f>
      </x:c>
      <x:c r="AE649" s="93" t="str">
        <x:f>=SUMIFS($CI$101:$CI$133,$E$101:$E$133,C649)/E649</x:f>
      </x:c>
      <x:c r="AF649" s="93" t="str">
        <x:f>=SUMIFS($CJ$101:$CJ$133,$E$101:$E$133,C649)/E649</x:f>
      </x:c>
      <x:c r="AG649" s="93" t="str">
        <x:f>=IF(AD649&gt;0,1-AD649,0)</x:f>
      </x:c>
      <x:c r="AI649" s="33" t="s"/>
    </x:row>
    <x:row r="650">
      <x:c r="A650" s="31" t="s"/>
      <x:c r="B650"/>
      <x:c r="C650"/>
      <x:c r="D650"/>
      <x:c r="E650" s="91">
        <x:f>=SUM(E648:E649)</x:f>
      </x:c>
      <x:c r="F650" s="90">
        <x:f>=SUM(F648:F649)</x:f>
      </x:c>
      <x:c r="G650" s="90">
        <x:f>=SUM(G648:G649)</x:f>
      </x:c>
      <x:c r="H650" s="90">
        <x:f>=SUM(H648:H649)</x:f>
      </x:c>
      <x:c r="I650" s="92">
        <x:f>=H650/F650</x:f>
      </x:c>
      <x:c r="K650" s="90">
        <x:f>=SUM(K648:K649)</x:f>
      </x:c>
      <x:c r="M650" s="90">
        <x:f>=SUM(M648:K649)</x:f>
      </x:c>
      <x:c r="N650" s="90">
        <x:f>=SUM(N648:K649)</x:f>
      </x:c>
      <x:c r="P650" s="90">
        <x:f>=SUM(P648:P649)</x:f>
      </x:c>
      <x:c r="Q650" s="90">
        <x:f>=SUM(Q648:Q649)</x:f>
      </x:c>
      <x:c r="R650" s="90">
        <x:f>=SUM(R648:R649)</x:f>
      </x:c>
      <x:c r="S650" s="92">
        <x:f>=R650/P650</x:f>
      </x:c>
      <x:c r="W650" s="92">
        <x:f>=SUM(AY$101:AY$133)/E650</x:f>
      </x:c>
      <x:c r="X650" s="92">
        <x:f>=SUM(AZ$101:AZ$133)/E650</x:f>
      </x:c>
      <x:c r="Y650" s="92">
        <x:f>=SUM(BA$101:BA$133)/E650</x:f>
      </x:c>
      <x:c r="Z650" s="92" t="str">
        <x:f>=IF(W650&gt;0,1-W650,0)</x:f>
      </x:c>
      <x:c r="AD650" s="92">
        <x:f>=SUM(BS$101:BS$133)/E650</x:f>
      </x:c>
      <x:c r="AE650" s="92">
        <x:f>=SUM(BT$101:BT$133)/E650</x:f>
      </x:c>
      <x:c r="AF650" s="92">
        <x:f>=SUM(BU$101:BU$133)/E650</x:f>
      </x:c>
      <x:c r="AG650" s="92" t="str">
        <x:f>=IF(AD650&gt;0,1-AD650,0)</x:f>
      </x:c>
      <x:c r="AI650" s="33" t="s"/>
    </x:row>
    <x:row r="651">
      <x:c r="A651" s="17" t="s">
        <x:v>315</x:v>
      </x:c>
      <x:c r="AI651" s="33" t="s"/>
    </x:row>
    <x:row r="652">
      <x:c r="A652" s="31"/>
      <x:c r="B652"/>
      <x:c r="C652" s="45" t="s">
        <x:v>153</x:v>
      </x:c>
      <x:c r="D652"/>
      <x:c r="E652" s="41" t="str">
        <x:f>=COUNTIF($E$135:$E$213,C652)</x:f>
      </x:c>
      <x:c r="F652" s="28" t="str">
        <x:f>=SUMIF($E$135:$E$213,C652,$BT$135:$BT$213)/1000</x:f>
      </x:c>
      <x:c r="G652" s="28" t="str">
        <x:f>=SUMIF($E$135:$E$213,C652,$BU$135:$BU$213)/1000</x:f>
      </x:c>
      <x:c r="H652" s="28" t="str">
        <x:f>=F652+G652</x:f>
      </x:c>
      <x:c r="I652" s="93" t="str">
        <x:f>=H652/F652</x:f>
      </x:c>
      <x:c r="K652" s="28" t="str">
        <x:f>=SUMIF($E$135:$E$213,C652,$BY$135:$BY$213)/1000</x:f>
      </x:c>
      <x:c r="M652" s="28" t="str">
        <x:f>=SUMIF($E$135:$E$213,C652,$BZ$135:$BZ$213)/1000</x:f>
      </x:c>
      <x:c r="N652" s="28" t="str">
        <x:f>=SUMIF($E$135:$E$213,C652,$CA$135:$CA$213)/1000</x:f>
      </x:c>
      <x:c r="P652" s="28" t="str">
        <x:f>=SUMIF($E$135:$E$213,C652,$CC$135:$CC$213)/1000</x:f>
      </x:c>
      <x:c r="Q652" s="28" t="str">
        <x:f>=SUMIF($E$135:$E$213,C652,$CD$135:$CD$213)/1000</x:f>
      </x:c>
      <x:c r="R652" s="28" t="str">
        <x:f>=P652+Q652</x:f>
      </x:c>
      <x:c r="S652" s="93" t="str">
        <x:f>=R652/P652</x:f>
      </x:c>
      <x:c r="W652" s="93" t="str">
        <x:f>=SUMIFS($BK$135:$BK$213,$E$135:$E$213,C652)/E652</x:f>
      </x:c>
      <x:c r="X652" s="93" t="str">
        <x:f>=SUMIFS($BL$135:$BL$213,$E$135:$E$213,C652)/E652</x:f>
      </x:c>
      <x:c r="Y652" s="93" t="str">
        <x:f>=SUMIFS($BM$135:$BM$213,$E$135:$E$213,C652)/E652</x:f>
      </x:c>
      <x:c r="Z652" s="93" t="str">
        <x:f>=IF(W652&gt;0,1-W652,0)</x:f>
      </x:c>
      <x:c r="AB652" s="93" t="str">
        <x:f>=Y652/(1-X652)</x:f>
      </x:c>
      <x:c r="AD652" s="93" t="str">
        <x:f>=SUMIFS($CH$135:$CH$213,$E$135:$E$213,C652)/E652</x:f>
      </x:c>
      <x:c r="AE652" s="93" t="str">
        <x:f>=SUMIFS($CI$135:$CI$213,$E$135:$E$213,C652)/E652</x:f>
      </x:c>
      <x:c r="AF652" s="93" t="str">
        <x:f>=SUMIFS($CJ$135:$CJ$213,$E$135:$E$213,C652)/E652</x:f>
      </x:c>
      <x:c r="AG652" s="93" t="str">
        <x:f>=IF(AD652&gt;0,1-AD652,0)</x:f>
      </x:c>
      <x:c r="AI652" s="33" t="s"/>
    </x:row>
    <x:row r="653">
      <x:c r="A653" s="31"/>
      <x:c r="B653"/>
      <x:c r="C653" s="44" t="s">
        <x:v>119</x:v>
      </x:c>
      <x:c r="D653"/>
      <x:c r="E653" s="41" t="str">
        <x:f>=COUNTIF($E$135:$E$213,C653)</x:f>
      </x:c>
      <x:c r="F653" s="28" t="str">
        <x:f>=SUMIF($E$135:$E$213,C653,$BT$135:$BT$213)/1000</x:f>
      </x:c>
      <x:c r="G653" s="28" t="str">
        <x:f>=SUMIF($E$135:$E$213,C653,$BU$135:$BU$213)/1000</x:f>
      </x:c>
      <x:c r="H653" s="28" t="str">
        <x:f>=F653+G653</x:f>
      </x:c>
      <x:c r="I653" s="93" t="str">
        <x:f>=H653/F653</x:f>
      </x:c>
      <x:c r="K653" s="28" t="str">
        <x:f>=SUMIF($E$135:$E$213,C653,$BY$135:$BY$213)/1000</x:f>
      </x:c>
      <x:c r="M653" s="28" t="str">
        <x:f>=SUMIF($E$135:$E$213,C653,$BZ$135:$BZ$213)/1000</x:f>
      </x:c>
      <x:c r="N653" s="28" t="str">
        <x:f>=SUMIF($E$135:$E$213,C653,$CA$135:$CA$213)/1000</x:f>
      </x:c>
      <x:c r="P653" s="28" t="str">
        <x:f>=SUMIF($E$135:$E$213,C653,$CC$135:$CC$213)/1000</x:f>
      </x:c>
      <x:c r="Q653" s="28" t="str">
        <x:f>=SUMIF($E$135:$E$213,C653,$CD$135:$CD$213)/1000</x:f>
      </x:c>
      <x:c r="R653" s="28" t="str">
        <x:f>=P653+Q653</x:f>
      </x:c>
      <x:c r="S653" s="93" t="str">
        <x:f>=R653/P653</x:f>
      </x:c>
      <x:c r="W653" s="93" t="str">
        <x:f>=SUMIFS($BK$135:$BK$213,$E$135:$E$213,C653)/E653</x:f>
      </x:c>
      <x:c r="X653" s="93" t="str">
        <x:f>=SUMIFS($BL$135:$BL$213,$E$135:$E$213,C653)/E653</x:f>
      </x:c>
      <x:c r="Y653" s="93" t="str">
        <x:f>=SUMIFS($BM$135:$BM$213,$E$135:$E$213,C653)/E653</x:f>
      </x:c>
      <x:c r="Z653" s="93" t="str">
        <x:f>=IF(W653&gt;0,1-W653,0)</x:f>
      </x:c>
      <x:c r="AB653" s="93" t="str">
        <x:f>=Y653/(1-X653)</x:f>
      </x:c>
      <x:c r="AD653" s="93" t="str">
        <x:f>=SUMIFS($CH$135:$CH$213,$E$135:$E$213,C653)/E653</x:f>
      </x:c>
      <x:c r="AE653" s="93" t="str">
        <x:f>=SUMIFS($CI$135:$CI$213,$E$135:$E$213,C653)/E653</x:f>
      </x:c>
      <x:c r="AF653" s="93" t="str">
        <x:f>=SUMIFS($CJ$135:$CJ$213,$E$135:$E$213,C653)/E653</x:f>
      </x:c>
      <x:c r="AG653" s="93" t="str">
        <x:f>=IF(AD653&gt;0,1-AD653,0)</x:f>
      </x:c>
      <x:c r="AI653" s="33" t="s"/>
    </x:row>
    <x:row r="654">
      <x:c r="A654" s="31"/>
      <x:c r="B654"/>
      <x:c r="C654" s="43" t="s">
        <x:v>131</x:v>
      </x:c>
      <x:c r="D654"/>
      <x:c r="E654" s="41" t="str">
        <x:f>=COUNTIF($E$135:$E$213,C654)</x:f>
      </x:c>
      <x:c r="F654" s="28" t="str">
        <x:f>=SUMIF($E$135:$E$213,C654,$BT$135:$BT$213)/1000</x:f>
      </x:c>
      <x:c r="G654" s="28" t="str">
        <x:f>=SUMIF($E$135:$E$213,C654,$BU$135:$BU$213)/1000</x:f>
      </x:c>
      <x:c r="H654" s="28" t="str">
        <x:f>=F654+G654</x:f>
      </x:c>
      <x:c r="I654" s="93" t="str">
        <x:f>=H654/F654</x:f>
      </x:c>
      <x:c r="K654" s="28" t="str">
        <x:f>=SUMIF($E$135:$E$213,C654,$BY$135:$BY$213)/1000</x:f>
      </x:c>
      <x:c r="M654" s="28" t="str">
        <x:f>=SUMIF($E$135:$E$213,C654,$BZ$135:$BZ$213)/1000</x:f>
      </x:c>
      <x:c r="N654" s="28" t="str">
        <x:f>=SUMIF($E$135:$E$213,C654,$CA$135:$CA$213)/1000</x:f>
      </x:c>
      <x:c r="P654" s="28" t="str">
        <x:f>=SUMIF($E$135:$E$213,C654,$CC$135:$CC$213)/1000</x:f>
      </x:c>
      <x:c r="Q654" s="28" t="str">
        <x:f>=SUMIF($E$135:$E$213,C654,$CD$135:$CD$213)/1000</x:f>
      </x:c>
      <x:c r="R654" s="28" t="str">
        <x:f>=P654+Q654</x:f>
      </x:c>
      <x:c r="S654" s="93" t="str">
        <x:f>=R654/P654</x:f>
      </x:c>
      <x:c r="W654" s="93" t="str">
        <x:f>=SUMIFS($BK$135:$BK$213,$E$135:$E$213,C654)/E654</x:f>
      </x:c>
      <x:c r="X654" s="93" t="str">
        <x:f>=SUMIFS($BL$135:$BL$213,$E$135:$E$213,C654)/E654</x:f>
      </x:c>
      <x:c r="Y654" s="93" t="str">
        <x:f>=SUMIFS($BM$135:$BM$213,$E$135:$E$213,C654)/E654</x:f>
      </x:c>
      <x:c r="Z654" s="93" t="str">
        <x:f>=IF(W654&gt;0,1-W654,0)</x:f>
      </x:c>
      <x:c r="AB654" s="93" t="str">
        <x:f>=Y654/(1-X654)</x:f>
      </x:c>
      <x:c r="AD654" s="93" t="str">
        <x:f>=SUMIFS($CH$135:$CH$213,$E$135:$E$213,C654)/E654</x:f>
      </x:c>
      <x:c r="AE654" s="93" t="str">
        <x:f>=SUMIFS($CI$135:$CI$213,$E$135:$E$213,C654)/E654</x:f>
      </x:c>
      <x:c r="AF654" s="93" t="str">
        <x:f>=SUMIFS($CJ$135:$CJ$213,$E$135:$E$213,C654)/E654</x:f>
      </x:c>
      <x:c r="AG654" s="93" t="str">
        <x:f>=IF(AD654&gt;0,1-AD654,0)</x:f>
      </x:c>
      <x:c r="AI654" s="33" t="s"/>
    </x:row>
    <x:row r="655">
      <x:c r="A655" s="31" t="s"/>
      <x:c r="B655"/>
      <x:c r="C655"/>
      <x:c r="D655"/>
      <x:c r="E655" s="91">
        <x:f>=SUM(E652:E654)</x:f>
      </x:c>
      <x:c r="F655" s="90">
        <x:f>=SUM(F652:F654)</x:f>
      </x:c>
      <x:c r="G655" s="90">
        <x:f>=SUM(G652:G654)</x:f>
      </x:c>
      <x:c r="H655" s="90">
        <x:f>=SUM(H652:H654)</x:f>
      </x:c>
      <x:c r="I655" s="92">
        <x:f>=H655/F655</x:f>
      </x:c>
      <x:c r="K655" s="90">
        <x:f>=SUM(K652:K654)</x:f>
      </x:c>
      <x:c r="M655" s="90">
        <x:f>=SUM(M652:K654)</x:f>
      </x:c>
      <x:c r="N655" s="90">
        <x:f>=SUM(N652:K654)</x:f>
      </x:c>
      <x:c r="P655" s="90">
        <x:f>=SUM(P652:P654)</x:f>
      </x:c>
      <x:c r="Q655" s="90">
        <x:f>=SUM(Q652:Q654)</x:f>
      </x:c>
      <x:c r="R655" s="90">
        <x:f>=SUM(R652:R654)</x:f>
      </x:c>
      <x:c r="S655" s="92">
        <x:f>=R655/P655</x:f>
      </x:c>
      <x:c r="W655" s="92">
        <x:f>=SUM(AY$135:AY$213)/E655</x:f>
      </x:c>
      <x:c r="X655" s="92">
        <x:f>=SUM(AZ$135:AZ$213)/E655</x:f>
      </x:c>
      <x:c r="Y655" s="92">
        <x:f>=SUM(BA$135:BA$213)/E655</x:f>
      </x:c>
      <x:c r="Z655" s="92" t="str">
        <x:f>=IF(W655&gt;0,1-W655,0)</x:f>
      </x:c>
      <x:c r="AD655" s="92">
        <x:f>=SUM(BS$135:BS$213)/E655</x:f>
      </x:c>
      <x:c r="AE655" s="92">
        <x:f>=SUM(BT$135:BT$213)/E655</x:f>
      </x:c>
      <x:c r="AF655" s="92">
        <x:f>=SUM(BU$135:BU$213)/E655</x:f>
      </x:c>
      <x:c r="AG655" s="92" t="str">
        <x:f>=IF(AD655&gt;0,1-AD655,0)</x:f>
      </x:c>
      <x:c r="AI655" s="33" t="s"/>
    </x:row>
    <x:row r="656">
      <x:c r="A656" s="17" t="s">
        <x:v>456</x:v>
      </x:c>
      <x:c r="AI656" s="33" t="s"/>
    </x:row>
    <x:row r="657">
      <x:c r="A657" s="31"/>
      <x:c r="B657"/>
      <x:c r="C657" s="45" t="s">
        <x:v>153</x:v>
      </x:c>
      <x:c r="D657"/>
      <x:c r="E657" s="41" t="str">
        <x:f>=COUNTIF($E$215:$E$274,C657)</x:f>
      </x:c>
      <x:c r="F657" s="28" t="str">
        <x:f>=SUMIF($E$215:$E$274,C657,$BT$215:$BT$274)/1000</x:f>
      </x:c>
      <x:c r="G657" s="28" t="str">
        <x:f>=SUMIF($E$215:$E$274,C657,$BU$215:$BU$274)/1000</x:f>
      </x:c>
      <x:c r="H657" s="28" t="str">
        <x:f>=F657+G657</x:f>
      </x:c>
      <x:c r="I657" s="93" t="str">
        <x:f>=H657/F657</x:f>
      </x:c>
      <x:c r="K657" s="28" t="str">
        <x:f>=SUMIF($E$215:$E$274,C657,$BY$215:$BY$274)/1000</x:f>
      </x:c>
      <x:c r="M657" s="28" t="str">
        <x:f>=SUMIF($E$215:$E$274,C657,$BZ$215:$BZ$274)/1000</x:f>
      </x:c>
      <x:c r="N657" s="28" t="str">
        <x:f>=SUMIF($E$215:$E$274,C657,$CA$215:$CA$274)/1000</x:f>
      </x:c>
      <x:c r="P657" s="28" t="str">
        <x:f>=SUMIF($E$215:$E$274,C657,$CC$215:$CC$274)/1000</x:f>
      </x:c>
      <x:c r="Q657" s="28" t="str">
        <x:f>=SUMIF($E$215:$E$274,C657,$CD$215:$CD$274)/1000</x:f>
      </x:c>
      <x:c r="R657" s="28" t="str">
        <x:f>=P657+Q657</x:f>
      </x:c>
      <x:c r="S657" s="93" t="str">
        <x:f>=R657/P657</x:f>
      </x:c>
      <x:c r="W657" s="93" t="str">
        <x:f>=SUMIFS($BK$215:$BK$274,$E$215:$E$274,C657)/E657</x:f>
      </x:c>
      <x:c r="X657" s="93" t="str">
        <x:f>=SUMIFS($BL$215:$BL$274,$E$215:$E$274,C657)/E657</x:f>
      </x:c>
      <x:c r="Y657" s="93" t="str">
        <x:f>=SUMIFS($BM$215:$BM$274,$E$215:$E$274,C657)/E657</x:f>
      </x:c>
      <x:c r="Z657" s="93" t="str">
        <x:f>=IF(W657&gt;0,1-W657,0)</x:f>
      </x:c>
      <x:c r="AB657" s="93" t="str">
        <x:f>=Y657/(1-X657)</x:f>
      </x:c>
      <x:c r="AD657" s="93" t="str">
        <x:f>=SUMIFS($CH$215:$CH$274,$E$215:$E$274,C657)/E657</x:f>
      </x:c>
      <x:c r="AE657" s="93" t="str">
        <x:f>=SUMIFS($CI$215:$CI$274,$E$215:$E$274,C657)/E657</x:f>
      </x:c>
      <x:c r="AF657" s="93" t="str">
        <x:f>=SUMIFS($CJ$215:$CJ$274,$E$215:$E$274,C657)/E657</x:f>
      </x:c>
      <x:c r="AG657" s="93" t="str">
        <x:f>=IF(AD657&gt;0,1-AD657,0)</x:f>
      </x:c>
      <x:c r="AI657" s="33" t="s"/>
    </x:row>
    <x:row r="658">
      <x:c r="A658" s="31"/>
      <x:c r="B658"/>
      <x:c r="C658" s="43" t="s">
        <x:v>131</x:v>
      </x:c>
      <x:c r="D658"/>
      <x:c r="E658" s="41" t="str">
        <x:f>=COUNTIF($E$215:$E$274,C658)</x:f>
      </x:c>
      <x:c r="F658" s="28" t="str">
        <x:f>=SUMIF($E$215:$E$274,C658,$BT$215:$BT$274)/1000</x:f>
      </x:c>
      <x:c r="G658" s="28" t="str">
        <x:f>=SUMIF($E$215:$E$274,C658,$BU$215:$BU$274)/1000</x:f>
      </x:c>
      <x:c r="H658" s="28" t="str">
        <x:f>=F658+G658</x:f>
      </x:c>
      <x:c r="I658" s="93" t="str">
        <x:f>=H658/F658</x:f>
      </x:c>
      <x:c r="K658" s="28" t="str">
        <x:f>=SUMIF($E$215:$E$274,C658,$BY$215:$BY$274)/1000</x:f>
      </x:c>
      <x:c r="M658" s="28" t="str">
        <x:f>=SUMIF($E$215:$E$274,C658,$BZ$215:$BZ$274)/1000</x:f>
      </x:c>
      <x:c r="N658" s="28" t="str">
        <x:f>=SUMIF($E$215:$E$274,C658,$CA$215:$CA$274)/1000</x:f>
      </x:c>
      <x:c r="P658" s="28" t="str">
        <x:f>=SUMIF($E$215:$E$274,C658,$CC$215:$CC$274)/1000</x:f>
      </x:c>
      <x:c r="Q658" s="28" t="str">
        <x:f>=SUMIF($E$215:$E$274,C658,$CD$215:$CD$274)/1000</x:f>
      </x:c>
      <x:c r="R658" s="28" t="str">
        <x:f>=P658+Q658</x:f>
      </x:c>
      <x:c r="S658" s="93" t="str">
        <x:f>=R658/P658</x:f>
      </x:c>
      <x:c r="W658" s="93" t="str">
        <x:f>=SUMIFS($BK$215:$BK$274,$E$215:$E$274,C658)/E658</x:f>
      </x:c>
      <x:c r="X658" s="93" t="str">
        <x:f>=SUMIFS($BL$215:$BL$274,$E$215:$E$274,C658)/E658</x:f>
      </x:c>
      <x:c r="Y658" s="93" t="str">
        <x:f>=SUMIFS($BM$215:$BM$274,$E$215:$E$274,C658)/E658</x:f>
      </x:c>
      <x:c r="Z658" s="93" t="str">
        <x:f>=IF(W658&gt;0,1-W658,0)</x:f>
      </x:c>
      <x:c r="AB658" s="93" t="str">
        <x:f>=Y658/(1-X658)</x:f>
      </x:c>
      <x:c r="AD658" s="93" t="str">
        <x:f>=SUMIFS($CH$215:$CH$274,$E$215:$E$274,C658)/E658</x:f>
      </x:c>
      <x:c r="AE658" s="93" t="str">
        <x:f>=SUMIFS($CI$215:$CI$274,$E$215:$E$274,C658)/E658</x:f>
      </x:c>
      <x:c r="AF658" s="93" t="str">
        <x:f>=SUMIFS($CJ$215:$CJ$274,$E$215:$E$274,C658)/E658</x:f>
      </x:c>
      <x:c r="AG658" s="93" t="str">
        <x:f>=IF(AD658&gt;0,1-AD658,0)</x:f>
      </x:c>
      <x:c r="AI658" s="33" t="s"/>
    </x:row>
    <x:row r="659">
      <x:c r="A659" s="31" t="s"/>
      <x:c r="B659"/>
      <x:c r="C659"/>
      <x:c r="D659"/>
      <x:c r="E659" s="91">
        <x:f>=SUM(E657:E658)</x:f>
      </x:c>
      <x:c r="F659" s="90">
        <x:f>=SUM(F657:F658)</x:f>
      </x:c>
      <x:c r="G659" s="90">
        <x:f>=SUM(G657:G658)</x:f>
      </x:c>
      <x:c r="H659" s="90">
        <x:f>=SUM(H657:H658)</x:f>
      </x:c>
      <x:c r="I659" s="92">
        <x:f>=H659/F659</x:f>
      </x:c>
      <x:c r="K659" s="90">
        <x:f>=SUM(K657:K658)</x:f>
      </x:c>
      <x:c r="M659" s="90">
        <x:f>=SUM(M657:K658)</x:f>
      </x:c>
      <x:c r="N659" s="90">
        <x:f>=SUM(N657:K658)</x:f>
      </x:c>
      <x:c r="P659" s="90">
        <x:f>=SUM(P657:P658)</x:f>
      </x:c>
      <x:c r="Q659" s="90">
        <x:f>=SUM(Q657:Q658)</x:f>
      </x:c>
      <x:c r="R659" s="90">
        <x:f>=SUM(R657:R658)</x:f>
      </x:c>
      <x:c r="S659" s="92">
        <x:f>=R659/P659</x:f>
      </x:c>
      <x:c r="W659" s="92">
        <x:f>=SUM(AY$215:AY$274)/E659</x:f>
      </x:c>
      <x:c r="X659" s="92">
        <x:f>=SUM(AZ$215:AZ$274)/E659</x:f>
      </x:c>
      <x:c r="Y659" s="92">
        <x:f>=SUM(BA$215:BA$274)/E659</x:f>
      </x:c>
      <x:c r="Z659" s="92" t="str">
        <x:f>=IF(W659&gt;0,1-W659,0)</x:f>
      </x:c>
      <x:c r="AD659" s="92">
        <x:f>=SUM(BS$215:BS$274)/E659</x:f>
      </x:c>
      <x:c r="AE659" s="92">
        <x:f>=SUM(BT$215:BT$274)/E659</x:f>
      </x:c>
      <x:c r="AF659" s="92">
        <x:f>=SUM(BU$215:BU$274)/E659</x:f>
      </x:c>
      <x:c r="AG659" s="92" t="str">
        <x:f>=IF(AD659&gt;0,1-AD659,0)</x:f>
      </x:c>
      <x:c r="AI659" s="33" t="s"/>
    </x:row>
    <x:row r="660">
      <x:c r="A660" s="17" t="s">
        <x:v>553</x:v>
      </x:c>
      <x:c r="AI660" s="33" t="s"/>
    </x:row>
    <x:row r="661">
      <x:c r="A661" s="31"/>
      <x:c r="B661"/>
      <x:c r="C661" s="45" t="s">
        <x:v>153</x:v>
      </x:c>
      <x:c r="D661"/>
      <x:c r="E661" s="41" t="str">
        <x:f>=COUNTIF($E$276:$E$324,C661)</x:f>
      </x:c>
      <x:c r="F661" s="28" t="str">
        <x:f>=SUMIF($E$276:$E$324,C661,$BT$276:$BT$324)/1000</x:f>
      </x:c>
      <x:c r="G661" s="28" t="str">
        <x:f>=SUMIF($E$276:$E$324,C661,$BU$276:$BU$324)/1000</x:f>
      </x:c>
      <x:c r="H661" s="28" t="str">
        <x:f>=F661+G661</x:f>
      </x:c>
      <x:c r="I661" s="93" t="str">
        <x:f>=H661/F661</x:f>
      </x:c>
      <x:c r="K661" s="28" t="str">
        <x:f>=SUMIF($E$276:$E$324,C661,$BY$276:$BY$324)/1000</x:f>
      </x:c>
      <x:c r="M661" s="28" t="str">
        <x:f>=SUMIF($E$276:$E$324,C661,$BZ$276:$BZ$324)/1000</x:f>
      </x:c>
      <x:c r="N661" s="28" t="str">
        <x:f>=SUMIF($E$276:$E$324,C661,$CA$276:$CA$324)/1000</x:f>
      </x:c>
      <x:c r="P661" s="28" t="str">
        <x:f>=SUMIF($E$276:$E$324,C661,$CC$276:$CC$324)/1000</x:f>
      </x:c>
      <x:c r="Q661" s="28" t="str">
        <x:f>=SUMIF($E$276:$E$324,C661,$CD$276:$CD$324)/1000</x:f>
      </x:c>
      <x:c r="R661" s="28" t="str">
        <x:f>=P661+Q661</x:f>
      </x:c>
      <x:c r="S661" s="93" t="str">
        <x:f>=R661/P661</x:f>
      </x:c>
      <x:c r="W661" s="93" t="str">
        <x:f>=SUMIFS($BK$276:$BK$324,$E$276:$E$324,C661)/E661</x:f>
      </x:c>
      <x:c r="X661" s="93" t="str">
        <x:f>=SUMIFS($BL$276:$BL$324,$E$276:$E$324,C661)/E661</x:f>
      </x:c>
      <x:c r="Y661" s="93" t="str">
        <x:f>=SUMIFS($BM$276:$BM$324,$E$276:$E$324,C661)/E661</x:f>
      </x:c>
      <x:c r="Z661" s="93" t="str">
        <x:f>=IF(W661&gt;0,1-W661,0)</x:f>
      </x:c>
      <x:c r="AB661" s="93" t="str">
        <x:f>=Y661/(1-X661)</x:f>
      </x:c>
      <x:c r="AD661" s="93" t="str">
        <x:f>=SUMIFS($CH$276:$CH$324,$E$276:$E$324,C661)/E661</x:f>
      </x:c>
      <x:c r="AE661" s="93" t="str">
        <x:f>=SUMIFS($CI$276:$CI$324,$E$276:$E$324,C661)/E661</x:f>
      </x:c>
      <x:c r="AF661" s="93" t="str">
        <x:f>=SUMIFS($CJ$276:$CJ$324,$E$276:$E$324,C661)/E661</x:f>
      </x:c>
      <x:c r="AG661" s="93" t="str">
        <x:f>=IF(AD661&gt;0,1-AD661,0)</x:f>
      </x:c>
      <x:c r="AI661" s="33" t="s"/>
    </x:row>
    <x:row r="662">
      <x:c r="A662" s="31"/>
      <x:c r="B662"/>
      <x:c r="C662" s="43" t="s">
        <x:v>131</x:v>
      </x:c>
      <x:c r="D662"/>
      <x:c r="E662" s="41" t="str">
        <x:f>=COUNTIF($E$276:$E$324,C662)</x:f>
      </x:c>
      <x:c r="F662" s="28" t="str">
        <x:f>=SUMIF($E$276:$E$324,C662,$BT$276:$BT$324)/1000</x:f>
      </x:c>
      <x:c r="G662" s="28" t="str">
        <x:f>=SUMIF($E$276:$E$324,C662,$BU$276:$BU$324)/1000</x:f>
      </x:c>
      <x:c r="H662" s="28" t="str">
        <x:f>=F662+G662</x:f>
      </x:c>
      <x:c r="I662" s="93" t="str">
        <x:f>=H662/F662</x:f>
      </x:c>
      <x:c r="K662" s="28" t="str">
        <x:f>=SUMIF($E$276:$E$324,C662,$BY$276:$BY$324)/1000</x:f>
      </x:c>
      <x:c r="M662" s="28" t="str">
        <x:f>=SUMIF($E$276:$E$324,C662,$BZ$276:$BZ$324)/1000</x:f>
      </x:c>
      <x:c r="N662" s="28" t="str">
        <x:f>=SUMIF($E$276:$E$324,C662,$CA$276:$CA$324)/1000</x:f>
      </x:c>
      <x:c r="P662" s="28" t="str">
        <x:f>=SUMIF($E$276:$E$324,C662,$CC$276:$CC$324)/1000</x:f>
      </x:c>
      <x:c r="Q662" s="28" t="str">
        <x:f>=SUMIF($E$276:$E$324,C662,$CD$276:$CD$324)/1000</x:f>
      </x:c>
      <x:c r="R662" s="28" t="str">
        <x:f>=P662+Q662</x:f>
      </x:c>
      <x:c r="S662" s="93" t="str">
        <x:f>=R662/P662</x:f>
      </x:c>
      <x:c r="W662" s="93" t="str">
        <x:f>=SUMIFS($BK$276:$BK$324,$E$276:$E$324,C662)/E662</x:f>
      </x:c>
      <x:c r="X662" s="93" t="str">
        <x:f>=SUMIFS($BL$276:$BL$324,$E$276:$E$324,C662)/E662</x:f>
      </x:c>
      <x:c r="Y662" s="93" t="str">
        <x:f>=SUMIFS($BM$276:$BM$324,$E$276:$E$324,C662)/E662</x:f>
      </x:c>
      <x:c r="Z662" s="93" t="str">
        <x:f>=IF(W662&gt;0,1-W662,0)</x:f>
      </x:c>
      <x:c r="AB662" s="93" t="str">
        <x:f>=Y662/(1-X662)</x:f>
      </x:c>
      <x:c r="AD662" s="93" t="str">
        <x:f>=SUMIFS($CH$276:$CH$324,$E$276:$E$324,C662)/E662</x:f>
      </x:c>
      <x:c r="AE662" s="93" t="str">
        <x:f>=SUMIFS($CI$276:$CI$324,$E$276:$E$324,C662)/E662</x:f>
      </x:c>
      <x:c r="AF662" s="93" t="str">
        <x:f>=SUMIFS($CJ$276:$CJ$324,$E$276:$E$324,C662)/E662</x:f>
      </x:c>
      <x:c r="AG662" s="93" t="str">
        <x:f>=IF(AD662&gt;0,1-AD662,0)</x:f>
      </x:c>
      <x:c r="AI662" s="33" t="s"/>
    </x:row>
    <x:row r="663">
      <x:c r="A663" s="31" t="s"/>
      <x:c r="B663"/>
      <x:c r="C663"/>
      <x:c r="D663"/>
      <x:c r="E663" s="91">
        <x:f>=SUM(E661:E662)</x:f>
      </x:c>
      <x:c r="F663" s="90">
        <x:f>=SUM(F661:F662)</x:f>
      </x:c>
      <x:c r="G663" s="90">
        <x:f>=SUM(G661:G662)</x:f>
      </x:c>
      <x:c r="H663" s="90">
        <x:f>=SUM(H661:H662)</x:f>
      </x:c>
      <x:c r="I663" s="92">
        <x:f>=H663/F663</x:f>
      </x:c>
      <x:c r="K663" s="90">
        <x:f>=SUM(K661:K662)</x:f>
      </x:c>
      <x:c r="M663" s="90">
        <x:f>=SUM(M661:K662)</x:f>
      </x:c>
      <x:c r="N663" s="90">
        <x:f>=SUM(N661:K662)</x:f>
      </x:c>
      <x:c r="P663" s="90">
        <x:f>=SUM(P661:P662)</x:f>
      </x:c>
      <x:c r="Q663" s="90">
        <x:f>=SUM(Q661:Q662)</x:f>
      </x:c>
      <x:c r="R663" s="90">
        <x:f>=SUM(R661:R662)</x:f>
      </x:c>
      <x:c r="S663" s="92">
        <x:f>=R663/P663</x:f>
      </x:c>
      <x:c r="W663" s="92">
        <x:f>=SUM(AY$276:AY$324)/E663</x:f>
      </x:c>
      <x:c r="X663" s="92">
        <x:f>=SUM(AZ$276:AZ$324)/E663</x:f>
      </x:c>
      <x:c r="Y663" s="92">
        <x:f>=SUM(BA$276:BA$324)/E663</x:f>
      </x:c>
      <x:c r="Z663" s="92" t="str">
        <x:f>=IF(W663&gt;0,1-W663,0)</x:f>
      </x:c>
      <x:c r="AD663" s="92">
        <x:f>=SUM(BS$276:BS$324)/E663</x:f>
      </x:c>
      <x:c r="AE663" s="92">
        <x:f>=SUM(BT$276:BT$324)/E663</x:f>
      </x:c>
      <x:c r="AF663" s="92">
        <x:f>=SUM(BU$276:BU$324)/E663</x:f>
      </x:c>
      <x:c r="AG663" s="92" t="str">
        <x:f>=IF(AD663&gt;0,1-AD663,0)</x:f>
      </x:c>
      <x:c r="AI663" s="33" t="s"/>
    </x:row>
    <x:row r="664">
      <x:c r="A664" s="17" t="s">
        <x:v>631</x:v>
      </x:c>
      <x:c r="AI664" s="33" t="s"/>
    </x:row>
    <x:row r="665">
      <x:c r="A665" s="31"/>
      <x:c r="B665"/>
      <x:c r="C665" s="45" t="s">
        <x:v>153</x:v>
      </x:c>
      <x:c r="D665"/>
      <x:c r="E665" s="41" t="str">
        <x:f>=COUNTIF($E$326:$E$366,C665)</x:f>
      </x:c>
      <x:c r="F665" s="28" t="str">
        <x:f>=SUMIF($E$326:$E$366,C665,$BT$326:$BT$366)/1000</x:f>
      </x:c>
      <x:c r="G665" s="28" t="str">
        <x:f>=SUMIF($E$326:$E$366,C665,$BU$326:$BU$366)/1000</x:f>
      </x:c>
      <x:c r="H665" s="28" t="str">
        <x:f>=F665+G665</x:f>
      </x:c>
      <x:c r="I665" s="93" t="str">
        <x:f>=H665/F665</x:f>
      </x:c>
      <x:c r="K665" s="28" t="str">
        <x:f>=SUMIF($E$326:$E$366,C665,$BY$326:$BY$366)/1000</x:f>
      </x:c>
      <x:c r="M665" s="28" t="str">
        <x:f>=SUMIF($E$326:$E$366,C665,$BZ$326:$BZ$366)/1000</x:f>
      </x:c>
      <x:c r="N665" s="28" t="str">
        <x:f>=SUMIF($E$326:$E$366,C665,$CA$326:$CA$366)/1000</x:f>
      </x:c>
      <x:c r="P665" s="28" t="str">
        <x:f>=SUMIF($E$326:$E$366,C665,$CC$326:$CC$366)/1000</x:f>
      </x:c>
      <x:c r="Q665" s="28" t="str">
        <x:f>=SUMIF($E$326:$E$366,C665,$CD$326:$CD$366)/1000</x:f>
      </x:c>
      <x:c r="R665" s="28" t="str">
        <x:f>=P665+Q665</x:f>
      </x:c>
      <x:c r="S665" s="93" t="str">
        <x:f>=R665/P665</x:f>
      </x:c>
      <x:c r="W665" s="93" t="str">
        <x:f>=SUMIFS($BK$326:$BK$366,$E$326:$E$366,C665)/E665</x:f>
      </x:c>
      <x:c r="X665" s="93" t="str">
        <x:f>=SUMIFS($BL$326:$BL$366,$E$326:$E$366,C665)/E665</x:f>
      </x:c>
      <x:c r="Y665" s="93" t="str">
        <x:f>=SUMIFS($BM$326:$BM$366,$E$326:$E$366,C665)/E665</x:f>
      </x:c>
      <x:c r="Z665" s="93" t="str">
        <x:f>=IF(W665&gt;0,1-W665,0)</x:f>
      </x:c>
      <x:c r="AB665" s="93" t="str">
        <x:f>=Y665/(1-X665)</x:f>
      </x:c>
      <x:c r="AD665" s="93" t="str">
        <x:f>=SUMIFS($CH$326:$CH$366,$E$326:$E$366,C665)/E665</x:f>
      </x:c>
      <x:c r="AE665" s="93" t="str">
        <x:f>=SUMIFS($CI$326:$CI$366,$E$326:$E$366,C665)/E665</x:f>
      </x:c>
      <x:c r="AF665" s="93" t="str">
        <x:f>=SUMIFS($CJ$326:$CJ$366,$E$326:$E$366,C665)/E665</x:f>
      </x:c>
      <x:c r="AG665" s="93" t="str">
        <x:f>=IF(AD665&gt;0,1-AD665,0)</x:f>
      </x:c>
      <x:c r="AI665" s="33" t="s"/>
    </x:row>
    <x:row r="666">
      <x:c r="A666" s="31"/>
      <x:c r="B666"/>
      <x:c r="C666" s="43" t="s">
        <x:v>131</x:v>
      </x:c>
      <x:c r="D666"/>
      <x:c r="E666" s="41" t="str">
        <x:f>=COUNTIF($E$326:$E$366,C666)</x:f>
      </x:c>
      <x:c r="F666" s="28" t="str">
        <x:f>=SUMIF($E$326:$E$366,C666,$BT$326:$BT$366)/1000</x:f>
      </x:c>
      <x:c r="G666" s="28" t="str">
        <x:f>=SUMIF($E$326:$E$366,C666,$BU$326:$BU$366)/1000</x:f>
      </x:c>
      <x:c r="H666" s="28" t="str">
        <x:f>=F666+G666</x:f>
      </x:c>
      <x:c r="I666" s="93" t="str">
        <x:f>=H666/F666</x:f>
      </x:c>
      <x:c r="K666" s="28" t="str">
        <x:f>=SUMIF($E$326:$E$366,C666,$BY$326:$BY$366)/1000</x:f>
      </x:c>
      <x:c r="M666" s="28" t="str">
        <x:f>=SUMIF($E$326:$E$366,C666,$BZ$326:$BZ$366)/1000</x:f>
      </x:c>
      <x:c r="N666" s="28" t="str">
        <x:f>=SUMIF($E$326:$E$366,C666,$CA$326:$CA$366)/1000</x:f>
      </x:c>
      <x:c r="P666" s="28" t="str">
        <x:f>=SUMIF($E$326:$E$366,C666,$CC$326:$CC$366)/1000</x:f>
      </x:c>
      <x:c r="Q666" s="28" t="str">
        <x:f>=SUMIF($E$326:$E$366,C666,$CD$326:$CD$366)/1000</x:f>
      </x:c>
      <x:c r="R666" s="28" t="str">
        <x:f>=P666+Q666</x:f>
      </x:c>
      <x:c r="S666" s="93" t="str">
        <x:f>=R666/P666</x:f>
      </x:c>
      <x:c r="W666" s="93" t="str">
        <x:f>=SUMIFS($BK$326:$BK$366,$E$326:$E$366,C666)/E666</x:f>
      </x:c>
      <x:c r="X666" s="93" t="str">
        <x:f>=SUMIFS($BL$326:$BL$366,$E$326:$E$366,C666)/E666</x:f>
      </x:c>
      <x:c r="Y666" s="93" t="str">
        <x:f>=SUMIFS($BM$326:$BM$366,$E$326:$E$366,C666)/E666</x:f>
      </x:c>
      <x:c r="Z666" s="93" t="str">
        <x:f>=IF(W666&gt;0,1-W666,0)</x:f>
      </x:c>
      <x:c r="AB666" s="93" t="str">
        <x:f>=Y666/(1-X666)</x:f>
      </x:c>
      <x:c r="AD666" s="93" t="str">
        <x:f>=SUMIFS($CH$326:$CH$366,$E$326:$E$366,C666)/E666</x:f>
      </x:c>
      <x:c r="AE666" s="93" t="str">
        <x:f>=SUMIFS($CI$326:$CI$366,$E$326:$E$366,C666)/E666</x:f>
      </x:c>
      <x:c r="AF666" s="93" t="str">
        <x:f>=SUMIFS($CJ$326:$CJ$366,$E$326:$E$366,C666)/E666</x:f>
      </x:c>
      <x:c r="AG666" s="93" t="str">
        <x:f>=IF(AD666&gt;0,1-AD666,0)</x:f>
      </x:c>
      <x:c r="AI666" s="33" t="s"/>
    </x:row>
    <x:row r="667">
      <x:c r="A667" s="31" t="s"/>
      <x:c r="B667"/>
      <x:c r="C667"/>
      <x:c r="D667"/>
      <x:c r="E667" s="91">
        <x:f>=SUM(E665:E666)</x:f>
      </x:c>
      <x:c r="F667" s="90">
        <x:f>=SUM(F665:F666)</x:f>
      </x:c>
      <x:c r="G667" s="90">
        <x:f>=SUM(G665:G666)</x:f>
      </x:c>
      <x:c r="H667" s="90">
        <x:f>=SUM(H665:H666)</x:f>
      </x:c>
      <x:c r="I667" s="92">
        <x:f>=H667/F667</x:f>
      </x:c>
      <x:c r="K667" s="90">
        <x:f>=SUM(K665:K666)</x:f>
      </x:c>
      <x:c r="M667" s="90">
        <x:f>=SUM(M665:K666)</x:f>
      </x:c>
      <x:c r="N667" s="90">
        <x:f>=SUM(N665:K666)</x:f>
      </x:c>
      <x:c r="P667" s="90">
        <x:f>=SUM(P665:P666)</x:f>
      </x:c>
      <x:c r="Q667" s="90">
        <x:f>=SUM(Q665:Q666)</x:f>
      </x:c>
      <x:c r="R667" s="90">
        <x:f>=SUM(R665:R666)</x:f>
      </x:c>
      <x:c r="S667" s="92">
        <x:f>=R667/P667</x:f>
      </x:c>
      <x:c r="W667" s="92">
        <x:f>=SUM(AY$326:AY$366)/E667</x:f>
      </x:c>
      <x:c r="X667" s="92">
        <x:f>=SUM(AZ$326:AZ$366)/E667</x:f>
      </x:c>
      <x:c r="Y667" s="92">
        <x:f>=SUM(BA$326:BA$366)/E667</x:f>
      </x:c>
      <x:c r="Z667" s="92" t="str">
        <x:f>=IF(W667&gt;0,1-W667,0)</x:f>
      </x:c>
      <x:c r="AD667" s="92">
        <x:f>=SUM(BS$326:BS$366)/E667</x:f>
      </x:c>
      <x:c r="AE667" s="92">
        <x:f>=SUM(BT$326:BT$366)/E667</x:f>
      </x:c>
      <x:c r="AF667" s="92">
        <x:f>=SUM(BU$326:BU$366)/E667</x:f>
      </x:c>
      <x:c r="AG667" s="92" t="str">
        <x:f>=IF(AD667&gt;0,1-AD667,0)</x:f>
      </x:c>
      <x:c r="AI667" s="33" t="s"/>
    </x:row>
    <x:row r="668">
      <x:c r="A668" s="17" t="s">
        <x:v>693</x:v>
      </x:c>
      <x:c r="AI668" s="33" t="s"/>
    </x:row>
    <x:row r="669">
      <x:c r="A669" s="31"/>
      <x:c r="B669"/>
      <x:c r="C669" s="45" t="s">
        <x:v>153</x:v>
      </x:c>
      <x:c r="D669"/>
      <x:c r="E669" s="41" t="str">
        <x:f>=COUNTIF($E$368:$E$402,C669)</x:f>
      </x:c>
      <x:c r="F669" s="28" t="str">
        <x:f>=SUMIF($E$368:$E$402,C669,$BT$368:$BT$402)/1000</x:f>
      </x:c>
      <x:c r="G669" s="28" t="str">
        <x:f>=SUMIF($E$368:$E$402,C669,$BU$368:$BU$402)/1000</x:f>
      </x:c>
      <x:c r="H669" s="28" t="str">
        <x:f>=F669+G669</x:f>
      </x:c>
      <x:c r="I669" s="93" t="str">
        <x:f>=H669/F669</x:f>
      </x:c>
      <x:c r="K669" s="28" t="str">
        <x:f>=SUMIF($E$368:$E$402,C669,$BY$368:$BY$402)/1000</x:f>
      </x:c>
      <x:c r="M669" s="28" t="str">
        <x:f>=SUMIF($E$368:$E$402,C669,$BZ$368:$BZ$402)/1000</x:f>
      </x:c>
      <x:c r="N669" s="28" t="str">
        <x:f>=SUMIF($E$368:$E$402,C669,$CA$368:$CA$402)/1000</x:f>
      </x:c>
      <x:c r="P669" s="28" t="str">
        <x:f>=SUMIF($E$368:$E$402,C669,$CC$368:$CC$402)/1000</x:f>
      </x:c>
      <x:c r="Q669" s="28" t="str">
        <x:f>=SUMIF($E$368:$E$402,C669,$CD$368:$CD$402)/1000</x:f>
      </x:c>
      <x:c r="R669" s="28" t="str">
        <x:f>=P669+Q669</x:f>
      </x:c>
      <x:c r="S669" s="93" t="str">
        <x:f>=R669/P669</x:f>
      </x:c>
      <x:c r="W669" s="93" t="str">
        <x:f>=SUMIFS($BK$368:$BK$402,$E$368:$E$402,C669)/E669</x:f>
      </x:c>
      <x:c r="X669" s="93" t="str">
        <x:f>=SUMIFS($BL$368:$BL$402,$E$368:$E$402,C669)/E669</x:f>
      </x:c>
      <x:c r="Y669" s="93" t="str">
        <x:f>=SUMIFS($BM$368:$BM$402,$E$368:$E$402,C669)/E669</x:f>
      </x:c>
      <x:c r="Z669" s="93" t="str">
        <x:f>=IF(W669&gt;0,1-W669,0)</x:f>
      </x:c>
      <x:c r="AB669" s="93" t="str">
        <x:f>=Y669/(1-X669)</x:f>
      </x:c>
      <x:c r="AD669" s="93" t="str">
        <x:f>=SUMIFS($CH$368:$CH$402,$E$368:$E$402,C669)/E669</x:f>
      </x:c>
      <x:c r="AE669" s="93" t="str">
        <x:f>=SUMIFS($CI$368:$CI$402,$E$368:$E$402,C669)/E669</x:f>
      </x:c>
      <x:c r="AF669" s="93" t="str">
        <x:f>=SUMIFS($CJ$368:$CJ$402,$E$368:$E$402,C669)/E669</x:f>
      </x:c>
      <x:c r="AG669" s="93" t="str">
        <x:f>=IF(AD669&gt;0,1-AD669,0)</x:f>
      </x:c>
      <x:c r="AI669" s="33" t="s"/>
    </x:row>
    <x:row r="670">
      <x:c r="A670" s="31"/>
      <x:c r="B670"/>
      <x:c r="C670" s="43" t="s">
        <x:v>131</x:v>
      </x:c>
      <x:c r="D670"/>
      <x:c r="E670" s="41" t="str">
        <x:f>=COUNTIF($E$368:$E$402,C670)</x:f>
      </x:c>
      <x:c r="F670" s="28" t="str">
        <x:f>=SUMIF($E$368:$E$402,C670,$BT$368:$BT$402)/1000</x:f>
      </x:c>
      <x:c r="G670" s="28" t="str">
        <x:f>=SUMIF($E$368:$E$402,C670,$BU$368:$BU$402)/1000</x:f>
      </x:c>
      <x:c r="H670" s="28" t="str">
        <x:f>=F670+G670</x:f>
      </x:c>
      <x:c r="I670" s="93" t="str">
        <x:f>=H670/F670</x:f>
      </x:c>
      <x:c r="K670" s="28" t="str">
        <x:f>=SUMIF($E$368:$E$402,C670,$BY$368:$BY$402)/1000</x:f>
      </x:c>
      <x:c r="M670" s="28" t="str">
        <x:f>=SUMIF($E$368:$E$402,C670,$BZ$368:$BZ$402)/1000</x:f>
      </x:c>
      <x:c r="N670" s="28" t="str">
        <x:f>=SUMIF($E$368:$E$402,C670,$CA$368:$CA$402)/1000</x:f>
      </x:c>
      <x:c r="P670" s="28" t="str">
        <x:f>=SUMIF($E$368:$E$402,C670,$CC$368:$CC$402)/1000</x:f>
      </x:c>
      <x:c r="Q670" s="28" t="str">
        <x:f>=SUMIF($E$368:$E$402,C670,$CD$368:$CD$402)/1000</x:f>
      </x:c>
      <x:c r="R670" s="28" t="str">
        <x:f>=P670+Q670</x:f>
      </x:c>
      <x:c r="S670" s="93" t="str">
        <x:f>=R670/P670</x:f>
      </x:c>
      <x:c r="W670" s="93" t="str">
        <x:f>=SUMIFS($BK$368:$BK$402,$E$368:$E$402,C670)/E670</x:f>
      </x:c>
      <x:c r="X670" s="93" t="str">
        <x:f>=SUMIFS($BL$368:$BL$402,$E$368:$E$402,C670)/E670</x:f>
      </x:c>
      <x:c r="Y670" s="93" t="str">
        <x:f>=SUMIFS($BM$368:$BM$402,$E$368:$E$402,C670)/E670</x:f>
      </x:c>
      <x:c r="Z670" s="93" t="str">
        <x:f>=IF(W670&gt;0,1-W670,0)</x:f>
      </x:c>
      <x:c r="AB670" s="93" t="str">
        <x:f>=Y670/(1-X670)</x:f>
      </x:c>
      <x:c r="AD670" s="93" t="str">
        <x:f>=SUMIFS($CH$368:$CH$402,$E$368:$E$402,C670)/E670</x:f>
      </x:c>
      <x:c r="AE670" s="93" t="str">
        <x:f>=SUMIFS($CI$368:$CI$402,$E$368:$E$402,C670)/E670</x:f>
      </x:c>
      <x:c r="AF670" s="93" t="str">
        <x:f>=SUMIFS($CJ$368:$CJ$402,$E$368:$E$402,C670)/E670</x:f>
      </x:c>
      <x:c r="AG670" s="93" t="str">
        <x:f>=IF(AD670&gt;0,1-AD670,0)</x:f>
      </x:c>
      <x:c r="AI670" s="33" t="s"/>
    </x:row>
    <x:row r="671">
      <x:c r="A671" s="31" t="s"/>
      <x:c r="B671"/>
      <x:c r="C671"/>
      <x:c r="D671"/>
      <x:c r="E671" s="91">
        <x:f>=SUM(E669:E670)</x:f>
      </x:c>
      <x:c r="F671" s="90">
        <x:f>=SUM(F669:F670)</x:f>
      </x:c>
      <x:c r="G671" s="90">
        <x:f>=SUM(G669:G670)</x:f>
      </x:c>
      <x:c r="H671" s="90">
        <x:f>=SUM(H669:H670)</x:f>
      </x:c>
      <x:c r="I671" s="92">
        <x:f>=H671/F671</x:f>
      </x:c>
      <x:c r="K671" s="90">
        <x:f>=SUM(K669:K670)</x:f>
      </x:c>
      <x:c r="M671" s="90">
        <x:f>=SUM(M669:K670)</x:f>
      </x:c>
      <x:c r="N671" s="90">
        <x:f>=SUM(N669:K670)</x:f>
      </x:c>
      <x:c r="P671" s="90">
        <x:f>=SUM(P669:P670)</x:f>
      </x:c>
      <x:c r="Q671" s="90">
        <x:f>=SUM(Q669:Q670)</x:f>
      </x:c>
      <x:c r="R671" s="90">
        <x:f>=SUM(R669:R670)</x:f>
      </x:c>
      <x:c r="S671" s="92">
        <x:f>=R671/P671</x:f>
      </x:c>
      <x:c r="W671" s="92">
        <x:f>=SUM(AY$368:AY$402)/E671</x:f>
      </x:c>
      <x:c r="X671" s="92">
        <x:f>=SUM(AZ$368:AZ$402)/E671</x:f>
      </x:c>
      <x:c r="Y671" s="92">
        <x:f>=SUM(BA$368:BA$402)/E671</x:f>
      </x:c>
      <x:c r="Z671" s="92" t="str">
        <x:f>=IF(W671&gt;0,1-W671,0)</x:f>
      </x:c>
      <x:c r="AD671" s="92">
        <x:f>=SUM(BS$368:BS$402)/E671</x:f>
      </x:c>
      <x:c r="AE671" s="92">
        <x:f>=SUM(BT$368:BT$402)/E671</x:f>
      </x:c>
      <x:c r="AF671" s="92">
        <x:f>=SUM(BU$368:BU$402)/E671</x:f>
      </x:c>
      <x:c r="AG671" s="92" t="str">
        <x:f>=IF(AD671&gt;0,1-AD671,0)</x:f>
      </x:c>
      <x:c r="AI671" s="33" t="s"/>
    </x:row>
    <x:row r="672">
      <x:c r="A672" s="17" t="s">
        <x:v>736</x:v>
      </x:c>
      <x:c r="AI672" s="33" t="s"/>
    </x:row>
    <x:row r="673">
      <x:c r="A673" s="31"/>
      <x:c r="B673"/>
      <x:c r="C673" s="45" t="s">
        <x:v>153</x:v>
      </x:c>
      <x:c r="D673"/>
      <x:c r="E673" s="41" t="str">
        <x:f>=COUNTIF($E$404:$E$419,C673)</x:f>
      </x:c>
      <x:c r="F673" s="28" t="str">
        <x:f>=SUMIF($E$404:$E$419,C673,$BT$404:$BT$419)/1000</x:f>
      </x:c>
      <x:c r="G673" s="28" t="str">
        <x:f>=SUMIF($E$404:$E$419,C673,$BU$404:$BU$419)/1000</x:f>
      </x:c>
      <x:c r="H673" s="28" t="str">
        <x:f>=F673+G673</x:f>
      </x:c>
      <x:c r="I673" s="93" t="str">
        <x:f>=H673/F673</x:f>
      </x:c>
      <x:c r="K673" s="28" t="str">
        <x:f>=SUMIF($E$404:$E$419,C673,$BY$404:$BY$419)/1000</x:f>
      </x:c>
      <x:c r="M673" s="28" t="str">
        <x:f>=SUMIF($E$404:$E$419,C673,$BZ$404:$BZ$419)/1000</x:f>
      </x:c>
      <x:c r="N673" s="28" t="str">
        <x:f>=SUMIF($E$404:$E$419,C673,$CA$404:$CA$419)/1000</x:f>
      </x:c>
      <x:c r="P673" s="28" t="str">
        <x:f>=SUMIF($E$404:$E$419,C673,$CC$404:$CC$419)/1000</x:f>
      </x:c>
      <x:c r="Q673" s="28" t="str">
        <x:f>=SUMIF($E$404:$E$419,C673,$CD$404:$CD$419)/1000</x:f>
      </x:c>
      <x:c r="R673" s="28" t="str">
        <x:f>=P673+Q673</x:f>
      </x:c>
      <x:c r="S673" s="93" t="str">
        <x:f>=R673/P673</x:f>
      </x:c>
      <x:c r="W673" s="93" t="str">
        <x:f>=SUMIFS($BK$404:$BK$419,$E$404:$E$419,C673)/E673</x:f>
      </x:c>
      <x:c r="X673" s="93" t="str">
        <x:f>=SUMIFS($BL$404:$BL$419,$E$404:$E$419,C673)/E673</x:f>
      </x:c>
      <x:c r="Y673" s="93" t="str">
        <x:f>=SUMIFS($BM$404:$BM$419,$E$404:$E$419,C673)/E673</x:f>
      </x:c>
      <x:c r="Z673" s="93" t="str">
        <x:f>=IF(W673&gt;0,1-W673,0)</x:f>
      </x:c>
      <x:c r="AB673" s="93" t="str">
        <x:f>=Y673/(1-X673)</x:f>
      </x:c>
      <x:c r="AD673" s="93" t="str">
        <x:f>=SUMIFS($CH$404:$CH$419,$E$404:$E$419,C673)/E673</x:f>
      </x:c>
      <x:c r="AE673" s="93" t="str">
        <x:f>=SUMIFS($CI$404:$CI$419,$E$404:$E$419,C673)/E673</x:f>
      </x:c>
      <x:c r="AF673" s="93" t="str">
        <x:f>=SUMIFS($CJ$404:$CJ$419,$E$404:$E$419,C673)/E673</x:f>
      </x:c>
      <x:c r="AG673" s="93" t="str">
        <x:f>=IF(AD673&gt;0,1-AD673,0)</x:f>
      </x:c>
      <x:c r="AI673" s="33" t="s"/>
    </x:row>
    <x:row r="674">
      <x:c r="A674" s="31"/>
      <x:c r="B674"/>
      <x:c r="C674" s="44" t="s">
        <x:v>119</x:v>
      </x:c>
      <x:c r="D674"/>
      <x:c r="E674" s="41" t="str">
        <x:f>=COUNTIF($E$404:$E$419,C674)</x:f>
      </x:c>
      <x:c r="F674" s="28" t="str">
        <x:f>=SUMIF($E$404:$E$419,C674,$BT$404:$BT$419)/1000</x:f>
      </x:c>
      <x:c r="G674" s="28" t="str">
        <x:f>=SUMIF($E$404:$E$419,C674,$BU$404:$BU$419)/1000</x:f>
      </x:c>
      <x:c r="H674" s="28" t="str">
        <x:f>=F674+G674</x:f>
      </x:c>
      <x:c r="I674" s="93" t="str">
        <x:f>=H674/F674</x:f>
      </x:c>
      <x:c r="K674" s="28" t="str">
        <x:f>=SUMIF($E$404:$E$419,C674,$BY$404:$BY$419)/1000</x:f>
      </x:c>
      <x:c r="M674" s="28" t="str">
        <x:f>=SUMIF($E$404:$E$419,C674,$BZ$404:$BZ$419)/1000</x:f>
      </x:c>
      <x:c r="N674" s="28" t="str">
        <x:f>=SUMIF($E$404:$E$419,C674,$CA$404:$CA$419)/1000</x:f>
      </x:c>
      <x:c r="P674" s="28" t="str">
        <x:f>=SUMIF($E$404:$E$419,C674,$CC$404:$CC$419)/1000</x:f>
      </x:c>
      <x:c r="Q674" s="28" t="str">
        <x:f>=SUMIF($E$404:$E$419,C674,$CD$404:$CD$419)/1000</x:f>
      </x:c>
      <x:c r="R674" s="28" t="str">
        <x:f>=P674+Q674</x:f>
      </x:c>
      <x:c r="S674" s="93" t="str">
        <x:f>=R674/P674</x:f>
      </x:c>
      <x:c r="W674" s="93" t="str">
        <x:f>=SUMIFS($BK$404:$BK$419,$E$404:$E$419,C674)/E674</x:f>
      </x:c>
      <x:c r="X674" s="93" t="str">
        <x:f>=SUMIFS($BL$404:$BL$419,$E$404:$E$419,C674)/E674</x:f>
      </x:c>
      <x:c r="Y674" s="93" t="str">
        <x:f>=SUMIFS($BM$404:$BM$419,$E$404:$E$419,C674)/E674</x:f>
      </x:c>
      <x:c r="Z674" s="93" t="str">
        <x:f>=IF(W674&gt;0,1-W674,0)</x:f>
      </x:c>
      <x:c r="AB674" s="93" t="str">
        <x:f>=Y674/(1-X674)</x:f>
      </x:c>
      <x:c r="AD674" s="93" t="str">
        <x:f>=SUMIFS($CH$404:$CH$419,$E$404:$E$419,C674)/E674</x:f>
      </x:c>
      <x:c r="AE674" s="93" t="str">
        <x:f>=SUMIFS($CI$404:$CI$419,$E$404:$E$419,C674)/E674</x:f>
      </x:c>
      <x:c r="AF674" s="93" t="str">
        <x:f>=SUMIFS($CJ$404:$CJ$419,$E$404:$E$419,C674)/E674</x:f>
      </x:c>
      <x:c r="AG674" s="93" t="str">
        <x:f>=IF(AD674&gt;0,1-AD674,0)</x:f>
      </x:c>
      <x:c r="AI674" s="33" t="s"/>
    </x:row>
    <x:row r="675">
      <x:c r="A675" s="31"/>
      <x:c r="B675"/>
      <x:c r="C675" s="95" t="s">
        <x:v>975</x:v>
      </x:c>
      <x:c r="D675"/>
      <x:c r="E675" s="41" t="str">
        <x:f>=COUNTIF($E$404:$E$419,C675)</x:f>
      </x:c>
      <x:c r="F675" s="28" t="str">
        <x:f>=SUMIF($E$404:$E$419,C675,$BT$404:$BT$419)/1000</x:f>
      </x:c>
      <x:c r="G675" s="28" t="str">
        <x:f>=SUMIF($E$404:$E$419,C675,$BU$404:$BU$419)/1000</x:f>
      </x:c>
      <x:c r="H675" s="28" t="str">
        <x:f>=F675+G675</x:f>
      </x:c>
      <x:c r="I675" s="93" t="str">
        <x:f>=H675/F675</x:f>
      </x:c>
      <x:c r="K675" s="28" t="str">
        <x:f>=SUMIF($E$404:$E$419,C675,$BY$404:$BY$419)/1000</x:f>
      </x:c>
      <x:c r="M675" s="28" t="str">
        <x:f>=SUMIF($E$404:$E$419,C675,$BZ$404:$BZ$419)/1000</x:f>
      </x:c>
      <x:c r="N675" s="28" t="str">
        <x:f>=SUMIF($E$404:$E$419,C675,$CA$404:$CA$419)/1000</x:f>
      </x:c>
      <x:c r="P675" s="28" t="str">
        <x:f>=SUMIF($E$404:$E$419,C675,$CC$404:$CC$419)/1000</x:f>
      </x:c>
      <x:c r="Q675" s="28" t="str">
        <x:f>=SUMIF($E$404:$E$419,C675,$CD$404:$CD$419)/1000</x:f>
      </x:c>
      <x:c r="R675" s="28" t="str">
        <x:f>=P675+Q675</x:f>
      </x:c>
      <x:c r="S675" s="93" t="str">
        <x:f>=R675/P675</x:f>
      </x:c>
      <x:c r="W675" s="93" t="str">
        <x:f>=SUMIFS($BK$404:$BK$419,$E$404:$E$419,C675)/E675</x:f>
      </x:c>
      <x:c r="X675" s="93" t="str">
        <x:f>=SUMIFS($BL$404:$BL$419,$E$404:$E$419,C675)/E675</x:f>
      </x:c>
      <x:c r="Y675" s="93" t="str">
        <x:f>=SUMIFS($BM$404:$BM$419,$E$404:$E$419,C675)/E675</x:f>
      </x:c>
      <x:c r="Z675" s="93" t="str">
        <x:f>=IF(W675&gt;0,1-W675,0)</x:f>
      </x:c>
      <x:c r="AB675" s="93" t="str">
        <x:f>=Y675/(1-X675)</x:f>
      </x:c>
      <x:c r="AD675" s="93" t="str">
        <x:f>=SUMIFS($CH$404:$CH$419,$E$404:$E$419,C675)/E675</x:f>
      </x:c>
      <x:c r="AE675" s="93" t="str">
        <x:f>=SUMIFS($CI$404:$CI$419,$E$404:$E$419,C675)/E675</x:f>
      </x:c>
      <x:c r="AF675" s="93" t="str">
        <x:f>=SUMIFS($CJ$404:$CJ$419,$E$404:$E$419,C675)/E675</x:f>
      </x:c>
      <x:c r="AG675" s="93" t="str">
        <x:f>=IF(AD675&gt;0,1-AD675,0)</x:f>
      </x:c>
      <x:c r="AI675" s="33" t="s"/>
    </x:row>
    <x:row r="676">
      <x:c r="A676" s="31"/>
      <x:c r="B676"/>
      <x:c r="C676" s="43" t="s">
        <x:v>131</x:v>
      </x:c>
      <x:c r="D676"/>
      <x:c r="E676" s="41" t="str">
        <x:f>=COUNTIF($E$404:$E$419,C676)</x:f>
      </x:c>
      <x:c r="F676" s="28" t="str">
        <x:f>=SUMIF($E$404:$E$419,C676,$BT$404:$BT$419)/1000</x:f>
      </x:c>
      <x:c r="G676" s="28" t="str">
        <x:f>=SUMIF($E$404:$E$419,C676,$BU$404:$BU$419)/1000</x:f>
      </x:c>
      <x:c r="H676" s="28" t="str">
        <x:f>=F676+G676</x:f>
      </x:c>
      <x:c r="I676" s="93" t="str">
        <x:f>=H676/F676</x:f>
      </x:c>
      <x:c r="K676" s="28" t="str">
        <x:f>=SUMIF($E$404:$E$419,C676,$BY$404:$BY$419)/1000</x:f>
      </x:c>
      <x:c r="M676" s="28" t="str">
        <x:f>=SUMIF($E$404:$E$419,C676,$BZ$404:$BZ$419)/1000</x:f>
      </x:c>
      <x:c r="N676" s="28" t="str">
        <x:f>=SUMIF($E$404:$E$419,C676,$CA$404:$CA$419)/1000</x:f>
      </x:c>
      <x:c r="P676" s="28" t="str">
        <x:f>=SUMIF($E$404:$E$419,C676,$CC$404:$CC$419)/1000</x:f>
      </x:c>
      <x:c r="Q676" s="28" t="str">
        <x:f>=SUMIF($E$404:$E$419,C676,$CD$404:$CD$419)/1000</x:f>
      </x:c>
      <x:c r="R676" s="28" t="str">
        <x:f>=P676+Q676</x:f>
      </x:c>
      <x:c r="S676" s="93" t="str">
        <x:f>=R676/P676</x:f>
      </x:c>
      <x:c r="W676" s="93" t="str">
        <x:f>=SUMIFS($BK$404:$BK$419,$E$404:$E$419,C676)/E676</x:f>
      </x:c>
      <x:c r="X676" s="93" t="str">
        <x:f>=SUMIFS($BL$404:$BL$419,$E$404:$E$419,C676)/E676</x:f>
      </x:c>
      <x:c r="Y676" s="93" t="str">
        <x:f>=SUMIFS($BM$404:$BM$419,$E$404:$E$419,C676)/E676</x:f>
      </x:c>
      <x:c r="Z676" s="93" t="str">
        <x:f>=IF(W676&gt;0,1-W676,0)</x:f>
      </x:c>
      <x:c r="AB676" s="93" t="str">
        <x:f>=Y676/(1-X676)</x:f>
      </x:c>
      <x:c r="AD676" s="93" t="str">
        <x:f>=SUMIFS($CH$404:$CH$419,$E$404:$E$419,C676)/E676</x:f>
      </x:c>
      <x:c r="AE676" s="93" t="str">
        <x:f>=SUMIFS($CI$404:$CI$419,$E$404:$E$419,C676)/E676</x:f>
      </x:c>
      <x:c r="AF676" s="93" t="str">
        <x:f>=SUMIFS($CJ$404:$CJ$419,$E$404:$E$419,C676)/E676</x:f>
      </x:c>
      <x:c r="AG676" s="93" t="str">
        <x:f>=IF(AD676&gt;0,1-AD676,0)</x:f>
      </x:c>
      <x:c r="AI676" s="33" t="s"/>
    </x:row>
    <x:row r="677">
      <x:c r="A677" s="31" t="s"/>
      <x:c r="B677"/>
      <x:c r="C677"/>
      <x:c r="D677"/>
      <x:c r="E677">
        <x:f>=SUM(E673:E676)</x:f>
      </x:c>
      <x:c r="F677">
        <x:f>=SUM(F673:F676)</x:f>
      </x:c>
      <x:c r="G677">
        <x:f>=SUM(G673:G676)</x:f>
      </x:c>
      <x:c r="H677">
        <x:f>=SUM(H673:H676)</x:f>
      </x:c>
      <x:c r="I677">
        <x:f>=H677/F677</x:f>
      </x:c>
      <x:c r="K677">
        <x:f>=SUM(K673:K676)</x:f>
      </x:c>
      <x:c r="M677">
        <x:f>=SUM(M673:K676)</x:f>
      </x:c>
      <x:c r="N677">
        <x:f>=SUM(N673:K676)</x:f>
      </x:c>
      <x:c r="P677">
        <x:f>=SUM(P673:P676)</x:f>
      </x:c>
      <x:c r="Q677">
        <x:f>=SUM(Q673:Q676)</x:f>
      </x:c>
      <x:c r="R677">
        <x:f>=SUM(R673:R676)</x:f>
      </x:c>
      <x:c r="S677">
        <x:f>=R677/P677</x:f>
      </x:c>
      <x:c r="W677">
        <x:f>=SUM(AY$404:AY$419)/E677</x:f>
      </x:c>
      <x:c r="X677">
        <x:f>=SUM(AZ$404:AZ$419)/E677</x:f>
      </x:c>
      <x:c r="Y677">
        <x:f>=SUM(BA$404:BA$419)/E677</x:f>
      </x:c>
      <x:c r="Z677" s="92" t="str">
        <x:f>=IF(W677&gt;0,1-W677,0)</x:f>
      </x:c>
      <x:c r="AD677">
        <x:f>=SUM(BS$404:BS$419)/E677</x:f>
      </x:c>
      <x:c r="AE677">
        <x:f>=SUM(BT$404:BT$419)/E677</x:f>
      </x:c>
      <x:c r="AF677"/>
    </x:row>
  </x:sheetData>
  <x:pageMargins left="0.23622047244094491" right="0.23622047244094491" top="0.31496062992125984" bottom="0.31496062992125984" header="0.31496062992125984" footer="0.31496062992125984"/>
  <x:pageSetup paperSize="8" fitToHeight="0" orientation="landscape" r:id="rId1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14"/>
  <sheetViews>
    <sheetView workbookViewId="0"/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  <col min="50" max="51" width="9.140625" style="1"/>
  </cols>
  <sheetData>
    <row r="1" spans="1:51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6">
        <v>33</v>
      </c>
      <c r="AI1" s="39">
        <v>34</v>
      </c>
      <c r="AJ1" s="39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 s="1">
        <v>49</v>
      </c>
      <c r="AY1" s="1">
        <v>50</v>
      </c>
    </row>
    <row r="2" spans="1:51" ht="31.5" customHeight="1" thickBot="1" x14ac:dyDescent="0.35">
      <c r="A2" s="10" t="s">
        <v>5</v>
      </c>
      <c r="B2" s="5"/>
      <c r="C2" s="7"/>
      <c r="D2" s="31" t="s">
        <v>7</v>
      </c>
      <c r="E2" s="32">
        <v>1.23</v>
      </c>
      <c r="F2" s="33"/>
      <c r="G2" s="34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0">
        <v>30</v>
      </c>
      <c r="R2" s="26">
        <v>0.1</v>
      </c>
      <c r="S2" s="24">
        <v>3</v>
      </c>
      <c r="T2" s="25">
        <v>0.28000000000000003</v>
      </c>
      <c r="U2" s="18">
        <v>-100</v>
      </c>
      <c r="V2" s="19">
        <v>0.3</v>
      </c>
      <c r="W2" s="20">
        <v>-50</v>
      </c>
      <c r="X2" s="21">
        <v>-0.1</v>
      </c>
      <c r="Y2" s="22">
        <v>0.3</v>
      </c>
      <c r="Z2" s="23">
        <v>0.3</v>
      </c>
      <c r="AA2" s="9" t="s">
        <v>9</v>
      </c>
      <c r="AB2" s="28">
        <v>30</v>
      </c>
      <c r="AC2" s="90">
        <v>3</v>
      </c>
      <c r="AD2" s="27">
        <v>0.12</v>
      </c>
      <c r="AE2" s="66">
        <v>0.12</v>
      </c>
      <c r="AF2" s="29" t="s">
        <v>5</v>
      </c>
      <c r="AG2" s="35" t="s">
        <v>10</v>
      </c>
      <c r="AH2" s="37">
        <v>10</v>
      </c>
      <c r="AI2" s="40" t="s">
        <v>8</v>
      </c>
      <c r="AJ2" s="41">
        <v>30</v>
      </c>
      <c r="AK2" s="91">
        <v>3</v>
      </c>
      <c r="AL2" s="42">
        <v>3</v>
      </c>
      <c r="AM2" s="43"/>
      <c r="AN2" s="44"/>
      <c r="AO2" s="45"/>
      <c r="AP2" s="46"/>
      <c r="AQ2" s="67"/>
      <c r="AR2" s="68"/>
      <c r="AS2" s="69"/>
      <c r="AT2" s="65"/>
      <c r="AU2" s="93" t="e">
        <f>AU4/AS4</f>
        <v>#DIV/0!</v>
      </c>
      <c r="AV2" s="70" t="e">
        <f>AU5/AS5</f>
        <v>#DIV/0!</v>
      </c>
      <c r="AW2" s="92" t="e">
        <f>AW4/AU4</f>
        <v>#DIV/0!</v>
      </c>
      <c r="AX2" s="95"/>
      <c r="AY2" s="96"/>
    </row>
    <row r="3" spans="1:51" ht="15.75" thickBot="1" x14ac:dyDescent="0.3"/>
    <row r="4" spans="1:51" ht="15.75" thickBot="1" x14ac:dyDescent="0.3">
      <c r="A4" s="47" t="s">
        <v>11</v>
      </c>
      <c r="B4" s="48"/>
      <c r="C4" s="49"/>
      <c r="D4" s="50"/>
      <c r="E4" s="50"/>
      <c r="F4" s="51"/>
      <c r="G4" s="52"/>
      <c r="H4" s="51"/>
    </row>
    <row r="5" spans="1:51" ht="30.75" thickBot="1" x14ac:dyDescent="0.3">
      <c r="A5" s="53" t="s">
        <v>12</v>
      </c>
      <c r="B5" s="54" t="s">
        <v>13</v>
      </c>
      <c r="C5" s="54" t="s">
        <v>14</v>
      </c>
      <c r="D5" s="55" t="s">
        <v>15</v>
      </c>
      <c r="E5" s="55" t="s">
        <v>27</v>
      </c>
      <c r="F5" s="56" t="s">
        <v>16</v>
      </c>
      <c r="G5" s="53" t="s">
        <v>17</v>
      </c>
      <c r="H5" s="56" t="s">
        <v>18</v>
      </c>
    </row>
    <row r="6" spans="1:51" ht="15.75" thickBot="1" x14ac:dyDescent="0.3"/>
    <row r="7" spans="1:51" ht="15.75" thickBot="1" x14ac:dyDescent="0.3">
      <c r="A7" s="57" t="s">
        <v>26</v>
      </c>
      <c r="B7" s="58"/>
      <c r="C7" s="58"/>
      <c r="D7" s="58"/>
      <c r="E7" s="58"/>
      <c r="F7" s="59"/>
      <c r="G7" s="59"/>
      <c r="H7" s="59"/>
      <c r="I7" s="59"/>
      <c r="J7" s="58"/>
      <c r="K7" s="60"/>
    </row>
    <row r="8" spans="1:51" ht="45.75" thickBot="1" x14ac:dyDescent="0.3">
      <c r="A8" s="61" t="s">
        <v>19</v>
      </c>
      <c r="B8" s="62" t="s">
        <v>20</v>
      </c>
      <c r="C8" s="62" t="s">
        <v>21</v>
      </c>
      <c r="D8" s="62" t="s">
        <v>15</v>
      </c>
      <c r="E8" s="62"/>
      <c r="F8" s="63" t="s">
        <v>22</v>
      </c>
      <c r="G8" s="63" t="s">
        <v>23</v>
      </c>
      <c r="H8" s="63" t="s">
        <v>25</v>
      </c>
      <c r="I8" s="63" t="s">
        <v>24</v>
      </c>
      <c r="J8" s="62"/>
      <c r="K8" s="64" t="s">
        <v>28</v>
      </c>
    </row>
    <row r="9" spans="1:51" ht="15.75" thickBot="1" x14ac:dyDescent="0.3"/>
    <row r="10" spans="1:51" x14ac:dyDescent="0.25">
      <c r="A10" s="71"/>
      <c r="B10" s="72"/>
      <c r="C10" s="72"/>
      <c r="D10" s="72"/>
      <c r="E10" s="72"/>
      <c r="F10" s="73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4"/>
      <c r="AF10" s="74"/>
      <c r="AG10" s="74"/>
      <c r="AH10" s="74"/>
      <c r="AI10" s="75"/>
    </row>
    <row r="11" spans="1:51" x14ac:dyDescent="0.25">
      <c r="A11" s="76"/>
      <c r="B11" s="77"/>
      <c r="C11" s="77"/>
      <c r="D11" s="77"/>
      <c r="E11" s="78" t="s">
        <v>29</v>
      </c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9" t="s">
        <v>30</v>
      </c>
      <c r="Q11" s="77"/>
      <c r="R11" s="77"/>
      <c r="S11" s="77"/>
      <c r="T11" s="77"/>
      <c r="U11" s="77"/>
      <c r="V11" s="77"/>
      <c r="W11" s="79" t="s">
        <v>31</v>
      </c>
      <c r="X11" s="79"/>
      <c r="Y11" s="79"/>
      <c r="Z11" s="77"/>
      <c r="AA11" s="77"/>
      <c r="AB11" s="77"/>
      <c r="AC11" s="77"/>
      <c r="AD11" s="79" t="s">
        <v>32</v>
      </c>
      <c r="AE11" s="79"/>
      <c r="AF11" s="79"/>
      <c r="AG11" s="77"/>
      <c r="AH11" s="80"/>
      <c r="AI11" s="81"/>
    </row>
    <row r="12" spans="1:51" ht="25.5" x14ac:dyDescent="0.25">
      <c r="A12" s="77"/>
      <c r="B12" s="77"/>
      <c r="C12" s="77"/>
      <c r="D12" s="77"/>
      <c r="E12" s="82" t="s">
        <v>33</v>
      </c>
      <c r="F12" s="77" t="s">
        <v>19</v>
      </c>
      <c r="G12" s="77" t="s">
        <v>20</v>
      </c>
      <c r="H12" s="77" t="s">
        <v>21</v>
      </c>
      <c r="I12" s="77" t="s">
        <v>15</v>
      </c>
      <c r="J12" s="77"/>
      <c r="K12" s="83" t="s">
        <v>16</v>
      </c>
      <c r="L12" s="83"/>
      <c r="M12" s="83" t="s">
        <v>34</v>
      </c>
      <c r="N12" s="83" t="s">
        <v>35</v>
      </c>
      <c r="O12" s="77"/>
      <c r="P12" s="77" t="s">
        <v>19</v>
      </c>
      <c r="Q12" s="77" t="s">
        <v>20</v>
      </c>
      <c r="R12" s="77" t="s">
        <v>21</v>
      </c>
      <c r="S12" s="77" t="s">
        <v>15</v>
      </c>
      <c r="T12" s="77"/>
      <c r="U12" s="77"/>
      <c r="V12" s="77"/>
      <c r="W12" s="80" t="s">
        <v>36</v>
      </c>
      <c r="X12" s="80" t="s">
        <v>37</v>
      </c>
      <c r="Y12" s="80" t="s">
        <v>38</v>
      </c>
      <c r="Z12" s="80" t="s">
        <v>39</v>
      </c>
      <c r="AA12" s="77"/>
      <c r="AB12" s="77" t="s">
        <v>40</v>
      </c>
      <c r="AC12" s="77"/>
      <c r="AD12" s="80" t="s">
        <v>36</v>
      </c>
      <c r="AE12" s="80" t="s">
        <v>37</v>
      </c>
      <c r="AF12" s="80" t="s">
        <v>38</v>
      </c>
      <c r="AG12" s="80" t="s">
        <v>39</v>
      </c>
      <c r="AH12" s="80"/>
      <c r="AI12" s="81"/>
    </row>
    <row r="13" spans="1:51" ht="15.75" thickBot="1" x14ac:dyDescent="0.3">
      <c r="A13" s="84"/>
      <c r="B13" s="85"/>
      <c r="C13" s="85"/>
      <c r="D13" s="85"/>
      <c r="E13" s="86"/>
      <c r="F13" s="87"/>
      <c r="G13" s="86"/>
      <c r="H13" s="86"/>
      <c r="I13" s="86"/>
      <c r="J13" s="86"/>
      <c r="K13" s="86"/>
      <c r="L13" s="85"/>
      <c r="M13" s="85"/>
      <c r="N13" s="85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5"/>
      <c r="AD13" s="85"/>
      <c r="AE13" s="88"/>
      <c r="AF13" s="88"/>
      <c r="AG13" s="88"/>
      <c r="AH13" s="88"/>
      <c r="AI13" s="89"/>
    </row>
    <row r="14" spans="1:51" x14ac:dyDescent="0.25">
      <c r="N14" s="65"/>
    </row>
  </sheetData>
  <conditionalFormatting sqref="AM2 E11:AA11">
    <cfRule type="cellIs" dxfId="11" priority="14" operator="equal">
      <formula>0</formula>
    </cfRule>
  </conditionalFormatting>
  <conditionalFormatting sqref="AN2">
    <cfRule type="cellIs" dxfId="10" priority="13" operator="equal">
      <formula>0</formula>
    </cfRule>
  </conditionalFormatting>
  <conditionalFormatting sqref="AO2">
    <cfRule type="cellIs" dxfId="9" priority="12" operator="equal">
      <formula>0</formula>
    </cfRule>
  </conditionalFormatting>
  <conditionalFormatting sqref="AQ2">
    <cfRule type="cellIs" dxfId="8" priority="9" operator="equal">
      <formula>0</formula>
    </cfRule>
  </conditionalFormatting>
  <conditionalFormatting sqref="AR2">
    <cfRule type="cellIs" dxfId="7" priority="8" operator="equal">
      <formula>0</formula>
    </cfRule>
  </conditionalFormatting>
  <conditionalFormatting sqref="AS2">
    <cfRule type="cellIs" dxfId="6" priority="7" operator="equal">
      <formula>0</formula>
    </cfRule>
  </conditionalFormatting>
  <conditionalFormatting sqref="AI11 AD11:AG11 E10:AH10">
    <cfRule type="cellIs" dxfId="5" priority="6" operator="equal">
      <formula>0</formula>
    </cfRule>
  </conditionalFormatting>
  <conditionalFormatting sqref="AI12 AD12:AG12 D12:AA12">
    <cfRule type="cellIs" dxfId="4" priority="5" operator="equal">
      <formula>0</formula>
    </cfRule>
  </conditionalFormatting>
  <conditionalFormatting sqref="AB12">
    <cfRule type="cellIs" dxfId="3" priority="4" operator="equal">
      <formula>0</formula>
    </cfRule>
  </conditionalFormatting>
  <conditionalFormatting sqref="E13:AH13">
    <cfRule type="cellIs" dxfId="2" priority="3" operator="equal">
      <formula>0</formula>
    </cfRule>
  </conditionalFormatting>
  <conditionalFormatting sqref="AX2">
    <cfRule type="cellIs" dxfId="1" priority="2" operator="equal">
      <formula>0</formula>
    </cfRule>
  </conditionalFormatting>
  <conditionalFormatting sqref="AY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2021-02-10T09:10:42Z</dcterms:modified>
</cp:coreProperties>
</file>