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-15" windowWidth="28830" windowHeight="6405"/>
  </bookViews>
  <sheets>
    <sheet name="ST" sheetId="1" r:id="rId1"/>
    <sheet name="Template" sheetId="2" r:id="rId2"/>
  </sheets>
  <calcPr calcId="145621"/>
</workbook>
</file>

<file path=xl/calcChain.xml><?xml version="1.0" encoding="utf-8"?>
<calcChain xmlns="http://schemas.openxmlformats.org/spreadsheetml/2006/main">
  <c r="AW2" i="2" l="1"/>
  <c r="AV2" i="2" l="1"/>
  <c r="AU2" i="2"/>
</calcChain>
</file>

<file path=xl/sharedStrings.xml><?xml version="1.0" encoding="utf-8"?>
<sst xmlns="http://schemas.openxmlformats.org/spreadsheetml/2006/main" count="66" uniqueCount="46">
  <si>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</si>
  <si>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</si>
  <si>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</si>
  <si>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</si>
  <si>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</si>
  <si>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</si>
  <si>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</si>
  <si>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</si>
  <si>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</si>
  <si>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</si>
  <si>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</si>
  <si>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</si>
  <si>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</si>
  <si>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</si>
  <si>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</si>
  <si>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</si>
  <si>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</si>
  <si>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</si>
  <si>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</si>
  <si>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</si>
  <si>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</si>
  <si>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</si>
  <si>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</si>
  <si>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</si>
  <si>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</si>
  <si>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MD sell through</t>
  </si>
  <si>
    <t>FCST</t>
  </si>
  <si>
    <t>Sell Thru</t>
  </si>
  <si>
    <t>Cash Recovery on MD</t>
  </si>
  <si>
    <t>Actual ( life to date)</t>
  </si>
  <si>
    <t>Estimate ( 50% cash recovery on markdown- half price)</t>
  </si>
  <si>
    <t>Average sell through (Life to Date)</t>
  </si>
  <si>
    <t>Average sell through (Fcst)</t>
  </si>
  <si>
    <t>Count</t>
  </si>
  <si>
    <t>Stock Bal unit 'K</t>
  </si>
  <si>
    <t>Stock Bal USD'K</t>
  </si>
  <si>
    <t>Total</t>
  </si>
  <si>
    <t>FP</t>
  </si>
  <si>
    <t>MD</t>
  </si>
  <si>
    <t>WO</t>
  </si>
  <si>
    <t>CR% on MD</t>
  </si>
  <si>
    <t xml:space="preserve"> </t>
  </si>
  <si>
    <t>Profitable</t>
  </si>
  <si>
    <t>Comment</t>
  </si>
  <si>
    <t>Remark</t>
  </si>
  <si>
    <t>Normal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</si>
</sst>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0.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" fillId="5" borderId="0" applyNumberFormat="0" applyBorder="0" applyAlignment="0" applyProtection="0"/>
  </cellStyleXfs>
  <cellXfs count="99">
    <xf numFmtId="0" fontId="0" fillId="0" borderId="0" xfId="0"/>
    <xf numFmtId="0" fontId="0" fillId="0" borderId="0" xfId="0"/>
    <xf numFmtId="0" fontId="0" fillId="3" borderId="0" xfId="0" applyFill="1"/>
    <xf numFmtId="0" fontId="2" fillId="0" borderId="0" xfId="0" applyFont="1"/>
    <xf numFmtId="0" fontId="0" fillId="2" borderId="0" xfId="0" applyFill="1"/>
    <xf numFmtId="0" fontId="2" fillId="0" borderId="1" xfId="0" applyFont="1" applyBorder="1"/>
    <xf numFmtId="9" fontId="0" fillId="0" borderId="0" xfId="1" applyFont="1" applyBorder="1" applyAlignment="1">
      <alignment wrapText="1"/>
    </xf>
    <xf numFmtId="0" fontId="3" fillId="0" borderId="4" xfId="0" applyFont="1" applyBorder="1" applyAlignment="1">
      <alignment vertical="top"/>
    </xf>
    <xf numFmtId="0" fontId="0" fillId="0" borderId="10" xfId="0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0" xfId="0" applyFont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 applyAlignment="1">
      <alignment wrapText="1"/>
    </xf>
    <xf numFmtId="9" fontId="6" fillId="0" borderId="0" xfId="1" applyFont="1" applyBorder="1" applyAlignment="1">
      <alignment wrapText="1"/>
    </xf>
    <xf numFmtId="0" fontId="6" fillId="0" borderId="5" xfId="0" applyFont="1" applyBorder="1" applyAlignment="1">
      <alignment wrapText="1"/>
    </xf>
    <xf numFmtId="0" fontId="7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8" fillId="0" borderId="4" xfId="0" applyFont="1" applyBorder="1" applyAlignment="1">
      <alignment horizontal="center"/>
    </xf>
    <xf numFmtId="9" fontId="8" fillId="0" borderId="0" xfId="0" applyNumberFormat="1" applyFont="1" applyBorder="1" applyAlignment="1">
      <alignment horizontal="center"/>
    </xf>
    <xf numFmtId="9" fontId="8" fillId="0" borderId="5" xfId="0" applyNumberFormat="1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9" fontId="9" fillId="0" borderId="9" xfId="0" applyNumberFormat="1" applyFont="1" applyBorder="1" applyAlignment="1">
      <alignment horizontal="center"/>
    </xf>
    <xf numFmtId="0" fontId="10" fillId="0" borderId="4" xfId="0" applyFont="1" applyBorder="1"/>
    <xf numFmtId="165" fontId="6" fillId="0" borderId="0" xfId="2" applyNumberFormat="1" applyFont="1" applyBorder="1" applyAlignment="1">
      <alignment wrapText="1"/>
    </xf>
    <xf numFmtId="9" fontId="6" fillId="0" borderId="5" xfId="1" applyFont="1" applyBorder="1"/>
    <xf numFmtId="165" fontId="10" fillId="0" borderId="7" xfId="2" applyNumberFormat="1" applyFont="1" applyBorder="1"/>
    <xf numFmtId="9" fontId="10" fillId="0" borderId="8" xfId="1" applyFont="1" applyBorder="1"/>
    <xf numFmtId="166" fontId="11" fillId="4" borderId="0" xfId="2" applyNumberFormat="1" applyFont="1" applyFill="1" applyBorder="1"/>
    <xf numFmtId="9" fontId="11" fillId="4" borderId="0" xfId="1" applyFont="1" applyFill="1" applyBorder="1"/>
    <xf numFmtId="166" fontId="11" fillId="0" borderId="0" xfId="2" applyNumberFormat="1" applyFont="1" applyBorder="1"/>
    <xf numFmtId="9" fontId="11" fillId="0" borderId="0" xfId="1" applyFont="1" applyBorder="1"/>
    <xf numFmtId="9" fontId="6" fillId="3" borderId="0" xfId="1" applyFont="1" applyFill="1"/>
    <xf numFmtId="9" fontId="6" fillId="2" borderId="0" xfId="1" applyFont="1" applyFill="1"/>
    <xf numFmtId="0" fontId="12" fillId="0" borderId="0" xfId="0" applyFont="1"/>
    <xf numFmtId="164" fontId="6" fillId="0" borderId="0" xfId="2" applyFont="1" applyBorder="1"/>
    <xf numFmtId="165" fontId="10" fillId="0" borderId="0" xfId="2" applyNumberFormat="1" applyFont="1" applyBorder="1"/>
    <xf numFmtId="9" fontId="10" fillId="0" borderId="5" xfId="1" applyFont="1" applyBorder="1"/>
    <xf numFmtId="10" fontId="6" fillId="0" borderId="0" xfId="1" applyNumberFormat="1" applyFont="1" applyBorder="1"/>
    <xf numFmtId="0" fontId="10" fillId="0" borderId="1" xfId="0" applyFont="1" applyBorder="1"/>
    <xf numFmtId="9" fontId="8" fillId="0" borderId="11" xfId="0" applyNumberFormat="1" applyFont="1" applyBorder="1" applyAlignment="1">
      <alignment horizontal="center"/>
    </xf>
    <xf numFmtId="0" fontId="10" fillId="0" borderId="0" xfId="0" applyFont="1" applyBorder="1"/>
    <xf numFmtId="166" fontId="6" fillId="0" borderId="0" xfId="2" applyNumberFormat="1" applyFont="1" applyBorder="1"/>
    <xf numFmtId="166" fontId="13" fillId="0" borderId="0" xfId="3" applyNumberFormat="1" applyFont="1" applyFill="1" applyBorder="1"/>
    <xf numFmtId="166" fontId="10" fillId="0" borderId="7" xfId="2" applyNumberFormat="1" applyFont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167" fontId="6" fillId="0" borderId="0" xfId="1" applyNumberFormat="1" applyFont="1" applyBorder="1"/>
    <xf numFmtId="9" fontId="10" fillId="0" borderId="0" xfId="1" applyFont="1" applyBorder="1"/>
    <xf numFmtId="0" fontId="6" fillId="11" borderId="0" xfId="0" applyFont="1" applyFill="1" applyBorder="1" applyAlignment="1">
      <alignment horizontal="right" vertical="top"/>
    </xf>
    <xf numFmtId="164" fontId="14" fillId="0" borderId="0" xfId="2" applyFont="1" applyBorder="1"/>
    <xf numFmtId="165" fontId="15" fillId="0" borderId="0" xfId="2" applyNumberFormat="1" applyFont="1" applyBorder="1"/>
    <xf numFmtId="166" fontId="6" fillId="0" borderId="0" xfId="2" applyNumberFormat="1" applyFont="1"/>
    <xf numFmtId="0" fontId="13" fillId="9" borderId="12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0" fontId="8" fillId="9" borderId="13" xfId="0" applyFont="1" applyFill="1" applyBorder="1" applyAlignment="1">
      <alignment vertical="top"/>
    </xf>
    <xf numFmtId="10" fontId="8" fillId="9" borderId="13" xfId="0" applyNumberFormat="1" applyFont="1" applyFill="1" applyBorder="1" applyAlignment="1">
      <alignment vertical="top"/>
    </xf>
    <xf numFmtId="0" fontId="8" fillId="9" borderId="14" xfId="0" applyFont="1" applyFill="1" applyBorder="1" applyAlignment="1">
      <alignment vertical="top"/>
    </xf>
    <xf numFmtId="0" fontId="8" fillId="9" borderId="12" xfId="0" applyFont="1" applyFill="1" applyBorder="1" applyAlignment="1">
      <alignment vertical="top"/>
    </xf>
    <xf numFmtId="0" fontId="8" fillId="9" borderId="12" xfId="0" applyFont="1" applyFill="1" applyBorder="1" applyAlignment="1">
      <alignment horizontal="center" vertical="top" wrapText="1"/>
    </xf>
    <xf numFmtId="0" fontId="8" fillId="9" borderId="13" xfId="0" applyFont="1" applyFill="1" applyBorder="1" applyAlignment="1">
      <alignment horizontal="center" vertical="top" wrapText="1"/>
    </xf>
    <xf numFmtId="10" fontId="8" fillId="9" borderId="13" xfId="0" applyNumberFormat="1" applyFont="1" applyFill="1" applyBorder="1" applyAlignment="1">
      <alignment horizontal="center" vertical="top" wrapText="1"/>
    </xf>
    <xf numFmtId="0" fontId="8" fillId="9" borderId="14" xfId="0" applyFont="1" applyFill="1" applyBorder="1" applyAlignment="1">
      <alignment horizontal="center" vertical="top" wrapText="1"/>
    </xf>
    <xf numFmtId="0" fontId="13" fillId="10" borderId="12" xfId="0" applyFont="1" applyFill="1" applyBorder="1" applyAlignment="1">
      <alignment vertical="top"/>
    </xf>
    <xf numFmtId="0" fontId="8" fillId="10" borderId="13" xfId="0" applyFont="1" applyFill="1" applyBorder="1" applyAlignment="1">
      <alignment vertical="top"/>
    </xf>
    <xf numFmtId="10" fontId="8" fillId="10" borderId="13" xfId="0" applyNumberFormat="1" applyFont="1" applyFill="1" applyBorder="1" applyAlignment="1">
      <alignment vertical="top"/>
    </xf>
    <xf numFmtId="0" fontId="8" fillId="10" borderId="14" xfId="0" applyFont="1" applyFill="1" applyBorder="1" applyAlignment="1">
      <alignment vertical="top"/>
    </xf>
    <xf numFmtId="0" fontId="6" fillId="12" borderId="15" xfId="0" applyFont="1" applyFill="1" applyBorder="1"/>
    <xf numFmtId="0" fontId="8" fillId="10" borderId="6" xfId="0" applyFont="1" applyFill="1" applyBorder="1" applyAlignment="1">
      <alignment horizontal="center" vertical="top" wrapText="1"/>
    </xf>
    <xf numFmtId="0" fontId="8" fillId="10" borderId="7" xfId="0" applyFont="1" applyFill="1" applyBorder="1" applyAlignment="1">
      <alignment horizontal="center" vertical="top" wrapText="1"/>
    </xf>
    <xf numFmtId="10" fontId="8" fillId="10" borderId="7" xfId="0" applyNumberFormat="1" applyFont="1" applyFill="1" applyBorder="1" applyAlignment="1">
      <alignment horizontal="center" vertical="top" wrapText="1"/>
    </xf>
    <xf numFmtId="0" fontId="8" fillId="10" borderId="8" xfId="0" applyFont="1" applyFill="1" applyBorder="1" applyAlignment="1">
      <alignment horizontal="center" vertical="top" wrapText="1"/>
    </xf>
    <xf numFmtId="10" fontId="8" fillId="0" borderId="0" xfId="0" applyNumberFormat="1" applyFont="1" applyFill="1" applyBorder="1" applyAlignment="1">
      <alignment horizontal="center" vertical="top" wrapText="1"/>
    </xf>
    <xf numFmtId="0" fontId="10" fillId="12" borderId="15" xfId="0" applyFont="1" applyFill="1" applyBorder="1"/>
    <xf numFmtId="0" fontId="6" fillId="0" borderId="1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0" borderId="2" xfId="0" applyFont="1" applyBorder="1" applyAlignment="1">
      <alignment horizontal="center" vertical="top"/>
    </xf>
    <xf numFmtId="0" fontId="6" fillId="0" borderId="2" xfId="0" applyFont="1" applyFill="1" applyBorder="1" applyAlignment="1">
      <alignment vertical="top"/>
    </xf>
    <xf numFmtId="0" fontId="6" fillId="0" borderId="3" xfId="0" applyFont="1" applyFill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10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vertical="top"/>
    </xf>
    <xf numFmtId="0" fontId="6" fillId="0" borderId="0" xfId="0" applyFont="1" applyFill="1" applyBorder="1" applyAlignment="1">
      <alignment vertical="top"/>
    </xf>
    <xf numFmtId="0" fontId="6" fillId="0" borderId="5" xfId="0" applyFont="1" applyFill="1" applyBorder="1" applyAlignment="1">
      <alignment vertical="top"/>
    </xf>
    <xf numFmtId="0" fontId="6" fillId="0" borderId="0" xfId="0" applyFont="1" applyBorder="1" applyAlignment="1">
      <alignment horizontal="center" vertical="top"/>
    </xf>
    <xf numFmtId="0" fontId="6" fillId="0" borderId="0" xfId="0" applyFont="1" applyBorder="1" applyAlignment="1">
      <alignment vertical="top" wrapText="1"/>
    </xf>
    <xf numFmtId="0" fontId="6" fillId="0" borderId="6" xfId="0" applyFont="1" applyBorder="1" applyAlignment="1">
      <alignment vertical="top"/>
    </xf>
    <xf numFmtId="0" fontId="6" fillId="0" borderId="7" xfId="0" applyFont="1" applyBorder="1" applyAlignment="1">
      <alignment vertical="top"/>
    </xf>
    <xf numFmtId="0" fontId="6" fillId="0" borderId="7" xfId="0" applyFont="1" applyBorder="1" applyAlignment="1">
      <alignment horizontal="center" vertical="top"/>
    </xf>
    <xf numFmtId="0" fontId="6" fillId="0" borderId="7" xfId="0" applyFont="1" applyFill="1" applyBorder="1" applyAlignment="1">
      <alignment vertical="top"/>
    </xf>
    <xf numFmtId="0" fontId="6" fillId="0" borderId="8" xfId="0" applyFont="1" applyFill="1" applyBorder="1" applyAlignment="1">
      <alignment vertical="top"/>
    </xf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12"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pageSetUpPr fitToPage="1"/>
  </x:sheetPr>
  <x:dimension ref="A1:BJ3"/>
  <x:sheetViews>
    <x:sheetView tabSelected="1" workbookViewId="0"/>
  </x:sheetViews>
  <x:sheetFormatPr defaultRowHeight="15" x14ac:dyDescent="0.25"/>
  <x:cols>
    <x:col min="2" max="2" width="4.5703125" customWidth="1"/>
    <x:col min="3" max="3" width="30.7109375" customWidth="1"/>
    <x:col min="4" max="4" width="3.42578125" customWidth="1"/>
    <x:col min="61" max="62" width="19.42578125" customWidth="1"/>
  </x:cols>
  <x:sheetData>
    <x:row r="1" spans="1:62" ht="18.75" x14ac:dyDescent="0.3">
      <x:c r="A1" s="3" t="s">
        <x:v>0</x:v>
      </x:c>
      <x:c r="B1" s="3"/>
      <x:c r="C1" s="1"/>
      <x:c r="D1" s="1"/>
      <x:c r="E1" s="1"/>
      <x:c r="F1" s="1"/>
      <x:c r="G1" s="1"/>
      <x:c r="H1" s="1"/>
      <x:c r="I1" s="1"/>
      <x:c r="J1" s="1"/>
      <x:c r="K1" s="1"/>
      <x:c r="L1" s="1"/>
      <x:c r="M1" s="2" t="s">
        <x:v>1</x:v>
      </x:c>
      <x:c r="BI1" s="6"/>
      <x:c r="BJ1" s="9"/>
    </x:row>
    <x:row r="2" spans="1:62" x14ac:dyDescent="0.25">
      <x:c r="A2" s="12" t="s">
        <x:v>46</x:v>
      </x:c>
      <x:c r="B2" s="1"/>
      <x:c r="C2" s="1"/>
      <x:c r="D2" s="1"/>
      <x:c r="E2" s="1"/>
      <x:c r="F2" s="1"/>
      <x:c r="G2" s="1"/>
      <x:c r="H2" s="1"/>
      <x:c r="I2" s="1"/>
      <x:c r="J2" s="1"/>
      <x:c r="K2" s="1"/>
      <x:c r="L2" s="1"/>
      <x:c r="M2" s="4" t="s">
        <x:v>2</x:v>
      </x:c>
    </x:row>
    <x:row r="3" spans="1:62" x14ac:dyDescent="0.25">
      <x:c r="A3" s="1"/>
      <x:c r="B3" s="1"/>
      <x:c r="C3" s="1"/>
      <x:c r="D3" s="1"/>
      <x:c r="E3" s="1"/>
      <x:c r="F3" s="1"/>
      <x:c r="G3" s="1"/>
      <x:c r="H3" s="1"/>
      <x:c r="I3" s="1"/>
      <x:c r="J3" s="1"/>
      <x:c r="K3" s="1"/>
      <x:c r="L3" s="1"/>
      <x:c r="M3" s="13" t="s">
        <x:v>3</x:v>
      </x:c>
    </x:row>
    <x:row r="4">
      <x:c r="A4" s="5" t="s">
        <x:v>47</x:v>
      </x:c>
      <x:c r="B4" s="14" t="s"/>
      <x:c r="C4" s="14" t="s"/>
      <x:c r="D4" s="14" t="s"/>
      <x:c r="E4" s="14" t="s"/>
      <x:c r="F4" s="14" t="s"/>
      <x:c r="G4" s="15" t="s"/>
      <x:c r="H4" s="5" t="s"/>
      <x:c r="I4" s="14" t="s"/>
      <x:c r="J4" s="14" t="s"/>
      <x:c r="K4" s="14" t="s"/>
      <x:c r="L4" s="14" t="s"/>
      <x:c r="M4" s="14" t="s"/>
      <x:c r="N4" s="14" t="s"/>
      <x:c r="O4" s="14" t="s"/>
      <x:c r="P4" s="14" t="s"/>
      <x:c r="Q4" s="15" t="s"/>
      <x:c r="R4" s="60" t="s">
        <x:v>11</x:v>
      </x:c>
      <x:c r="S4" s="61"/>
      <x:c r="T4" s="62"/>
      <x:c r="U4" s="63"/>
      <x:c r="V4" s="63"/>
      <x:c r="W4" s="64"/>
      <x:c r="X4" s="65"/>
      <x:c r="Y4" s="64"/>
      <x:c r="AA4" s="70" t="s">
        <x:v>26</x:v>
      </x:c>
      <x:c r="AB4" s="71"/>
      <x:c r="AC4" s="71"/>
      <x:c r="AD4" s="71"/>
      <x:c r="AE4" s="71"/>
      <x:c r="AF4" s="72"/>
      <x:c r="AG4" s="72"/>
      <x:c r="AH4" s="72"/>
      <x:c r="AI4" s="72"/>
      <x:c r="AJ4" s="71"/>
      <x:c r="AK4" s="73"/>
      <x:c r="AL4" s="53" t="s">
        <x:v>41</x:v>
      </x:c>
      <x:c r="AM4" s="74"/>
      <x:c r="AN4" s="74" t="s">
        <x:v>41</x:v>
      </x:c>
    </x:row>
    <x:row r="5" ht="45.75" customHeight="1">
      <x:c r="A5" s="28" t="s">
        <x:v>42</x:v>
      </x:c>
      <x:c r="B5" s="46" t="s">
        <x:v>48</x:v>
      </x:c>
      <x:c r="C5" s="46" t="s">
        <x:v>49</x:v>
      </x:c>
      <x:c r="D5" s="46" t="s">
        <x:v>50</x:v>
      </x:c>
      <x:c r="E5" s="46" t="s">
        <x:v>51</x:v>
      </x:c>
      <x:c r="F5" s="46" t="s">
        <x:v>52</x:v>
      </x:c>
      <x:c r="H5" s="16" t="s">
        <x:v>53</x:v>
      </x:c>
      <x:c r="I5" s="17" t="s">
        <x:v>54</x:v>
      </x:c>
      <x:c r="J5" s="17" t="s">
        <x:v>55</x:v>
      </x:c>
      <x:c r="K5" s="17" t="s">
        <x:v>56</x:v>
      </x:c>
      <x:c r="L5" s="17" t="s">
        <x:v>57</x:v>
      </x:c>
      <x:c r="M5" s="17" t="s">
        <x:v>58</x:v>
      </x:c>
      <x:c r="N5" s="17" t="s">
        <x:v>59</x:v>
      </x:c>
      <x:c r="O5" s="17" t="s">
        <x:v>60</x:v>
      </x:c>
      <x:c r="P5" s="17" t="s">
        <x:v>61</x:v>
      </x:c>
      <x:c r="Q5" s="18" t="s">
        <x:v>44</x:v>
      </x:c>
      <x:c r="R5" s="66" t="s">
        <x:v>12</x:v>
      </x:c>
      <x:c r="S5" s="67" t="s">
        <x:v>13</x:v>
      </x:c>
      <x:c r="T5" s="67" t="s">
        <x:v>14</x:v>
      </x:c>
      <x:c r="U5" s="68" t="s">
        <x:v>15</x:v>
      </x:c>
      <x:c r="V5" s="68" t="s">
        <x:v>27</x:v>
      </x:c>
      <x:c r="W5" s="69" t="s">
        <x:v>16</x:v>
      </x:c>
      <x:c r="X5" s="66" t="s">
        <x:v>17</x:v>
      </x:c>
      <x:c r="Y5" s="69" t="s">
        <x:v>18</x:v>
      </x:c>
      <x:c r="AA5" s="75" t="s">
        <x:v>19</x:v>
      </x:c>
      <x:c r="AB5" s="76" t="s">
        <x:v>20</x:v>
      </x:c>
      <x:c r="AC5" s="76" t="s">
        <x:v>21</x:v>
      </x:c>
      <x:c r="AD5" s="76" t="s">
        <x:v>15</x:v>
      </x:c>
      <x:c r="AE5" s="76"/>
      <x:c r="AF5" s="77" t="s">
        <x:v>22</x:v>
      </x:c>
      <x:c r="AG5" s="77" t="s">
        <x:v>23</x:v>
      </x:c>
      <x:c r="AH5" s="77" t="s">
        <x:v>25</x:v>
      </x:c>
      <x:c r="AI5" s="77" t="s">
        <x:v>24</x:v>
      </x:c>
      <x:c r="AJ5" s="76"/>
      <x:c r="AK5" s="78" t="s">
        <x:v>28</x:v>
      </x:c>
      <x:c r="AL5" s="79" t="s">
        <x:v>41</x:v>
      </x:c>
      <x:c r="AM5" s="74" t="s">
        <x:v>42</x:v>
      </x:c>
      <x:c r="AN5" s="74" t="s">
        <x:v>43</x:v>
      </x:c>
    </x:row>
    <x:row r="6">
      <x:c r="A6" s="16" t="s"/>
      <x:c r="H6" s="16" t="s"/>
      <x:c r="Q6" s="18" t="s"/>
    </x:row>
    <x:row r="7">
      <x:c r="A7" s="7" t="s">
        <x:v>62</x:v>
      </x:c>
      <x:c r="G7" s="18" t="s"/>
      <x:c r="H7" s="22" t="s"/>
      <x:c r="Q7" s="24" t="s"/>
    </x:row>
    <x:row r="8">
      <x:c r="A8" s="28" t="s">
        <x:v>63</x:v>
      </x:c>
      <x:c r="G8" s="18" t="s"/>
      <x:c r="H8" s="22" t="s"/>
      <x:c r="Q8" s="24" t="s"/>
    </x:row>
    <x:row r="9">
      <x:c r="A9" s="16" t="s">
        <x:v>64</x:v>
      </x:c>
      <x:c r="B9" s="53" t="s"/>
      <x:c r="C9" s="53" t="s">
        <x:v>65</x:v>
      </x:c>
      <x:c r="D9" s="53" t="s">
        <x:v>66</x:v>
      </x:c>
      <x:c r="E9" s="52" t="s">
        <x:v>67</x:v>
      </x:c>
      <x:c r="F9" s="59" t="n">
        <x:v>1034</x:v>
      </x:c>
      <x:c r="G9" s="18" t="s"/>
      <x:c r="H9" s="22" t="s">
        <x:v>68</x:v>
      </x:c>
      <x:c r="I9" s="23" t="str">
        <x:f>=V9</x:f>
      </x:c>
      <x:c r="J9" s="23" t="n">
        <x:v>0</x:v>
      </x:c>
      <x:c r="K9" s="23" t="n">
        <x:v>0</x:v>
      </x:c>
      <x:c r="L9" s="23" t="n">
        <x:v>1</x:v>
      </x:c>
      <x:c r="M9" s="23" t="str">
        <x:f>=U9</x:f>
      </x:c>
      <x:c r="N9" s="23" t="str">
        <x:f>=AD9</x:f>
      </x:c>
      <x:c r="O9" s="23" t="str"/>
      <x:c r="P9" s="23" t="str">
        <x:v>SS 2021 MSS</x:v>
      </x:c>
      <x:c r="Q9" s="24" t="str"/>
      <x:c r="R9" s="29" t="n">
        <x:v>0</x:v>
      </x:c>
      <x:c r="S9" s="29" t="n">
        <x:v>-4532.64449564</x:v>
      </x:c>
      <x:c r="T9" s="29" t="str">
        <x:f>=R9+S9</x:f>
      </x:c>
      <x:c r="U9" s="43" t="str">
        <x:f>=T9/R9</x:f>
      </x:c>
      <x:c r="V9" s="43" t="n">
        <x:v>0</x:v>
      </x:c>
      <x:c r="W9" s="29" t="n">
        <x:v>3703.049996</x:v>
      </x:c>
      <x:c r="X9" s="47" t="n">
        <x:v>1034</x:v>
      </x:c>
      <x:c r="Y9" s="29" t="n">
        <x:v>3703.0499960000000000000000000</x:v>
      </x:c>
      <x:c r="AA9" s="29" t="n">
        <x:v>2230.1357259267272100000000001</x:v>
      </x:c>
      <x:c r="AB9" s="29" t="n">
        <x:v>-4532.64449564</x:v>
      </x:c>
      <x:c r="AC9" s="29" t="str">
        <x:f>=AA9+AB9</x:f>
      </x:c>
      <x:c r="AD9" s="43" t="str">
        <x:f>=AC9/AA9</x:f>
      </x:c>
      <x:c r="AF9" s="43" t="str">
        <x:f>=AG9+AH9</x:f>
      </x:c>
      <x:c r="AG9" s="43" t="str">
        <x:f>=J9+(0.03*1)</x:f>
      </x:c>
      <x:c r="AH9" s="43" t="str">
        <x:f>=IF((1-AG9)*0.5&gt;K9,(1-AG9)*0.5,K9)</x:f>
      </x:c>
      <x:c r="AI9" s="43" t="str">
        <x:f>=1-AF9</x:f>
      </x:c>
      <x:c r="AK9" s="43" t="str">
        <x:f>=AH9/(1-AG9)</x:f>
      </x:c>
      <x:c r="AM9" t="str">
        <x:v>Too soon to tell</x:v>
      </x:c>
      <x:c r="AN9" t="str">
        <x:v>Wrong D-code</x:v>
      </x:c>
    </x:row>
    <x:row r="10">
      <x:c r="A10" s="16" t="s">
        <x:v>69</x:v>
      </x:c>
      <x:c r="B10" s="53" t="s"/>
      <x:c r="C10" s="53" t="s">
        <x:v>70</x:v>
      </x:c>
      <x:c r="D10" s="53" t="s">
        <x:v>66</x:v>
      </x:c>
      <x:c r="E10" s="52" t="s">
        <x:v>67</x:v>
      </x:c>
      <x:c r="F10" s="59" t="n">
        <x:v>2021</x:v>
      </x:c>
      <x:c r="G10" s="18" t="s"/>
      <x:c r="H10" s="22" t="s">
        <x:v>68</x:v>
      </x:c>
      <x:c r="I10" s="23" t="str">
        <x:f>=V10</x:f>
      </x:c>
      <x:c r="J10" s="23" t="n">
        <x:v>0</x:v>
      </x:c>
      <x:c r="K10" s="23" t="n">
        <x:v>0</x:v>
      </x:c>
      <x:c r="L10" s="23" t="n">
        <x:v>1</x:v>
      </x:c>
      <x:c r="M10" s="23" t="str">
        <x:f>=U10</x:f>
      </x:c>
      <x:c r="N10" s="23" t="str">
        <x:f>=AD10</x:f>
      </x:c>
      <x:c r="O10" s="23" t="str"/>
      <x:c r="P10" s="23" t="str">
        <x:v>AW 2021 MSS</x:v>
      </x:c>
      <x:c r="Q10" s="24" t="str"/>
      <x:c r="R10" s="29" t="n">
        <x:v>0</x:v>
      </x:c>
      <x:c r="S10" s="29" t="n">
        <x:v>-11830.56749346</x:v>
      </x:c>
      <x:c r="T10" s="29" t="str">
        <x:f>=R10+S10</x:f>
      </x:c>
      <x:c r="U10" s="43" t="str">
        <x:f>=T10/R10</x:f>
      </x:c>
      <x:c r="V10" s="43" t="n">
        <x:v>0</x:v>
      </x:c>
      <x:c r="W10" s="29" t="n">
        <x:v>9963.749994</x:v>
      </x:c>
      <x:c r="X10" s="47" t="n">
        <x:v>2021</x:v>
      </x:c>
      <x:c r="Y10" s="29" t="n">
        <x:v>9963.749994000000000000000000</x:v>
      </x:c>
      <x:c r="AA10" s="29" t="n">
        <x:v>11127.565084210560240000000000</x:v>
      </x:c>
      <x:c r="AB10" s="29" t="n">
        <x:v>-11830.56749346</x:v>
      </x:c>
      <x:c r="AC10" s="29" t="str">
        <x:f>=AA10+AB10</x:f>
      </x:c>
      <x:c r="AD10" s="43" t="str">
        <x:f>=AC10/AA10</x:f>
      </x:c>
      <x:c r="AF10" s="43" t="str">
        <x:f>=AG10+AH10</x:f>
      </x:c>
      <x:c r="AG10" s="43" t="str">
        <x:f>=J10+(0.03*16)</x:f>
      </x:c>
      <x:c r="AH10" s="43" t="str">
        <x:f>=IF((1-AG10)*0.5&gt;K10,(1-AG10)*0.5,K10)</x:f>
      </x:c>
      <x:c r="AI10" s="43" t="str">
        <x:f>=1-AF10</x:f>
      </x:c>
      <x:c r="AK10" s="43" t="str">
        <x:f>=AH10/(1-AG10)</x:f>
      </x:c>
      <x:c r="AM10" t="str">
        <x:v>Too soon to tell</x:v>
      </x:c>
      <x:c r="AN10" t="str">
        <x:v>Wrong D-code</x:v>
      </x:c>
    </x:row>
    <x:row r="11">
      <x:c r="A11" s="16" t="s">
        <x:v>71</x:v>
      </x:c>
      <x:c r="B11" s="53" t="s"/>
      <x:c r="C11" s="53" t="s">
        <x:v>72</x:v>
      </x:c>
      <x:c r="D11" s="53" t="s">
        <x:v>66</x:v>
      </x:c>
      <x:c r="E11" s="52" t="s">
        <x:v>67</x:v>
      </x:c>
      <x:c r="F11" s="59" t="n">
        <x:v>1036</x:v>
      </x:c>
      <x:c r="G11" s="18" t="s"/>
      <x:c r="H11" s="22" t="s">
        <x:v>68</x:v>
      </x:c>
      <x:c r="I11" s="23" t="str">
        <x:f>=V11</x:f>
      </x:c>
      <x:c r="J11" s="23" t="n">
        <x:v>0</x:v>
      </x:c>
      <x:c r="K11" s="23" t="n">
        <x:v>0</x:v>
      </x:c>
      <x:c r="L11" s="23" t="n">
        <x:v>1</x:v>
      </x:c>
      <x:c r="M11" s="23" t="str">
        <x:f>=U11</x:f>
      </x:c>
      <x:c r="N11" s="23" t="str">
        <x:f>=AD11</x:f>
      </x:c>
      <x:c r="O11" s="23" t="str"/>
      <x:c r="P11" s="23" t="str">
        <x:v>SS 2021 MSS</x:v>
      </x:c>
      <x:c r="Q11" s="24" t="str"/>
      <x:c r="R11" s="29" t="n">
        <x:v>0</x:v>
      </x:c>
      <x:c r="S11" s="29" t="n">
        <x:v>-5874.74049455</x:v>
      </x:c>
      <x:c r="T11" s="29" t="str">
        <x:f>=R11+S11</x:f>
      </x:c>
      <x:c r="U11" s="43" t="str">
        <x:f>=T11/R11</x:f>
      </x:c>
      <x:c r="V11" s="43" t="n">
        <x:v>0</x:v>
      </x:c>
      <x:c r="W11" s="29" t="n">
        <x:v>4933.449995</x:v>
      </x:c>
      <x:c r="X11" s="47" t="n">
        <x:v>1036</x:v>
      </x:c>
      <x:c r="Y11" s="29" t="n">
        <x:v>4933.4499950000000000000000000</x:v>
      </x:c>
      <x:c r="AA11" s="29" t="n">
        <x:v>2858.4825618691079100000000000</x:v>
      </x:c>
      <x:c r="AB11" s="29" t="n">
        <x:v>-5874.74049455</x:v>
      </x:c>
      <x:c r="AC11" s="29" t="str">
        <x:f>=AA11+AB11</x:f>
      </x:c>
      <x:c r="AD11" s="43" t="str">
        <x:f>=AC11/AA11</x:f>
      </x:c>
      <x:c r="AF11" s="43" t="str">
        <x:f>=AG11+AH11</x:f>
      </x:c>
      <x:c r="AG11" s="43" t="str">
        <x:f>=J11+(0.03*1)</x:f>
      </x:c>
      <x:c r="AH11" s="43" t="str">
        <x:f>=IF((1-AG11)*0.5&gt;K11,(1-AG11)*0.5,K11)</x:f>
      </x:c>
      <x:c r="AI11" s="43" t="str">
        <x:f>=1-AF11</x:f>
      </x:c>
      <x:c r="AK11" s="43" t="str">
        <x:f>=AH11/(1-AG11)</x:f>
      </x:c>
      <x:c r="AM11" t="str">
        <x:v>Too soon to tell</x:v>
      </x:c>
      <x:c r="AN11" t="str">
        <x:v>Wrong D-code</x:v>
      </x:c>
    </x:row>
    <x:row r="12">
      <x:c r="A12" s="16" t="s">
        <x:v>73</x:v>
      </x:c>
      <x:c r="B12" s="53" t="s"/>
      <x:c r="C12" s="53" t="s">
        <x:v>74</x:v>
      </x:c>
      <x:c r="D12" s="53" t="s">
        <x:v>66</x:v>
      </x:c>
      <x:c r="E12" s="52" t="s">
        <x:v>67</x:v>
      </x:c>
      <x:c r="F12" s="59" t="n">
        <x:v>2066</x:v>
      </x:c>
      <x:c r="G12" s="18" t="s"/>
      <x:c r="H12" s="22" t="s">
        <x:v>68</x:v>
      </x:c>
      <x:c r="I12" s="23" t="str">
        <x:f>=V12</x:f>
      </x:c>
      <x:c r="J12" s="23" t="n">
        <x:v>0</x:v>
      </x:c>
      <x:c r="K12" s="23" t="n">
        <x:v>0</x:v>
      </x:c>
      <x:c r="L12" s="23" t="n">
        <x:v>1</x:v>
      </x:c>
      <x:c r="M12" s="23" t="str">
        <x:f>=U12</x:f>
      </x:c>
      <x:c r="N12" s="23" t="str">
        <x:f>=AD12</x:f>
      </x:c>
      <x:c r="O12" s="23" t="str"/>
      <x:c r="P12" s="23" t="str">
        <x:v>AW 2021 MSS</x:v>
      </x:c>
      <x:c r="Q12" s="24" t="str"/>
      <x:c r="R12" s="29" t="n">
        <x:v>0</x:v>
      </x:c>
      <x:c r="S12" s="29" t="n">
        <x:v>-15260.30498836</x:v>
      </x:c>
      <x:c r="T12" s="29" t="str">
        <x:f>=R12+S12</x:f>
      </x:c>
      <x:c r="U12" s="43" t="str">
        <x:f>=T12/R12</x:f>
      </x:c>
      <x:c r="V12" s="43" t="n">
        <x:v>0</x:v>
      </x:c>
      <x:c r="W12" s="29" t="n">
        <x:v>15178.499988</x:v>
      </x:c>
      <x:c r="X12" s="47" t="n">
        <x:v>2066</x:v>
      </x:c>
      <x:c r="Y12" s="29" t="n">
        <x:v>15178.499988000000000000000000</x:v>
      </x:c>
      <x:c r="AA12" s="29" t="n">
        <x:v>20975.421133200918360000000000</x:v>
      </x:c>
      <x:c r="AB12" s="29" t="n">
        <x:v>-15260.30498836</x:v>
      </x:c>
      <x:c r="AC12" s="29" t="str">
        <x:f>=AA12+AB12</x:f>
      </x:c>
      <x:c r="AD12" s="43" t="str">
        <x:f>=AC12/AA12</x:f>
      </x:c>
      <x:c r="AF12" s="43" t="str">
        <x:f>=AG12+AH12</x:f>
      </x:c>
      <x:c r="AG12" s="43" t="str">
        <x:f>=J12+(0.03*22)</x:f>
      </x:c>
      <x:c r="AH12" s="43" t="str">
        <x:f>=IF((1-AG12)*0.5&gt;K12,(1-AG12)*0.5,K12)</x:f>
      </x:c>
      <x:c r="AI12" s="43" t="str">
        <x:f>=1-AF12</x:f>
      </x:c>
      <x:c r="AK12" s="43" t="str">
        <x:f>=AH12/(1-AG12)</x:f>
      </x:c>
      <x:c r="AM12" t="str">
        <x:v>Too soon to tell</x:v>
      </x:c>
      <x:c r="AN12" t="str">
        <x:v>Checked ISAM Dcode correct</x:v>
      </x:c>
    </x:row>
    <x:row r="13">
      <x:c r="A13" s="16" t="s">
        <x:v>75</x:v>
      </x:c>
      <x:c r="B13" s="53" t="s"/>
      <x:c r="C13" s="53" t="s">
        <x:v>76</x:v>
      </x:c>
      <x:c r="D13" s="53" t="s">
        <x:v>66</x:v>
      </x:c>
      <x:c r="E13" s="52" t="s">
        <x:v>67</x:v>
      </x:c>
      <x:c r="F13" s="59" t="n">
        <x:v>638</x:v>
      </x:c>
      <x:c r="G13" s="18" t="s"/>
      <x:c r="H13" s="22" t="s">
        <x:v>68</x:v>
      </x:c>
      <x:c r="I13" s="23" t="str">
        <x:f>=V13</x:f>
      </x:c>
      <x:c r="J13" s="23" t="n">
        <x:v>0</x:v>
      </x:c>
      <x:c r="K13" s="23" t="n">
        <x:v>0</x:v>
      </x:c>
      <x:c r="L13" s="23" t="n">
        <x:v>1</x:v>
      </x:c>
      <x:c r="M13" s="23" t="str">
        <x:f>=U13</x:f>
      </x:c>
      <x:c r="N13" s="23" t="str">
        <x:f>=AD13</x:f>
      </x:c>
      <x:c r="O13" s="23" t="str"/>
      <x:c r="P13" s="23" t="str">
        <x:v>SS 2021 MSS</x:v>
      </x:c>
      <x:c r="Q13" s="24" t="str"/>
      <x:c r="R13" s="29" t="n">
        <x:v>0</x:v>
      </x:c>
      <x:c r="S13" s="29" t="n">
        <x:v>-4191.6540</x:v>
      </x:c>
      <x:c r="T13" s="29" t="str">
        <x:f>=R13+S13</x:f>
      </x:c>
      <x:c r="U13" s="43" t="str">
        <x:f>=T13/R13</x:f>
      </x:c>
      <x:c r="V13" s="43" t="n">
        <x:v>0</x:v>
      </x:c>
      <x:c r="W13" s="29" t="n">
        <x:v>3564.60</x:v>
      </x:c>
      <x:c r="X13" s="47" t="n">
        <x:v>638</x:v>
      </x:c>
      <x:c r="Y13" s="29" t="n">
        <x:v>3564.6000000000000000000000000</x:v>
      </x:c>
      <x:c r="AA13" s="29" t="n">
        <x:v>1752.0871412314740000000000000</x:v>
      </x:c>
      <x:c r="AB13" s="29" t="n">
        <x:v>-4191.6540</x:v>
      </x:c>
      <x:c r="AC13" s="29" t="str">
        <x:f>=AA13+AB13</x:f>
      </x:c>
      <x:c r="AD13" s="43" t="str">
        <x:f>=AC13/AA13</x:f>
      </x:c>
      <x:c r="AF13" s="43" t="str">
        <x:f>=AG13+AH13</x:f>
      </x:c>
      <x:c r="AG13" s="43" t="str">
        <x:f>=J13+(0.03*0)</x:f>
      </x:c>
      <x:c r="AH13" s="43" t="str">
        <x:f>=IF((1-AG13)*0.5&gt;K13,(1-AG13)*0.5,K13)</x:f>
      </x:c>
      <x:c r="AI13" s="43" t="str">
        <x:f>=1-AF13</x:f>
      </x:c>
      <x:c r="AK13" s="43" t="str">
        <x:f>=AH13/(1-AG13)</x:f>
      </x:c>
      <x:c r="AM13" t="str">
        <x:v>Too soon to tell</x:v>
      </x:c>
      <x:c r="AN13" t="str">
        <x:v>Wrong D-code</x:v>
      </x:c>
    </x:row>
    <x:row r="14">
      <x:c r="G14" s="18" t="s"/>
      <x:c r="H14" s="22" t="s"/>
      <x:c r="Q14" s="24" t="s"/>
    </x:row>
    <x:row r="15">
      <x:c r="A15" s="7" t="s">
        <x:v>77</x:v>
      </x:c>
      <x:c r="G15" s="18" t="s"/>
      <x:c r="H15" s="22" t="s"/>
      <x:c r="Q15" s="24" t="s"/>
    </x:row>
    <x:row r="16">
      <x:c r="A16" s="28" t="s">
        <x:v>63</x:v>
      </x:c>
      <x:c r="G16" s="18" t="s"/>
      <x:c r="H16" s="22" t="s"/>
      <x:c r="Q16" s="24" t="s"/>
    </x:row>
    <x:row r="17">
      <x:c r="A17" s="16" t="s">
        <x:v>78</x:v>
      </x:c>
      <x:c r="B17" s="53" t="s"/>
      <x:c r="C17" s="53" t="s">
        <x:v>79</x:v>
      </x:c>
      <x:c r="D17" s="53" t="s">
        <x:v>66</x:v>
      </x:c>
      <x:c r="E17" s="51" t="s">
        <x:v>80</x:v>
      </x:c>
      <x:c r="F17" s="59" t="n">
        <x:v>2061</x:v>
      </x:c>
      <x:c r="G17" s="18" t="s"/>
      <x:c r="H17" s="22" t="s">
        <x:v>68</x:v>
      </x:c>
      <x:c r="I17" s="23" t="str">
        <x:f>=V17</x:f>
      </x:c>
      <x:c r="J17" s="23" t="n">
        <x:v>0</x:v>
      </x:c>
      <x:c r="K17" s="23" t="n">
        <x:v>0</x:v>
      </x:c>
      <x:c r="L17" s="23" t="n">
        <x:v>1</x:v>
      </x:c>
      <x:c r="M17" s="23" t="str">
        <x:f>=U17</x:f>
      </x:c>
      <x:c r="N17" s="23" t="str">
        <x:f>=AD17</x:f>
      </x:c>
      <x:c r="O17" s="23" t="str"/>
      <x:c r="P17" s="23" t="str">
        <x:v>AW 2021 MSS</x:v>
      </x:c>
      <x:c r="Q17" s="24" t="str"/>
      <x:c r="R17" s="29" t="n">
        <x:v>0</x:v>
      </x:c>
      <x:c r="S17" s="29" t="n">
        <x:v>-17505.72179612</x:v>
      </x:c>
      <x:c r="T17" s="29" t="str">
        <x:f>=R17+S17</x:f>
      </x:c>
      <x:c r="U17" s="43" t="str">
        <x:f>=T17/R17</x:f>
      </x:c>
      <x:c r="V17" s="43" t="n">
        <x:v>0</x:v>
      </x:c>
      <x:c r="W17" s="29" t="n">
        <x:v>17600.939996</x:v>
      </x:c>
      <x:c r="X17" s="47" t="n">
        <x:v>2061</x:v>
      </x:c>
      <x:c r="Y17" s="29" t="n">
        <x:v>17600.939995999999999999999999</x:v>
      </x:c>
      <x:c r="AA17" s="29" t="n">
        <x:v>20235.328261592049000000000</x:v>
      </x:c>
      <x:c r="AB17" s="29" t="n">
        <x:v>-17505.72179612</x:v>
      </x:c>
      <x:c r="AC17" s="29" t="str">
        <x:f>=AA17+AB17</x:f>
      </x:c>
      <x:c r="AD17" s="43" t="str">
        <x:f>=AC17/AA17</x:f>
      </x:c>
      <x:c r="AF17" s="43" t="str">
        <x:f>=AG17+AH17</x:f>
      </x:c>
      <x:c r="AG17" s="43" t="str">
        <x:f>=J17+(0.03*16)</x:f>
      </x:c>
      <x:c r="AH17" s="43" t="str">
        <x:f>=IF((1-AG17)*0.5&gt;K17,(1-AG17)*0.5,K17)</x:f>
      </x:c>
      <x:c r="AI17" s="43" t="str">
        <x:f>=1-AF17</x:f>
      </x:c>
      <x:c r="AK17" s="43" t="str">
        <x:f>=AH17/(1-AG17)</x:f>
      </x:c>
      <x:c r="AM17" t="str">
        <x:v>Too soon to tell</x:v>
      </x:c>
      <x:c r="AN17" t="str"/>
    </x:row>
    <x:row r="18">
      <x:c r="A18" s="16" t="s">
        <x:v>81</x:v>
      </x:c>
      <x:c r="B18" s="53" t="s"/>
      <x:c r="C18" s="53" t="s">
        <x:v>82</x:v>
      </x:c>
      <x:c r="D18" s="53" t="s">
        <x:v>66</x:v>
      </x:c>
      <x:c r="E18" s="51" t="s">
        <x:v>80</x:v>
      </x:c>
      <x:c r="F18" s="59" t="n">
        <x:v>2030</x:v>
      </x:c>
      <x:c r="G18" s="18" t="s"/>
      <x:c r="H18" s="22" t="s">
        <x:v>68</x:v>
      </x:c>
      <x:c r="I18" s="23" t="str">
        <x:f>=V18</x:f>
      </x:c>
      <x:c r="J18" s="23" t="n">
        <x:v>0</x:v>
      </x:c>
      <x:c r="K18" s="23" t="n">
        <x:v>0</x:v>
      </x:c>
      <x:c r="L18" s="23" t="n">
        <x:v>1</x:v>
      </x:c>
      <x:c r="M18" s="23" t="str">
        <x:f>=U18</x:f>
      </x:c>
      <x:c r="N18" s="23" t="str">
        <x:f>=AD18</x:f>
      </x:c>
      <x:c r="O18" s="23" t="str"/>
      <x:c r="P18" s="23" t="str">
        <x:v>AW 2021 MSS</x:v>
      </x:c>
      <x:c r="Q18" s="24" t="str"/>
      <x:c r="R18" s="29" t="n">
        <x:v>0</x:v>
      </x:c>
      <x:c r="S18" s="29" t="n">
        <x:v>-16241.21799709</x:v>
      </x:c>
      <x:c r="T18" s="29" t="str">
        <x:f>=R18+S18</x:f>
      </x:c>
      <x:c r="U18" s="43" t="str">
        <x:f>=T18/R18</x:f>
      </x:c>
      <x:c r="V18" s="43" t="n">
        <x:v>0</x:v>
      </x:c>
      <x:c r="W18" s="29" t="n">
        <x:v>16199.399997</x:v>
      </x:c>
      <x:c r="X18" s="47" t="n">
        <x:v>2030</x:v>
      </x:c>
      <x:c r="Y18" s="29" t="n">
        <x:v>16199.399997000000000000000000</x:v>
      </x:c>
      <x:c r="AA18" s="29" t="n">
        <x:v>18602.232870595052000000000000</x:v>
      </x:c>
      <x:c r="AB18" s="29" t="n">
        <x:v>-16241.21799709</x:v>
      </x:c>
      <x:c r="AC18" s="29" t="str">
        <x:f>=AA18+AB18</x:f>
      </x:c>
      <x:c r="AD18" s="43" t="str">
        <x:f>=AC18/AA18</x:f>
      </x:c>
      <x:c r="AF18" s="43" t="str">
        <x:f>=AG18+AH18</x:f>
      </x:c>
      <x:c r="AG18" s="43" t="str">
        <x:f>=J18+(0.03*16)</x:f>
      </x:c>
      <x:c r="AH18" s="43" t="str">
        <x:f>=IF((1-AG18)*0.5&gt;K18,(1-AG18)*0.5,K18)</x:f>
      </x:c>
      <x:c r="AI18" s="43" t="str">
        <x:f>=1-AF18</x:f>
      </x:c>
      <x:c r="AK18" s="43" t="str">
        <x:f>=AH18/(1-AG18)</x:f>
      </x:c>
      <x:c r="AM18" t="str">
        <x:v>Too soon to tell</x:v>
      </x:c>
      <x:c r="AN18" t="str">
        <x:v>Checked D-code correct</x:v>
      </x:c>
    </x:row>
    <x:row r="19">
      <x:c r="A19" s="16" t="s">
        <x:v>83</x:v>
      </x:c>
      <x:c r="B19" s="53" t="s"/>
      <x:c r="C19" s="53" t="s">
        <x:v>84</x:v>
      </x:c>
      <x:c r="D19" s="53" t="s">
        <x:v>66</x:v>
      </x:c>
      <x:c r="E19" s="51" t="s">
        <x:v>80</x:v>
      </x:c>
      <x:c r="F19" s="59" t="n">
        <x:v>2061</x:v>
      </x:c>
      <x:c r="G19" s="18" t="s"/>
      <x:c r="H19" s="22" t="s">
        <x:v>68</x:v>
      </x:c>
      <x:c r="I19" s="23" t="str">
        <x:f>=V19</x:f>
      </x:c>
      <x:c r="J19" s="23" t="n">
        <x:v>0</x:v>
      </x:c>
      <x:c r="K19" s="23" t="n">
        <x:v>0</x:v>
      </x:c>
      <x:c r="L19" s="23" t="n">
        <x:v>1</x:v>
      </x:c>
      <x:c r="M19" s="23" t="str">
        <x:f>=U19</x:f>
      </x:c>
      <x:c r="N19" s="23" t="str">
        <x:f>=AD19</x:f>
      </x:c>
      <x:c r="O19" s="23" t="str"/>
      <x:c r="P19" s="23" t="str">
        <x:v>AW 2021 MSS</x:v>
      </x:c>
      <x:c r="Q19" s="24" t="str"/>
      <x:c r="R19" s="29" t="n">
        <x:v>0</x:v>
      </x:c>
      <x:c r="S19" s="29" t="n">
        <x:v>-17608.77179612</x:v>
      </x:c>
      <x:c r="T19" s="29" t="str">
        <x:f>=R19+S19</x:f>
      </x:c>
      <x:c r="U19" s="43" t="str">
        <x:f>=T19/R19</x:f>
      </x:c>
      <x:c r="V19" s="43" t="n">
        <x:v>0</x:v>
      </x:c>
      <x:c r="W19" s="29" t="n">
        <x:v>17600.939996</x:v>
      </x:c>
      <x:c r="X19" s="47" t="n">
        <x:v>2061</x:v>
      </x:c>
      <x:c r="Y19" s="29" t="n">
        <x:v>17600.939995999999999999999999</x:v>
      </x:c>
      <x:c r="AA19" s="29" t="n">
        <x:v>20235.328261592049000000000</x:v>
      </x:c>
      <x:c r="AB19" s="29" t="n">
        <x:v>-17608.77179612</x:v>
      </x:c>
      <x:c r="AC19" s="29" t="str">
        <x:f>=AA19+AB19</x:f>
      </x:c>
      <x:c r="AD19" s="43" t="str">
        <x:f>=AC19/AA19</x:f>
      </x:c>
      <x:c r="AF19" s="43" t="str">
        <x:f>=AG19+AH19</x:f>
      </x:c>
      <x:c r="AG19" s="43" t="str">
        <x:f>=J19+(0.03*16)</x:f>
      </x:c>
      <x:c r="AH19" s="43" t="str">
        <x:f>=IF((1-AG19)*0.5&gt;K19,(1-AG19)*0.5,K19)</x:f>
      </x:c>
      <x:c r="AI19" s="43" t="str">
        <x:f>=1-AF19</x:f>
      </x:c>
      <x:c r="AK19" s="43" t="str">
        <x:f>=AH19/(1-AG19)</x:f>
      </x:c>
      <x:c r="AM19" t="str">
        <x:v>Too soon to tell</x:v>
      </x:c>
      <x:c r="AN19" t="str">
        <x:v>Checked D-code correct</x:v>
      </x:c>
    </x:row>
    <x:row r="20">
      <x:c r="G20" s="18" t="s"/>
      <x:c r="H20" s="22" t="s"/>
      <x:c r="Q20" s="24" t="s"/>
    </x:row>
    <x:row r="21">
      <x:c r="A21" s="7" t="s">
        <x:v>85</x:v>
      </x:c>
      <x:c r="G21" s="18" t="s"/>
      <x:c r="H21" s="22" t="s"/>
      <x:c r="Q21" s="24" t="s"/>
    </x:row>
    <x:row r="22">
      <x:c r="A22" s="28" t="s">
        <x:v>63</x:v>
      </x:c>
      <x:c r="G22" s="18" t="s"/>
      <x:c r="H22" s="22" t="s"/>
      <x:c r="Q22" s="24" t="s"/>
    </x:row>
    <x:row r="23">
      <x:c r="A23" s="16" t="s">
        <x:v>86</x:v>
      </x:c>
      <x:c r="B23" s="53" t="s"/>
      <x:c r="C23" s="53" t="s">
        <x:v>87</x:v>
      </x:c>
      <x:c r="D23" s="53" t="s">
        <x:v>66</x:v>
      </x:c>
      <x:c r="E23" s="50" t="s">
        <x:v>88</x:v>
      </x:c>
      <x:c r="F23" s="59" t="n">
        <x:v>2904</x:v>
      </x:c>
      <x:c r="G23" s="18" t="s"/>
      <x:c r="H23" s="22" t="s">
        <x:v>68</x:v>
      </x:c>
      <x:c r="I23" s="23" t="str">
        <x:f>=V23</x:f>
      </x:c>
      <x:c r="J23" s="23" t="n">
        <x:v>0</x:v>
      </x:c>
      <x:c r="K23" s="23" t="n">
        <x:v>0</x:v>
      </x:c>
      <x:c r="L23" s="23" t="n">
        <x:v>1</x:v>
      </x:c>
      <x:c r="M23" s="23" t="str">
        <x:f>=U23</x:f>
      </x:c>
      <x:c r="N23" s="23" t="str">
        <x:f>=AD23</x:f>
      </x:c>
      <x:c r="O23" s="23" t="str"/>
      <x:c r="P23" s="23" t="str">
        <x:v>AW 2021 MSS</x:v>
      </x:c>
      <x:c r="Q23" s="24" t="str"/>
      <x:c r="R23" s="29" t="n">
        <x:v>0</x:v>
      </x:c>
      <x:c r="S23" s="29" t="n">
        <x:v>-14878.3536</x:v>
      </x:c>
      <x:c r="T23" s="29" t="str">
        <x:f>=R23+S23</x:f>
      </x:c>
      <x:c r="U23" s="43" t="str">
        <x:f>=T23/R23</x:f>
      </x:c>
      <x:c r="V23" s="43" t="n">
        <x:v>0</x:v>
      </x:c>
      <x:c r="W23" s="29" t="n">
        <x:v>12371.04</x:v>
      </x:c>
      <x:c r="X23" s="47" t="n">
        <x:v>2904</x:v>
      </x:c>
      <x:c r="Y23" s="29" t="n">
        <x:v>12371.04</x:v>
      </x:c>
      <x:c r="AA23" s="29" t="n">
        <x:v>22146.173986037244000000000</x:v>
      </x:c>
      <x:c r="AB23" s="29" t="n">
        <x:v>-14878.3536</x:v>
      </x:c>
      <x:c r="AC23" s="29" t="str">
        <x:f>=AA23+AB23</x:f>
      </x:c>
      <x:c r="AD23" s="43" t="str">
        <x:f>=AC23/AA23</x:f>
      </x:c>
      <x:c r="AF23" s="43" t="str">
        <x:f>=AG23+AH23</x:f>
      </x:c>
      <x:c r="AG23" s="43" t="str">
        <x:f>=J23+(0.03*21)</x:f>
      </x:c>
      <x:c r="AH23" s="43" t="str">
        <x:f>=IF((1-AG23)*0.5&gt;K23,(1-AG23)*0.5,K23)</x:f>
      </x:c>
      <x:c r="AI23" s="43" t="str">
        <x:f>=1-AF23</x:f>
      </x:c>
      <x:c r="AK23" s="43" t="str">
        <x:f>=AH23/(1-AG23)</x:f>
      </x:c>
      <x:c r="AM23" t="str">
        <x:v>Too soon to tell</x:v>
      </x:c>
      <x:c r="AN23" t="str">
        <x:v>Checked D-code correct</x:v>
      </x:c>
    </x:row>
    <x:row r="24">
      <x:c r="A24" s="16" t="s">
        <x:v>89</x:v>
      </x:c>
      <x:c r="B24" s="53" t="s"/>
      <x:c r="C24" s="53" t="s">
        <x:v>90</x:v>
      </x:c>
      <x:c r="D24" s="53" t="s">
        <x:v>66</x:v>
      </x:c>
      <x:c r="E24" s="50" t="s">
        <x:v>88</x:v>
      </x:c>
      <x:c r="F24" s="59" t="n">
        <x:v>2876</x:v>
      </x:c>
      <x:c r="G24" s="18" t="s"/>
      <x:c r="H24" s="22" t="s">
        <x:v>68</x:v>
      </x:c>
      <x:c r="I24" s="23" t="str">
        <x:f>=V24</x:f>
      </x:c>
      <x:c r="J24" s="23" t="n">
        <x:v>0</x:v>
      </x:c>
      <x:c r="K24" s="23" t="n">
        <x:v>0</x:v>
      </x:c>
      <x:c r="L24" s="23" t="n">
        <x:v>1</x:v>
      </x:c>
      <x:c r="M24" s="23" t="str">
        <x:f>=U24</x:f>
      </x:c>
      <x:c r="N24" s="23" t="str">
        <x:f>=AD24</x:f>
      </x:c>
      <x:c r="O24" s="23" t="str"/>
      <x:c r="P24" s="23" t="str">
        <x:v>AW 2021 MSS</x:v>
      </x:c>
      <x:c r="Q24" s="24" t="str"/>
      <x:c r="R24" s="29" t="n">
        <x:v>0</x:v>
      </x:c>
      <x:c r="S24" s="29" t="n">
        <x:v>-13709.60290822455200000000</x:v>
      </x:c>
      <x:c r="T24" s="29" t="str">
        <x:f>=R24+S24</x:f>
      </x:c>
      <x:c r="U24" s="43" t="str">
        <x:f>=T24/R24</x:f>
      </x:c>
      <x:c r="V24" s="43" t="n">
        <x:v>0</x:v>
      </x:c>
      <x:c r="W24" s="29" t="n">
        <x:v>12251.76</x:v>
      </x:c>
      <x:c r="X24" s="47" t="n">
        <x:v>2876</x:v>
      </x:c>
      <x:c r="Y24" s="29" t="n">
        <x:v>12251.76</x:v>
      </x:c>
      <x:c r="AA24" s="29" t="n">
        <x:v>21932.643382866086000000000000</x:v>
      </x:c>
      <x:c r="AB24" s="29" t="n">
        <x:v>-13709.60290822455200000000</x:v>
      </x:c>
      <x:c r="AC24" s="29" t="str">
        <x:f>=AA24+AB24</x:f>
      </x:c>
      <x:c r="AD24" s="43" t="str">
        <x:f>=AC24/AA24</x:f>
      </x:c>
      <x:c r="AF24" s="43" t="str">
        <x:f>=AG24+AH24</x:f>
      </x:c>
      <x:c r="AG24" s="43" t="str">
        <x:f>=J24+(0.03*21)</x:f>
      </x:c>
      <x:c r="AH24" s="43" t="str">
        <x:f>=IF((1-AG24)*0.5&gt;K24,(1-AG24)*0.5,K24)</x:f>
      </x:c>
      <x:c r="AI24" s="43" t="str">
        <x:f>=1-AF24</x:f>
      </x:c>
      <x:c r="AK24" s="43" t="str">
        <x:f>=AH24/(1-AG24)</x:f>
      </x:c>
      <x:c r="AM24" t="str">
        <x:v>Too soon to tell</x:v>
      </x:c>
      <x:c r="AN24" t="str"/>
    </x:row>
    <x:row r="25">
      <x:c r="A25" s="19" t="s"/>
      <x:c r="B25" s="20" t="s"/>
      <x:c r="C25" s="20" t="s"/>
      <x:c r="D25" s="20" t="s"/>
      <x:c r="E25" s="20" t="s"/>
      <x:c r="F25" s="20" t="s"/>
      <x:c r="G25" s="21" t="s"/>
      <x:c r="H25" s="25" t="s">
        <x:v>36</x:v>
      </x:c>
      <x:c r="I25" s="26" t="s"/>
      <x:c r="J25" s="26" t="s"/>
      <x:c r="K25" s="26" t="s"/>
      <x:c r="L25" s="26" t="s"/>
      <x:c r="M25" s="45" t="s">
        <x:f>=T26/R26</x:f>
      </x:c>
      <x:c r="N25" s="45">
        <x:f>=AD26</x:f>
      </x:c>
      <x:c r="O25" s="26" t="s"/>
      <x:c r="P25" s="26" t="s"/>
      <x:c r="Q25" s="27" t="s"/>
      <x:c r="R25" s="35" t="n">
        <x:v>0</x:v>
      </x:c>
      <x:c r="S25" s="35" t="n">
        <x:v>-121633.57956956455200000000</x:v>
      </x:c>
      <x:c r="T25" s="35" t="str">
        <x:f>=R25+S25</x:f>
      </x:c>
      <x:c r="U25" s="36" t="n">
        <x:v>0</x:v>
      </x:c>
      <x:c r="W25" s="35" t="n">
        <x:v>-113367.429962</x:v>
      </x:c>
      <x:c r="X25" s="35" t="n">
        <x:v>18727</x:v>
      </x:c>
      <x:c r="Y25" s="35" t="n">
        <x:v>113367.42996200000000000000000</x:v>
      </x:c>
      <x:c r="AA25" s="35" t="n">
        <x:v>142095.39840912126772000000000</x:v>
      </x:c>
      <x:c r="AB25" s="35" t="n">
        <x:v>-121633.57956956455200000000</x:v>
      </x:c>
      <x:c r="AC25" s="35" t="str">
        <x:f>=AA25+AB25</x:f>
      </x:c>
      <x:c r="AD25" s="36" t="n">
        <x:v>0.1440005733376602288252123096</x:v>
      </x:c>
    </x:row>
    <x:row r="26">
      <x:c r="R26" s="33" t="n">
        <x:v>0</x:v>
      </x:c>
      <x:c r="S26" s="33" t="n">
        <x:v>-121633.57956956455200000000</x:v>
      </x:c>
      <x:c r="T26" s="33" t="str">
        <x:f>=R26+S26</x:f>
      </x:c>
      <x:c r="U26" s="34" t="n">
        <x:v>0</x:v>
      </x:c>
      <x:c r="W26" s="33" t="n">
        <x:v>-113367.429962</x:v>
      </x:c>
      <x:c r="X26" s="33" t="n">
        <x:v>18727</x:v>
      </x:c>
      <x:c r="Y26" s="33" t="n">
        <x:v>113367.42996200000000000000000</x:v>
      </x:c>
      <x:c r="AA26" s="33" t="n">
        <x:v>142095.39840912126772000000000</x:v>
      </x:c>
      <x:c r="AB26" s="33" t="n">
        <x:v>-121633.57956956455200000000</x:v>
      </x:c>
      <x:c r="AC26" s="33" t="str">
        <x:f>=AA26+AB26</x:f>
      </x:c>
      <x:c r="AD26" s="34" t="n">
        <x:v>0.1440005733376602288252123096</x:v>
      </x:c>
    </x:row>
    <x:row r="27">
      <x:c r="A27" s="81"/>
      <x:c r="B27" s="82"/>
      <x:c r="C27" s="82"/>
      <x:c r="D27" s="82"/>
      <x:c r="E27" s="82"/>
      <x:c r="F27" s="83"/>
      <x:c r="G27" s="82"/>
      <x:c r="H27" s="82"/>
      <x:c r="I27" s="82"/>
      <x:c r="J27" s="82"/>
      <x:c r="K27" s="82"/>
      <x:c r="L27" s="82"/>
      <x:c r="M27" s="82"/>
      <x:c r="N27" s="82"/>
      <x:c r="O27" s="82"/>
      <x:c r="P27" s="82"/>
      <x:c r="Q27" s="82"/>
      <x:c r="R27" s="82"/>
      <x:c r="S27" s="82"/>
      <x:c r="T27" s="82"/>
      <x:c r="U27" s="82"/>
      <x:c r="V27" s="82"/>
      <x:c r="W27" s="82"/>
      <x:c r="X27" s="82"/>
      <x:c r="Y27" s="82"/>
      <x:c r="Z27" s="82"/>
      <x:c r="AA27" s="82"/>
      <x:c r="AB27" s="82"/>
      <x:c r="AC27" s="82"/>
      <x:c r="AD27" s="82"/>
      <x:c r="AE27" s="84"/>
      <x:c r="AF27" s="84"/>
      <x:c r="AG27" s="84"/>
      <x:c r="AH27" s="84"/>
      <x:c r="AI27" s="85"/>
    </x:row>
    <x:row r="28">
      <x:c r="A28" s="86"/>
      <x:c r="B28" s="87"/>
      <x:c r="C28" s="87"/>
      <x:c r="D28" s="87"/>
      <x:c r="E28" s="88" t="s">
        <x:v>29</x:v>
      </x:c>
      <x:c r="F28" s="87"/>
      <x:c r="G28" s="87"/>
      <x:c r="H28" s="87"/>
      <x:c r="I28" s="87"/>
      <x:c r="J28" s="87"/>
      <x:c r="K28" s="87"/>
      <x:c r="L28" s="87"/>
      <x:c r="M28" s="87"/>
      <x:c r="N28" s="87"/>
      <x:c r="O28" s="87"/>
      <x:c r="P28" s="89" t="s">
        <x:v>30</x:v>
      </x:c>
      <x:c r="Q28" s="87"/>
      <x:c r="R28" s="87"/>
      <x:c r="S28" s="87"/>
      <x:c r="T28" s="87"/>
      <x:c r="U28" s="87"/>
      <x:c r="V28" s="87"/>
      <x:c r="W28" s="89" t="s">
        <x:v>31</x:v>
      </x:c>
      <x:c r="X28" s="89"/>
      <x:c r="Y28" s="89"/>
      <x:c r="Z28" s="87"/>
      <x:c r="AA28" s="87"/>
      <x:c r="AB28" s="87"/>
      <x:c r="AC28" s="87"/>
      <x:c r="AD28" s="89" t="s">
        <x:v>32</x:v>
      </x:c>
      <x:c r="AE28" s="89"/>
      <x:c r="AF28" s="89"/>
      <x:c r="AG28" s="87"/>
      <x:c r="AH28" s="90"/>
      <x:c r="AI28" s="91"/>
    </x:row>
    <x:row r="29">
      <x:c r="A29" s="86"/>
      <x:c r="B29" s="87"/>
      <x:c r="C29" s="87"/>
      <x:c r="D29" s="87"/>
      <x:c r="E29" s="92" t="s">
        <x:v>33</x:v>
      </x:c>
      <x:c r="F29" s="87" t="s">
        <x:v>19</x:v>
      </x:c>
      <x:c r="G29" s="87" t="s">
        <x:v>20</x:v>
      </x:c>
      <x:c r="H29" s="87" t="s">
        <x:v>21</x:v>
      </x:c>
      <x:c r="I29" s="87" t="s">
        <x:v>15</x:v>
      </x:c>
      <x:c r="J29" s="87"/>
      <x:c r="K29" s="93" t="s">
        <x:v>16</x:v>
      </x:c>
      <x:c r="L29" s="93"/>
      <x:c r="M29" s="93" t="s">
        <x:v>34</x:v>
      </x:c>
      <x:c r="N29" s="93" t="s">
        <x:v>35</x:v>
      </x:c>
      <x:c r="O29" s="87"/>
      <x:c r="P29" s="87" t="s">
        <x:v>19</x:v>
      </x:c>
      <x:c r="Q29" s="87" t="s">
        <x:v>20</x:v>
      </x:c>
      <x:c r="R29" s="87" t="s">
        <x:v>21</x:v>
      </x:c>
      <x:c r="S29" s="87" t="s">
        <x:v>15</x:v>
      </x:c>
      <x:c r="T29" s="87"/>
      <x:c r="U29" s="87"/>
      <x:c r="V29" s="87"/>
      <x:c r="W29" s="90" t="s">
        <x:v>36</x:v>
      </x:c>
      <x:c r="X29" s="90" t="s">
        <x:v>37</x:v>
      </x:c>
      <x:c r="Y29" s="90" t="s">
        <x:v>38</x:v>
      </x:c>
      <x:c r="Z29" s="90" t="s">
        <x:v>39</x:v>
      </x:c>
      <x:c r="AA29" s="87"/>
      <x:c r="AB29" s="87" t="s">
        <x:v>40</x:v>
      </x:c>
      <x:c r="AC29" s="87"/>
      <x:c r="AD29" s="90" t="s">
        <x:v>36</x:v>
      </x:c>
      <x:c r="AE29" s="90" t="s">
        <x:v>37</x:v>
      </x:c>
      <x:c r="AF29" s="90" t="s">
        <x:v>38</x:v>
      </x:c>
      <x:c r="AG29" s="90" t="s">
        <x:v>39</x:v>
      </x:c>
      <x:c r="AH29" s="90"/>
      <x:c r="AI29" s="91"/>
    </x:row>
    <x:row r="30">
      <x:c r="A30" s="16" t="s"/>
      <x:c r="AI30" s="18" t="s"/>
    </x:row>
    <x:row r="31">
      <x:c r="A31" s="28" t="s">
        <x:v>91</x:v>
      </x:c>
      <x:c r="AI31" s="18" t="s"/>
    </x:row>
    <x:row r="32">
      <x:c r="A32" s="16"/>
      <x:c r="B32"/>
      <x:c r="C32" s="52" t="s">
        <x:v>67</x:v>
      </x:c>
      <x:c r="D32"/>
      <x:c r="E32" s="47" t="str">
        <x:f>=COUNTIF($E$4:$E$24,C32)</x:f>
      </x:c>
      <x:c r="F32" s="40" t="str">
        <x:f>=SUMIF($E$4:$E$24,C32,$R$4:$R$24)/1000</x:f>
      </x:c>
      <x:c r="G32" s="40" t="str">
        <x:f>=SUMIF($E$4:$E$24,C32,$S$4:$S$24)/1000</x:f>
      </x:c>
      <x:c r="H32" s="40" t="str">
        <x:f>=F32+G32</x:f>
      </x:c>
      <x:c r="I32" s="54" t="str">
        <x:f>=IFERROR(H32/F32,0)</x:f>
      </x:c>
      <x:c r="K32" s="40" t="str">
        <x:f>=SUMIF($E$4:$E$24,C32,$W$4:$W$24)/1000</x:f>
      </x:c>
      <x:c r="M32" s="57" t="str">
        <x:f>=SUMIF($E$4:$E$24,C32,$X$4:$X$24)/1000</x:f>
      </x:c>
      <x:c r="N32" s="57" t="str">
        <x:f>=SUMIF($E$4:$E$24,C32,$Y$4:$Y$24)/1000</x:f>
      </x:c>
      <x:c r="P32" s="40" t="str">
        <x:f>=SUMIF($E$4:$E$24,C32,$AA$4:$AA$24)/1000</x:f>
      </x:c>
      <x:c r="Q32" s="40" t="str">
        <x:f>=SUMIF($E$4:$E$24,C32,$AB$4:$AB$24)/1000</x:f>
      </x:c>
      <x:c r="R32" s="40" t="str">
        <x:f>=P32+Q32</x:f>
      </x:c>
      <x:c r="S32" s="54" t="str">
        <x:f>=R32/P32</x:f>
      </x:c>
      <x:c r="W32" s="54" t="str">
        <x:f>=SUMIFS($I$4:$I$24,$E$4:$E$24,C32)/E32</x:f>
      </x:c>
      <x:c r="X32" s="54" t="str">
        <x:f>=SUMIFS($J$4:$J$24,$E$4:$E$24,C32)/E32</x:f>
      </x:c>
      <x:c r="Y32" s="54" t="str">
        <x:f>=SUMIFS($K$4:$K$24,$E$4:$E$24,C32)/E32</x:f>
      </x:c>
      <x:c r="Z32" s="54" t="str">
        <x:f>=IF(W32&gt;0,1-W32,0)</x:f>
      </x:c>
      <x:c r="AB32" s="54" t="str">
        <x:f>=Y32/(1-X32)</x:f>
      </x:c>
      <x:c r="AD32" s="54" t="str">
        <x:f>=SUMIFS($AF$4:$AF$24,$E$4:$E$24,C32)/E32</x:f>
      </x:c>
      <x:c r="AE32" s="54" t="str">
        <x:f>=SUMIFS($AG$4:$AG$24,$E$4:$E$24,C32)/E32</x:f>
      </x:c>
      <x:c r="AF32" s="54" t="str">
        <x:f>=SUMIFS($AH$4:$AH$24,$E$4:$E$24,C32)/E32</x:f>
      </x:c>
      <x:c r="AG32" s="54" t="str">
        <x:f>=IF(AD32&gt;0,1-AD32,0)</x:f>
      </x:c>
      <x:c r="AI32" s="18" t="s"/>
    </x:row>
    <x:row r="33">
      <x:c r="A33" s="16"/>
      <x:c r="B33"/>
      <x:c r="C33" s="51" t="s">
        <x:v>80</x:v>
      </x:c>
      <x:c r="D33"/>
      <x:c r="E33" s="47" t="str">
        <x:f>=COUNTIF($E$4:$E$24,C33)</x:f>
      </x:c>
      <x:c r="F33" s="40" t="str">
        <x:f>=SUMIF($E$4:$E$24,C33,$R$4:$R$24)/1000</x:f>
      </x:c>
      <x:c r="G33" s="40" t="str">
        <x:f>=SUMIF($E$4:$E$24,C33,$S$4:$S$24)/1000</x:f>
      </x:c>
      <x:c r="H33" s="40" t="str">
        <x:f>=F33+G33</x:f>
      </x:c>
      <x:c r="I33" s="54" t="str">
        <x:f>=IFERROR(H33/F33,0)</x:f>
      </x:c>
      <x:c r="K33" s="40" t="str">
        <x:f>=SUMIF($E$4:$E$24,C33,$W$4:$W$24)/1000</x:f>
      </x:c>
      <x:c r="M33" s="57" t="str">
        <x:f>=SUMIF($E$4:$E$24,C33,$X$4:$X$24)/1000</x:f>
      </x:c>
      <x:c r="N33" s="57" t="str">
        <x:f>=SUMIF($E$4:$E$24,C33,$Y$4:$Y$24)/1000</x:f>
      </x:c>
      <x:c r="P33" s="40" t="str">
        <x:f>=SUMIF($E$4:$E$24,C33,$AA$4:$AA$24)/1000</x:f>
      </x:c>
      <x:c r="Q33" s="40" t="str">
        <x:f>=SUMIF($E$4:$E$24,C33,$AB$4:$AB$24)/1000</x:f>
      </x:c>
      <x:c r="R33" s="40" t="str">
        <x:f>=P33+Q33</x:f>
      </x:c>
      <x:c r="S33" s="54" t="str">
        <x:f>=R33/P33</x:f>
      </x:c>
      <x:c r="W33" s="54" t="str">
        <x:f>=SUMIFS($I$4:$I$24,$E$4:$E$24,C33)/E33</x:f>
      </x:c>
      <x:c r="X33" s="54" t="str">
        <x:f>=SUMIFS($J$4:$J$24,$E$4:$E$24,C33)/E33</x:f>
      </x:c>
      <x:c r="Y33" s="54" t="str">
        <x:f>=SUMIFS($K$4:$K$24,$E$4:$E$24,C33)/E33</x:f>
      </x:c>
      <x:c r="Z33" s="54" t="str">
        <x:f>=IF(W33&gt;0,1-W33,0)</x:f>
      </x:c>
      <x:c r="AB33" s="54" t="str">
        <x:f>=Y33/(1-X33)</x:f>
      </x:c>
      <x:c r="AD33" s="54" t="str">
        <x:f>=SUMIFS($AF$4:$AF$24,$E$4:$E$24,C33)/E33</x:f>
      </x:c>
      <x:c r="AE33" s="54" t="str">
        <x:f>=SUMIFS($AG$4:$AG$24,$E$4:$E$24,C33)/E33</x:f>
      </x:c>
      <x:c r="AF33" s="54" t="str">
        <x:f>=SUMIFS($AH$4:$AH$24,$E$4:$E$24,C33)/E33</x:f>
      </x:c>
      <x:c r="AG33" s="54" t="str">
        <x:f>=IF(AD33&gt;0,1-AD33,0)</x:f>
      </x:c>
      <x:c r="AI33" s="18" t="s"/>
    </x:row>
    <x:row r="34">
      <x:c r="A34" s="16"/>
      <x:c r="B34"/>
      <x:c r="C34" s="50" t="s">
        <x:v>88</x:v>
      </x:c>
      <x:c r="D34"/>
      <x:c r="E34" s="47" t="str">
        <x:f>=COUNTIF($E$4:$E$24,C34)</x:f>
      </x:c>
      <x:c r="F34" s="40" t="str">
        <x:f>=SUMIF($E$4:$E$24,C34,$R$4:$R$24)/1000</x:f>
      </x:c>
      <x:c r="G34" s="40" t="str">
        <x:f>=SUMIF($E$4:$E$24,C34,$S$4:$S$24)/1000</x:f>
      </x:c>
      <x:c r="H34" s="40" t="str">
        <x:f>=F34+G34</x:f>
      </x:c>
      <x:c r="I34" s="54" t="str">
        <x:f>=IFERROR(H34/F34,0)</x:f>
      </x:c>
      <x:c r="K34" s="40" t="str">
        <x:f>=SUMIF($E$4:$E$24,C34,$W$4:$W$24)/1000</x:f>
      </x:c>
      <x:c r="M34" s="57" t="str">
        <x:f>=SUMIF($E$4:$E$24,C34,$X$4:$X$24)/1000</x:f>
      </x:c>
      <x:c r="N34" s="57" t="str">
        <x:f>=SUMIF($E$4:$E$24,C34,$Y$4:$Y$24)/1000</x:f>
      </x:c>
      <x:c r="P34" s="40" t="str">
        <x:f>=SUMIF($E$4:$E$24,C34,$AA$4:$AA$24)/1000</x:f>
      </x:c>
      <x:c r="Q34" s="40" t="str">
        <x:f>=SUMIF($E$4:$E$24,C34,$AB$4:$AB$24)/1000</x:f>
      </x:c>
      <x:c r="R34" s="40" t="str">
        <x:f>=P34+Q34</x:f>
      </x:c>
      <x:c r="S34" s="54" t="str">
        <x:f>=R34/P34</x:f>
      </x:c>
      <x:c r="W34" s="54" t="str">
        <x:f>=SUMIFS($I$4:$I$24,$E$4:$E$24,C34)/E34</x:f>
      </x:c>
      <x:c r="X34" s="54" t="str">
        <x:f>=SUMIFS($J$4:$J$24,$E$4:$E$24,C34)/E34</x:f>
      </x:c>
      <x:c r="Y34" s="54" t="str">
        <x:f>=SUMIFS($K$4:$K$24,$E$4:$E$24,C34)/E34</x:f>
      </x:c>
      <x:c r="Z34" s="54" t="str">
        <x:f>=IF(W34&gt;0,1-W34,0)</x:f>
      </x:c>
      <x:c r="AB34" s="54" t="str">
        <x:f>=Y34/(1-X34)</x:f>
      </x:c>
      <x:c r="AD34" s="54" t="str">
        <x:f>=SUMIFS($AF$4:$AF$24,$E$4:$E$24,C34)/E34</x:f>
      </x:c>
      <x:c r="AE34" s="54" t="str">
        <x:f>=SUMIFS($AG$4:$AG$24,$E$4:$E$24,C34)/E34</x:f>
      </x:c>
      <x:c r="AF34" s="54" t="str">
        <x:f>=SUMIFS($AH$4:$AH$24,$E$4:$E$24,C34)/E34</x:f>
      </x:c>
      <x:c r="AG34" s="54" t="str">
        <x:f>=IF(AD34&gt;0,1-AD34,0)</x:f>
      </x:c>
      <x:c r="AI34" s="18" t="s"/>
    </x:row>
    <x:row r="35">
      <x:c r="A35" s="16" t="s"/>
      <x:c r="B35"/>
      <x:c r="C35"/>
      <x:c r="D35"/>
      <x:c r="E35" s="48">
        <x:f>=SUM(E32:E34)</x:f>
      </x:c>
      <x:c r="F35" s="41">
        <x:f>=SUM(F32:F34)</x:f>
      </x:c>
      <x:c r="G35" s="41">
        <x:f>=SUM(G32:G34)</x:f>
      </x:c>
      <x:c r="H35" s="41">
        <x:f>=SUM(H32:H34)</x:f>
      </x:c>
      <x:c r="I35" s="55">
        <x:f>=IFERROR(H35/F35,0)</x:f>
      </x:c>
      <x:c r="K35" s="41">
        <x:f>=SUM(K32:K34)</x:f>
      </x:c>
      <x:c r="M35" s="58">
        <x:f>=SUM(M32:K34)</x:f>
      </x:c>
      <x:c r="N35" s="58">
        <x:f>=SUM(N32:K34)</x:f>
      </x:c>
      <x:c r="P35" s="41">
        <x:f>=SUM(P32:P34)</x:f>
      </x:c>
      <x:c r="Q35" s="41">
        <x:f>=SUM(Q32:Q34)</x:f>
      </x:c>
      <x:c r="R35" s="41">
        <x:f>=SUM(R32:R34)</x:f>
      </x:c>
      <x:c r="S35" s="55">
        <x:f>=R35/P35</x:f>
      </x:c>
      <x:c r="W35" s="55">
        <x:f>=SUM(I$4:I$24)/E35</x:f>
      </x:c>
      <x:c r="X35" s="55">
        <x:f>=SUM(J$4:J$24)/E35</x:f>
      </x:c>
      <x:c r="Y35" s="55">
        <x:f>=SUM(K$4:K$24)/E35</x:f>
      </x:c>
      <x:c r="Z35" s="55" t="str">
        <x:f>=IF(W35&gt;0,1-W35,0)</x:f>
      </x:c>
      <x:c r="AD35" s="55">
        <x:f>=SUM(AF$4:AF$24)/E35</x:f>
      </x:c>
      <x:c r="AE35" s="55">
        <x:f>=SUM(AG$4:AG$24)/E35</x:f>
      </x:c>
      <x:c r="AF35" s="55">
        <x:f>=SUM(AH$4:AH$24)/E35</x:f>
      </x:c>
      <x:c r="AG35" s="55" t="str">
        <x:f>=IF(AD35&gt;0,1-AD35,0)</x:f>
      </x:c>
      <x:c r="AI35" s="18" t="s"/>
    </x:row>
    <x:row r="36">
      <x:c r="A36" s="16" t="s"/>
      <x:c r="AI36" s="18" t="s"/>
    </x:row>
    <x:row r="37">
      <x:c r="A37" s="16" t="s"/>
      <x:c r="AI37" s="18" t="s"/>
    </x:row>
    <x:row r="38">
      <x:c r="A38" s="94"/>
      <x:c r="B38" s="95"/>
      <x:c r="C38" s="95"/>
      <x:c r="D38" s="95"/>
      <x:c r="E38" s="95"/>
      <x:c r="F38" s="96"/>
      <x:c r="G38" s="95"/>
      <x:c r="H38" s="95"/>
      <x:c r="I38" s="95"/>
      <x:c r="J38" s="95"/>
      <x:c r="K38" s="95"/>
      <x:c r="L38" s="95"/>
      <x:c r="M38" s="95"/>
      <x:c r="N38" s="95"/>
      <x:c r="O38" s="95"/>
      <x:c r="P38" s="95"/>
      <x:c r="Q38" s="95"/>
      <x:c r="R38" s="95"/>
      <x:c r="S38" s="95"/>
      <x:c r="T38" s="95"/>
      <x:c r="U38" s="95"/>
      <x:c r="V38" s="95"/>
      <x:c r="W38" s="95"/>
      <x:c r="X38" s="95"/>
      <x:c r="Y38" s="95"/>
      <x:c r="Z38" s="95"/>
      <x:c r="AA38" s="95"/>
      <x:c r="AB38" s="95"/>
      <x:c r="AC38" s="95"/>
      <x:c r="AD38" s="95"/>
      <x:c r="AE38" s="97"/>
      <x:c r="AF38" s="97"/>
      <x:c r="AG38" s="97"/>
      <x:c r="AH38" s="97"/>
      <x:c r="AI38" s="98"/>
    </x:row>
    <x:row r="40">
      <x:c r="A40" s="81"/>
      <x:c r="B40" s="82"/>
      <x:c r="C40" s="82"/>
      <x:c r="D40" s="82"/>
      <x:c r="E40" s="82"/>
      <x:c r="F40" s="83"/>
      <x:c r="G40" s="82"/>
      <x:c r="H40" s="82"/>
      <x:c r="I40" s="82"/>
      <x:c r="J40" s="82"/>
      <x:c r="K40" s="82"/>
      <x:c r="L40" s="82"/>
      <x:c r="M40" s="82"/>
      <x:c r="N40" s="82"/>
      <x:c r="O40" s="82"/>
      <x:c r="P40" s="82"/>
      <x:c r="Q40" s="82"/>
      <x:c r="R40" s="82"/>
      <x:c r="S40" s="82"/>
      <x:c r="T40" s="82"/>
      <x:c r="U40" s="82"/>
      <x:c r="V40" s="82"/>
      <x:c r="W40" s="82"/>
      <x:c r="X40" s="82"/>
      <x:c r="Y40" s="82"/>
      <x:c r="Z40" s="82"/>
      <x:c r="AA40" s="82"/>
      <x:c r="AB40" s="82"/>
      <x:c r="AC40" s="82"/>
      <x:c r="AD40" s="82"/>
      <x:c r="AE40" s="84"/>
      <x:c r="AF40" s="84"/>
      <x:c r="AG40" s="84"/>
      <x:c r="AH40" s="84"/>
      <x:c r="AI40" s="85"/>
    </x:row>
    <x:row r="41">
      <x:c r="A41" s="86"/>
      <x:c r="B41" s="87"/>
      <x:c r="C41" s="87"/>
      <x:c r="D41" s="87"/>
      <x:c r="E41" s="88" t="s">
        <x:v>29</x:v>
      </x:c>
      <x:c r="F41" s="87"/>
      <x:c r="G41" s="87"/>
      <x:c r="H41" s="87"/>
      <x:c r="I41" s="87"/>
      <x:c r="J41" s="87"/>
      <x:c r="K41" s="87"/>
      <x:c r="L41" s="87"/>
      <x:c r="M41" s="87"/>
      <x:c r="N41" s="87"/>
      <x:c r="O41" s="87"/>
      <x:c r="P41" s="89" t="s">
        <x:v>30</x:v>
      </x:c>
      <x:c r="Q41" s="87"/>
      <x:c r="R41" s="87"/>
      <x:c r="S41" s="87"/>
      <x:c r="T41" s="87"/>
      <x:c r="U41" s="87"/>
      <x:c r="V41" s="87"/>
      <x:c r="W41" s="89" t="s">
        <x:v>31</x:v>
      </x:c>
      <x:c r="X41" s="89"/>
      <x:c r="Y41" s="89"/>
      <x:c r="Z41" s="87"/>
      <x:c r="AA41" s="87"/>
      <x:c r="AB41" s="87"/>
      <x:c r="AC41" s="87"/>
      <x:c r="AD41" s="89" t="s">
        <x:v>32</x:v>
      </x:c>
      <x:c r="AE41" s="89"/>
      <x:c r="AF41" s="89"/>
      <x:c r="AG41" s="87"/>
      <x:c r="AH41" s="90"/>
      <x:c r="AI41" s="91"/>
    </x:row>
    <x:row r="42">
      <x:c r="A42" s="86"/>
      <x:c r="B42" s="87"/>
      <x:c r="C42" s="87"/>
      <x:c r="D42" s="87"/>
      <x:c r="E42" s="92" t="s">
        <x:v>33</x:v>
      </x:c>
      <x:c r="F42" s="87" t="s">
        <x:v>19</x:v>
      </x:c>
      <x:c r="G42" s="87" t="s">
        <x:v>20</x:v>
      </x:c>
      <x:c r="H42" s="87" t="s">
        <x:v>21</x:v>
      </x:c>
      <x:c r="I42" s="87" t="s">
        <x:v>15</x:v>
      </x:c>
      <x:c r="J42" s="87"/>
      <x:c r="K42" s="93" t="s">
        <x:v>16</x:v>
      </x:c>
      <x:c r="L42" s="93"/>
      <x:c r="M42" s="93" t="s">
        <x:v>34</x:v>
      </x:c>
      <x:c r="N42" s="93" t="s">
        <x:v>35</x:v>
      </x:c>
      <x:c r="O42" s="87"/>
      <x:c r="P42" s="87" t="s">
        <x:v>19</x:v>
      </x:c>
      <x:c r="Q42" s="87" t="s">
        <x:v>20</x:v>
      </x:c>
      <x:c r="R42" s="87" t="s">
        <x:v>21</x:v>
      </x:c>
      <x:c r="S42" s="87" t="s">
        <x:v>15</x:v>
      </x:c>
      <x:c r="T42" s="87"/>
      <x:c r="U42" s="87"/>
      <x:c r="V42" s="87"/>
      <x:c r="W42" s="90" t="s">
        <x:v>36</x:v>
      </x:c>
      <x:c r="X42" s="90" t="s">
        <x:v>37</x:v>
      </x:c>
      <x:c r="Y42" s="90" t="s">
        <x:v>38</x:v>
      </x:c>
      <x:c r="Z42" s="90" t="s">
        <x:v>39</x:v>
      </x:c>
      <x:c r="AA42" s="87"/>
      <x:c r="AB42" s="87" t="s">
        <x:v>40</x:v>
      </x:c>
      <x:c r="AC42" s="87"/>
      <x:c r="AD42" s="90" t="s">
        <x:v>36</x:v>
      </x:c>
      <x:c r="AE42" s="90" t="s">
        <x:v>37</x:v>
      </x:c>
      <x:c r="AF42" s="90" t="s">
        <x:v>38</x:v>
      </x:c>
      <x:c r="AG42" s="90" t="s">
        <x:v>39</x:v>
      </x:c>
      <x:c r="AH42" s="90"/>
      <x:c r="AI42" s="91"/>
    </x:row>
    <x:row r="43">
      <x:c r="A43" s="16" t="s"/>
      <x:c r="AI43" s="18" t="s"/>
    </x:row>
    <x:row r="44">
      <x:c r="A44" s="28" t="s">
        <x:v>62</x:v>
      </x:c>
      <x:c r="AI44" s="18" t="s"/>
    </x:row>
    <x:row r="45">
      <x:c r="A45" s="16"/>
      <x:c r="B45"/>
      <x:c r="C45" s="52" t="s">
        <x:v>91</x:v>
      </x:c>
      <x:c r="D45"/>
      <x:c r="E45" s="47" t="str">
        <x:f>=COUNTIF($E$4:$E$24,"CWR")</x:f>
      </x:c>
      <x:c r="F45" s="40" t="str">
        <x:f>=SUMIF($E$4:$E$24,"CWR",$R$4:$R$24)/1000</x:f>
      </x:c>
      <x:c r="G45" s="40" t="str">
        <x:f>=SUMIF($E$4:$E$24,"CWR",$S$4:$S$24)/1000</x:f>
      </x:c>
      <x:c r="H45" s="40" t="str">
        <x:f>=F45+G45</x:f>
      </x:c>
      <x:c r="I45" s="54" t="str">
        <x:f>=IFERROR(H45/F45,0)</x:f>
      </x:c>
      <x:c r="K45" s="40" t="str">
        <x:f>=SUMIF($E$4:$E$24,"CWR",$W$4:$W$24)/1000</x:f>
      </x:c>
      <x:c r="M45" s="57" t="str">
        <x:f>=SUMIF($E$4:$E$24,"CWR",$X$4:$X$24)/1000</x:f>
      </x:c>
      <x:c r="N45" s="57" t="str">
        <x:f>=SUMIF($E$4:$E$24,"CWR",$Y$4:$Y$24)/1000</x:f>
      </x:c>
      <x:c r="P45" s="40" t="str">
        <x:f>=SUMIF($E$4:$E$24,"CWR",$AA$4:$AA$24)/1000</x:f>
      </x:c>
      <x:c r="Q45" s="40" t="str">
        <x:f>=SUMIF($E$4:$E$24,"CWR",$AB$4:$AB$24)/1000</x:f>
      </x:c>
      <x:c r="R45" s="40" t="str">
        <x:f>=P45+Q45</x:f>
      </x:c>
      <x:c r="S45" s="54" t="str">
        <x:f>=R45/P45</x:f>
      </x:c>
      <x:c r="W45" s="54" t="str">
        <x:f>=SUMIFS($I$4:$I$24,$E$4:$E$24,"CWR")/E45</x:f>
      </x:c>
      <x:c r="X45" s="54" t="str">
        <x:f>=SUMIFS($J$4:$J$24,$E$4:$E$24,"CWR")/E45</x:f>
      </x:c>
      <x:c r="Y45" s="54" t="str">
        <x:f>=SUMIFS($K$4:$K$24,$E$4:$E$24,"CWR")/E45</x:f>
      </x:c>
      <x:c r="Z45" s="54" t="str">
        <x:f>=IF(W45&gt;0,1-W45,0)</x:f>
      </x:c>
      <x:c r="AB45" s="54" t="str">
        <x:f>=Y45/(1-X45)</x:f>
      </x:c>
      <x:c r="AD45" s="54" t="str">
        <x:f>=SUMIFS($AF$4:$AF$24,$E$4:$E$24,"CWR")/E45</x:f>
      </x:c>
      <x:c r="AE45" s="54" t="str">
        <x:f>=SUMIFS($AG$4:$AG$24,$E$4:$E$24,"CWR")/E45</x:f>
      </x:c>
      <x:c r="AF45" s="54" t="str">
        <x:f>=SUMIFS($AH$4:$AH$24,$E$4:$E$24,"CWR")/E45</x:f>
      </x:c>
      <x:c r="AG45" s="54" t="str">
        <x:f>=IF(AD45&gt;0,1-AD45,0)</x:f>
      </x:c>
      <x:c r="AI45" s="18" t="s"/>
    </x:row>
    <x:row r="46">
      <x:c r="A46" s="16" t="s"/>
      <x:c r="B46"/>
      <x:c r="C46"/>
      <x:c r="D46"/>
      <x:c r="E46" s="48">
        <x:f>=SUM(E45:E45)</x:f>
      </x:c>
      <x:c r="F46" s="41">
        <x:f>=SUM(F45:F45)</x:f>
      </x:c>
      <x:c r="G46" s="41">
        <x:f>=SUM(G45:G45)</x:f>
      </x:c>
      <x:c r="H46" s="41">
        <x:f>=SUM(H45:H45)</x:f>
      </x:c>
      <x:c r="I46" s="55">
        <x:f>=IFERROR(H46/F46,0)</x:f>
      </x:c>
      <x:c r="K46" s="41">
        <x:f>=SUM(K45:K45)</x:f>
      </x:c>
      <x:c r="M46" s="58">
        <x:f>=SUM(M45:K45)</x:f>
      </x:c>
      <x:c r="N46" s="58">
        <x:f>=SUM(N45:K45)</x:f>
      </x:c>
      <x:c r="P46" s="41">
        <x:f>=SUM(P45:P45)</x:f>
      </x:c>
      <x:c r="Q46" s="41">
        <x:f>=SUM(Q45:Q45)</x:f>
      </x:c>
      <x:c r="R46" s="41">
        <x:f>=SUM(R45:R45)</x:f>
      </x:c>
      <x:c r="S46" s="55">
        <x:f>=R46/P46</x:f>
      </x:c>
      <x:c r="W46" s="55">
        <x:f>=SUMIF(E$0:E$24,"CWR",I$0:I$24)/E46</x:f>
      </x:c>
      <x:c r="X46" s="55">
        <x:f>=SUMIF(E$0:E$24,"CWR",J$0:J$24)/E46</x:f>
      </x:c>
      <x:c r="Y46" s="55">
        <x:f>=SUMIF(E$0:E$24,"CWR",K$0:K$24)/E46</x:f>
      </x:c>
      <x:c r="Z46" s="55" t="str">
        <x:f>=IF(W46&gt;0,1-W46,0)</x:f>
      </x:c>
      <x:c r="AD46" s="55">
        <x:f>=SUMIF(E$0:E$24,"CWR",AF$0:AF$24)/E46</x:f>
      </x:c>
      <x:c r="AE46" s="55">
        <x:f>=SUMIF(E$0:E$24,"CWR",AG$0:AG$24)/E46</x:f>
      </x:c>
      <x:c r="AF46" s="55">
        <x:f>=SUMIF(E$0:E$24,"CWR",AH$0:AH$24)/E46</x:f>
      </x:c>
      <x:c r="AG46" s="55" t="str">
        <x:f>=IF(AD46&gt;0,1-AD46,0)</x:f>
      </x:c>
      <x:c r="AI46" s="18" t="s"/>
    </x:row>
    <x:row r="47">
      <x:c r="A47" s="28" t="s">
        <x:v>77</x:v>
      </x:c>
      <x:c r="AI47" s="18" t="s"/>
    </x:row>
    <x:row r="48">
      <x:c r="A48" s="16"/>
      <x:c r="B48"/>
      <x:c r="C48" s="51" t="s">
        <x:v>91</x:v>
      </x:c>
      <x:c r="D48"/>
      <x:c r="E48" s="47" t="str">
        <x:f>=COUNTIF($E$4:$E$24,"MWR")</x:f>
      </x:c>
      <x:c r="F48" s="40" t="str">
        <x:f>=SUMIF($E$4:$E$24,"MWR",$R$4:$R$24)/1000</x:f>
      </x:c>
      <x:c r="G48" s="40" t="str">
        <x:f>=SUMIF($E$4:$E$24,"MWR",$S$4:$S$24)/1000</x:f>
      </x:c>
      <x:c r="H48" s="40" t="str">
        <x:f>=F48+G48</x:f>
      </x:c>
      <x:c r="I48" s="54" t="str">
        <x:f>=IFERROR(H48/F48,0)</x:f>
      </x:c>
      <x:c r="K48" s="40" t="str">
        <x:f>=SUMIF($E$4:$E$24,"MWR",$W$4:$W$24)/1000</x:f>
      </x:c>
      <x:c r="M48" s="57" t="str">
        <x:f>=SUMIF($E$4:$E$24,"MWR",$X$4:$X$24)/1000</x:f>
      </x:c>
      <x:c r="N48" s="57" t="str">
        <x:f>=SUMIF($E$4:$E$24,"MWR",$Y$4:$Y$24)/1000</x:f>
      </x:c>
      <x:c r="P48" s="40" t="str">
        <x:f>=SUMIF($E$4:$E$24,"MWR",$AA$4:$AA$24)/1000</x:f>
      </x:c>
      <x:c r="Q48" s="40" t="str">
        <x:f>=SUMIF($E$4:$E$24,"MWR",$AB$4:$AB$24)/1000</x:f>
      </x:c>
      <x:c r="R48" s="40" t="str">
        <x:f>=P48+Q48</x:f>
      </x:c>
      <x:c r="S48" s="54" t="str">
        <x:f>=R48/P48</x:f>
      </x:c>
      <x:c r="W48" s="54" t="str">
        <x:f>=SUMIFS($I$4:$I$24,$E$4:$E$24,"MWR")/E48</x:f>
      </x:c>
      <x:c r="X48" s="54" t="str">
        <x:f>=SUMIFS($J$4:$J$24,$E$4:$E$24,"MWR")/E48</x:f>
      </x:c>
      <x:c r="Y48" s="54" t="str">
        <x:f>=SUMIFS($K$4:$K$24,$E$4:$E$24,"MWR")/E48</x:f>
      </x:c>
      <x:c r="Z48" s="54" t="str">
        <x:f>=IF(W48&gt;0,1-W48,0)</x:f>
      </x:c>
      <x:c r="AB48" s="54" t="str">
        <x:f>=Y48/(1-X48)</x:f>
      </x:c>
      <x:c r="AD48" s="54" t="str">
        <x:f>=SUMIFS($AF$4:$AF$24,$E$4:$E$24,"MWR")/E48</x:f>
      </x:c>
      <x:c r="AE48" s="54" t="str">
        <x:f>=SUMIFS($AG$4:$AG$24,$E$4:$E$24,"MWR")/E48</x:f>
      </x:c>
      <x:c r="AF48" s="54" t="str">
        <x:f>=SUMIFS($AH$4:$AH$24,$E$4:$E$24,"MWR")/E48</x:f>
      </x:c>
      <x:c r="AG48" s="54" t="str">
        <x:f>=IF(AD48&gt;0,1-AD48,0)</x:f>
      </x:c>
      <x:c r="AI48" s="18" t="s"/>
    </x:row>
    <x:row r="49">
      <x:c r="A49" s="16" t="s"/>
      <x:c r="B49"/>
      <x:c r="C49"/>
      <x:c r="D49"/>
      <x:c r="E49" s="48">
        <x:f>=SUM(E48:E48)</x:f>
      </x:c>
      <x:c r="F49" s="41">
        <x:f>=SUM(F48:F48)</x:f>
      </x:c>
      <x:c r="G49" s="41">
        <x:f>=SUM(G48:G48)</x:f>
      </x:c>
      <x:c r="H49" s="41">
        <x:f>=SUM(H48:H48)</x:f>
      </x:c>
      <x:c r="I49" s="55">
        <x:f>=IFERROR(H49/F49,0)</x:f>
      </x:c>
      <x:c r="K49" s="41">
        <x:f>=SUM(K48:K48)</x:f>
      </x:c>
      <x:c r="M49" s="58">
        <x:f>=SUM(M48:K48)</x:f>
      </x:c>
      <x:c r="N49" s="58">
        <x:f>=SUM(N48:K48)</x:f>
      </x:c>
      <x:c r="P49" s="41">
        <x:f>=SUM(P48:P48)</x:f>
      </x:c>
      <x:c r="Q49" s="41">
        <x:f>=SUM(Q48:Q48)</x:f>
      </x:c>
      <x:c r="R49" s="41">
        <x:f>=SUM(R48:R48)</x:f>
      </x:c>
      <x:c r="S49" s="55">
        <x:f>=R49/P49</x:f>
      </x:c>
      <x:c r="W49" s="55">
        <x:f>=SUMIF(E$0:E$24,"MWR",I$0:I$24)/E49</x:f>
      </x:c>
      <x:c r="X49" s="55">
        <x:f>=SUMIF(E$0:E$24,"MWR",J$0:J$24)/E49</x:f>
      </x:c>
      <x:c r="Y49" s="55">
        <x:f>=SUMIF(E$0:E$24,"MWR",K$0:K$24)/E49</x:f>
      </x:c>
      <x:c r="Z49" s="55" t="str">
        <x:f>=IF(W49&gt;0,1-W49,0)</x:f>
      </x:c>
      <x:c r="AD49" s="55">
        <x:f>=SUMIF(E$0:E$24,"MWR",AF$0:AF$24)/E49</x:f>
      </x:c>
      <x:c r="AE49" s="55">
        <x:f>=SUMIF(E$0:E$24,"MWR",AG$0:AG$24)/E49</x:f>
      </x:c>
      <x:c r="AF49" s="55">
        <x:f>=SUMIF(E$0:E$24,"MWR",AH$0:AH$24)/E49</x:f>
      </x:c>
      <x:c r="AG49" s="55" t="str">
        <x:f>=IF(AD49&gt;0,1-AD49,0)</x:f>
      </x:c>
      <x:c r="AI49" s="18" t="s"/>
    </x:row>
    <x:row r="50">
      <x:c r="A50" s="28" t="s">
        <x:v>85</x:v>
      </x:c>
      <x:c r="AI50" s="18" t="s"/>
    </x:row>
    <x:row r="51">
      <x:c r="A51" s="16"/>
      <x:c r="B51"/>
      <x:c r="C51" s="50" t="s">
        <x:v>91</x:v>
      </x:c>
      <x:c r="D51"/>
      <x:c r="E51" s="47" t="str">
        <x:f>=COUNTIF($E$4:$E$24,"WWR")</x:f>
      </x:c>
      <x:c r="F51" s="40" t="str">
        <x:f>=SUMIF($E$4:$E$24,"WWR",$R$4:$R$24)/1000</x:f>
      </x:c>
      <x:c r="G51" s="40" t="str">
        <x:f>=SUMIF($E$4:$E$24,"WWR",$S$4:$S$24)/1000</x:f>
      </x:c>
      <x:c r="H51" s="40" t="str">
        <x:f>=F51+G51</x:f>
      </x:c>
      <x:c r="I51" s="54" t="str">
        <x:f>=IFERROR(H51/F51,0)</x:f>
      </x:c>
      <x:c r="K51" s="40" t="str">
        <x:f>=SUMIF($E$4:$E$24,"WWR",$W$4:$W$24)/1000</x:f>
      </x:c>
      <x:c r="M51" s="57" t="str">
        <x:f>=SUMIF($E$4:$E$24,"WWR",$X$4:$X$24)/1000</x:f>
      </x:c>
      <x:c r="N51" s="57" t="str">
        <x:f>=SUMIF($E$4:$E$24,"WWR",$Y$4:$Y$24)/1000</x:f>
      </x:c>
      <x:c r="P51" s="40" t="str">
        <x:f>=SUMIF($E$4:$E$24,"WWR",$AA$4:$AA$24)/1000</x:f>
      </x:c>
      <x:c r="Q51" s="40" t="str">
        <x:f>=SUMIF($E$4:$E$24,"WWR",$AB$4:$AB$24)/1000</x:f>
      </x:c>
      <x:c r="R51" s="40" t="str">
        <x:f>=P51+Q51</x:f>
      </x:c>
      <x:c r="S51" s="54" t="str">
        <x:f>=R51/P51</x:f>
      </x:c>
      <x:c r="W51" s="54" t="str">
        <x:f>=SUMIFS($I$4:$I$24,$E$4:$E$24,"WWR")/E51</x:f>
      </x:c>
      <x:c r="X51" s="54" t="str">
        <x:f>=SUMIFS($J$4:$J$24,$E$4:$E$24,"WWR")/E51</x:f>
      </x:c>
      <x:c r="Y51" s="54" t="str">
        <x:f>=SUMIFS($K$4:$K$24,$E$4:$E$24,"WWR")/E51</x:f>
      </x:c>
      <x:c r="Z51" s="54" t="str">
        <x:f>=IF(W51&gt;0,1-W51,0)</x:f>
      </x:c>
      <x:c r="AB51" s="54" t="str">
        <x:f>=Y51/(1-X51)</x:f>
      </x:c>
      <x:c r="AD51" s="54" t="str">
        <x:f>=SUMIFS($AF$4:$AF$24,$E$4:$E$24,"WWR")/E51</x:f>
      </x:c>
      <x:c r="AE51" s="54" t="str">
        <x:f>=SUMIFS($AG$4:$AG$24,$E$4:$E$24,"WWR")/E51</x:f>
      </x:c>
      <x:c r="AF51" s="54" t="str">
        <x:f>=SUMIFS($AH$4:$AH$24,$E$4:$E$24,"WWR")/E51</x:f>
      </x:c>
      <x:c r="AG51" s="54" t="str">
        <x:f>=IF(AD51&gt;0,1-AD51,0)</x:f>
      </x:c>
      <x:c r="AI51" s="18" t="s"/>
    </x:row>
    <x:row r="52">
      <x:c r="A52" s="16" t="s"/>
      <x:c r="B52"/>
      <x:c r="C52"/>
      <x:c r="D52"/>
      <x:c r="E52">
        <x:f>=SUM(E51:E51)</x:f>
      </x:c>
      <x:c r="F52">
        <x:f>=SUM(F51:F51)</x:f>
      </x:c>
      <x:c r="G52">
        <x:f>=SUM(G51:G51)</x:f>
      </x:c>
      <x:c r="H52">
        <x:f>=SUM(H51:H51)</x:f>
      </x:c>
      <x:c r="I52">
        <x:f>=IFERROR(H52/F52,0)</x:f>
      </x:c>
      <x:c r="K52">
        <x:f>=SUM(K51:K51)</x:f>
      </x:c>
      <x:c r="M52">
        <x:f>=SUM(M51:K51)</x:f>
      </x:c>
      <x:c r="N52">
        <x:f>=SUM(N51:K51)</x:f>
      </x:c>
      <x:c r="P52">
        <x:f>=SUM(P51:P51)</x:f>
      </x:c>
      <x:c r="Q52">
        <x:f>=SUM(Q51:Q51)</x:f>
      </x:c>
      <x:c r="R52">
        <x:f>=SUM(R51:R51)</x:f>
      </x:c>
      <x:c r="S52">
        <x:f>=R52/P52</x:f>
      </x:c>
      <x:c r="W52">
        <x:f>=SUMIF(E$0:E$24,"WWR",I$0:I$24)/E52</x:f>
      </x:c>
      <x:c r="X52">
        <x:f>=SUMIF(E$0:E$24,"WWR",J$0:J$24)/E52</x:f>
      </x:c>
      <x:c r="Y52">
        <x:f>=SUMIF(E$0:E$24,"WWR",K$0:K$24)/E52</x:f>
      </x:c>
      <x:c r="Z52" s="55" t="str">
        <x:f>=IF(W52&gt;0,1-W52,0)</x:f>
      </x:c>
      <x:c r="AD52">
        <x:f>=SUMIF(E$0:E$24,"WWR",AF$0:AF$24)/E52</x:f>
      </x:c>
      <x:c r="AE52">
        <x:f>=SUMIF(E$0:E$24,"WWR",AG$0:AG$24)/E52</x:f>
      </x:c>
      <x:c r="AF52"/>
    </x:row>
  </x:sheetData>
  <x:pageMargins left="0.23622047244094491" right="0.23622047244094491" top="0.31496062992125984" bottom="0.31496062992125984" header="0.31496062992125984" footer="0.31496062992125984"/>
  <x:pageSetup paperSize="8" fitToHeight="0" orientation="landscape" r:id="rId1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14"/>
  <sheetViews>
    <sheetView topLeftCell="A3" workbookViewId="0">
      <selection activeCell="H12" sqref="H12"/>
    </sheetView>
  </sheetViews>
  <sheetFormatPr defaultRowHeight="15" x14ac:dyDescent="0.25"/>
  <cols>
    <col min="1" max="3" width="9.140625" customWidth="1"/>
    <col min="13" max="13" width="14.7109375" customWidth="1"/>
    <col min="14" max="14" width="10.28515625" customWidth="1"/>
    <col min="15" max="15" width="15.42578125" customWidth="1"/>
    <col min="23" max="24" width="9.140625" customWidth="1"/>
    <col min="34" max="34" width="15.42578125" customWidth="1"/>
    <col min="38" max="38" width="9.140625" style="1"/>
    <col min="50" max="51" width="9.140625" style="1"/>
  </cols>
  <sheetData>
    <row r="1" spans="1:56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8">
        <v>33</v>
      </c>
      <c r="AI1" s="10">
        <v>34</v>
      </c>
      <c r="AJ1" s="10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 s="1">
        <v>49</v>
      </c>
      <c r="AY1" s="1">
        <v>50</v>
      </c>
      <c r="AZ1" s="1">
        <v>51</v>
      </c>
      <c r="BA1" s="1">
        <v>52</v>
      </c>
      <c r="BB1" s="10">
        <v>53</v>
      </c>
      <c r="BC1" s="10">
        <v>54</v>
      </c>
      <c r="BD1" s="10">
        <v>55</v>
      </c>
    </row>
    <row r="2" spans="1:56" ht="31.5" customHeight="1" thickBot="1" x14ac:dyDescent="0.35">
      <c r="A2" s="5" t="s">
        <v>5</v>
      </c>
      <c r="B2" s="14"/>
      <c r="C2" s="15"/>
      <c r="D2" s="16" t="s">
        <v>7</v>
      </c>
      <c r="E2" s="17">
        <v>1.23</v>
      </c>
      <c r="F2" s="18"/>
      <c r="G2" s="19"/>
      <c r="H2" s="20"/>
      <c r="I2" s="21"/>
      <c r="J2" s="22" t="s">
        <v>6</v>
      </c>
      <c r="K2" s="23">
        <v>0.97410358565737054</v>
      </c>
      <c r="L2" s="24">
        <v>-0.29260185359026053</v>
      </c>
      <c r="M2" s="25" t="s">
        <v>4</v>
      </c>
      <c r="N2" s="26">
        <v>11</v>
      </c>
      <c r="O2" s="27">
        <v>10</v>
      </c>
      <c r="P2" s="28" t="s">
        <v>8</v>
      </c>
      <c r="Q2" s="29">
        <v>30</v>
      </c>
      <c r="R2" s="30">
        <v>0.1</v>
      </c>
      <c r="S2" s="31">
        <v>3</v>
      </c>
      <c r="T2" s="32">
        <v>0.28000000000000003</v>
      </c>
      <c r="U2" s="33">
        <v>-100</v>
      </c>
      <c r="V2" s="34">
        <v>0.3</v>
      </c>
      <c r="W2" s="35">
        <v>-50</v>
      </c>
      <c r="X2" s="36">
        <v>-0.1</v>
      </c>
      <c r="Y2" s="37">
        <v>0.3</v>
      </c>
      <c r="Z2" s="38">
        <v>0.3</v>
      </c>
      <c r="AA2" s="39" t="s">
        <v>9</v>
      </c>
      <c r="AB2" s="40">
        <v>30</v>
      </c>
      <c r="AC2" s="41">
        <v>3</v>
      </c>
      <c r="AD2" s="42">
        <v>0.12</v>
      </c>
      <c r="AE2" s="43">
        <v>0.12</v>
      </c>
      <c r="AF2" s="44" t="s">
        <v>5</v>
      </c>
      <c r="AG2" s="7" t="s">
        <v>10</v>
      </c>
      <c r="AH2" s="45">
        <v>10</v>
      </c>
      <c r="AI2" s="46" t="s">
        <v>8</v>
      </c>
      <c r="AJ2" s="47">
        <v>30</v>
      </c>
      <c r="AK2" s="48">
        <v>3</v>
      </c>
      <c r="AL2" s="49">
        <v>3</v>
      </c>
      <c r="AM2" s="50"/>
      <c r="AN2" s="51"/>
      <c r="AO2" s="52"/>
      <c r="AP2" s="53"/>
      <c r="AQ2" s="50"/>
      <c r="AR2" s="51"/>
      <c r="AS2" s="52"/>
      <c r="AT2" s="53"/>
      <c r="AU2" s="54" t="e">
        <f>AU4/AS4</f>
        <v>#DIV/0!</v>
      </c>
      <c r="AV2" s="55" t="e">
        <f>AU5/AS5</f>
        <v>#DIV/0!</v>
      </c>
      <c r="AW2" s="55" t="e">
        <f>AW4/AU4</f>
        <v>#DIV/0!</v>
      </c>
      <c r="AX2" s="56"/>
      <c r="AY2" s="56"/>
      <c r="AZ2" s="57">
        <v>30</v>
      </c>
      <c r="BA2" s="58">
        <v>3</v>
      </c>
      <c r="BB2" s="28" t="s">
        <v>8</v>
      </c>
      <c r="BC2" s="53" t="s">
        <v>45</v>
      </c>
      <c r="BD2" s="59">
        <v>2.2999999999999998</v>
      </c>
    </row>
    <row r="3" spans="1:56" ht="15.75" thickBot="1" x14ac:dyDescent="0.3"/>
    <row r="4" spans="1:56" ht="16.5" thickBot="1" x14ac:dyDescent="0.3">
      <c r="A4" s="60" t="s">
        <v>11</v>
      </c>
      <c r="B4" s="61"/>
      <c r="C4" s="62"/>
      <c r="D4" s="63"/>
      <c r="E4" s="63"/>
      <c r="F4" s="64"/>
      <c r="G4" s="65"/>
      <c r="H4" s="64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</row>
    <row r="5" spans="1:56" ht="32.25" thickBot="1" x14ac:dyDescent="0.3">
      <c r="A5" s="66" t="s">
        <v>12</v>
      </c>
      <c r="B5" s="67" t="s">
        <v>13</v>
      </c>
      <c r="C5" s="67" t="s">
        <v>14</v>
      </c>
      <c r="D5" s="68" t="s">
        <v>15</v>
      </c>
      <c r="E5" s="68" t="s">
        <v>27</v>
      </c>
      <c r="F5" s="69" t="s">
        <v>16</v>
      </c>
      <c r="G5" s="66" t="s">
        <v>17</v>
      </c>
      <c r="H5" s="69" t="s">
        <v>18</v>
      </c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</row>
    <row r="6" spans="1:56" ht="16.5" thickBot="1" x14ac:dyDescent="0.3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</row>
    <row r="7" spans="1:56" ht="16.5" thickBot="1" x14ac:dyDescent="0.3">
      <c r="A7" s="70" t="s">
        <v>26</v>
      </c>
      <c r="B7" s="71"/>
      <c r="C7" s="71"/>
      <c r="D7" s="71"/>
      <c r="E7" s="71"/>
      <c r="F7" s="72"/>
      <c r="G7" s="72"/>
      <c r="H7" s="72"/>
      <c r="I7" s="72"/>
      <c r="J7" s="71"/>
      <c r="K7" s="73"/>
      <c r="L7" s="53" t="s">
        <v>41</v>
      </c>
      <c r="M7" s="74"/>
      <c r="N7" s="74" t="s">
        <v>41</v>
      </c>
      <c r="O7" s="74" t="s">
        <v>41</v>
      </c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</row>
    <row r="8" spans="1:56" ht="48" thickBot="1" x14ac:dyDescent="0.3">
      <c r="A8" s="75" t="s">
        <v>19</v>
      </c>
      <c r="B8" s="76" t="s">
        <v>20</v>
      </c>
      <c r="C8" s="76" t="s">
        <v>21</v>
      </c>
      <c r="D8" s="76" t="s">
        <v>15</v>
      </c>
      <c r="E8" s="76"/>
      <c r="F8" s="77" t="s">
        <v>22</v>
      </c>
      <c r="G8" s="77" t="s">
        <v>23</v>
      </c>
      <c r="H8" s="77" t="s">
        <v>25</v>
      </c>
      <c r="I8" s="77" t="s">
        <v>24</v>
      </c>
      <c r="J8" s="76"/>
      <c r="K8" s="78" t="s">
        <v>28</v>
      </c>
      <c r="L8" s="79" t="s">
        <v>41</v>
      </c>
      <c r="M8" s="74" t="s">
        <v>42</v>
      </c>
      <c r="N8" s="74" t="s">
        <v>43</v>
      </c>
      <c r="O8" s="80" t="s">
        <v>44</v>
      </c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</row>
    <row r="9" spans="1:56" ht="16.5" thickBot="1" x14ac:dyDescent="0.3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</row>
    <row r="10" spans="1:56" ht="15.75" x14ac:dyDescent="0.25">
      <c r="A10" s="81"/>
      <c r="B10" s="82"/>
      <c r="C10" s="82"/>
      <c r="D10" s="82"/>
      <c r="E10" s="82"/>
      <c r="F10" s="83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4"/>
      <c r="AF10" s="84"/>
      <c r="AG10" s="84"/>
      <c r="AH10" s="84"/>
      <c r="AI10" s="85"/>
    </row>
    <row r="11" spans="1:56" ht="15.75" x14ac:dyDescent="0.25">
      <c r="A11" s="86"/>
      <c r="B11" s="87"/>
      <c r="C11" s="87"/>
      <c r="D11" s="87"/>
      <c r="E11" s="88" t="s">
        <v>29</v>
      </c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9" t="s">
        <v>30</v>
      </c>
      <c r="Q11" s="87"/>
      <c r="R11" s="87"/>
      <c r="S11" s="87"/>
      <c r="T11" s="87"/>
      <c r="U11" s="87"/>
      <c r="V11" s="87"/>
      <c r="W11" s="89" t="s">
        <v>31</v>
      </c>
      <c r="X11" s="89"/>
      <c r="Y11" s="89"/>
      <c r="Z11" s="87"/>
      <c r="AA11" s="87"/>
      <c r="AB11" s="87"/>
      <c r="AC11" s="87"/>
      <c r="AD11" s="89" t="s">
        <v>32</v>
      </c>
      <c r="AE11" s="89"/>
      <c r="AF11" s="89"/>
      <c r="AG11" s="87"/>
      <c r="AH11" s="90"/>
      <c r="AI11" s="91"/>
    </row>
    <row r="12" spans="1:56" ht="31.5" x14ac:dyDescent="0.25">
      <c r="A12" s="86"/>
      <c r="B12" s="87"/>
      <c r="C12" s="87"/>
      <c r="D12" s="87"/>
      <c r="E12" s="92" t="s">
        <v>33</v>
      </c>
      <c r="F12" s="87" t="s">
        <v>19</v>
      </c>
      <c r="G12" s="87" t="s">
        <v>20</v>
      </c>
      <c r="H12" s="87" t="s">
        <v>21</v>
      </c>
      <c r="I12" s="87" t="s">
        <v>15</v>
      </c>
      <c r="J12" s="87"/>
      <c r="K12" s="93" t="s">
        <v>16</v>
      </c>
      <c r="L12" s="93"/>
      <c r="M12" s="93" t="s">
        <v>34</v>
      </c>
      <c r="N12" s="93" t="s">
        <v>35</v>
      </c>
      <c r="O12" s="87"/>
      <c r="P12" s="87" t="s">
        <v>19</v>
      </c>
      <c r="Q12" s="87" t="s">
        <v>20</v>
      </c>
      <c r="R12" s="87" t="s">
        <v>21</v>
      </c>
      <c r="S12" s="87" t="s">
        <v>15</v>
      </c>
      <c r="T12" s="87"/>
      <c r="U12" s="87"/>
      <c r="V12" s="87"/>
      <c r="W12" s="90" t="s">
        <v>36</v>
      </c>
      <c r="X12" s="90" t="s">
        <v>37</v>
      </c>
      <c r="Y12" s="90" t="s">
        <v>38</v>
      </c>
      <c r="Z12" s="90" t="s">
        <v>39</v>
      </c>
      <c r="AA12" s="87"/>
      <c r="AB12" s="87" t="s">
        <v>40</v>
      </c>
      <c r="AC12" s="87"/>
      <c r="AD12" s="90" t="s">
        <v>36</v>
      </c>
      <c r="AE12" s="90" t="s">
        <v>37</v>
      </c>
      <c r="AF12" s="90" t="s">
        <v>38</v>
      </c>
      <c r="AG12" s="90" t="s">
        <v>39</v>
      </c>
      <c r="AH12" s="90"/>
      <c r="AI12" s="91"/>
    </row>
    <row r="13" spans="1:56" ht="16.5" thickBot="1" x14ac:dyDescent="0.3">
      <c r="A13" s="94"/>
      <c r="B13" s="95"/>
      <c r="C13" s="95"/>
      <c r="D13" s="95"/>
      <c r="E13" s="95"/>
      <c r="F13" s="96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7"/>
      <c r="AF13" s="97"/>
      <c r="AG13" s="97"/>
      <c r="AH13" s="97"/>
      <c r="AI13" s="98"/>
    </row>
    <row r="14" spans="1:56" x14ac:dyDescent="0.25">
      <c r="N14" s="11"/>
    </row>
  </sheetData>
  <conditionalFormatting sqref="AM2 E11:AA11">
    <cfRule type="cellIs" dxfId="11" priority="14" operator="equal">
      <formula>0</formula>
    </cfRule>
  </conditionalFormatting>
  <conditionalFormatting sqref="AN2">
    <cfRule type="cellIs" dxfId="10" priority="13" operator="equal">
      <formula>0</formula>
    </cfRule>
  </conditionalFormatting>
  <conditionalFormatting sqref="AO2">
    <cfRule type="cellIs" dxfId="9" priority="12" operator="equal">
      <formula>0</formula>
    </cfRule>
  </conditionalFormatting>
  <conditionalFormatting sqref="AQ2">
    <cfRule type="cellIs" dxfId="8" priority="9" operator="equal">
      <formula>0</formula>
    </cfRule>
  </conditionalFormatting>
  <conditionalFormatting sqref="AR2">
    <cfRule type="cellIs" dxfId="7" priority="8" operator="equal">
      <formula>0</formula>
    </cfRule>
  </conditionalFormatting>
  <conditionalFormatting sqref="AS2">
    <cfRule type="cellIs" dxfId="6" priority="7" operator="equal">
      <formula>0</formula>
    </cfRule>
  </conditionalFormatting>
  <conditionalFormatting sqref="AI11 AD11:AG11 E10:AH10">
    <cfRule type="cellIs" dxfId="5" priority="6" operator="equal">
      <formula>0</formula>
    </cfRule>
  </conditionalFormatting>
  <conditionalFormatting sqref="AI12 AD12:AG12 D12:AA12">
    <cfRule type="cellIs" dxfId="4" priority="5" operator="equal">
      <formula>0</formula>
    </cfRule>
  </conditionalFormatting>
  <conditionalFormatting sqref="AB12">
    <cfRule type="cellIs" dxfId="3" priority="4" operator="equal">
      <formula>0</formula>
    </cfRule>
  </conditionalFormatting>
  <conditionalFormatting sqref="E13:AH13">
    <cfRule type="cellIs" dxfId="2" priority="3" operator="equal">
      <formula>0</formula>
    </cfRule>
  </conditionalFormatting>
  <conditionalFormatting sqref="AX2">
    <cfRule type="cellIs" dxfId="1" priority="2" operator="equal">
      <formula>0</formula>
    </cfRule>
  </conditionalFormatting>
  <conditionalFormatting sqref="AY2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2020-08-11T01:03:17Z</cp:lastPrinted>
  <dcterms:created xsi:type="dcterms:W3CDTF">2020-01-14T01:07:38Z</dcterms:created>
  <dcterms:modified xsi:type="dcterms:W3CDTF">2021-03-30T06:47:48Z</dcterms:modified>
</cp:coreProperties>
</file>