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5475" windowWidth="28830" windowHeight="1830"/>
  </bookViews>
  <sheets>
    <sheet name="ST" sheetId="1" r:id="rId1"/>
    <sheet name="Template" sheetId="2" r:id="rId2"/>
  </sheets>
  <calcPr calcId="145621"/>
</workbook>
</file>

<file path=xl/calcChain.xml><?xml version="1.0" encoding="utf-8"?>
<calcChain xmlns="http://schemas.openxmlformats.org/spreadsheetml/2006/main">
  <c r="AW2" i="2" l="1"/>
  <c r="AV2" i="2" l="1"/>
  <c r="AU2" i="2"/>
</calcChain>
</file>

<file path=xl/sharedStrings.xml><?xml version="1.0" encoding="utf-8"?>
<sst xmlns="http://schemas.openxmlformats.org/spreadsheetml/2006/main" count="57" uniqueCount="41">
  <si>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</si>
  <si>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</si>
  <si>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</si>
  <si>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</si>
  <si>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</si>
  <si>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</si>
  <si>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</si>
  <si>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</si>
  <si>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</si>
  <si>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</si>
  <si>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</si>
  <si>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</si>
  <si>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</si>
  <si>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</si>
  <si>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</si>
  <si>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</si>
  <si>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</si>
  <si>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</si>
  <si>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</si>
  <si>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</si>
  <si>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</si>
  <si>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</si>
  <si>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</si>
  <si>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</si>
  <si>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</si>
  <si>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MD sell through</t>
  </si>
  <si>
    <t>FCST</t>
  </si>
  <si>
    <t>Sell Thru</t>
  </si>
  <si>
    <t>Cash Recovery on MD</t>
  </si>
  <si>
    <t>Actual ( life to date)</t>
  </si>
  <si>
    <t>Estimate ( 50% cash recovery on markdown- half price)</t>
  </si>
  <si>
    <t>Average sell through (Life to Date)</t>
  </si>
  <si>
    <t>Average sell through (Fcst)</t>
  </si>
  <si>
    <t>Count</t>
  </si>
  <si>
    <t>Stock Bal unit 'K</t>
  </si>
  <si>
    <t>Stock Bal USD'K</t>
  </si>
  <si>
    <t>Total</t>
  </si>
  <si>
    <t>FP</t>
  </si>
  <si>
    <t>MD</t>
  </si>
  <si>
    <t>WO</t>
  </si>
  <si>
    <t>CR% on 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</si>
</sst>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95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  <xf numFmtId="166" fontId="6" fillId="0" borderId="0" xfId="2" applyNumberFormat="1" applyFont="1" applyBorder="1"/>
    <xf numFmtId="166" fontId="7" fillId="0" borderId="7" xfId="2" applyNumberFormat="1" applyFont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  <xf numFmtId="0" fontId="13" fillId="9" borderId="12" xfId="0" applyFont="1" applyFill="1" applyBorder="1" applyAlignment="1">
      <alignment vertical="top"/>
    </xf>
    <xf numFmtId="0" fontId="13" fillId="9" borderId="13" xfId="0" applyFont="1" applyFill="1" applyBorder="1" applyAlignment="1">
      <alignment vertical="top"/>
    </xf>
    <xf numFmtId="0" fontId="12" fillId="9" borderId="13" xfId="0" applyFont="1" applyFill="1" applyBorder="1" applyAlignment="1">
      <alignment vertical="top"/>
    </xf>
    <xf numFmtId="10" fontId="12" fillId="9" borderId="13" xfId="0" applyNumberFormat="1" applyFont="1" applyFill="1" applyBorder="1" applyAlignment="1">
      <alignment vertical="top"/>
    </xf>
    <xf numFmtId="0" fontId="12" fillId="9" borderId="14" xfId="0" applyFont="1" applyFill="1" applyBorder="1" applyAlignment="1">
      <alignment vertical="top"/>
    </xf>
    <xf numFmtId="0" fontId="12" fillId="9" borderId="12" xfId="0" applyFont="1" applyFill="1" applyBorder="1" applyAlignment="1">
      <alignment vertical="top"/>
    </xf>
    <xf numFmtId="0" fontId="12" fillId="9" borderId="12" xfId="0" applyFont="1" applyFill="1" applyBorder="1" applyAlignment="1">
      <alignment horizontal="center" vertical="top" wrapText="1"/>
    </xf>
    <xf numFmtId="0" fontId="12" fillId="9" borderId="13" xfId="0" applyFont="1" applyFill="1" applyBorder="1" applyAlignment="1">
      <alignment horizontal="center" vertical="top" wrapText="1"/>
    </xf>
    <xf numFmtId="10" fontId="12" fillId="9" borderId="13" xfId="0" applyNumberFormat="1" applyFont="1" applyFill="1" applyBorder="1" applyAlignment="1">
      <alignment horizontal="center" vertical="top" wrapText="1"/>
    </xf>
    <xf numFmtId="0" fontId="12" fillId="9" borderId="14" xfId="0" applyFont="1" applyFill="1" applyBorder="1" applyAlignment="1">
      <alignment horizontal="center" vertical="top" wrapText="1"/>
    </xf>
    <xf numFmtId="0" fontId="13" fillId="10" borderId="12" xfId="0" applyFont="1" applyFill="1" applyBorder="1" applyAlignment="1">
      <alignment vertical="top"/>
    </xf>
    <xf numFmtId="0" fontId="12" fillId="10" borderId="13" xfId="0" applyFont="1" applyFill="1" applyBorder="1" applyAlignment="1">
      <alignment vertical="top"/>
    </xf>
    <xf numFmtId="10" fontId="12" fillId="10" borderId="13" xfId="0" applyNumberFormat="1" applyFont="1" applyFill="1" applyBorder="1" applyAlignment="1">
      <alignment vertical="top"/>
    </xf>
    <xf numFmtId="0" fontId="12" fillId="10" borderId="14" xfId="0" applyFont="1" applyFill="1" applyBorder="1" applyAlignment="1">
      <alignment vertical="top"/>
    </xf>
    <xf numFmtId="0" fontId="12" fillId="10" borderId="6" xfId="0" applyFont="1" applyFill="1" applyBorder="1" applyAlignment="1">
      <alignment horizontal="center" vertical="top" wrapText="1"/>
    </xf>
    <xf numFmtId="0" fontId="12" fillId="10" borderId="7" xfId="0" applyFont="1" applyFill="1" applyBorder="1" applyAlignment="1">
      <alignment horizontal="center" vertical="top" wrapText="1"/>
    </xf>
    <xf numFmtId="10" fontId="12" fillId="10" borderId="7" xfId="0" applyNumberFormat="1" applyFont="1" applyFill="1" applyBorder="1" applyAlignment="1">
      <alignment horizontal="center" vertical="top" wrapText="1"/>
    </xf>
    <xf numFmtId="0" fontId="12" fillId="10" borderId="8" xfId="0" applyFont="1" applyFill="1" applyBorder="1" applyAlignment="1">
      <alignment horizontal="center" vertical="top" wrapText="1"/>
    </xf>
    <xf numFmtId="0" fontId="0" fillId="0" borderId="0" xfId="0" applyFont="1"/>
    <xf numFmtId="10" fontId="6" fillId="0" borderId="0" xfId="1" applyNumberFormat="1" applyFont="1" applyBorder="1"/>
    <xf numFmtId="0" fontId="14" fillId="6" borderId="0" xfId="0" applyFont="1" applyFill="1" applyBorder="1" applyAlignment="1">
      <alignment horizontal="right" vertical="top"/>
    </xf>
    <xf numFmtId="0" fontId="14" fillId="7" borderId="0" xfId="0" applyFont="1" applyFill="1" applyBorder="1" applyAlignment="1">
      <alignment horizontal="right" vertical="top"/>
    </xf>
    <xf numFmtId="0" fontId="14" fillId="8" borderId="0" xfId="0" applyFont="1" applyFill="1" applyBorder="1" applyAlignment="1">
      <alignment horizontal="right" vertical="top"/>
    </xf>
    <xf numFmtId="9" fontId="7" fillId="0" borderId="0" xfId="1" applyFont="1" applyBorder="1"/>
    <xf numFmtId="0" fontId="14" fillId="0" borderId="1" xfId="0" applyFont="1" applyBorder="1" applyAlignment="1">
      <alignment vertical="top"/>
    </xf>
    <xf numFmtId="0" fontId="14" fillId="0" borderId="2" xfId="0" applyFont="1" applyBorder="1" applyAlignment="1">
      <alignment vertical="top"/>
    </xf>
    <xf numFmtId="0" fontId="14" fillId="0" borderId="2" xfId="0" applyFont="1" applyBorder="1" applyAlignment="1">
      <alignment horizontal="center" vertical="top"/>
    </xf>
    <xf numFmtId="0" fontId="14" fillId="0" borderId="2" xfId="0" applyFont="1" applyFill="1" applyBorder="1" applyAlignment="1">
      <alignment vertical="top"/>
    </xf>
    <xf numFmtId="0" fontId="14" fillId="0" borderId="3" xfId="0" applyFont="1" applyFill="1" applyBorder="1" applyAlignment="1">
      <alignment vertical="top"/>
    </xf>
    <xf numFmtId="0" fontId="14" fillId="0" borderId="4" xfId="0" applyFont="1" applyBorder="1" applyAlignment="1">
      <alignment vertical="top"/>
    </xf>
    <xf numFmtId="0" fontId="14" fillId="0" borderId="0" xfId="0" applyFont="1" applyBorder="1" applyAlignment="1">
      <alignment vertical="top"/>
    </xf>
    <xf numFmtId="0" fontId="15" fillId="0" borderId="0" xfId="0" applyFont="1" applyBorder="1" applyAlignment="1">
      <alignment horizontal="left" vertical="top"/>
    </xf>
    <xf numFmtId="0" fontId="15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5" xfId="0" applyFont="1" applyFill="1" applyBorder="1" applyAlignment="1">
      <alignment vertical="top"/>
    </xf>
    <xf numFmtId="0" fontId="14" fillId="0" borderId="0" xfId="0" applyFont="1" applyBorder="1" applyAlignment="1">
      <alignment horizontal="center" vertical="top"/>
    </xf>
    <xf numFmtId="0" fontId="14" fillId="0" borderId="0" xfId="0" applyFont="1" applyBorder="1" applyAlignment="1">
      <alignment vertical="top" wrapText="1"/>
    </xf>
    <xf numFmtId="0" fontId="0" fillId="0" borderId="6" xfId="0" applyFont="1" applyBorder="1" applyAlignment="1">
      <alignment vertical="top"/>
    </xf>
    <xf numFmtId="0" fontId="0" fillId="0" borderId="7" xfId="0" applyFont="1" applyBorder="1" applyAlignment="1">
      <alignment vertical="top"/>
    </xf>
    <xf numFmtId="0" fontId="14" fillId="0" borderId="7" xfId="0" applyFont="1" applyBorder="1" applyAlignment="1">
      <alignment vertical="top"/>
    </xf>
    <xf numFmtId="0" fontId="14" fillId="0" borderId="7" xfId="0" applyFont="1" applyBorder="1" applyAlignment="1">
      <alignment horizontal="center" vertical="top"/>
    </xf>
    <xf numFmtId="0" fontId="0" fillId="0" borderId="7" xfId="0" applyFont="1" applyFill="1" applyBorder="1" applyAlignment="1">
      <alignment vertical="top"/>
    </xf>
    <xf numFmtId="0" fontId="0" fillId="0" borderId="8" xfId="0" applyFont="1" applyFill="1" applyBorder="1" applyAlignment="1">
      <alignment vertical="top"/>
    </xf>
    <xf numFmtId="165" fontId="16" fillId="0" borderId="0" xfId="2" applyNumberFormat="1" applyFont="1" applyBorder="1"/>
    <xf numFmtId="166" fontId="17" fillId="0" borderId="0" xfId="3" applyNumberFormat="1" applyFont="1" applyFill="1" applyBorder="1"/>
    <xf numFmtId="9" fontId="16" fillId="0" borderId="0" xfId="1" applyFont="1" applyBorder="1"/>
    <xf numFmtId="167" fontId="6" fillId="0" borderId="0" xfId="1" applyNumberFormat="1" applyFont="1" applyBorder="1"/>
    <xf numFmtId="0" fontId="18" fillId="0" borderId="0" xfId="0" applyFont="1"/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10"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pageSetUpPr fitToPage="1"/>
  </x:sheetPr>
  <x:dimension ref="A1:BJ3"/>
  <x:sheetViews>
    <x:sheetView tabSelected="1" workbookViewId="0">
      <x:selection activeCell="A2" sqref="A2"/>
    </x:sheetView>
  </x:sheetViews>
  <x:sheetFormatPr defaultRowHeight="15" x14ac:dyDescent="0.25"/>
  <x:cols>
    <x:col min="3" max="3" width="30.7109375" customWidth="1"/>
    <x:col min="4" max="4" width="3.42578125" customWidth="1"/>
    <x:col min="61" max="62" width="19.42578125" customWidth="1"/>
  </x:cols>
  <x:sheetData>
    <x:row r="1" spans="1:62" ht="18.75" x14ac:dyDescent="0.3">
      <x:c r="A1" s="3" t="s">
        <x:v>0</x:v>
      </x:c>
      <x:c r="B1" s="3"/>
      <x:c r="C1" s="1"/>
      <x:c r="D1" s="1"/>
      <x:c r="E1" s="1"/>
      <x:c r="F1" s="1"/>
      <x:c r="G1" s="1"/>
      <x:c r="H1" s="1"/>
      <x:c r="I1" s="1"/>
      <x:c r="J1" s="1"/>
      <x:c r="K1" s="1"/>
      <x:c r="L1" s="1"/>
      <x:c r="M1" s="2" t="s">
        <x:v>1</x:v>
      </x:c>
      <x:c r="BI1" s="32"/>
      <x:c r="BJ1" s="38"/>
    </x:row>
    <x:row r="2" spans="1:62" x14ac:dyDescent="0.25">
      <x:c r="A2" s="94" t="s">
        <x:v>41</x:v>
      </x:c>
      <x:c r="B2" s="1"/>
      <x:c r="C2" s="1"/>
      <x:c r="D2" s="1"/>
      <x:c r="E2" s="1"/>
      <x:c r="F2" s="1"/>
      <x:c r="G2" s="1"/>
      <x:c r="H2" s="1"/>
      <x:c r="I2" s="1"/>
      <x:c r="J2" s="1"/>
      <x:c r="K2" s="1"/>
      <x:c r="L2" s="1"/>
      <x:c r="M2" s="4" t="s">
        <x:v>2</x:v>
      </x:c>
    </x:row>
    <x:row r="3" spans="1:62" x14ac:dyDescent="0.25">
      <x:c r="A3" s="1"/>
      <x:c r="B3" s="1"/>
      <x:c r="C3" s="1"/>
      <x:c r="D3" s="1"/>
      <x:c r="E3" s="1"/>
      <x:c r="F3" s="1"/>
      <x:c r="G3" s="1"/>
      <x:c r="H3" s="1"/>
      <x:c r="I3" s="1"/>
      <x:c r="J3" s="1"/>
      <x:c r="K3" s="1"/>
      <x:c r="L3" s="1"/>
      <x:c r="M3" s="9" t="s">
        <x:v>3</x:v>
      </x:c>
    </x:row>
    <x:row r="4">
      <x:c r="A4" s="10" t="s">
        <x:v>42</x:v>
      </x:c>
      <x:c r="B4" s="5" t="s"/>
      <x:c r="C4" s="5" t="s"/>
      <x:c r="D4" s="5" t="s"/>
      <x:c r="E4" s="5" t="s"/>
      <x:c r="F4" s="5" t="s"/>
      <x:c r="G4" s="5" t="s"/>
      <x:c r="H4" s="5" t="s"/>
      <x:c r="I4" s="5" t="s"/>
      <x:c r="J4" s="5" t="s"/>
      <x:c r="K4" s="5" t="s"/>
      <x:c r="L4" s="5" t="s"/>
      <x:c r="M4" s="5" t="s"/>
      <x:c r="N4" s="5" t="s"/>
      <x:c r="O4" s="5" t="s"/>
      <x:c r="P4" s="5" t="s"/>
      <x:c r="Q4" s="5" t="s"/>
      <x:c r="R4" s="5" t="s"/>
      <x:c r="S4" s="5" t="s"/>
      <x:c r="T4" s="5" t="s"/>
      <x:c r="U4" s="5" t="s"/>
      <x:c r="V4" s="5" t="s"/>
      <x:c r="W4" s="5" t="s"/>
      <x:c r="X4" s="5" t="s"/>
      <x:c r="Y4" s="5" t="s"/>
      <x:c r="Z4" s="5" t="s"/>
      <x:c r="AA4" s="5" t="s"/>
      <x:c r="AB4" s="5" t="s"/>
      <x:c r="AC4" s="5" t="s"/>
      <x:c r="AD4" s="5" t="s"/>
      <x:c r="AE4" s="5" t="s"/>
      <x:c r="AF4" s="5" t="s"/>
      <x:c r="AG4" s="5" t="s"/>
      <x:c r="AH4" s="5" t="s"/>
      <x:c r="AI4" s="5" t="s"/>
      <x:c r="AJ4" s="5" t="s"/>
      <x:c r="AK4" s="5" t="s"/>
      <x:c r="AL4" s="5" t="s"/>
      <x:c r="AM4" s="5" t="s"/>
      <x:c r="AN4" s="5" t="s"/>
      <x:c r="AO4" s="5" t="s"/>
      <x:c r="AP4" s="5" t="s"/>
      <x:c r="AQ4" s="5" t="s"/>
      <x:c r="AR4" s="5" t="s"/>
      <x:c r="AS4" s="5" t="s"/>
      <x:c r="AT4" s="5" t="s"/>
      <x:c r="AU4" s="5" t="s"/>
      <x:c r="AV4" s="5" t="s"/>
      <x:c r="AW4" s="7" t="s"/>
      <x:c r="AX4" s="10" t="s"/>
      <x:c r="AY4" s="5" t="s"/>
      <x:c r="AZ4" s="5" t="s"/>
      <x:c r="BA4" s="5" t="s"/>
      <x:c r="BB4" s="5" t="s"/>
      <x:c r="BC4" s="5" t="s"/>
      <x:c r="BD4" s="7" t="s"/>
      <x:c r="BE4" s="47" t="s">
        <x:v>11</x:v>
      </x:c>
      <x:c r="BF4" s="48"/>
      <x:c r="BG4" s="49"/>
      <x:c r="BH4" s="50"/>
      <x:c r="BI4" s="50"/>
      <x:c r="BJ4" s="51"/>
      <x:c r="BK4" s="52"/>
      <x:c r="BL4" s="51"/>
      <x:c r="BN4" s="57" t="s">
        <x:v>26</x:v>
      </x:c>
      <x:c r="BO4" s="58"/>
      <x:c r="BP4" s="58"/>
      <x:c r="BQ4" s="58"/>
      <x:c r="BR4" s="58"/>
      <x:c r="BS4" s="59"/>
      <x:c r="BT4" s="59"/>
      <x:c r="BU4" s="59"/>
      <x:c r="BV4" s="59"/>
      <x:c r="BW4" s="58"/>
      <x:c r="BX4" s="60"/>
    </x:row>
    <x:row r="5" ht="45.75" customHeight="1">
      <x:c r="A5" s="40" t="s">
        <x:v>43</x:v>
      </x:c>
      <x:c r="B5" s="40" t="s">
        <x:v>44</x:v>
      </x:c>
      <x:c r="C5" s="40" t="s">
        <x:v>45</x:v>
      </x:c>
      <x:c r="D5" s="40" t="s">
        <x:v>46</x:v>
      </x:c>
      <x:c r="E5" s="40" t="s">
        <x:v>47</x:v>
      </x:c>
      <x:c r="F5" s="40" t="s">
        <x:v>90</x:v>
      </x:c>
      <x:c r="G5" s="40" t="s">
        <x:v>48</x:v>
      </x:c>
      <x:c r="H5" s="40" t="s">
        <x:v>49</x:v>
      </x:c>
      <x:c r="I5" s="40" t="s">
        <x:v>50</x:v>
      </x:c>
      <x:c r="J5" s="40" t="s">
        <x:v>51</x:v>
      </x:c>
      <x:c r="K5" s="40" t="s">
        <x:v>52</x:v>
      </x:c>
      <x:c r="L5" s="40" t="s">
        <x:v>53</x:v>
      </x:c>
      <x:c r="M5" s="40" t="s">
        <x:v>54</x:v>
      </x:c>
      <x:c r="N5" s="40" t="s">
        <x:v>55</x:v>
      </x:c>
      <x:c r="O5" s="40" t="s">
        <x:v>56</x:v>
      </x:c>
      <x:c r="P5" s="40" t="s">
        <x:v>57</x:v>
      </x:c>
      <x:c r="Q5" s="40" t="s">
        <x:v>58</x:v>
      </x:c>
      <x:c r="R5" s="40" t="s">
        <x:v>59</x:v>
      </x:c>
      <x:c r="S5" s="40" t="s">
        <x:v>60</x:v>
      </x:c>
      <x:c r="T5" s="40" t="s">
        <x:v>61</x:v>
      </x:c>
      <x:c r="U5" s="40" t="s">
        <x:v>62</x:v>
      </x:c>
      <x:c r="V5" s="40" t="s">
        <x:v>63</x:v>
      </x:c>
      <x:c r="W5" s="40" t="s">
        <x:v>64</x:v>
      </x:c>
      <x:c r="X5" s="40" t="s">
        <x:v>65</x:v>
      </x:c>
      <x:c r="Y5" s="40" t="s">
        <x:v>66</x:v>
      </x:c>
      <x:c r="Z5" s="40" t="s">
        <x:v>67</x:v>
      </x:c>
      <x:c r="AA5" s="40" t="s">
        <x:v>68</x:v>
      </x:c>
      <x:c r="AB5" s="40" t="s">
        <x:v>69</x:v>
      </x:c>
      <x:c r="AC5" s="40" t="s">
        <x:v>70</x:v>
      </x:c>
      <x:c r="AD5" s="40" t="s">
        <x:v>71</x:v>
      </x:c>
      <x:c r="AE5" s="40" t="s">
        <x:v>72</x:v>
      </x:c>
      <x:c r="AF5" s="40" t="s">
        <x:v>73</x:v>
      </x:c>
      <x:c r="AG5" s="40" t="s">
        <x:v>74</x:v>
      </x:c>
      <x:c r="AH5" s="40" t="s">
        <x:v>75</x:v>
      </x:c>
      <x:c r="AI5" s="40" t="s">
        <x:v>76</x:v>
      </x:c>
      <x:c r="AJ5" s="40" t="s">
        <x:v>77</x:v>
      </x:c>
      <x:c r="AK5" s="40" t="s">
        <x:v>78</x:v>
      </x:c>
      <x:c r="AL5" s="40" t="s">
        <x:v>79</x:v>
      </x:c>
      <x:c r="AM5" s="40" t="s">
        <x:v>80</x:v>
      </x:c>
      <x:c r="AN5" s="40" t="s">
        <x:v>81</x:v>
      </x:c>
      <x:c r="AO5" s="40" t="s">
        <x:v>82</x:v>
      </x:c>
      <x:c r="AP5" s="40" t="s">
        <x:v>83</x:v>
      </x:c>
      <x:c r="AQ5" s="40" t="s">
        <x:v>84</x:v>
      </x:c>
      <x:c r="AR5" s="40" t="s">
        <x:v>85</x:v>
      </x:c>
      <x:c r="AS5" s="40" t="s">
        <x:v>86</x:v>
      </x:c>
      <x:c r="AT5" s="40" t="s">
        <x:v>87</x:v>
      </x:c>
      <x:c r="AU5" s="40" t="s">
        <x:v>88</x:v>
      </x:c>
      <x:c r="AV5" s="40" t="s">
        <x:v>89</x:v>
      </x:c>
      <x:c r="AX5" s="31" t="s">
        <x:v>91</x:v>
      </x:c>
      <x:c r="AY5" s="32" t="s">
        <x:v>92</x:v>
      </x:c>
      <x:c r="AZ5" s="32" t="s">
        <x:v>93</x:v>
      </x:c>
      <x:c r="BA5" s="32" t="s">
        <x:v>94</x:v>
      </x:c>
      <x:c r="BB5" s="32" t="s">
        <x:v>95</x:v>
      </x:c>
      <x:c r="BC5" s="32" t="s">
        <x:v>96</x:v>
      </x:c>
      <x:c r="BD5" s="33" t="s">
        <x:v>97</x:v>
      </x:c>
      <x:c r="BE5" s="53" t="s">
        <x:v>12</x:v>
      </x:c>
      <x:c r="BF5" s="54" t="s">
        <x:v>13</x:v>
      </x:c>
      <x:c r="BG5" s="54" t="s">
        <x:v>14</x:v>
      </x:c>
      <x:c r="BH5" s="55" t="s">
        <x:v>15</x:v>
      </x:c>
      <x:c r="BI5" s="55" t="s">
        <x:v>27</x:v>
      </x:c>
      <x:c r="BJ5" s="56" t="s">
        <x:v>16</x:v>
      </x:c>
      <x:c r="BK5" s="53" t="s">
        <x:v>17</x:v>
      </x:c>
      <x:c r="BL5" s="56" t="s">
        <x:v>18</x:v>
      </x:c>
      <x:c r="BN5" s="61" t="s">
        <x:v>19</x:v>
      </x:c>
      <x:c r="BO5" s="62" t="s">
        <x:v>20</x:v>
      </x:c>
      <x:c r="BP5" s="62" t="s">
        <x:v>21</x:v>
      </x:c>
      <x:c r="BQ5" s="62" t="s">
        <x:v>15</x:v>
      </x:c>
      <x:c r="BR5" s="62"/>
      <x:c r="BS5" s="63" t="s">
        <x:v>22</x:v>
      </x:c>
      <x:c r="BT5" s="63" t="s">
        <x:v>23</x:v>
      </x:c>
      <x:c r="BU5" s="63" t="s">
        <x:v>25</x:v>
      </x:c>
      <x:c r="BV5" s="63" t="s">
        <x:v>24</x:v>
      </x:c>
      <x:c r="BW5" s="62"/>
      <x:c r="BX5" s="64" t="s">
        <x:v>28</x:v>
      </x:c>
    </x:row>
    <x:row r="6">
      <x:c r="AX6" s="31" t="s"/>
      <x:c r="BD6" s="33" t="s"/>
    </x:row>
    <x:row r="7">
      <x:c r="A7" s="35" t="s">
        <x:v>98</x:v>
      </x:c>
      <x:c r="AW7" s="33" t="s"/>
      <x:c r="AX7" s="11" t="s"/>
      <x:c r="BD7" s="13" t="s"/>
    </x:row>
    <x:row r="8">
      <x:c r="A8" s="17" t="s">
        <x:v>99</x:v>
      </x:c>
      <x:c r="AW8" s="33" t="s"/>
      <x:c r="AX8" s="11" t="s"/>
      <x:c r="BD8" s="13" t="s"/>
    </x:row>
    <x:row r="9">
      <x:c r="A9" s="31" t="s">
        <x:v>100</x:v>
      </x:c>
      <x:c r="B9" t="s"/>
      <x:c r="C9" t="s">
        <x:v>101</x:v>
      </x:c>
      <x:c r="D9" t="s">
        <x:v>102</x:v>
      </x:c>
      <x:c r="E9" s="69" t="s">
        <x:v>103</x:v>
      </x:c>
      <x:c r="F9" t="n">
        <x:v>2103</x:v>
      </x:c>
      <x:c r="G9" s="32" t="n">
        <x:v>0.0014265335235378031383737518</x:v>
      </x:c>
      <x:c r="H9" s="32" t="n">
        <x:v>0.0237755587256300523062291964</x:v>
      </x:c>
      <x:c r="I9" s="32" t="n">
        <x:v>0.0446980504041844983357108892</x:v>
      </x:c>
      <x:c r="J9" s="32" t="n">
        <x:v>0.0665715644317641464574417499</x:v>
      </x:c>
      <x:c r="K9" s="32" t="n">
        <x:v>0.0794103661436043747028055159</x:v>
      </x:c>
      <x:c r="L9" s="32" t="n">
        <x:v>0.0955777460770328102710413695</x:v>
      </x:c>
      <x:c r="M9" s="32" t="n">
        <x:v>0.1041369472182596291012838802</x:v>
      </x:c>
      <x:c r="N9" s="32" t="n">
        <x:v>0.1093675701378982406086543034</x:v>
      </x:c>
      <x:c r="O9" s="32" t="n">
        <x:v>0.1193533048026628625772705659</x:v>
      </x:c>
      <x:c r="P9" s="32" t="n">
        <x:v>0.1293390394674274845458868283</x:v>
      </x:c>
      <x:c r="Q9" s="32" t="n">
        <x:v>0.1426533523537803138373751783</x:v>
      </x:c>
      <x:c r="R9" s="32" t="n">
        <x:v>0.1502615311459819305753685212</x:v>
      </x:c>
      <x:c r="S9" s="32" t="n">
        <x:v>0.1564431764146457441749881122</x:v>
      </x:c>
      <x:c r="T9" s="32" t="n">
        <x:v>0.1688064669519733713742272943</x:v>
      </x:c>
      <x:c r="U9" s="32" t="n">
        <x:v>0.1859248692344270090347123157</x:v>
      </x:c>
      <x:c r="V9" s="32" t="n">
        <x:v>0.1935330480266286257727056586</x:v>
      </x:c>
      <x:c r="W9" s="32" t="n">
        <x:v>0.2116024726581074655254398478</x:v>
      </x:c>
      <x:c r="X9" s="32" t="n">
        <x:v>0.2272943414170233000475511175</x:v>
      </x:c>
      <x:c r="Y9" s="32" t="n">
        <x:v>0.243461721350451735615786971</x:v>
      </x:c>
      <x:c r="Z9" s="32" t="n">
        <x:v>0.2872087494056110318592486923</x:v>
      </x:c>
      <x:c r="AA9" s="32" t="n">
        <x:v>0.3043271516880646695197337137</x:v>
      </x:c>
      <x:c r="AB9" s="32" t="n">
        <x:v>0.3171659533999048977650974798</x:v>
      </x:c>
      <x:c r="AC9" s="32" t="n">
        <x:v>0.3328578221588207322872087494</x:v>
      </x:c>
      <x:c r="AD9" s="32" t="n">
        <x:v>0.3561578697099381835473133619</x:v>
      </x:c>
      <x:c r="AE9" s="32" t="n">
        <x:v>0.3632905373276271992391821208</x:v>
      </x:c>
      <x:c r="AF9" s="32" t="n">
        <x:v>0.3723252496433666191155492154</x:v>
      </x:c>
      <x:c r="AG9" s="32" t="n">
        <x:v>0.3704232049453162149310508797</x:v>
      </x:c>
      <x:c r="AH9" s="32" t="n">
        <x:v>0.3766048502139800285306704708</x:v>
      </x:c>
      <x:c r="AI9" s="32" t="n">
        <x:v>0.3832620066571564431764146457</x:v>
      </x:c>
      <x:c r="AJ9" s="32" t="n">
        <x:v>0.3932477413219210651450309082</x:v>
      </x:c>
      <x:c r="AK9" s="32" t="n">
        <x:v>0.4008559201141226818830242511</x:v>
      </x:c>
      <x:c r="AL9" s="32" t="n">
        <x:v>0.4070375653827864954826438421</x:v>
      </x:c>
      <x:c r="AM9" s="32" t="n">
        <x:v>0.4365192582025677603423680456</x:v>
      </x:c>
      <x:c r="AN9" s="32" t="n">
        <x:v>0.4560152163575844032334759867</x:v>
      </x:c>
      <x:c r="AO9" s="32" t="n">
        <x:v>0.4650499286733238231098430813</x:v>
      </x:c>
      <x:c r="AP9" s="32" t="n">
        <x:v>0.4873989538754160722776985259</x:v>
      </x:c>
      <x:c r="AQ9" s="32" t="n">
        <x:v>0.5106990014265335235378031384</x:v>
      </x:c>
      <x:c r="AR9" s="32" t="n">
        <x:v>0.5449358059914407988587731812</x:v>
      </x:c>
      <x:c r="AS9" s="32" t="n">
        <x:v>0.5739419876367094626723728008</x:v>
      </x:c>
      <x:c r="AT9" s="22" t="n">
        <x:v>0.6348074179743223965763195435</x:v>
      </x:c>
      <x:c r="AW9" s="33" t="s"/>
      <x:c r="AX9" s="11" t="s">
        <x:v>104</x:v>
      </x:c>
      <x:c r="AY9" s="12" t="n">
        <x:f>=BI9</x:f>
      </x:c>
      <x:c r="AZ9" s="12" t="n">
        <x:v>0.59201141226818830242510699</x:v>
      </x:c>
      <x:c r="BA9" s="12" t="n">
        <x:v>0.3780313837375178316690442225</x:v>
      </x:c>
      <x:c r="BB9" s="12" t="n">
        <x:v>0.0299572039942938659058487874</x:v>
      </x:c>
      <x:c r="BC9" s="12" t="n">
        <x:f>=BH9</x:f>
      </x:c>
      <x:c r="BD9" s="13" t="n">
        <x:f>=BQ9</x:f>
      </x:c>
      <x:c r="BE9" s="30" t="n">
        <x:v>8170.86</x:v>
      </x:c>
      <x:c r="BF9" s="30" t="n">
        <x:v>-4475.1638</x:v>
      </x:c>
      <x:c r="BG9" s="30" t="n">
        <x:f>=BE9+BF9</x:f>
      </x:c>
      <x:c r="BH9" s="66" t="n">
        <x:f>=BG9/BE9</x:f>
      </x:c>
      <x:c r="BI9" s="66" t="n">
        <x:v>0.9700427960057061340941512126</x:v>
      </x:c>
      <x:c r="BJ9" s="30" t="n">
        <x:v>4375.52</x:v>
      </x:c>
      <x:c r="BK9" s="41" t="n">
        <x:v>63</x:v>
      </x:c>
      <x:c r="BL9" s="30" t="n">
        <x:v>131.07834522111269614835948645</x:v>
      </x:c>
      <x:c r="BN9" s="30" t="n">
        <x:v>11166.420966834077625000000</x:v>
      </x:c>
      <x:c r="BO9" s="30" t="n">
        <x:v>-4475.1638</x:v>
      </x:c>
      <x:c r="BP9" s="30" t="n">
        <x:f>=BN9+BO9</x:f>
      </x:c>
      <x:c r="BQ9" s="66" t="n">
        <x:f>=BP9/BN9</x:f>
      </x:c>
      <x:c r="BS9" s="66" t="n">
        <x:f>=BT9+BU9</x:f>
      </x:c>
      <x:c r="BT9" s="66" t="n">
        <x:f>=BI9+(0*4)</x:f>
      </x:c>
      <x:c r="BU9" s="66" t="n">
        <x:f>=(1-BT9)*0.5</x:f>
      </x:c>
      <x:c r="BV9" s="66" t="n">
        <x:f>=1-BS9</x:f>
      </x:c>
      <x:c r="BX9" s="66" t="n">
        <x:f>=BU9/(1-BT9)</x:f>
      </x:c>
    </x:row>
    <x:row r="10">
      <x:c r="A10" s="31" t="s">
        <x:v>105</x:v>
      </x:c>
      <x:c r="B10" t="s"/>
      <x:c r="C10" t="s">
        <x:v>106</x:v>
      </x:c>
      <x:c r="D10" t="s">
        <x:v>102</x:v>
      </x:c>
      <x:c r="E10" s="69" t="s">
        <x:v>103</x:v>
      </x:c>
      <x:c r="F10" t="n">
        <x:v>2101</x:v>
      </x:c>
      <x:c r="G10" s="32" t="n">
        <x:v>0.0019038553069966682532127558</x:v>
      </x:c>
      <x:c r="H10" s="32" t="n">
        <x:v>0.0257020466444550214183722037</x:v>
      </x:c>
      <x:c r="I10" s="32" t="n">
        <x:v>0.0490242741551642075202284626</x:v>
      </x:c>
      <x:c r="J10" s="32" t="n">
        <x:v>0.0699666825321275583055687768</x:v>
      </x:c>
      <x:c r="K10" s="32" t="n">
        <x:v>0.1085197524988100904331270823</x:v>
      </x:c>
      <x:c r="L10" s="32" t="n">
        <x:v>0.1261304140885292717753450738</x:v>
      </x:c>
      <x:c r="M10" s="32" t="n">
        <x:v>0.1565920990004759638267491671</x:v>
      </x:c>
      <x:c r="N10" s="32" t="n">
        <x:v>0.1746787244169443122322703475</x:v>
      </x:c>
      <x:c r="O10" s="32" t="n">
        <x:v>0.2065683008091385054735840076</x:v>
      </x:c>
      <x:c r="P10" s="32" t="n">
        <x:v>0.2322703474535935268919562113</x:v>
      </x:c>
      <x:c r="Q10" s="32" t="n">
        <x:v>0.2665397429795335554497858163</x:v>
      </x:c>
      <x:c r="R10" s="32" t="n">
        <x:v>0.2931937172774869109947643979</x:v>
      </x:c>
      <x:c r="S10" s="32" t="n">
        <x:v>0.3055687767729652546406473108</x:v>
      </x:c>
      <x:c r="T10" s="32" t="n">
        <x:v>0.3241313660161827701094716802</x:v>
      </x:c>
      <x:c r="U10" s="32" t="n">
        <x:v>0.3498334126606377915278438839</x:v>
      </x:c>
      <x:c r="V10" s="32" t="n">
        <x:v>0.3750594954783436458829128986</x:v>
      </x:c>
      <x:c r="W10" s="32" t="n">
        <x:v>0.3979057591623036649214659686</x:v>
      </x:c>
      <x:c r="X10" s="32" t="n">
        <x:v>0.4340790099952403617325083294</x:v>
      </x:c>
      <x:c r="Y10" s="32" t="n">
        <x:v>0.460257020466444550214183722</x:v>
      </x:c>
      <x:c r="Z10" s="32" t="n">
        <x:v>0.4911946692051404093288910043</x:v>
      </x:c>
      <x:c r="AA10" s="32" t="n">
        <x:v>0.5235602094240837696335078534</x:v>
      </x:c>
      <x:c r="AB10" s="32" t="n">
        <x:v>0.5473584007615421227986673013</x:v>
      </x:c>
      <x:c r="AC10" s="32" t="n">
        <x:v>0.5663969538315088053307948596</x:v>
      </x:c>
      <x:c r="AD10" s="32" t="n">
        <x:v>0.5811518324607329842931937173</x:v>
      </x:c>
      <x:c r="AE10" s="32" t="n">
        <x:v>0.5930509281294621608757734412</x:v>
      </x:c>
      <x:c r="AF10" s="32" t="n">
        <x:v>0.6049500237981913374583531652</x:v>
      </x:c>
      <x:c r="AG10" s="32" t="n">
        <x:v>0.6044740599714421703950499762</x:v>
      </x:c>
      <x:c r="AH10" s="32" t="n">
        <x:v>0.6144693003331746787244169443</x:v>
      </x:c>
      <x:c r="AI10" s="32" t="n">
        <x:v>0.6187529747739171822941456449</x:v>
      </x:c>
      <x:c r="AJ10" s="32" t="n">
        <x:v>0.6187529747739171822941456449</x:v>
      </x:c>
      <x:c r="AK10" s="32" t="n">
        <x:v>0.6263683960019038553069966683</x:v>
      </x:c>
      <x:c r="AL10" s="32" t="n">
        <x:v>0.6335078534031413612565445026</x:v>
      </x:c>
      <x:c r="AM10" s="32" t="n">
        <x:v>0.6606377915278438838648262732</x:v>
      </x:c>
      <x:c r="AN10" s="32" t="n">
        <x:v>0.6787244169443122322703474536</x:v>
      </x:c>
      <x:c r="AO10" s="32" t="n">
        <x:v>0.6868158019990480723465016659</x:v>
      </x:c>
      <x:c r="AP10" s="23" t="n">
        <x:v>0.7091861018562589243217515469</x:v>
      </x:c>
      <x:c r="AQ10" s="32" t="n">
        <x:v>0.7248929081389814374107567825</x:v>
      </x:c>
      <x:c r="AR10" s="32" t="n">
        <x:v>0.7386958591147072822465492623</x:v>
      </x:c>
      <x:c r="AS10" s="32" t="n">
        <x:v>0.7539267015706806282722513089</x:v>
      </x:c>
      <x:c r="AT10" s="22" t="n">
        <x:v>0.775821037601142313184198001</x:v>
      </x:c>
      <x:c r="AW10" s="33" t="s"/>
      <x:c r="AX10" s="11" t="s">
        <x:v>104</x:v>
      </x:c>
      <x:c r="AY10" s="12" t="n">
        <x:f>=BI10</x:f>
      </x:c>
      <x:c r="AZ10" s="12" t="n">
        <x:v>0.7724892908138981437410756782</x:v>
      </x:c>
      <x:c r="BA10" s="12" t="n">
        <x:v>0.2099000475963826749167063303</x:v>
      </x:c>
      <x:c r="BB10" s="12" t="n">
        <x:v>0.0176106615897191813422179914</x:v>
      </x:c>
      <x:c r="BC10" s="12" t="n">
        <x:f>=BH10</x:f>
      </x:c>
      <x:c r="BD10" s="13" t="n">
        <x:f>=BQ10</x:f>
      </x:c>
      <x:c r="BE10" s="30" t="n">
        <x:v>8513.44</x:v>
      </x:c>
      <x:c r="BF10" s="30" t="n">
        <x:v>-4401.0430</x:v>
      </x:c>
      <x:c r="BG10" s="30" t="n">
        <x:f>=BE10+BF10</x:f>
      </x:c>
      <x:c r="BH10" s="66" t="n">
        <x:f>=BG10/BE10</x:f>
      </x:c>
      <x:c r="BI10" s="66" t="n">
        <x:v>0.9823893384102808186577820086</x:v>
      </x:c>
      <x:c r="BJ10" s="30" t="n">
        <x:v>4298.90</x:v>
      </x:c>
      <x:c r="BK10" s="41" t="n">
        <x:v>37</x:v>
      </x:c>
      <x:c r="BL10" s="30" t="n">
        <x:v>75.70647310804378867206092337</x:v>
      </x:c>
      <x:c r="BN10" s="30" t="n">
        <x:v>11380.61210007575050000000</x:v>
      </x:c>
      <x:c r="BO10" s="30" t="n">
        <x:v>-4401.0430</x:v>
      </x:c>
      <x:c r="BP10" s="30" t="n">
        <x:f>=BN10+BO10</x:f>
      </x:c>
      <x:c r="BQ10" s="66" t="n">
        <x:f>=BP10/BN10</x:f>
      </x:c>
      <x:c r="BS10" s="66" t="n">
        <x:f>=BT10+BU10</x:f>
      </x:c>
      <x:c r="BT10" s="66" t="n">
        <x:f>=BI10+(0*4)</x:f>
      </x:c>
      <x:c r="BU10" s="66" t="n">
        <x:f>=(1-BT10)*0.5</x:f>
      </x:c>
      <x:c r="BV10" s="66" t="n">
        <x:f>=1-BS10</x:f>
      </x:c>
      <x:c r="BX10" s="66" t="n">
        <x:f>=BU10/(1-BT10)</x:f>
      </x:c>
    </x:row>
    <x:row r="11">
      <x:c r="A11" s="31" t="s">
        <x:v>107</x:v>
      </x:c>
      <x:c r="B11" t="s"/>
      <x:c r="C11" t="s">
        <x:v>108</x:v>
      </x:c>
      <x:c r="D11" t="s">
        <x:v>109</x:v>
      </x:c>
      <x:c r="E11" s="69" t="s">
        <x:v>103</x:v>
      </x:c>
      <x:c r="F11" t="n">
        <x:v>2078</x:v>
      </x:c>
      <x:c r="G11" s="32" t="n">
        <x:v>0.028392685274302213666987488</x:v>
      </x:c>
      <x:c r="H11" s="32" t="n">
        <x:v>0.0837343599615014436958614052</x:v>
      </x:c>
      <x:c r="I11" s="32" t="n">
        <x:v>0.1669874879692011549566891242</x:v>
      </x:c>
      <x:c r="J11" s="32" t="n">
        <x:v>0.2151106833493743984600577478</x:v>
      </x:c>
      <x:c r="K11" s="32" t="n">
        <x:v>0.2752646775745909528392685274</x:v>
      </x:c>
      <x:c r="L11" s="32" t="n">
        <x:v>0.3306063522617901828681424447</x:v>
      </x:c>
      <x:c r="M11" s="32" t="n">
        <x:v>0.3710298363811357074109720885</x:v>
      </x:c>
      <x:c r="N11" s="32" t="n">
        <x:v>0.4254090471607314725697786333</x:v>
      </x:c>
      <x:c r="O11" s="32" t="n">
        <x:v>0.4903753609239653512993262753</x:v>
      </x:c>
      <x:c r="P11" s="32" t="n">
        <x:v>0.5519730510105871029836381136</x:v>
      </x:c>
      <x:c r="Q11" s="32" t="n">
        <x:v>0.5899903753609239653512993263</x:v>
      </x:c>
      <x:c r="R11" s="32" t="n">
        <x:v>0.6342637151106833493743984601</x:v>
      </x:c>
      <x:c r="S11" s="32" t="n">
        <x:v>0.6549566891241578440808469682</x:v>
      </x:c>
      <x:c r="T11" s="32" t="n">
        <x:v>0.6746871992300288739172281039</x:v>
      </x:c>
      <x:c r="U11" s="32" t="n">
        <x:v>0.6819056785370548604427333975</x:v>
      </x:c>
      <x:c r="V11" s="32" t="n">
        <x:v>0.6973051010587102983638113571</x:v>
      </x:c>
      <x:c r="W11" s="23" t="n">
        <x:v>0.7179980750721847930702598653</x:v>
      </x:c>
      <x:c r="X11" s="32" t="n">
        <x:v>0.7261790182868142444658325313</x:v>
      </x:c>
      <x:c r="Y11" s="32" t="n">
        <x:v>0.7338787295476419634263715111</x:v>
      </x:c>
      <x:c r="Z11" s="32" t="n">
        <x:v>0.7425409047160731472569778633</x:v>
      </x:c>
      <x:c r="AA11" s="32" t="n">
        <x:v>0.7468719923002887391722810395</x:v>
      </x:c>
      <x:c r="AB11" s="32" t="n">
        <x:v>0.754090471607314725697786333</x:v>
      </x:c>
      <x:c r="AC11" s="32" t="n">
        <x:v>0.7550529355149181905678537055</x:v>
      </x:c>
      <x:c r="AD11" s="32" t="n">
        <x:v>0.7589027911453320500481231954</x:v>
      </x:c>
      <x:c r="AE11" s="32" t="n">
        <x:v>0.7584215591915303176130895091</x:v>
      </x:c>
      <x:c r="AF11" s="32" t="n">
        <x:v>0.7579403272377285851780558229</x:v>
      </x:c>
      <x:c r="AG11" s="32" t="n">
        <x:v>0.7579403272377285851780558229</x:v>
      </x:c>
      <x:c r="AH11" s="32" t="n">
        <x:v>0.7579403272377285851780558229</x:v>
      </x:c>
      <x:c r="AI11" s="32" t="n">
        <x:v>0.7584215591915303176130895091</x:v>
      </x:c>
      <x:c r="AJ11" s="32" t="n">
        <x:v>0.7593840230991337824831568816</x:v>
      </x:c>
      <x:c r="AK11" s="32" t="n">
        <x:v>0.7603464870067372473532242541</x:v>
      </x:c>
      <x:c r="AL11" s="32" t="n">
        <x:v>0.762271414821944177093358999</x:v>
      </x:c>
      <x:c r="AM11" s="32" t="n">
        <x:v>0.762271414821944177093358999</x:v>
      </x:c>
      <x:c r="AN11" s="32" t="n">
        <x:v>0.762271414821944177093358999</x:v>
      </x:c>
      <x:c r="AO11" s="32" t="n">
        <x:v>0.7617901828681424446583253128</x:v>
      </x:c>
      <x:c r="AP11" s="22" t="n">
        <x:v>0.7882579403272377285851780558</x:v>
      </x:c>
      <x:c r="AW11" s="33" t="s"/>
      <x:c r="AX11" s="11" t="s">
        <x:v>110</x:v>
      </x:c>
      <x:c r="AY11" s="12" t="n">
        <x:f>=BI11</x:f>
      </x:c>
      <x:c r="AZ11" s="12" t="n">
        <x:v>0.7613089509143407122232916266</x:v>
      </x:c>
      <x:c r="BA11" s="12" t="n">
        <x:v>0.1573628488931665062560153994</x:v>
      </x:c>
      <x:c r="BB11" s="12" t="n">
        <x:v>0.081328200192492781520692974</x:v>
      </x:c>
      <x:c r="BC11" s="12" t="n">
        <x:f>=BH11</x:f>
      </x:c>
      <x:c r="BD11" s="13" t="n">
        <x:f>=BQ11</x:f>
      </x:c>
      <x:c r="BE11" s="30" t="n">
        <x:v>30883.16</x:v>
      </x:c>
      <x:c r="BF11" s="30" t="n">
        <x:v>-23702.7216</x:v>
      </x:c>
      <x:c r="BG11" s="30" t="n">
        <x:f>=BE11+BF11</x:f>
      </x:c>
      <x:c r="BH11" s="66" t="n">
        <x:f>=BG11/BE11</x:f>
      </x:c>
      <x:c r="BI11" s="66" t="n">
        <x:v>0.918671799807507218479307026</x:v>
      </x:c>
      <x:c r="BJ11" s="30" t="n">
        <x:v>23172.50</x:v>
      </x:c>
      <x:c r="BK11" s="41" t="n">
        <x:v>169</x:v>
      </x:c>
      <x:c r="BL11" s="30" t="n">
        <x:v>1884.5777189605389797882579402</x:v>
      </x:c>
      <x:c r="BN11" s="30" t="n">
        <x:v>41721.62519576953550000000</x:v>
      </x:c>
      <x:c r="BO11" s="30" t="n">
        <x:v>-23702.7216</x:v>
      </x:c>
      <x:c r="BP11" s="30" t="n">
        <x:f>=BN11+BO11</x:f>
      </x:c>
      <x:c r="BQ11" s="66" t="n">
        <x:f>=BP11/BN11</x:f>
      </x:c>
      <x:c r="BS11" s="66" t="n">
        <x:f>=BT11+BU11</x:f>
      </x:c>
      <x:c r="BT11" s="66" t="n">
        <x:f>=BI11+(0*4)</x:f>
      </x:c>
      <x:c r="BU11" s="66" t="n">
        <x:f>=(1-BT11)*0.5</x:f>
      </x:c>
      <x:c r="BV11" s="66" t="n">
        <x:f>=1-BS11</x:f>
      </x:c>
      <x:c r="BX11" s="66" t="n">
        <x:f>=BU11/(1-BT11)</x:f>
      </x:c>
    </x:row>
    <x:row r="12">
      <x:c r="A12" s="31" t="s">
        <x:v>111</x:v>
      </x:c>
      <x:c r="B12" t="s"/>
      <x:c r="C12" t="s">
        <x:v>112</x:v>
      </x:c>
      <x:c r="D12" t="s">
        <x:v>113</x:v>
      </x:c>
      <x:c r="E12" s="69" t="s">
        <x:v>103</x:v>
      </x:c>
      <x:c r="F12" t="n">
        <x:v>2053</x:v>
      </x:c>
      <x:c r="G12" s="32" t="n">
        <x:v>0.075012177301509985387238188</x:v>
      </x:c>
      <x:c r="H12" s="32" t="n">
        <x:v>0.075012177301509985387238188</x:v>
      </x:c>
      <x:c r="I12" s="32" t="n">
        <x:v>0.1758402338041889917194349732</x:v>
      </x:c>
      <x:c r="J12" s="32" t="n">
        <x:v>0.2474427666829030686799805163</x:v>
      </x:c>
      <x:c r="K12" s="32" t="n">
        <x:v>0.3122260107160253287871407696</x:v>
      </x:c>
      <x:c r="L12" s="32" t="n">
        <x:v>0.3799318071115440818314661471</x:v>
      </x:c>
      <x:c r="M12" s="32" t="n">
        <x:v>0.4320506575742815392109108622</x:v>
      </x:c>
      <x:c r="N12" s="32" t="n">
        <x:v>0.4939113492450073063809059912</x:v>
      </x:c>
      <x:c r="O12" s="32" t="n">
        <x:v>0.5372625426205552849488553337</x:v>
      </x:c>
      <x:c r="P12" s="32" t="n">
        <x:v>0.5728202630297126156843643449</x:v>
      </x:c>
      <x:c r="Q12" s="32" t="n">
        <x:v>0.6103263516804676083779834389</x:v>
      </x:c>
      <x:c r="R12" s="32" t="n">
        <x:v>0.654164637116415002435460302</x:v>
      </x:c>
      <x:c r="S12" s="32" t="n">
        <x:v>0.6950803701899659035557720409</x:v>
      </x:c>
      <x:c r="T12" s="23" t="n">
        <x:v>0.7082318558207501217730150999</x:v>
      </x:c>
      <x:c r="U12" s="32" t="n">
        <x:v>0.72917681441792498782269849</x:v>
      </x:c>
      <x:c r="V12" s="32" t="n">
        <x:v>0.7286897223575255723331709693</x:v>
      </x:c>
      <x:c r="W12" s="32" t="n">
        <x:v>0.7413541159279103750608865075</x:v>
      </x:c>
      <x:c r="X12" s="32" t="n">
        <x:v>0.7525572333170969313200194837</x:v>
      </x:c>
      <x:c r="Y12" s="32" t="n">
        <x:v>0.7730150998538723818801753531</x:v>
      </x:c>
      <x:c r="Z12" s="32" t="n">
        <x:v>0.7959084266926449098879688261</x:v>
      </x:c>
      <x:c r="AA12" s="32" t="n">
        <x:v>0.8168533852898197759376522163</x:v>
      </x:c>
      <x:c r="AB12" s="32" t="n">
        <x:v>0.8377983438869946419873356064</x:v>
      </x:c>
      <x:c r="AC12" s="32" t="n">
        <x:v>0.854846566000974184120798831</x:v>
      </x:c>
      <x:c r="AD12" s="32" t="n">
        <x:v>0.8767657087189478811495372625</x:v>
      </x:c>
      <x:c r="AE12" s="32" t="n">
        <x:v>0.8981977593765221626887481734</x:v>
      </x:c>
      <x:c r="AF12" s="32" t="n">
        <x:v>0.9157330735509011203117389187</x:v>
      </x:c>
      <x:c r="AG12" s="32" t="n">
        <x:v>0.9279103750608865075499269362</x:v>
      </x:c>
      <x:c r="AH12" s="32" t="n">
        <x:v>0.934729663906478324403312226</x:v>
      </x:c>
      <x:c r="AI12" s="22" t="n">
        <x:v>0.9420360448124695567462250365</x:v>
      </x:c>
      <x:c r="AW12" s="33" t="s"/>
      <x:c r="AX12" s="11" t="s">
        <x:v>114</x:v>
      </x:c>
      <x:c r="AY12" s="12" t="n">
        <x:f>=BI12</x:f>
      </x:c>
      <x:c r="AZ12" s="12" t="n">
        <x:v>0.934729663906478324403312226</x:v>
      </x:c>
      <x:c r="BA12" s="12" t="n">
        <x:v>0.0477350219191427179736970287</x:v>
      </x:c>
      <x:c r="BB12" s="12" t="n">
        <x:v>0.0175353141743789576229907453</x:v>
      </x:c>
      <x:c r="BC12" s="12" t="n">
        <x:f>=BH12</x:f>
      </x:c>
      <x:c r="BD12" s="13" t="n">
        <x:f>=BQ12</x:f>
      </x:c>
      <x:c r="BE12" s="30" t="n">
        <x:v>13365.64</x:v>
      </x:c>
      <x:c r="BF12" s="30" t="n">
        <x:v>-8670.46619408880612500000</x:v>
      </x:c>
      <x:c r="BG12" s="30" t="n">
        <x:f>=BE12+BF12</x:f>
      </x:c>
      <x:c r="BH12" s="66" t="n">
        <x:f>=BG12/BE12</x:f>
      </x:c>
      <x:c r="BI12" s="66" t="n">
        <x:v>0.9824646858256210423770092547</x:v>
      </x:c>
      <x:c r="BJ12" s="30" t="n">
        <x:v>8842.536076380212500000</x:v>
      </x:c>
      <x:c r="BK12" s="41" t="n">
        <x:v>36</x:v>
      </x:c>
      <x:c r="BL12" s="30" t="n">
        <x:v>155.05664819760723331709693132</x:v>
      </x:c>
      <x:c r="BN12" s="30" t="n">
        <x:v>17496.91304969086450000000</x:v>
      </x:c>
      <x:c r="BO12" s="30" t="n">
        <x:v>-8670.46619408880612500000</x:v>
      </x:c>
      <x:c r="BP12" s="30" t="n">
        <x:f>=BN12+BO12</x:f>
      </x:c>
      <x:c r="BQ12" s="66" t="n">
        <x:f>=BP12/BN12</x:f>
      </x:c>
      <x:c r="BS12" s="66" t="n">
        <x:f>=BT12+BU12</x:f>
      </x:c>
      <x:c r="BT12" s="66" t="n">
        <x:f>=BI12+(0*4)</x:f>
      </x:c>
      <x:c r="BU12" s="66" t="n">
        <x:f>=(1-BT12)*0.5</x:f>
      </x:c>
      <x:c r="BV12" s="66" t="n">
        <x:f>=1-BS12</x:f>
      </x:c>
      <x:c r="BX12" s="66" t="n">
        <x:f>=BU12/(1-BT12)</x:f>
      </x:c>
    </x:row>
    <x:row r="13">
      <x:c r="A13" s="31" t="s">
        <x:v>115</x:v>
      </x:c>
      <x:c r="B13" t="s"/>
      <x:c r="C13" t="s">
        <x:v>116</x:v>
      </x:c>
      <x:c r="D13" t="s">
        <x:v>102</x:v>
      </x:c>
      <x:c r="E13" s="69" t="s">
        <x:v>103</x:v>
      </x:c>
      <x:c r="F13" t="n">
        <x:v>1013</x:v>
      </x:c>
      <x:c r="G13" s="32" t="n">
        <x:v>0.0157946692991115498519249753</x:v>
      </x:c>
      <x:c r="H13" s="32" t="n">
        <x:v>0.0404738400789733464955577493</x:v>
      </x:c>
      <x:c r="I13" s="32" t="n">
        <x:v>0.0839091806515301085883514314</x:v>
      </x:c>
      <x:c r="J13" s="32" t="n">
        <x:v>0.1431391905231984205330700888</x:v>
      </x:c>
      <x:c r="K13" s="32" t="n">
        <x:v>0.208292201382033563672260612</x:v>
      </x:c>
      <x:c r="L13" s="32" t="n">
        <x:v>0.255676209279368213228035538</x:v>
      </x:c>
      <x:c r="M13" s="32" t="n">
        <x:v>0.2951628825271470878578479763</x:v>
      </x:c>
      <x:c r="N13" s="32" t="n">
        <x:v>0.3524185587364264560710760118</x:v>
      </x:c>
      <x:c r="O13" s="32" t="n">
        <x:v>0.3593287265547877591312931885</x:v>
      </x:c>
      <x:c r="P13" s="32" t="n">
        <x:v>0.4076999012833168805528134255</x:v>
      </x:c>
      <x:c r="Q13" s="32" t="n">
        <x:v>0.4067127344521224086870681145</x:v>
      </x:c>
      <x:c r="R13" s="32" t="n">
        <x:v>0.4136229022704837117472852912</x:v>
      </x:c>
      <x:c r="S13" s="32" t="n">
        <x:v>0.4313919052319842053307008885</x:v>
      </x:c>
      <x:c r="T13" s="32" t="n">
        <x:v>0.4491609081934846989141164857</x:v>
      </x:c>
      <x:c r="U13" s="32" t="n">
        <x:v>0.5182625863770977295162882527</x:v>
      </x:c>
      <x:c r="V13" s="32" t="n">
        <x:v>0.5952615992102665350444225074</x:v>
      </x:c>
      <x:c r="W13" s="32" t="n">
        <x:v>0.6130306021717670286278381046</x:v>
      </x:c>
      <x:c r="X13" s="32" t="n">
        <x:v>0.627838104639684106614017769</x:v>
      </x:c>
      <x:c r="Y13" s="32" t="n">
        <x:v>0.6692991115498519249753208292</x:v>
      </x:c>
      <x:c r="Z13" s="23" t="n">
        <x:v>0.7423494570582428430404738401</x:v>
      </x:c>
      <x:c r="AA13" s="32" t="n">
        <x:v>0.8084896347482724580454096742</x:v>
      </x:c>
      <x:c r="AB13" s="22" t="n">
        <x:v>0.8529121421520236920039486673</x:v>
      </x:c>
      <x:c r="AW13" s="33" t="s"/>
      <x:c r="AX13" s="11" t="s">
        <x:v>117</x:v>
      </x:c>
      <x:c r="AY13" s="12" t="n">
        <x:f>=BI13</x:f>
      </x:c>
      <x:c r="AZ13" s="12" t="n">
        <x:v>0.8242843040473840078973346496</x:v>
      </x:c>
      <x:c r="BA13" s="12" t="n">
        <x:v>0.1431391905231984205330700888</x:v>
      </x:c>
      <x:c r="BB13" s="12" t="n">
        <x:v>0.0325765054294175715695952616</x:v>
      </x:c>
      <x:c r="BC13" s="12" t="n">
        <x:f>=BH13</x:f>
      </x:c>
      <x:c r="BD13" s="13" t="n">
        <x:f>=BQ13</x:f>
      </x:c>
      <x:c r="BE13" s="30" t="n">
        <x:v>2966.58</x:v>
      </x:c>
      <x:c r="BF13" s="30" t="n">
        <x:v>-1700.3569</x:v>
      </x:c>
      <x:c r="BG13" s="30" t="n">
        <x:f>=BE13+BF13</x:f>
      </x:c>
      <x:c r="BH13" s="66" t="n">
        <x:f>=BG13/BE13</x:f>
      </x:c>
      <x:c r="BI13" s="66" t="n">
        <x:v>0.9674234945705824284304047384</x:v>
      </x:c>
      <x:c r="BJ13" s="30" t="n">
        <x:v>1659.06</x:v>
      </x:c>
      <x:c r="BK13" s="41" t="n">
        <x:v>33</x:v>
      </x:c>
      <x:c r="BL13" s="30" t="n">
        <x:v>54.046377097729516288252714708</x:v>
      </x:c>
      <x:c r="BN13" s="30" t="n">
        <x:v>3931.14354968451075000000</x:v>
      </x:c>
      <x:c r="BO13" s="30" t="n">
        <x:v>-1700.3569</x:v>
      </x:c>
      <x:c r="BP13" s="30" t="n">
        <x:f>=BN13+BO13</x:f>
      </x:c>
      <x:c r="BQ13" s="66" t="n">
        <x:f>=BP13/BN13</x:f>
      </x:c>
      <x:c r="BS13" s="66" t="n">
        <x:f>=BT13+BU13</x:f>
      </x:c>
      <x:c r="BT13" s="66" t="n">
        <x:f>=BI13+(0*4)</x:f>
      </x:c>
      <x:c r="BU13" s="66" t="n">
        <x:f>=(1-BT13)*0.5</x:f>
      </x:c>
      <x:c r="BV13" s="66" t="n">
        <x:f>=1-BS13</x:f>
      </x:c>
      <x:c r="BX13" s="66" t="n">
        <x:f>=BU13/(1-BT13)</x:f>
      </x:c>
    </x:row>
    <x:row r="14">
      <x:c r="A14" s="31" t="s">
        <x:v>118</x:v>
      </x:c>
      <x:c r="B14" t="s"/>
      <x:c r="C14" t="s">
        <x:v>119</x:v>
      </x:c>
      <x:c r="D14" t="s">
        <x:v>102</x:v>
      </x:c>
      <x:c r="E14" s="69" t="s">
        <x:v>103</x:v>
      </x:c>
      <x:c r="F14" t="n">
        <x:v>1038</x:v>
      </x:c>
      <x:c r="G14" s="32" t="n">
        <x:v>0.0173410404624277456647398844</x:v>
      </x:c>
      <x:c r="H14" s="32" t="n">
        <x:v>0.1377649325626204238921001927</x:v>
      </x:c>
      <x:c r="I14" s="32" t="n">
        <x:v>0.272639691714836223506743738</x:v>
      </x:c>
      <x:c r="J14" s="32" t="n">
        <x:v>0.444123314065510597302504817</x:v>
      </x:c>
      <x:c r="K14" s="32" t="n">
        <x:v>0.6416184971098265895953757225</x:v>
      </x:c>
      <x:c r="L14" s="23" t="n">
        <x:v>0.7485549132947976878612716763</x:v>
      </x:c>
      <x:c r="M14" s="32" t="n">
        <x:v>0.7947976878612716763005780347</x:v>
      </x:c>
      <x:c r="N14" s="32" t="n">
        <x:v>0.8554913294797687861271676301</x:v>
      </x:c>
      <x:c r="O14" s="32" t="n">
        <x:v>0.8545279383429672447013487476</x:v>
      </x:c>
      <x:c r="P14" s="32" t="n">
        <x:v>0.886319845857418111753371869</x:v>
      </x:c>
      <x:c r="Q14" s="32" t="n">
        <x:v>0.8911368015414258188824662813</x:v>
      </x:c>
      <x:c r="R14" s="32" t="n">
        <x:v>0.8959537572254335260115606936</x:v>
      </x:c>
      <x:c r="S14" s="32" t="n">
        <x:v>0.913294797687861271676300578</x:v>
      </x:c>
      <x:c r="T14" s="32" t="n">
        <x:v>0.9335260115606936416184971098</x:v>
      </x:c>
      <x:c r="U14" s="32" t="n">
        <x:v>0.9537572254335260115606936416</x:v>
      </x:c>
      <x:c r="V14" s="32" t="n">
        <x:v>0.9643545279383429672447013487</x:v>
      </x:c>
      <x:c r="W14" s="32" t="n">
        <x:v>0.9662813102119460500963391137</x:v>
      </x:c>
      <x:c r="X14" s="32" t="n">
        <x:v>0.9730250481695568400770712909</x:v>
      </x:c>
      <x:c r="Y14" s="32" t="n">
        <x:v>0.9730250481695568400770712909</x:v>
      </x:c>
      <x:c r="Z14" s="32" t="n">
        <x:v>0.9730250481695568400770712909</x:v>
      </x:c>
      <x:c r="AA14" s="32" t="n">
        <x:v>0.9816955684007707129094412331</x:v>
      </x:c>
      <x:c r="AB14" s="22" t="n">
        <x:v>0.9836223506743737957610789981</x:v>
      </x:c>
      <x:c r="AW14" s="33" t="s"/>
      <x:c r="AX14" s="11" t="s">
        <x:v>117</x:v>
      </x:c>
      <x:c r="AY14" s="12" t="n">
        <x:f>=BI14</x:f>
      </x:c>
      <x:c r="AZ14" s="12" t="n">
        <x:v>0.9826589595375722543352601156</x:v>
      </x:c>
      <x:c r="BA14" s="12" t="n">
        <x:v>0.0086705202312138728323699422</x:v>
      </x:c>
      <x:c r="BB14" s="12" t="n">
        <x:v>0.0086705202312138728323699422</x:v>
      </x:c>
      <x:c r="BC14" s="12" t="n">
        <x:f>=BH14</x:f>
      </x:c>
      <x:c r="BD14" s="13" t="n">
        <x:f>=BQ14</x:f>
      </x:c>
      <x:c r="BE14" s="30" t="n">
        <x:v>3162.75</x:v>
      </x:c>
      <x:c r="BF14" s="30" t="n">
        <x:v>-1784.1647</x:v>
      </x:c>
      <x:c r="BG14" s="30" t="n">
        <x:f>=BE14+BF14</x:f>
      </x:c>
      <x:c r="BH14" s="66" t="n">
        <x:f>=BG14/BE14</x:f>
      </x:c>
      <x:c r="BI14" s="66" t="n">
        <x:v>0.9913294797687861271676300578</x:v>
      </x:c>
      <x:c r="BJ14" s="30" t="n">
        <x:v>1745.39</x:v>
      </x:c>
      <x:c r="BK14" s="41" t="n">
        <x:v>9</x:v>
      </x:c>
      <x:c r="BL14" s="30" t="n">
        <x:v>15.133439306358381502890173410</x:v>
      </x:c>
      <x:c r="BN14" s="30" t="n">
        <x:v>4151.11817825520450000000</x:v>
      </x:c>
      <x:c r="BO14" s="30" t="n">
        <x:v>-1784.1647</x:v>
      </x:c>
      <x:c r="BP14" s="30" t="n">
        <x:f>=BN14+BO14</x:f>
      </x:c>
      <x:c r="BQ14" s="66" t="n">
        <x:f>=BP14/BN14</x:f>
      </x:c>
      <x:c r="BS14" s="66" t="n">
        <x:f>=BT14+BU14</x:f>
      </x:c>
      <x:c r="BT14" s="66" t="n">
        <x:f>=BI14+(0*4)</x:f>
      </x:c>
      <x:c r="BU14" s="66" t="n">
        <x:f>=(1-BT14)*0.5</x:f>
      </x:c>
      <x:c r="BV14" s="66" t="n">
        <x:f>=1-BS14</x:f>
      </x:c>
      <x:c r="BX14" s="66" t="n">
        <x:f>=BU14/(1-BT14)</x:f>
      </x:c>
    </x:row>
    <x:row r="15">
      <x:c r="A15" s="31" t="s">
        <x:v>120</x:v>
      </x:c>
      <x:c r="B15" t="s"/>
      <x:c r="C15" t="s">
        <x:v>121</x:v>
      </x:c>
      <x:c r="D15" t="s">
        <x:v>102</x:v>
      </x:c>
      <x:c r="E15" s="69" t="s">
        <x:v>103</x:v>
      </x:c>
      <x:c r="F15" t="n">
        <x:v>5505</x:v>
      </x:c>
      <x:c r="G15" s="32" t="n">
        <x:v>0.0058128973660308810172570391</x:v>
      </x:c>
      <x:c r="H15" s="32" t="n">
        <x:v>0.0297910990009082652134423252</x:v>
      </x:c>
      <x:c r="I15" s="32" t="n">
        <x:v>0.0733878292461398728428701181</x:v>
      </x:c>
      <x:c r="J15" s="32" t="n">
        <x:v>0.1322434150772025431425976385</x:v>
      </x:c>
      <x:c r="K15" s="32" t="n">
        <x:v>0.1952770208900999091734786558</x:v>
      </x:c>
      <x:c r="L15" s="32" t="n">
        <x:v>0.2557674841053587647593097184</x:v>
      </x:c>
      <x:c r="M15" s="32" t="n">
        <x:v>0.3080835603996366939146230699</x:v>
      </x:c>
      <x:c r="N15" s="32" t="n">
        <x:v>0.3491371480472297910990009083</x:v>
      </x:c>
      <x:c r="O15" s="32" t="n">
        <x:v>0.3878292461398728428701180745</x:v>
      </x:c>
      <x:c r="P15" s="32" t="n">
        <x:v>0.3878292461398728428701180745</x:v>
      </x:c>
      <x:c r="Q15" s="32" t="n">
        <x:v>0.3998183469573115349682107175</x:v>
      </x:c>
      <x:c r="R15" s="32" t="n">
        <x:v>0.4096276112624886466848319709</x:v>
      </x:c>
      <x:c r="S15" s="32" t="n">
        <x:v>0.4138056312443233424159854678</x:v>
      </x:c>
      <x:c r="T15" s="32" t="n">
        <x:v>0.4196185286103542234332425068</x:v>
      </x:c>
      <x:c r="U15" s="32" t="n">
        <x:v>0.4341507720254314259763851045</x:v>
      </x:c>
      <x:c r="V15" s="32" t="n">
        <x:v>0.4857402361489554950045413261</x:v>
      </x:c>
      <x:c r="W15" s="32" t="n">
        <x:v>0.5318801089918256130790190736</x:v>
      </x:c>
      <x:c r="X15" s="32" t="n">
        <x:v>0.5424159854677565849227974569</x:v>
      </x:c>
      <x:c r="Y15" s="32" t="n">
        <x:v>0.5682107175295186194368755677</x:v>
      </x:c>
      <x:c r="Z15" s="32" t="n">
        <x:v>0.5983651226158038147138964578</x:v>
      </x:c>
      <x:c r="AA15" s="22" t="n">
        <x:v>0.6334241598546775658492279746</x:v>
      </x:c>
      <x:c r="AW15" s="33" t="s"/>
      <x:c r="AX15" s="11" t="s">
        <x:v>122</x:v>
      </x:c>
      <x:c r="AY15" s="12" t="n">
        <x:f>=BI15</x:f>
      </x:c>
      <x:c r="AZ15" s="12" t="n">
        <x:v>0.8254314259763851044504995459</x:v>
      </x:c>
      <x:c r="BA15" s="12" t="n">
        <x:v>0.163306085376930063578564941</x:v>
      </x:c>
      <x:c r="BB15" s="12" t="n">
        <x:v>0.0112624886466848319709355132</x:v>
      </x:c>
      <x:c r="BC15" s="12" t="n">
        <x:f>=BH15</x:f>
      </x:c>
      <x:c r="BD15" s="13" t="n">
        <x:f>=BQ15</x:f>
      </x:c>
      <x:c r="BE15" s="30" t="n">
        <x:v>20084.28</x:v>
      </x:c>
      <x:c r="BF15" s="30" t="n">
        <x:v>-14852.0515</x:v>
      </x:c>
      <x:c r="BG15" s="30" t="n">
        <x:f>=BE15+BF15</x:f>
      </x:c>
      <x:c r="BH15" s="66" t="n">
        <x:f>=BG15/BE15</x:f>
      </x:c>
      <x:c r="BI15" s="66" t="n">
        <x:v>0.9887375113533151680290644868</x:v>
      </x:c>
      <x:c r="BJ15" s="30" t="n">
        <x:v>14357.95</x:v>
      </x:c>
      <x:c r="BK15" s="41" t="n">
        <x:v>62</x:v>
      </x:c>
      <x:c r="BL15" s="30" t="n">
        <x:v>161.70624886466848319709355131</x:v>
      </x:c>
      <x:c r="BN15" s="30" t="n">
        <x:v>27416.404362318489375000000</x:v>
      </x:c>
      <x:c r="BO15" s="30" t="n">
        <x:v>-14852.0515</x:v>
      </x:c>
      <x:c r="BP15" s="30" t="n">
        <x:f>=BN15+BO15</x:f>
      </x:c>
      <x:c r="BQ15" s="66" t="n">
        <x:f>=BP15/BN15</x:f>
      </x:c>
      <x:c r="BS15" s="66" t="n">
        <x:f>=BT15+BU15</x:f>
      </x:c>
      <x:c r="BT15" s="66" t="n">
        <x:f>=BI15+(0*4)</x:f>
      </x:c>
      <x:c r="BU15" s="66" t="n">
        <x:f>=(1-BT15)*0.5</x:f>
      </x:c>
      <x:c r="BV15" s="66" t="n">
        <x:f>=1-BS15</x:f>
      </x:c>
      <x:c r="BX15" s="66" t="n">
        <x:f>=BU15/(1-BT15)</x:f>
      </x:c>
    </x:row>
    <x:row r="16">
      <x:c r="A16" s="31" t="s">
        <x:v>123</x:v>
      </x:c>
      <x:c r="B16" t="s"/>
      <x:c r="C16" t="s">
        <x:v>124</x:v>
      </x:c>
      <x:c r="D16" t="s">
        <x:v>102</x:v>
      </x:c>
      <x:c r="E16" s="69" t="s">
        <x:v>103</x:v>
      </x:c>
      <x:c r="F16" t="n">
        <x:v>4189</x:v>
      </x:c>
      <x:c r="G16" s="32" t="n">
        <x:v>0.0420148006684172833611840535</x:v>
      </x:c>
      <x:c r="H16" s="32" t="n">
        <x:v>0.1269992838386249701599427071</x:v>
      </x:c>
      <x:c r="I16" s="32" t="n">
        <x:v>0.2585342563857722606827405109</x:v>
      </x:c>
      <x:c r="J16" s="32" t="n">
        <x:v>0.3747911195989496299832895679</x:v>
      </x:c>
      <x:c r="K16" s="32" t="n">
        <x:v>0.5142038672714251611363093817</x:v>
      </x:c>
      <x:c r="L16" s="32" t="n">
        <x:v>0.6194795894008116495583671521</x:v>
      </x:c>
      <x:c r="M16" s="32" t="n">
        <x:v>0.6679398424444974934351873956</x:v>
      </x:c>
      <x:c r="N16" s="23" t="n">
        <x:v>0.7080448794461685366435903557</x:v>
      </x:c>
      <x:c r="O16" s="32" t="n">
        <x:v>0.7080448794461685366435903557</x:v>
      </x:c>
      <x:c r="P16" s="32" t="n">
        <x:v>0.7233229887801384578658391024</x:v>
      </x:c>
      <x:c r="Q16" s="32" t="n">
        <x:v>0.7276199570303174982095965624</x:v>
      </x:c>
      <x:c r="R16" s="32" t="n">
        <x:v>0.7333492480305562186679398424</x:v>
      </x:c>
      <x:c r="S16" s="32" t="n">
        <x:v>0.7397947004058247791835760325</x:v>
      </x:c>
      <x:c r="T16" s="32" t="n">
        <x:v>0.7457627118644067796610169492</x:v>
      </x:c>
      <x:c r="U16" s="32" t="n">
        <x:v>0.7715445213654810217235617092</x:v>
      </x:c>
      <x:c r="V16" s="32" t="n">
        <x:v>0.7908808784912867032704702793</x:v>
      </x:c>
      <x:c r="W16" s="32" t="n">
        <x:v>0.794700405824779183576032466</x:v>
      </x:c>
      <x:c r="X16" s="32" t="n">
        <x:v>0.801862019575077584148961566</x:v>
      </x:c>
      <x:c r="Y16" s="32" t="n">
        <x:v>0.812604440200525185008355216</x:v>
      </x:c>
      <x:c r="Z16" s="22" t="n">
        <x:v>0.8684650274528527094772021962</x:v>
      </x:c>
      <x:c r="AW16" s="33" t="s"/>
      <x:c r="AX16" s="11" t="s">
        <x:v>125</x:v>
      </x:c>
      <x:c r="AY16" s="12" t="n">
        <x:f>=BI16</x:f>
      </x:c>
      <x:c r="AZ16" s="12" t="n">
        <x:v>0.888756266412031511100501313</x:v>
      </x:c>
      <x:c r="BA16" s="12" t="n">
        <x:v>0.0964430651706851277154452137</x:v>
      </x:c>
      <x:c r="BB16" s="12" t="n">
        <x:v>0.0148006684172833611840534734</x:v>
      </x:c>
      <x:c r="BC16" s="12" t="n">
        <x:f>=BH16</x:f>
      </x:c>
      <x:c r="BD16" s="13" t="n">
        <x:f>=BQ16</x:f>
      </x:c>
      <x:c r="BE16" s="30" t="n">
        <x:v>11640.19</x:v>
      </x:c>
      <x:c r="BF16" s="30" t="n">
        <x:v>-6860.7323</x:v>
      </x:c>
      <x:c r="BG16" s="30" t="n">
        <x:f>=BE16+BF16</x:f>
      </x:c>
      <x:c r="BH16" s="66" t="n">
        <x:f>=BG16/BE16</x:f>
      </x:c>
      <x:c r="BI16" s="66" t="n">
        <x:v>0.9851993315827166388159465266</x:v>
      </x:c>
      <x:c r="BJ16" s="30" t="n">
        <x:v>6791.35</x:v>
      </x:c>
      <x:c r="BK16" s="41" t="n">
        <x:v>62</x:v>
      </x:c>
      <x:c r="BL16" s="30" t="n">
        <x:v>100.51651945571735497732155646</x:v>
      </x:c>
      <x:c r="BN16" s="30" t="n">
        <x:v>15443.184692949118375000000</x:v>
      </x:c>
      <x:c r="BO16" s="30" t="n">
        <x:v>-6860.7323</x:v>
      </x:c>
      <x:c r="BP16" s="30" t="n">
        <x:f>=BN16+BO16</x:f>
      </x:c>
      <x:c r="BQ16" s="66" t="n">
        <x:f>=BP16/BN16</x:f>
      </x:c>
      <x:c r="BS16" s="66" t="n">
        <x:f>=BT16+BU16</x:f>
      </x:c>
      <x:c r="BT16" s="66" t="n">
        <x:f>=BI16+(0*4)</x:f>
      </x:c>
      <x:c r="BU16" s="66" t="n">
        <x:f>=(1-BT16)*0.5</x:f>
      </x:c>
      <x:c r="BV16" s="66" t="n">
        <x:f>=1-BS16</x:f>
      </x:c>
      <x:c r="BX16" s="66" t="n">
        <x:f>=BU16/(1-BT16)</x:f>
      </x:c>
    </x:row>
    <x:row r="17">
      <x:c r="A17" s="31" t="s">
        <x:v>126</x:v>
      </x:c>
      <x:c r="B17" t="s"/>
      <x:c r="C17" t="s">
        <x:v>127</x:v>
      </x:c>
      <x:c r="D17" t="s">
        <x:v>102</x:v>
      </x:c>
      <x:c r="E17" s="69" t="s">
        <x:v>103</x:v>
      </x:c>
      <x:c r="F17" t="n">
        <x:v>785</x:v>
      </x:c>
      <x:c r="G17" s="32" t="n">
        <x:v>0.0675159235668789808917197452</x:v>
      </x:c>
      <x:c r="H17" s="32" t="n">
        <x:v>0.1286624203821656050955414013</x:v>
      </x:c>
      <x:c r="I17" s="32" t="n">
        <x:v>0.2038216560509554140127388535</x:v>
      </x:c>
      <x:c r="J17" s="32" t="n">
        <x:v>0.2662420382165605095541401274</x:v>
      </x:c>
      <x:c r="K17" s="32" t="n">
        <x:v>0.3031847133757961783439490446</x:v>
      </x:c>
      <x:c r="L17" s="32" t="n">
        <x:v>0.377070063694267515923566879</x:v>
      </x:c>
      <x:c r="M17" s="32" t="n">
        <x:v>0.3859872611464968152866242038</x:v>
      </x:c>
      <x:c r="N17" s="32" t="n">
        <x:v>0.4216560509554140127388535032</x:v>
      </x:c>
      <x:c r="O17" s="32" t="n">
        <x:v>0.4343949044585987261146496815</x:v>
      </x:c>
      <x:c r="P17" s="32" t="n">
        <x:v>0.445859872611464968152866242</x:v>
      </x:c>
      <x:c r="Q17" s="32" t="n">
        <x:v>0.4611464968152866242038216561</x:v>
      </x:c>
      <x:c r="R17" s="32" t="n">
        <x:v>0.4866242038216560509554140127</x:v>
      </x:c>
      <x:c r="S17" s="32" t="n">
        <x:v>0.5745222929936305732484076433</x:v>
      </x:c>
      <x:c r="T17" s="32" t="n">
        <x:v>0.6929936305732484076433121019</x:v>
      </x:c>
      <x:c r="U17" s="23" t="n">
        <x:v>0.7146496815286624203821656051</x:v>
      </x:c>
      <x:c r="V17" s="32" t="n">
        <x:v>0.7222929936305732484076433121</x:v>
      </x:c>
      <x:c r="W17" s="32" t="n">
        <x:v>0.7668789808917197452229299363</x:v>
      </x:c>
      <x:c r="X17" s="32" t="n">
        <x:v>0.8420382165605095541401273885</x:v>
      </x:c>
      <x:c r="Y17" s="32" t="n">
        <x:v>0.9044585987261146496815286624</x:v>
      </x:c>
      <x:c r="Z17" s="22" t="n">
        <x:v>0.9401273885350318471337579618</x:v>
      </x:c>
      <x:c r="AW17" s="33" t="s"/>
      <x:c r="AX17" s="11" t="s">
        <x:v>125</x:v>
      </x:c>
      <x:c r="AY17" s="12" t="n">
        <x:f>=BI17</x:f>
      </x:c>
      <x:c r="AZ17" s="12" t="n">
        <x:v>0.9248407643312101910828025478</x:v>
      </x:c>
      <x:c r="BA17" s="12" t="n">
        <x:v>0.0522292993630573248407643312</x:v>
      </x:c>
      <x:c r="BB17" s="12" t="n">
        <x:v>0.022929936305732484076433121</x:v>
      </x:c>
      <x:c r="BC17" s="12" t="n">
        <x:f>=BH17</x:f>
      </x:c>
      <x:c r="BD17" s="13" t="n">
        <x:f>=BQ17</x:f>
      </x:c>
      <x:c r="BE17" s="30" t="n">
        <x:v>2130.82</x:v>
      </x:c>
      <x:c r="BF17" s="30" t="n">
        <x:v>-1158.8360</x:v>
      </x:c>
      <x:c r="BG17" s="30" t="n">
        <x:f>=BE17+BF17</x:f>
      </x:c>
      <x:c r="BH17" s="66" t="n">
        <x:f>=BG17/BE17</x:f>
      </x:c>
      <x:c r="BI17" s="66" t="n">
        <x:v>0.977070063694267515923566879</x:v>
      </x:c>
      <x:c r="BJ17" s="30" t="n">
        <x:v>1100.80</x:v>
      </x:c>
      <x:c r="BK17" s="41" t="n">
        <x:v>18</x:v>
      </x:c>
      <x:c r="BL17" s="30" t="n">
        <x:v>25.241273885350318471337579618</x:v>
      </x:c>
      <x:c r="BN17" s="30" t="n">
        <x:v>2804.144038498590625000000</x:v>
      </x:c>
      <x:c r="BO17" s="30" t="n">
        <x:v>-1158.8360</x:v>
      </x:c>
      <x:c r="BP17" s="30" t="n">
        <x:f>=BN17+BO17</x:f>
      </x:c>
      <x:c r="BQ17" s="66" t="n">
        <x:f>=BP17/BN17</x:f>
      </x:c>
      <x:c r="BS17" s="66" t="n">
        <x:f>=BT17+BU17</x:f>
      </x:c>
      <x:c r="BT17" s="66" t="n">
        <x:f>=BI17+(0*4)</x:f>
      </x:c>
      <x:c r="BU17" s="66" t="n">
        <x:f>=(1-BT17)*0.5</x:f>
      </x:c>
      <x:c r="BV17" s="66" t="n">
        <x:f>=1-BS17</x:f>
      </x:c>
      <x:c r="BX17" s="66" t="n">
        <x:f>=BU17/(1-BT17)</x:f>
      </x:c>
    </x:row>
    <x:row r="18">
      <x:c r="A18" s="31" t="s">
        <x:v>128</x:v>
      </x:c>
      <x:c r="B18" t="s">
        <x:v>129</x:v>
      </x:c>
      <x:c r="C18" s="9" t="s">
        <x:v>130</x:v>
      </x:c>
      <x:c r="D18" t="s">
        <x:v>131</x:v>
      </x:c>
      <x:c r="E18" s="69" t="s">
        <x:v>103</x:v>
      </x:c>
      <x:c r="F18" t="n">
        <x:v>2120</x:v>
      </x:c>
      <x:c r="G18" s="32" t="n">
        <x:v>0.0009433962264150943396226415</x:v>
      </x:c>
      <x:c r="H18" s="32" t="n">
        <x:v>0.0797169811320754716981132075</x:v>
      </x:c>
      <x:c r="I18" s="32" t="n">
        <x:v>0.2193396226415094339622641509</x:v>
      </x:c>
      <x:c r="J18" s="32" t="n">
        <x:v>0.4047169811320754716981132075</x:v>
      </x:c>
      <x:c r="K18" s="32" t="n">
        <x:v>0.5872641509433962264150943396</x:v>
      </x:c>
      <x:c r="L18" s="32" t="n">
        <x:v>0.6297169811320754716981132075</x:v>
      </x:c>
      <x:c r="M18" s="32" t="n">
        <x:v>0.6471698113207547169811320755</x:v>
      </x:c>
      <x:c r="N18" s="32" t="n">
        <x:v>0.6650943396226415094339622642</x:v>
      </x:c>
      <x:c r="O18" s="32" t="n">
        <x:v>0.6632075471698113207547169811</x:v>
      </x:c>
      <x:c r="P18" s="32" t="n">
        <x:v>0.6655660377358490566037735849</x:v>
      </x:c>
      <x:c r="Q18" s="32" t="n">
        <x:v>0.6641509433962264150943396226</x:v>
      </x:c>
      <x:c r="R18" s="32" t="n">
        <x:v>0.6726415094339622641509433962</x:v>
      </x:c>
      <x:c r="S18" s="32" t="n">
        <x:v>0.6797169811320754716981132075</x:v>
      </x:c>
      <x:c r="T18" s="32" t="n">
        <x:v>0.6834905660377358490566037736</x:v>
      </x:c>
      <x:c r="U18" s="32" t="n">
        <x:v>0.6825471698113207547169811321</x:v>
      </x:c>
      <x:c r="V18" s="32" t="n">
        <x:v>0.6891509433962264150943396226</x:v>
      </x:c>
      <x:c r="W18" s="23" t="n">
        <x:v>0.7014150943396226415094339623</x:v>
      </x:c>
      <x:c r="X18" s="32" t="n">
        <x:v>0.7254716981132075471698113208</x:v>
      </x:c>
      <x:c r="Y18" s="32" t="n">
        <x:v>0.7358490566037735849056603774</x:v>
      </x:c>
      <x:c r="Z18" s="22" t="n">
        <x:v>0.8141509433962264150943396226</x:v>
      </x:c>
      <x:c r="AW18" s="33" t="s"/>
      <x:c r="AX18" s="11" t="s">
        <x:v>125</x:v>
      </x:c>
      <x:c r="AY18" s="12" t="n">
        <x:f>=BI18</x:f>
      </x:c>
      <x:c r="AZ18" s="12" t="n">
        <x:v>0.7400943396226415094339622642</x:v>
      </x:c>
      <x:c r="BA18" s="12" t="n">
        <x:v>0.2438679245283018867924528302</x:v>
      </x:c>
      <x:c r="BB18" s="12" t="n">
        <x:v>0.0160377358490566037735849057</x:v>
      </x:c>
      <x:c r="BC18" s="12" t="n">
        <x:f>=BH18</x:f>
      </x:c>
      <x:c r="BD18" s="13" t="n">
        <x:f>=BQ18</x:f>
      </x:c>
      <x:c r="BE18" s="30" t="n">
        <x:v>17019.92</x:v>
      </x:c>
      <x:c r="BF18" s="30" t="n">
        <x:v>-12257.00520</x:v>
      </x:c>
      <x:c r="BG18" s="30" t="n">
        <x:f>=BE18+BF18</x:f>
      </x:c>
      <x:c r="BH18" s="66" t="n">
        <x:f>=BG18/BE18</x:f>
      </x:c>
      <x:c r="BI18" s="66" t="n">
        <x:v>0.9839622641509433962264150943</x:v>
      </x:c>
      <x:c r="BJ18" s="30" t="n">
        <x:v>11132.20</x:v>
      </x:c>
      <x:c r="BK18" s="41" t="n">
        <x:v>34</x:v>
      </x:c>
      <x:c r="BL18" s="30" t="n">
        <x:v>178.53528301886792452830188679</x:v>
      </x:c>
      <x:c r="BN18" s="30" t="n">
        <x:v>22822.46687038190000000000</x:v>
      </x:c>
      <x:c r="BO18" s="30" t="n">
        <x:v>-12257.00520</x:v>
      </x:c>
      <x:c r="BP18" s="30" t="n">
        <x:f>=BN18+BO18</x:f>
      </x:c>
      <x:c r="BQ18" s="66" t="n">
        <x:f>=BP18/BN18</x:f>
      </x:c>
      <x:c r="BS18" s="66" t="n">
        <x:f>=BT18+BU18</x:f>
      </x:c>
      <x:c r="BT18" s="66" t="n">
        <x:f>=BI18+(0*4)</x:f>
      </x:c>
      <x:c r="BU18" s="66" t="n">
        <x:f>=(1-BT18)*0.5</x:f>
      </x:c>
      <x:c r="BV18" s="66" t="n">
        <x:f>=1-BS18</x:f>
      </x:c>
      <x:c r="BX18" s="66" t="n">
        <x:f>=BU18/(1-BT18)</x:f>
      </x:c>
    </x:row>
    <x:row r="19">
      <x:c r="A19" s="31" t="s">
        <x:v>132</x:v>
      </x:c>
      <x:c r="B19" t="s"/>
      <x:c r="C19" t="s">
        <x:v>133</x:v>
      </x:c>
      <x:c r="D19" t="s">
        <x:v>131</x:v>
      </x:c>
      <x:c r="E19" s="69" t="s">
        <x:v>103</x:v>
      </x:c>
      <x:c r="F19" t="n">
        <x:v>1256</x:v>
      </x:c>
      <x:c r="G19" s="32" t="n">
        <x:v>0.0023885350318471337579617834</x:v>
      </x:c>
      <x:c r="H19" s="32" t="n">
        <x:v>0.0788216560509554140127388535</x:v>
      </x:c>
      <x:c r="I19" s="32" t="n">
        <x:v>0.1767515923566878980891719745</x:v>
      </x:c>
      <x:c r="J19" s="32" t="n">
        <x:v>0.2547770700636942675159235669</x:v>
      </x:c>
      <x:c r="K19" s="32" t="n">
        <x:v>0.3224522292993630573248407643</x:v>
      </x:c>
      <x:c r="L19" s="32" t="n">
        <x:v>0.3678343949044585987261146497</x:v>
      </x:c>
      <x:c r="M19" s="32" t="n">
        <x:v>0.3566878980891719745222929936</x:v>
      </x:c>
      <x:c r="N19" s="32" t="n">
        <x:v>0.4012738853503184713375796178</x:v>
      </x:c>
      <x:c r="O19" s="32" t="n">
        <x:v>0.4713375796178343949044585987</x:v>
      </x:c>
      <x:c r="P19" s="32" t="n">
        <x:v>0.5437898089171974522292993631</x:v>
      </x:c>
      <x:c r="Q19" s="32" t="n">
        <x:v>0.6234076433121019108280254777</x:v>
      </x:c>
      <x:c r="R19" s="32" t="n">
        <x:v>0.6552547770700636942675159236</x:v>
      </x:c>
      <x:c r="S19" s="32" t="n">
        <x:v>0.6839171974522292993630573248</x:v>
      </x:c>
      <x:c r="T19" s="23" t="n">
        <x:v>0.7078025477707006369426751592</x:v>
      </x:c>
      <x:c r="U19" s="32" t="n">
        <x:v>0.7579617834394904458598726115</x:v>
      </x:c>
      <x:c r="V19" s="32" t="n">
        <x:v>0.8184713375796178343949044586</x:v>
      </x:c>
      <x:c r="W19" s="32" t="n">
        <x:v>0.8550955414012738853503184713</x:v>
      </x:c>
      <x:c r="X19" s="32" t="n">
        <x:v>0.8742038216560509554140127389</x:v>
      </x:c>
      <x:c r="Y19" s="32" t="n">
        <x:v>0.9004777070063694267515923567</x:v>
      </x:c>
      <x:c r="Z19" s="22" t="n">
        <x:v>0.9275477707006369426751592357</x:v>
      </x:c>
      <x:c r="AW19" s="33" t="s"/>
      <x:c r="AX19" s="11" t="s">
        <x:v>125</x:v>
      </x:c>
      <x:c r="AY19" s="12" t="n">
        <x:f>=BI19</x:f>
      </x:c>
      <x:c r="AZ19" s="12" t="n">
        <x:v>0.8742038216560509554140127389</x:v>
      </x:c>
      <x:c r="BA19" s="12" t="n">
        <x:v>0.0835987261146496815286624204</x:v>
      </x:c>
      <x:c r="BB19" s="12" t="n">
        <x:v>0.0421974522292993630573248408</x:v>
      </x:c>
      <x:c r="BC19" s="12" t="n">
        <x:f>=BH19</x:f>
      </x:c>
      <x:c r="BD19" s="13" t="n">
        <x:f>=BQ19</x:f>
      </x:c>
      <x:c r="BE19" s="30" t="n">
        <x:v>9984.31</x:v>
      </x:c>
      <x:c r="BF19" s="30" t="n">
        <x:v>-6520.23750</x:v>
      </x:c>
      <x:c r="BG19" s="30" t="n">
        <x:f>=BE19+BF19</x:f>
      </x:c>
      <x:c r="BH19" s="66" t="n">
        <x:f>=BG19/BE19</x:f>
      </x:c>
      <x:c r="BI19" s="66" t="n">
        <x:v>0.9578025477707006369426751592</x:v>
      </x:c>
      <x:c r="BJ19" s="30" t="n">
        <x:v>5899.75</x:v>
      </x:c>
      <x:c r="BK19" s="41" t="n">
        <x:v>53</x:v>
      </x:c>
      <x:c r="BL19" s="30" t="n">
        <x:v>248.95441878980891719745222930</x:v>
      </x:c>
      <x:c r="BN19" s="30" t="n">
        <x:v>13104.902128088749000000000</x:v>
      </x:c>
      <x:c r="BO19" s="30" t="n">
        <x:v>-6520.23750</x:v>
      </x:c>
      <x:c r="BP19" s="30" t="n">
        <x:f>=BN19+BO19</x:f>
      </x:c>
      <x:c r="BQ19" s="66" t="n">
        <x:f>=BP19/BN19</x:f>
      </x:c>
      <x:c r="BS19" s="66" t="n">
        <x:f>=BT19+BU19</x:f>
      </x:c>
      <x:c r="BT19" s="66" t="n">
        <x:f>=BI19+(0*4)</x:f>
      </x:c>
      <x:c r="BU19" s="66" t="n">
        <x:f>=(1-BT19)*0.5</x:f>
      </x:c>
      <x:c r="BV19" s="66" t="n">
        <x:f>=1-BS19</x:f>
      </x:c>
      <x:c r="BX19" s="66" t="n">
        <x:f>=BU19/(1-BT19)</x:f>
      </x:c>
    </x:row>
    <x:row r="20">
      <x:c r="A20" s="31" t="s">
        <x:v>134</x:v>
      </x:c>
      <x:c r="B20" t="s"/>
      <x:c r="C20" t="s">
        <x:v>135</x:v>
      </x:c>
      <x:c r="D20" t="s">
        <x:v>113</x:v>
      </x:c>
      <x:c r="E20" s="69" t="s">
        <x:v>103</x:v>
      </x:c>
      <x:c r="F20" t="n">
        <x:v>1092</x:v>
      </x:c>
      <x:c r="G20" s="32" t="n">
        <x:v>0.0256410256410256410256410256</x:v>
      </x:c>
      <x:c r="H20" s="32" t="n">
        <x:v>0.0888278388278388278388278388</x:v>
      </x:c>
      <x:c r="I20" s="32" t="n">
        <x:v>0.1730769230769230769230769231</x:v>
      </x:c>
      <x:c r="J20" s="32" t="n">
        <x:v>0.2445054945054945054945054945</x:v>
      </x:c>
      <x:c r="K20" s="32" t="n">
        <x:v>0.3177655677655677655677655678</x:v>
      </x:c>
      <x:c r="L20" s="32" t="n">
        <x:v>0.3131868131868131868131868132</x:v>
      </x:c>
      <x:c r="M20" s="32" t="n">
        <x:v>0.3278388278388278388278388278</x:v>
      </x:c>
      <x:c r="N20" s="32" t="n">
        <x:v>0.4267399267399267399267399267</x:v>
      </x:c>
      <x:c r="O20" s="23" t="n">
        <x:v>0.728021978021978021978021978</x:v>
      </x:c>
      <x:c r="P20" s="32" t="n">
        <x:v>0.9194139194139194139194139194</x:v>
      </x:c>
      <x:c r="Q20" s="32" t="n">
        <x:v>0.9276556776556776556776556777</x:v>
      </x:c>
      <x:c r="R20" s="32" t="n">
        <x:v>0.9404761904761904761904761905</x:v>
      </x:c>
      <x:c r="S20" s="32" t="n">
        <x:v>0.9532967032967032967032967033</x:v>
      </x:c>
      <x:c r="T20" s="32" t="n">
        <x:v>0.9587912087912087912087912088</x:v>
      </x:c>
      <x:c r="U20" s="32" t="n">
        <x:v>0.9615384615384615384615384615</x:v>
      </x:c>
      <x:c r="V20" s="32" t="n">
        <x:v>0.9679487179487179487179487179</x:v>
      </x:c>
      <x:c r="W20" s="32" t="n">
        <x:v>0.9725274725274725274725274725</x:v>
      </x:c>
      <x:c r="X20" s="32" t="n">
        <x:v>0.9716117216117216117216117216</x:v>
      </x:c>
      <x:c r="Y20" s="22" t="n">
        <x:v>0.9844322344322344322344322344</x:v>
      </x:c>
      <x:c r="AW20" s="33" t="s"/>
      <x:c r="AX20" s="11" t="s">
        <x:v>136</x:v>
      </x:c>
      <x:c r="AY20" s="12" t="n">
        <x:f>=BI20</x:f>
      </x:c>
      <x:c r="AZ20" s="12" t="n">
        <x:v>0.9743589743589743589743589744</x:v>
      </x:c>
      <x:c r="BA20" s="12" t="n">
        <x:v>0.021978021978021978021978022</x:v>
      </x:c>
      <x:c r="BB20" s="12" t="n">
        <x:v>0.0036630036630036630036630037</x:v>
      </x:c>
      <x:c r="BC20" s="12" t="n">
        <x:f>=BH20</x:f>
      </x:c>
      <x:c r="BD20" s="13" t="n">
        <x:f>=BQ20</x:f>
      </x:c>
      <x:c r="BE20" s="30" t="n">
        <x:v>7716.29</x:v>
      </x:c>
      <x:c r="BF20" s="30" t="n">
        <x:v>-5112.01846341940000000000</x:v>
      </x:c>
      <x:c r="BG20" s="30" t="n">
        <x:f>=BE20+BF20</x:f>
      </x:c>
      <x:c r="BH20" s="66" t="n">
        <x:f>=BG20/BE20</x:f>
      </x:c>
      <x:c r="BI20" s="66" t="n">
        <x:v>0.9963369963369963369963369963</x:v>
      </x:c>
      <x:c r="BJ20" s="30" t="n">
        <x:v>5220.025220020000000000</x:v>
      </x:c>
      <x:c r="BK20" s="41" t="n">
        <x:v>4</x:v>
      </x:c>
      <x:c r="BL20" s="30" t="n">
        <x:v>19.120971501904761904761904762</x:v>
      </x:c>
      <x:c r="BN20" s="30" t="n">
        <x:v>10124.21588118882800000000</x:v>
      </x:c>
      <x:c r="BO20" s="30" t="n">
        <x:v>-5112.01846341940000000000</x:v>
      </x:c>
      <x:c r="BP20" s="30" t="n">
        <x:f>=BN20+BO20</x:f>
      </x:c>
      <x:c r="BQ20" s="66" t="n">
        <x:f>=BP20/BN20</x:f>
      </x:c>
      <x:c r="BS20" s="66" t="n">
        <x:f>=BT20+BU20</x:f>
      </x:c>
      <x:c r="BT20" s="66" t="n">
        <x:f>=BI20+(0*4)</x:f>
      </x:c>
      <x:c r="BU20" s="66" t="n">
        <x:f>=(1-BT20)*0.5</x:f>
      </x:c>
      <x:c r="BV20" s="66" t="n">
        <x:f>=1-BS20</x:f>
      </x:c>
      <x:c r="BX20" s="66" t="n">
        <x:f>=BU20/(1-BT20)</x:f>
      </x:c>
    </x:row>
    <x:row r="21">
      <x:c r="A21" s="31" t="s">
        <x:v>137</x:v>
      </x:c>
      <x:c r="B21" t="s"/>
      <x:c r="C21" t="s">
        <x:v>138</x:v>
      </x:c>
      <x:c r="D21" t="s">
        <x:v>102</x:v>
      </x:c>
      <x:c r="E21" s="69" t="s">
        <x:v>103</x:v>
      </x:c>
      <x:c r="F21" t="n">
        <x:v>1999</x:v>
      </x:c>
      <x:c r="G21" s="32" t="n">
        <x:v>0.0180090045022511255627813907</x:v>
      </x:c>
      <x:c r="H21" s="32" t="n">
        <x:v>0.0475237618809404702351175588</x:v>
      </x:c>
      <x:c r="I21" s="32" t="n">
        <x:v>0.0770385192596298149074537269</x:v>
      </x:c>
      <x:c r="J21" s="32" t="n">
        <x:v>0.1065532766383191595797898949</x:v>
      </x:c>
      <x:c r="K21" s="32" t="n">
        <x:v>0.1050525262631315657828914457</x:v>
      </x:c>
      <x:c r="L21" s="32" t="n">
        <x:v>0.1100550275137568784392196098</x:v>
      </x:c>
      <x:c r="M21" s="32" t="n">
        <x:v>0.1770885442721360680340170085</x:v>
      </x:c>
      <x:c r="N21" s="32" t="n">
        <x:v>0.3066533266633316658329164582</x:v>
      </x:c>
      <x:c r="O21" s="32" t="n">
        <x:v>0.4257128564282141070535267634</x:v>
      </x:c>
      <x:c r="P21" s="32" t="n">
        <x:v>0.460730365182591295647823912</x:v>
      </x:c>
      <x:c r="Q21" s="32" t="n">
        <x:v>0.4547273636818409204602301151</x:v>
      </x:c>
      <x:c r="R21" s="32" t="n">
        <x:v>0.4647323661830915457728864432</x:v>
      </x:c>
      <x:c r="S21" s="32" t="n">
        <x:v>0.4872436218109054527263631816</x:v>
      </x:c>
      <x:c r="T21" s="32" t="n">
        <x:v>0.5017508754377188594297148574</x:v>
      </x:c>
      <x:c r="U21" s="32" t="n">
        <x:v>0.525762881440720360180090045</x:v>
      </x:c>
      <x:c r="V21" s="22" t="n">
        <x:v>0.6143071535767883941970985493</x:v>
      </x:c>
      <x:c r="AW21" s="33" t="s"/>
      <x:c r="AX21" s="11" t="s">
        <x:v>139</x:v>
      </x:c>
      <x:c r="AY21" s="12" t="n">
        <x:f>=BI21</x:f>
      </x:c>
      <x:c r="AZ21" s="12" t="n">
        <x:v>0.6423211605802901450725362681</x:v>
      </x:c>
      <x:c r="BA21" s="12" t="n">
        <x:v>0.2991495747873936968484242121</x:v>
      </x:c>
      <x:c r="BB21" s="12" t="n">
        <x:v>0.0585292646323161580790395198</x:v>
      </x:c>
      <x:c r="BC21" s="12" t="n">
        <x:f>=BH21</x:f>
      </x:c>
      <x:c r="BD21" s="13" t="n">
        <x:f>=BQ21</x:f>
      </x:c>
      <x:c r="BE21" s="30" t="n">
        <x:v>11250.42</x:v>
      </x:c>
      <x:c r="BF21" s="30" t="n">
        <x:v>-9289.9718</x:v>
      </x:c>
      <x:c r="BG21" s="30" t="n">
        <x:f>=BE21+BF21</x:f>
      </x:c>
      <x:c r="BH21" s="66" t="n">
        <x:f>=BG21/BE21</x:f>
      </x:c>
      <x:c r="BI21" s="66" t="n">
        <x:v>0.9414707353676838419209604802</x:v>
      </x:c>
      <x:c r="BJ21" s="30" t="n">
        <x:v>9041.27</x:v>
      </x:c>
      <x:c r="BK21" s="41" t="n">
        <x:v>117</x:v>
      </x:c>
      <x:c r="BL21" s="30" t="n">
        <x:v>529.17888444222111055527763882</x:v>
      </x:c>
      <x:c r="BN21" s="30" t="n">
        <x:v>15646.776381953358375000000</x:v>
      </x:c>
      <x:c r="BO21" s="30" t="n">
        <x:v>-9289.9718</x:v>
      </x:c>
      <x:c r="BP21" s="30" t="n">
        <x:f>=BN21+BO21</x:f>
      </x:c>
      <x:c r="BQ21" s="66" t="n">
        <x:f>=BP21/BN21</x:f>
      </x:c>
      <x:c r="BS21" s="66" t="n">
        <x:f>=BT21+BU21</x:f>
      </x:c>
      <x:c r="BT21" s="66" t="n">
        <x:f>=BI21+(0*4)</x:f>
      </x:c>
      <x:c r="BU21" s="66" t="n">
        <x:f>=(1-BT21)*0.5</x:f>
      </x:c>
      <x:c r="BV21" s="66" t="n">
        <x:f>=1-BS21</x:f>
      </x:c>
      <x:c r="BX21" s="66" t="n">
        <x:f>=BU21/(1-BT21)</x:f>
      </x:c>
    </x:row>
    <x:row r="22">
      <x:c r="A22" s="31" t="s">
        <x:v>140</x:v>
      </x:c>
      <x:c r="B22" t="s"/>
      <x:c r="C22" t="s">
        <x:v>141</x:v>
      </x:c>
      <x:c r="D22" t="s">
        <x:v>102</x:v>
      </x:c>
      <x:c r="E22" s="69" t="s">
        <x:v>103</x:v>
      </x:c>
      <x:c r="F22" t="n">
        <x:v>2959</x:v>
      </x:c>
      <x:c r="G22" s="32" t="n">
        <x:v>0.0371747211895910780669144981</x:v>
      </x:c>
      <x:c r="H22" s="32" t="n">
        <x:v>0.0354849611355187563366002028</x:v>
      </x:c>
      <x:c r="I22" s="32" t="n">
        <x:v>0.0327813450490030415680973302</x:v>
      </x:c>
      <x:c r="J22" s="32" t="n">
        <x:v>0.0898952348766475160527205137</x:v>
      </x:c>
      <x:c r="K22" s="32" t="n">
        <x:v>0.1990537343697194998310239946</x:v>
      </x:c>
      <x:c r="L22" s="32" t="n">
        <x:v>0.2666441365326123690435958094</x:v>
      </x:c>
      <x:c r="M22" s="32" t="n">
        <x:v>0.3511321392362284555593105779</x:v>
      </x:c>
      <x:c r="N22" s="32" t="n">
        <x:v>0.4207502534640081108482595471</x:v>
      </x:c>
      <x:c r="O22" s="32" t="n">
        <x:v>0.5549172017573504562352145995</x:v>
      </x:c>
      <x:c r="P22" s="32" t="n">
        <x:v>0.6657654613044947617438323758</x:v>
      </x:c>
      <x:c r="Q22" s="23" t="n">
        <x:v>0.8063534978033119297059817506</x:v>
      </x:c>
      <x:c r="R22" s="32" t="n">
        <x:v>0.8749577559986481919567421426</x:v>
      </x:c>
      <x:c r="S22" s="32" t="n">
        <x:v>0.9111186211557958769854680635</x:v>
      </x:c>
      <x:c r="T22" s="32" t="n">
        <x:v>0.9236228455559310577897938493</x:v>
      </x:c>
      <x:c r="U22" s="22" t="n">
        <x:v>0.9719499831023994592767826969</x:v>
      </x:c>
      <x:c r="AW22" s="33" t="s"/>
      <x:c r="AX22" s="11" t="s">
        <x:v>142</x:v>
      </x:c>
      <x:c r="AY22" s="12" t="n">
        <x:f>=BI22</x:f>
      </x:c>
      <x:c r="AZ22" s="12" t="n">
        <x:v>0.9303818857722203447110510308</x:v>
      </x:c>
      <x:c r="BA22" s="12" t="n">
        <x:v>0.0615072659682325109834403515</x:v>
      </x:c>
      <x:c r="BB22" s="12" t="n">
        <x:v>0.0081108482595471443055086178</x:v>
      </x:c>
      <x:c r="BC22" s="12" t="n">
        <x:f>=BH22</x:f>
      </x:c>
      <x:c r="BD22" s="13" t="n">
        <x:f>=BQ22</x:f>
      </x:c>
      <x:c r="BE22" s="30" t="n">
        <x:v>35368.99</x:v>
      </x:c>
      <x:c r="BF22" s="30" t="n">
        <x:v>-20297.9166</x:v>
      </x:c>
      <x:c r="BG22" s="30" t="n">
        <x:f>=BE22+BF22</x:f>
      </x:c>
      <x:c r="BH22" s="66" t="n">
        <x:f>=BG22/BE22</x:f>
      </x:c>
      <x:c r="BI22" s="66" t="n">
        <x:v>0.9918891517404528556944913822</x:v>
      </x:c>
      <x:c r="BJ22" s="30" t="n">
        <x:v>20379.95</x:v>
      </x:c>
      <x:c r="BK22" s="41" t="n">
        <x:v>24</x:v>
      </x:c>
      <x:c r="BL22" s="30" t="n">
        <x:v>165.29868198715782358905035485</x:v>
      </x:c>
      <x:c r="BN22" s="30" t="n">
        <x:v>46604.83251037612375000000</x:v>
      </x:c>
      <x:c r="BO22" s="30" t="n">
        <x:v>-20297.9166</x:v>
      </x:c>
      <x:c r="BP22" s="30" t="n">
        <x:f>=BN22+BO22</x:f>
      </x:c>
      <x:c r="BQ22" s="66" t="n">
        <x:f>=BP22/BN22</x:f>
      </x:c>
      <x:c r="BS22" s="66" t="n">
        <x:f>=BT22+BU22</x:f>
      </x:c>
      <x:c r="BT22" s="66" t="n">
        <x:f>=BI22+(0*4)</x:f>
      </x:c>
      <x:c r="BU22" s="66" t="n">
        <x:f>=(1-BT22)*0.5</x:f>
      </x:c>
      <x:c r="BV22" s="66" t="n">
        <x:f>=1-BS22</x:f>
      </x:c>
      <x:c r="BX22" s="66" t="n">
        <x:f>=BU22/(1-BT22)</x:f>
      </x:c>
    </x:row>
    <x:row r="23">
      <x:c r="A23" s="31" t="s">
        <x:v>143</x:v>
      </x:c>
      <x:c r="B23" t="s"/>
      <x:c r="C23" t="s">
        <x:v>144</x:v>
      </x:c>
      <x:c r="D23" t="s">
        <x:v>131</x:v>
      </x:c>
      <x:c r="E23" s="69" t="s">
        <x:v>103</x:v>
      </x:c>
      <x:c r="F23" t="n">
        <x:v>3091</x:v>
      </x:c>
      <x:c r="G23" s="32" t="n">
        <x:v>0.0359107085085732772565512779</x:v>
      </x:c>
      <x:c r="H23" s="32" t="n">
        <x:v>0.0339695891297314784859268845</x:v>
      </x:c>
      <x:c r="I23" s="32" t="n">
        <x:v>0.0304108702685215140731154966</x:v>
      </x:c>
      <x:c r="J23" s="32" t="n">
        <x:v>0.0501455839534131349077968295</x:v>
      </x:c>
      <x:c r="K23" s="32" t="n">
        <x:v>0.0598511808476221287609187965</x:v>
      </x:c>
      <x:c r="L23" s="32" t="n">
        <x:v>0.0896150113231963765771594953</x:v>
      </x:c>
      <x:c r="M23" s="32" t="n">
        <x:v>0.152054351342607570365577483</x:v>
      </x:c>
      <x:c r="N23" s="32" t="n">
        <x:v>0.2164348107408605629246198641</x:v>
      </x:c>
      <x:c r="O23" s="32" t="n">
        <x:v>0.2659333549013264315755418958</x:v>
      </x:c>
      <x:c r="P23" s="32" t="n">
        <x:v>0.2960207052733743125202199935</x:v>
      </x:c>
      <x:c r="Q23" s="32" t="n">
        <x:v>0.3193141378194758977677127143</x:v>
      </x:c>
      <x:c r="R23" s="32" t="n">
        <x:v>0.3701067615658362989323843416</x:v>
      </x:c>
      <x:c r="S23" s="32" t="n">
        <x:v>0.4348107408605629246198641216</x:v>
      </x:c>
      <x:c r="T23" s="32" t="n">
        <x:v>0.4684568100938207699773536072</x:v>
      </x:c>
      <x:c r="U23" s="23" t="n">
        <x:v>0.7114202523455192494338401812</x:v>
      </x:c>
      <x:c r="AW23" s="33" t="s"/>
      <x:c r="AX23" s="11" t="s">
        <x:v>142</x:v>
      </x:c>
      <x:c r="AY23" s="12" t="n">
        <x:f>=BI23</x:f>
      </x:c>
      <x:c r="AZ23" s="12" t="n">
        <x:v>0.4390164995147201552895503073</x:v>
      </x:c>
      <x:c r="BA23" s="12" t="n">
        <x:v>0.4590747330960854092526690391</x:v>
      </x:c>
      <x:c r="BB23" s="12" t="n">
        <x:v>0.1019087673891944354577806535</x:v>
      </x:c>
      <x:c r="BC23" s="12" t="n">
        <x:f>=BH23</x:f>
      </x:c>
      <x:c r="BD23" s="13" t="n">
        <x:f>=BQ23</x:f>
      </x:c>
      <x:c r="BE23" s="30" t="n">
        <x:v>31778.75</x:v>
      </x:c>
      <x:c r="BF23" s="30" t="n">
        <x:v>-26841.64650</x:v>
      </x:c>
      <x:c r="BG23" s="30" t="n">
        <x:f>=BE23+BF23</x:f>
      </x:c>
      <x:c r="BH23" s="66" t="n">
        <x:f>=BG23/BE23</x:f>
      </x:c>
      <x:c r="BI23" s="66" t="n">
        <x:v>0.8980912326108055645422193465</x:v>
      </x:c>
      <x:c r="BJ23" s="30" t="n">
        <x:v>24646.25</x:v>
      </x:c>
      <x:c r="BK23" s="41" t="n">
        <x:v>315</x:v>
      </x:c>
      <x:c r="BL23" s="30" t="n">
        <x:v>2511.6689582659333549013264316</x:v>
      </x:c>
      <x:c r="BN23" s="30" t="n">
        <x:v>44576.32648963618550000000</x:v>
      </x:c>
      <x:c r="BO23" s="30" t="n">
        <x:v>-26841.64650</x:v>
      </x:c>
      <x:c r="BP23" s="30" t="n">
        <x:f>=BN23+BO23</x:f>
      </x:c>
      <x:c r="BQ23" s="66" t="n">
        <x:f>=BP23/BN23</x:f>
      </x:c>
      <x:c r="BS23" s="66" t="n">
        <x:f>=BT23+BU23</x:f>
      </x:c>
      <x:c r="BT23" s="66" t="n">
        <x:f>=BI23+(0*4)</x:f>
      </x:c>
      <x:c r="BU23" s="66" t="n">
        <x:f>=(1-BT23)*0.5</x:f>
      </x:c>
      <x:c r="BV23" s="66" t="n">
        <x:f>=1-BS23</x:f>
      </x:c>
      <x:c r="BX23" s="66" t="n">
        <x:f>=BU23/(1-BT23)</x:f>
      </x:c>
    </x:row>
    <x:row r="24">
      <x:c r="A24" s="31" t="s">
        <x:v>145</x:v>
      </x:c>
      <x:c r="B24" t="s"/>
      <x:c r="C24" t="s">
        <x:v>146</x:v>
      </x:c>
      <x:c r="D24" t="s">
        <x:v>147</x:v>
      </x:c>
      <x:c r="E24" s="69" t="s">
        <x:v>103</x:v>
      </x:c>
      <x:c r="F24" t="n">
        <x:v>3078</x:v>
      </x:c>
      <x:c r="G24" s="32" t="n">
        <x:v>0.0272904483430799220272904483</x:v>
      </x:c>
      <x:c r="H24" s="32" t="n">
        <x:v>0.0847953216374269005847953216</x:v>
      </x:c>
      <x:c r="I24" s="32" t="n">
        <x:v>0.1254061078622482131254061079</x:v>
      </x:c>
      <x:c r="J24" s="32" t="n">
        <x:v>0.1276803118908382066276803119</x:v>
      </x:c>
      <x:c r="K24" s="32" t="n">
        <x:v>0.1653671215074723846653671215</x:v>
      </x:c>
      <x:c r="L24" s="32" t="n">
        <x:v>0.1920077972709551656920077973</x:v>
      </x:c>
      <x:c r="M24" s="32" t="n">
        <x:v>0.1907082521117608836907082521</x:v>
      </x:c>
      <x:c r="N24" s="32" t="n">
        <x:v>0.1926575698505523066926575699</x:v>
      </x:c>
      <x:c r="O24" s="32" t="n">
        <x:v>0.2050032488628979857050032489</x:v>
      </x:c>
      <x:c r="P24" s="22" t="n">
        <x:v>0.2706302794022092267706302794</x:v>
      </x:c>
      <x:c r="AW24" s="33" t="s"/>
      <x:c r="AX24" s="11" t="s">
        <x:v>148</x:v>
      </x:c>
      <x:c r="AY24" s="12" t="n">
        <x:f>=BI24</x:f>
      </x:c>
      <x:c r="AZ24" s="12" t="n">
        <x:v>0.6302794022092267706302794022</x:v>
      </x:c>
      <x:c r="BA24" s="12" t="n">
        <x:v>0.3050682261208576998050682261</x:v>
      </x:c>
      <x:c r="BB24" s="12" t="n">
        <x:v>0.0646523716699155295646523717</x:v>
      </x:c>
      <x:c r="BC24" s="12" t="n">
        <x:f>=BH24</x:f>
      </x:c>
      <x:c r="BD24" s="13" t="n">
        <x:f>=BQ24</x:f>
      </x:c>
      <x:c r="BE24" s="30" t="n">
        <x:v>10306.24</x:v>
      </x:c>
      <x:c r="BF24" s="30" t="n">
        <x:v>-7775.6192</x:v>
      </x:c>
      <x:c r="BG24" s="30" t="n">
        <x:f>=BE24+BF24</x:f>
      </x:c>
      <x:c r="BH24" s="66" t="n">
        <x:f>=BG24/BE24</x:f>
      </x:c>
      <x:c r="BI24" s="66" t="n">
        <x:v>0.9353476283300844704353476283</x:v>
      </x:c>
      <x:c r="BJ24" s="30" t="n">
        <x:v>7248.05</x:v>
      </x:c>
      <x:c r="BK24" s="41" t="n">
        <x:v>199</x:v>
      </x:c>
      <x:c r="BL24" s="30" t="n">
        <x:v>468.60362248213125406107862249</x:v>
      </x:c>
      <x:c r="BN24" s="30" t="n">
        <x:v>13812.551920946709250000000</x:v>
      </x:c>
      <x:c r="BO24" s="30" t="n">
        <x:v>-7775.6192</x:v>
      </x:c>
      <x:c r="BP24" s="30" t="n">
        <x:f>=BN24+BO24</x:f>
      </x:c>
      <x:c r="BQ24" s="66" t="n">
        <x:f>=BP24/BN24</x:f>
      </x:c>
      <x:c r="BS24" s="66" t="n">
        <x:f>=BT24+BU24</x:f>
      </x:c>
      <x:c r="BT24" s="66" t="n">
        <x:f>=BI24+(0*4)</x:f>
      </x:c>
      <x:c r="BU24" s="66" t="n">
        <x:f>=(1-BT24)*0.5</x:f>
      </x:c>
      <x:c r="BV24" s="66" t="n">
        <x:f>=1-BS24</x:f>
      </x:c>
      <x:c r="BX24" s="66" t="n">
        <x:f>=BU24/(1-BT24)</x:f>
      </x:c>
    </x:row>
    <x:row r="25">
      <x:c r="A25" s="31" t="s">
        <x:v>149</x:v>
      </x:c>
      <x:c r="B25" t="s"/>
      <x:c r="C25" t="s">
        <x:v>150</x:v>
      </x:c>
      <x:c r="D25" t="s">
        <x:v>131</x:v>
      </x:c>
      <x:c r="E25" s="69" t="s">
        <x:v>103</x:v>
      </x:c>
      <x:c r="F25" t="n">
        <x:v>3145</x:v>
      </x:c>
      <x:c r="G25" s="32" t="n">
        <x:v>0.0060413354531001589825119237</x:v>
      </x:c>
      <x:c r="H25" s="32" t="n">
        <x:v>0.0327503974562798092209856916</x:v>
      </x:c>
      <x:c r="I25" s="32" t="n">
        <x:v>0.092209856915739268680445151</x:v>
      </x:c>
      <x:c r="J25" s="32" t="n">
        <x:v>0.1688394276629570747217806041</x:v>
      </x:c>
      <x:c r="K25" s="32" t="n">
        <x:v>0.2483306836248012718600953895</x:v>
      </x:c>
      <x:c r="L25" s="32" t="n">
        <x:v>0.3386327503974562798092209857</x:v>
      </x:c>
      <x:c r="M25" s="32" t="n">
        <x:v>0.4387917329093799682034976153</x:v>
      </x:c>
      <x:c r="N25" s="32" t="n">
        <x:v>0.5249602543720190779014308426</x:v>
      </x:c>
      <x:c r="O25" s="32" t="n">
        <x:v>0.5949125596184419713831478537</x:v>
      </x:c>
      <x:c r="P25" s="22" t="n">
        <x:v>0.6410174880763116057233704293</x:v>
      </x:c>
      <x:c r="AW25" s="33" t="s"/>
      <x:c r="AX25" s="11" t="s">
        <x:v>148</x:v>
      </x:c>
      <x:c r="AY25" s="12" t="n">
        <x:f>=BI25</x:f>
      </x:c>
      <x:c r="AZ25" s="12" t="n">
        <x:v>0.7017488076311605723370429253</x:v>
      </x:c>
      <x:c r="BA25" s="12" t="n">
        <x:v>0.2689984101748807631160572337</x:v>
      </x:c>
      <x:c r="BB25" s="12" t="n">
        <x:v>0.029252782193958664546899841</x:v>
      </x:c>
      <x:c r="BC25" s="12" t="n">
        <x:f>=BH25</x:f>
      </x:c>
      <x:c r="BD25" s="13" t="n">
        <x:f>=BQ25</x:f>
      </x:c>
      <x:c r="BE25" s="30" t="n">
        <x:v>27764.89</x:v>
      </x:c>
      <x:c r="BF25" s="30" t="n">
        <x:v>-20775.27590</x:v>
      </x:c>
      <x:c r="BG25" s="30" t="n">
        <x:f>=BE25+BF25</x:f>
      </x:c>
      <x:c r="BH25" s="66" t="n">
        <x:f>=BG25/BE25</x:f>
      </x:c>
      <x:c r="BI25" s="66" t="n">
        <x:v>0.970747217806041335453100159</x:v>
      </x:c>
      <x:c r="BJ25" s="30" t="n">
        <x:v>18946.15</x:v>
      </x:c>
      <x:c r="BK25" s="41" t="n">
        <x:v>92</x:v>
      </x:c>
      <x:c r="BL25" s="30" t="n">
        <x:v>554.22759936406995230524642289</x:v>
      </x:c>
      <x:c r="BN25" s="30" t="n">
        <x:v>37585.31122306296250000000</x:v>
      </x:c>
      <x:c r="BO25" s="30" t="n">
        <x:v>-20775.27590</x:v>
      </x:c>
      <x:c r="BP25" s="30" t="n">
        <x:f>=BN25+BO25</x:f>
      </x:c>
      <x:c r="BQ25" s="66" t="n">
        <x:f>=BP25/BN25</x:f>
      </x:c>
      <x:c r="BS25" s="66" t="n">
        <x:f>=BT25+BU25</x:f>
      </x:c>
      <x:c r="BT25" s="66" t="n">
        <x:f>=BI25+(0*4)</x:f>
      </x:c>
      <x:c r="BU25" s="66" t="n">
        <x:f>=(1-BT25)*0.5</x:f>
      </x:c>
      <x:c r="BV25" s="66" t="n">
        <x:f>=1-BS25</x:f>
      </x:c>
      <x:c r="BX25" s="66" t="n">
        <x:f>=BU25/(1-BT25)</x:f>
      </x:c>
    </x:row>
    <x:row r="26">
      <x:c r="AW26" s="33" t="s"/>
      <x:c r="AX26" s="11" t="s"/>
      <x:c r="BD26" s="13" t="s"/>
    </x:row>
    <x:row r="27">
      <x:c r="A27" s="35" t="s">
        <x:v>151</x:v>
      </x:c>
      <x:c r="AW27" s="33" t="s"/>
      <x:c r="AX27" s="11" t="s"/>
      <x:c r="BD27" s="13" t="s"/>
    </x:row>
    <x:row r="28">
      <x:c r="A28" s="17" t="s">
        <x:v>99</x:v>
      </x:c>
      <x:c r="AW28" s="33" t="s"/>
      <x:c r="AX28" s="11" t="s"/>
      <x:c r="BD28" s="13" t="s"/>
    </x:row>
    <x:row r="29">
      <x:c r="A29" s="31" t="s">
        <x:v>152</x:v>
      </x:c>
      <x:c r="B29" t="s"/>
      <x:c r="C29" t="s">
        <x:v>153</x:v>
      </x:c>
      <x:c r="D29" t="s">
        <x:v>147</x:v>
      </x:c>
      <x:c r="E29" s="67" t="s">
        <x:v>154</x:v>
      </x:c>
      <x:c r="F29" t="n">
        <x:v>327</x:v>
      </x:c>
      <x:c r="G29" s="32" t="n">
        <x:v>0.0030581039755351681957186544</x:v>
      </x:c>
      <x:c r="H29" s="32" t="n">
        <x:v>0.0030581039755351681957186544</x:v>
      </x:c>
      <x:c r="I29" s="32" t="n">
        <x:v>0.1100917431192660550458715596</x:v>
      </x:c>
      <x:c r="J29" s="32" t="n">
        <x:v>0.140672782874617737003058104</x:v>
      </x:c>
      <x:c r="K29" s="32" t="n">
        <x:v>0.1590214067278287461773700306</x:v>
      </x:c>
      <x:c r="L29" s="32" t="n">
        <x:v>0.1773700305810397553516819572</x:v>
      </x:c>
      <x:c r="M29" s="32" t="n">
        <x:v>0.1987767584097859327217125382</x:v>
      </x:c>
      <x:c r="N29" s="32" t="n">
        <x:v>0.2232415902140672782874617737</x:v>
      </x:c>
      <x:c r="O29" s="32" t="n">
        <x:v>0.2018348623853211009174311927</x:v>
      </x:c>
      <x:c r="P29" s="32" t="n">
        <x:v>0.2079510703363914373088685015</x:v>
      </x:c>
      <x:c r="Q29" s="32" t="n">
        <x:v>0.2232415902140672782874617737</x:v>
      </x:c>
      <x:c r="R29" s="32" t="n">
        <x:v>0.2232415902140672782874617737</x:v>
      </x:c>
      <x:c r="S29" s="32" t="n">
        <x:v>0.2354740061162079510703363914</x:v>
      </x:c>
      <x:c r="T29" s="32" t="n">
        <x:v>0.2507645259938837920489296636</x:v>
      </x:c>
      <x:c r="U29" s="32" t="n">
        <x:v>0.2477064220183486238532110092</x:v>
      </x:c>
      <x:c r="V29" s="32" t="n">
        <x:v>0.253822629969418960244648318</x:v>
      </x:c>
      <x:c r="W29" s="32" t="n">
        <x:v>0.2691131498470948012232415902</x:v>
      </x:c>
      <x:c r="X29" s="32" t="n">
        <x:v>0.2905198776758409785932721713</x:v>
      </x:c>
      <x:c r="Y29" s="32" t="n">
        <x:v>0.3302752293577981651376146789</x:v>
      </x:c>
      <x:c r="Z29" s="32" t="n">
        <x:v>0.3639143730886850152905198777</x:v>
      </x:c>
      <x:c r="AA29" s="32" t="n">
        <x:v>0.4006116207951070336391437309</x:v>
      </x:c>
      <x:c r="AB29" s="32" t="n">
        <x:v>0.4159021406727828746177370031</x:v>
      </x:c>
      <x:c r="AC29" s="32" t="n">
        <x:v>0.4220183486238532110091743119</x:v>
      </x:c>
      <x:c r="AD29" s="32" t="n">
        <x:v>0.4373088685015290519877675841</x:v>
      </x:c>
      <x:c r="AE29" s="32" t="n">
        <x:v>0.4525993883792048929663608563</x:v>
      </x:c>
      <x:c r="AF29" s="32" t="n">
        <x:v>0.4801223241590214067278287462</x:v>
      </x:c>
      <x:c r="AG29" s="32" t="n">
        <x:v>0.4770642201834862385321100917</x:v>
      </x:c>
      <x:c r="AH29" s="32" t="n">
        <x:v>0.4740061162079510703363914373</x:v>
      </x:c>
      <x:c r="AI29" s="32" t="n">
        <x:v>0.4740061162079510703363914373</x:v>
      </x:c>
      <x:c r="AJ29" s="32" t="n">
        <x:v>0.4740061162079510703363914373</x:v>
      </x:c>
      <x:c r="AK29" s="32" t="n">
        <x:v>0.4740061162079510703363914373</x:v>
      </x:c>
      <x:c r="AL29" s="32" t="n">
        <x:v>0.4740061162079510703363914373</x:v>
      </x:c>
      <x:c r="AM29" s="32" t="n">
        <x:v>0.4709480122324159021406727829</x:v>
      </x:c>
      <x:c r="AN29" s="32" t="n">
        <x:v>0.4709480122324159021406727829</x:v>
      </x:c>
      <x:c r="AO29" s="32" t="n">
        <x:v>0.4709480122324159021406727829</x:v>
      </x:c>
      <x:c r="AP29" s="32" t="n">
        <x:v>0.4709480122324159021406727829</x:v>
      </x:c>
      <x:c r="AQ29" s="32" t="n">
        <x:v>0.4831804281345565749235474006</x:v>
      </x:c>
      <x:c r="AR29" s="32" t="n">
        <x:v>0.4892966360856269113149847095</x:v>
      </x:c>
      <x:c r="AS29" s="32" t="n">
        <x:v>0.4892966360856269113149847095</x:v>
      </x:c>
      <x:c r="AT29" s="32" t="n">
        <x:v>0.5076452599388379204892966361</x:v>
      </x:c>
      <x:c r="AU29" s="32" t="n">
        <x:v>0.5107033639143730886850152905</x:v>
      </x:c>
      <x:c r="AV29" s="22" t="n">
        <x:v>0.5198776758409785932721712538</x:v>
      </x:c>
      <x:c r="AW29" s="33" t="s"/>
      <x:c r="AX29" s="11" t="s">
        <x:v>155</x:v>
      </x:c>
      <x:c r="AY29" s="12" t="n">
        <x:f>=BI29</x:f>
      </x:c>
      <x:c r="AZ29" s="12" t="n">
        <x:v>0.5107033639143730886850152905</x:v>
      </x:c>
      <x:c r="BA29" s="12" t="n">
        <x:v>0.3119266055045871559633027523</x:v>
      </x:c>
      <x:c r="BB29" s="12" t="n">
        <x:v>0.1773700305810397553516819572</x:v>
      </x:c>
      <x:c r="BC29" s="12" t="n">
        <x:f>=BH29</x:f>
      </x:c>
      <x:c r="BD29" s="13" t="n">
        <x:f>=BQ29</x:f>
      </x:c>
      <x:c r="BE29" s="30" t="n">
        <x:v>2271.35</x:v>
      </x:c>
      <x:c r="BF29" s="30" t="n">
        <x:v>-1861.3167</x:v>
      </x:c>
      <x:c r="BG29" s="30" t="n">
        <x:f>=BE29+BF29</x:f>
      </x:c>
      <x:c r="BH29" s="66" t="n">
        <x:f>=BG29/BE29</x:f>
      </x:c>
      <x:c r="BI29" s="66" t="n">
        <x:v>0.8226299694189602446483180428</x:v>
      </x:c>
      <x:c r="BJ29" s="30" t="n">
        <x:v>1808.31</x:v>
      </x:c>
      <x:c r="BK29" s="41" t="n">
        <x:v>58</x:v>
      </x:c>
      <x:c r="BL29" s="30" t="n">
        <x:v>320.74</x:v>
      </x:c>
      <x:c r="BN29" s="30" t="n">
        <x:v>3321.8376575731250000000</x:v>
      </x:c>
      <x:c r="BO29" s="30" t="n">
        <x:v>-1861.3167</x:v>
      </x:c>
      <x:c r="BP29" s="30" t="n">
        <x:f>=BN29+BO29</x:f>
      </x:c>
      <x:c r="BQ29" s="66" t="n">
        <x:f>=BP29/BN29</x:f>
      </x:c>
      <x:c r="BS29" s="66" t="n">
        <x:f>=BT29+BU29</x:f>
      </x:c>
      <x:c r="BT29" s="66" t="n">
        <x:f>=BI29+(0*4)</x:f>
      </x:c>
      <x:c r="BU29" s="66" t="n">
        <x:f>=(1-BT29)*0.5</x:f>
      </x:c>
      <x:c r="BV29" s="66" t="n">
        <x:f>=1-BS29</x:f>
      </x:c>
      <x:c r="BX29" s="66" t="n">
        <x:f>=BU29/(1-BT29)</x:f>
      </x:c>
    </x:row>
    <x:row r="30">
      <x:c r="A30" s="31" t="s">
        <x:v>156</x:v>
      </x:c>
      <x:c r="B30" t="s"/>
      <x:c r="C30" t="s">
        <x:v>157</x:v>
      </x:c>
      <x:c r="D30" t="s">
        <x:v>147</x:v>
      </x:c>
      <x:c r="E30" s="67" t="s">
        <x:v>154</x:v>
      </x:c>
      <x:c r="F30" t="n">
        <x:v>2726</x:v>
      </x:c>
      <x:c r="G30" s="32" t="n">
        <x:v>0.0818048422597212032281731475</x:v>
      </x:c>
      <x:c r="H30" s="32" t="n">
        <x:v>0.2190022010271460014673514307</x:v>
      </x:c>
      <x:c r="I30" s="32" t="n">
        <x:v>0.2410124724871606749816581071</x:v>
      </x:c>
      <x:c r="J30" s="32" t="n">
        <x:v>0.2564196625091709464416727806</x:v>
      </x:c>
      <x:c r="K30" s="32" t="n">
        <x:v>0.2498165810711665443873807777</x:v>
      </x:c>
      <x:c r="L30" s="32" t="n">
        <x:v>0.2589875275128393250183418929</x:v>
      </x:c>
      <x:c r="M30" s="32" t="n">
        <x:v>0.2597212032281731474688187821</x:v>
      </x:c>
      <x:c r="N30" s="32" t="n">
        <x:v>0.2622890682318415260454878944</x:v>
      </x:c>
      <x:c r="O30" s="32" t="n">
        <x:v>0.2586206896551724137931034483</x:v>
      </x:c>
      <x:c r="P30" s="32" t="n">
        <x:v>0.2593543653705062362435803375</x:v>
      </x:c>
      <x:c r="Q30" s="32" t="n">
        <x:v>0.2648569332355099046221570066</x:v>
      </x:c>
      <x:c r="R30" s="32" t="n">
        <x:v>0.2721936903888481291269258988</x:v>
      </x:c>
      <x:c r="S30" s="32" t="n">
        <x:v>0.2817314746881878209831254585</x:v>
      </x:c>
      <x:c r="T30" s="32" t="n">
        <x:v>0.2912692589875275128393250183</x:v>
      </x:c>
      <x:c r="U30" s="32" t="n">
        <x:v>0.301907556859867938371239912</x:v>
      </x:c>
      <x:c r="V30" s="32" t="n">
        <x:v>0.3147468818782098312545854732</x:v>
      </x:c>
      <x:c r="W30" s="32" t="n">
        <x:v>0.3268525311812179016874541453</x:v>
      </x:c>
      <x:c r="X30" s="32" t="n">
        <x:v>0.3312545854732208363903154806</x:v>
      </x:c>
      <x:c r="Y30" s="32" t="n">
        <x:v>0.3444607483492296404988994864</x:v>
      </x:c>
      <x:c r="Z30" s="32" t="n">
        <x:v>0.3609684519442406456346294938</x:v>
      </x:c>
      <x:c r="AA30" s="32" t="n">
        <x:v>0.3675715333822450476889214967</x:v>
      </x:c>
      <x:c r="AB30" s="32" t="n">
        <x:v>0.3745414526779163609684519442</x:v>
      </x:c>
      <x:c r="AC30" s="32" t="n">
        <x:v>0.3851797505502567865003668379</x:v>
      </x:c>
      <x:c r="AD30" s="32" t="n">
        <x:v>0.4108584005869405722670579604</x:v>
      </x:c>
      <x:c r="AE30" s="32" t="n">
        <x:v>0.4229640498899486426999266324</x:v>
      </x:c>
      <x:c r="AF30" s="32" t="n">
        <x:v>0.4350696991929567131327953045</x:v>
      </x:c>
      <x:c r="AG30" s="32" t="n">
        <x:v>0.4405722670579603815113719736</x:v>
      </x:c>
      <x:c r="AH30" s="32" t="n">
        <x:v>0.4581804842259721203228173147</x:v>
      </x:c>
      <x:c r="AI30" s="32" t="n">
        <x:v>0.4515774027879677182685253118</x:v>
      </x:c>
      <x:c r="AJ30" s="32" t="n">
        <x:v>0.452311078503301540719002201</x:v>
      </x:c>
      <x:c r="AW30" s="33" t="s"/>
      <x:c r="AX30" s="11" t="s">
        <x:v>158</x:v>
      </x:c>
      <x:c r="AY30" s="12" t="n">
        <x:f>=BI30</x:f>
      </x:c>
      <x:c r="AZ30" s="12" t="n">
        <x:v>0.4933969185619955979457079971</x:v>
      </x:c>
      <x:c r="BA30" s="12" t="n">
        <x:v>0.3294203961848862802641232575</x:v>
      </x:c>
      <x:c r="BB30" s="12" t="n">
        <x:v>0.1771826852531181217901687454</x:v>
      </x:c>
      <x:c r="BC30" s="12" t="n">
        <x:f>=BH30</x:f>
      </x:c>
      <x:c r="BD30" s="13" t="n">
        <x:f>=BQ30</x:f>
      </x:c>
      <x:c r="BE30" s="30" t="n">
        <x:v>27339.10</x:v>
      </x:c>
      <x:c r="BF30" s="30" t="n">
        <x:v>-25569.8800</x:v>
      </x:c>
      <x:c r="BG30" s="30" t="n">
        <x:f>=BE30+BF30</x:f>
      </x:c>
      <x:c r="BH30" s="66" t="n">
        <x:f>=BG30/BE30</x:f>
      </x:c>
      <x:c r="BI30" s="66" t="n">
        <x:v>0.8228173147468818782098312546</x:v>
      </x:c>
      <x:c r="BJ30" s="30" t="n">
        <x:v>23498.12</x:v>
      </x:c>
      <x:c r="BK30" s="41" t="n">
        <x:v>483</x:v>
      </x:c>
      <x:c r="BL30" s="30" t="n">
        <x:v>4163.46</x:v>
      </x:c>
      <x:c r="BN30" s="30" t="n">
        <x:v>39599.286839027750000000000000</x:v>
      </x:c>
      <x:c r="BO30" s="30" t="n">
        <x:v>-25569.8800</x:v>
      </x:c>
      <x:c r="BP30" s="30" t="n">
        <x:f>=BN30+BO30</x:f>
      </x:c>
      <x:c r="BQ30" s="66" t="n">
        <x:f>=BP30/BN30</x:f>
      </x:c>
      <x:c r="BS30" s="66" t="n">
        <x:f>=BT30+BU30</x:f>
      </x:c>
      <x:c r="BT30" s="66" t="n">
        <x:f>=BI30+(0*4)</x:f>
      </x:c>
      <x:c r="BU30" s="66" t="n">
        <x:f>=(1-BT30)*0.5</x:f>
      </x:c>
      <x:c r="BV30" s="66" t="n">
        <x:f>=1-BS30</x:f>
      </x:c>
      <x:c r="BX30" s="66" t="n">
        <x:f>=BU30/(1-BT30)</x:f>
      </x:c>
    </x:row>
    <x:row r="31">
      <x:c r="A31" s="31" t="s">
        <x:v>159</x:v>
      </x:c>
      <x:c r="B31" t="s"/>
      <x:c r="C31" t="s">
        <x:v>160</x:v>
      </x:c>
      <x:c r="D31" t="s">
        <x:v>131</x:v>
      </x:c>
      <x:c r="E31" s="67" t="s">
        <x:v>154</x:v>
      </x:c>
      <x:c r="F31" t="n">
        <x:v>547</x:v>
      </x:c>
      <x:c r="G31" s="32" t="n">
        <x:v>0.1096892138939670932358318099</x:v>
      </x:c>
      <x:c r="H31" s="32" t="n">
        <x:v>0.1407678244972577696526508227</x:v>
      </x:c>
      <x:c r="I31" s="32" t="n">
        <x:v>0.144424131627056672760511883</x:v>
      </x:c>
      <x:c r="J31" s="32" t="n">
        <x:v>0.1700182815356489945155393053</x:v>
      </x:c>
      <x:c r="K31" s="32" t="n">
        <x:v>0.2029250457038391224862888483</x:v>
      </x:c>
      <x:c r="L31" s="32" t="n">
        <x:v>0.2047531992687385740402193784</x:v>
      </x:c>
      <x:c r="M31" s="32" t="n">
        <x:v>0.2212065813528336380255941499</x:v>
      </x:c>
      <x:c r="N31" s="32" t="n">
        <x:v>0.2340036563071297989031078611</x:v>
      </x:c>
      <x:c r="O31" s="32" t="n">
        <x:v>0.2266910420475319926873857404</x:v>
      </x:c>
      <x:c r="P31" s="32" t="n">
        <x:v>0.2321755027422303473491773309</x:v>
      </x:c>
      <x:c r="Q31" s="32" t="n">
        <x:v>0.2413162705667276051188299817</x:v>
      </x:c>
      <x:c r="R31" s="32" t="n">
        <x:v>0.2632541133455210237659963437</x:v>
      </x:c>
      <x:c r="S31" s="32" t="n">
        <x:v>0.288848263254113345521023766</x:v>
      </x:c>
      <x:c r="T31" s="32" t="n">
        <x:v>0.2961608775137111517367458867</x:v>
      </x:c>
      <x:c r="U31" s="32" t="n">
        <x:v>0.3180987202925045703839122486</x:v>
      </x:c>
      <x:c r="V31" s="32" t="n">
        <x:v>0.3327239488117001828153564899</x:v>
      </x:c>
      <x:c r="W31" s="32" t="n">
        <x:v>0.3327239488117001828153564899</x:v>
      </x:c>
      <x:c r="X31" s="32" t="n">
        <x:v>0.3272394881170018281535648995</x:v>
      </x:c>
      <x:c r="Y31" s="32" t="n">
        <x:v>0.3345521023765996343692870201</x:v>
      </x:c>
      <x:c r="Z31" s="32" t="n">
        <x:v>0.3382084095063985374771480804</x:v>
      </x:c>
      <x:c r="AA31" s="32" t="n">
        <x:v>0.3601462522851919561243144424</x:v>
      </x:c>
      <x:c r="AB31" s="32" t="n">
        <x:v>0.400365630712979890310786106</x:v>
      </x:c>
      <x:c r="AC31" s="32" t="n">
        <x:v>0.4424131627056672760511882998</x:v>
      </x:c>
      <x:c r="AD31" s="32" t="n">
        <x:v>0.4625228519195612431444241316</x:v>
      </x:c>
      <x:c r="AE31" s="32" t="n">
        <x:v>0.4990859232175502742230347349</x:v>
      </x:c>
      <x:c r="AF31" s="32" t="n">
        <x:v>0.5319926873857404021937842779</x:v>
      </x:c>
      <x:c r="AG31" s="32" t="n">
        <x:v>0.5575868372943327239488117002</x:v>
      </x:c>
      <x:c r="AH31" s="32" t="n">
        <x:v>0.5904936014625228519195612431</x:v>
      </x:c>
      <x:c r="AI31" s="32" t="n">
        <x:v>0.6435100548446069469835466179</x:v>
      </x:c>
      <x:c r="AJ31" s="23" t="n">
        <x:v>0.7276051188299817184643510055</x:v>
      </x:c>
      <x:c r="AW31" s="33" t="s"/>
      <x:c r="AX31" s="11" t="s">
        <x:v>158</x:v>
      </x:c>
      <x:c r="AY31" s="12" t="n">
        <x:f>=BI31</x:f>
      </x:c>
      <x:c r="AZ31" s="12" t="n">
        <x:v>0.6563071297989031078610603291</x:v>
      </x:c>
      <x:c r="BA31" s="12" t="n">
        <x:v>0.2358318098720292504570383912</x:v>
      </x:c>
      <x:c r="BB31" s="12" t="n">
        <x:v>0.1078610603290676416819012797</x:v>
      </x:c>
      <x:c r="BC31" s="12" t="n">
        <x:f>=BH31</x:f>
      </x:c>
      <x:c r="BD31" s="13" t="n">
        <x:f>=BQ31</x:f>
      </x:c>
      <x:c r="BE31" s="30" t="n">
        <x:v>11128.23</x:v>
      </x:c>
      <x:c r="BF31" s="30" t="n">
        <x:v>-8963.79840</x:v>
      </x:c>
      <x:c r="BG31" s="30" t="n">
        <x:f>=BE31+BF31</x:f>
      </x:c>
      <x:c r="BH31" s="66" t="n">
        <x:f>=BG31/BE31</x:f>
      </x:c>
      <x:c r="BI31" s="66" t="n">
        <x:v>0.8921389396709323583180987203</x:v>
      </x:c>
      <x:c r="BJ31" s="30" t="n">
        <x:v>8314.40</x:v>
      </x:c>
      <x:c r="BK31" s="41" t="n">
        <x:v>59</x:v>
      </x:c>
      <x:c r="BL31" s="30" t="n">
        <x:v>896.80</x:v>
      </x:c>
      <x:c r="BN31" s="30" t="n">
        <x:v>15345.6006326055000000000</x:v>
      </x:c>
      <x:c r="BO31" s="30" t="n">
        <x:v>-8963.79840</x:v>
      </x:c>
      <x:c r="BP31" s="30" t="n">
        <x:f>=BN31+BO31</x:f>
      </x:c>
      <x:c r="BQ31" s="66" t="n">
        <x:f>=BP31/BN31</x:f>
      </x:c>
      <x:c r="BS31" s="66" t="n">
        <x:f>=BT31+BU31</x:f>
      </x:c>
      <x:c r="BT31" s="66" t="n">
        <x:f>=BI31+(0*4)</x:f>
      </x:c>
      <x:c r="BU31" s="66" t="n">
        <x:f>=(1-BT31)*0.5</x:f>
      </x:c>
      <x:c r="BV31" s="66" t="n">
        <x:f>=1-BS31</x:f>
      </x:c>
      <x:c r="BX31" s="66" t="n">
        <x:f>=BU31/(1-BT31)</x:f>
      </x:c>
    </x:row>
    <x:row r="32">
      <x:c r="A32" s="31" t="s">
        <x:v>161</x:v>
      </x:c>
      <x:c r="B32" t="s"/>
      <x:c r="C32" t="s">
        <x:v>162</x:v>
      </x:c>
      <x:c r="D32" t="s">
        <x:v>102</x:v>
      </x:c>
      <x:c r="E32" s="67" t="s">
        <x:v>154</x:v>
      </x:c>
      <x:c r="F32" t="n">
        <x:v>550</x:v>
      </x:c>
      <x:c r="G32" s="32" t="n">
        <x:v>0.0018181818181818181818181818</x:v>
      </x:c>
      <x:c r="H32" s="32" t="n">
        <x:v>0.0036363636363636363636363636</x:v>
      </x:c>
      <x:c r="I32" s="32" t="n">
        <x:v>0.0054545454545454545454545455</x:v>
      </x:c>
      <x:c r="J32" s="32" t="n">
        <x:v>0.0727272727272727272727272727</x:v>
      </x:c>
      <x:c r="K32" s="32" t="n">
        <x:v>0.1672727272727272727272727273</x:v>
      </x:c>
      <x:c r="L32" s="32" t="n">
        <x:v>0.3327272727272727272727272727</x:v>
      </x:c>
      <x:c r="M32" s="32" t="n">
        <x:v>0.4127272727272727272727272727</x:v>
      </x:c>
      <x:c r="N32" s="32" t="n">
        <x:v>0.4090909090909090909090909091</x:v>
      </x:c>
      <x:c r="O32" s="32" t="n">
        <x:v>0.4090909090909090909090909091</x:v>
      </x:c>
      <x:c r="P32" s="32" t="n">
        <x:v>0.4145454545454545454545454545</x:v>
      </x:c>
      <x:c r="Q32" s="32" t="n">
        <x:v>0.42</x:v>
      </x:c>
      <x:c r="R32" s="32" t="n">
        <x:v>0.4454545454545454545454545455</x:v>
      </x:c>
      <x:c r="S32" s="32" t="n">
        <x:v>0.4454545454545454545454545455</x:v>
      </x:c>
      <x:c r="T32" s="32" t="n">
        <x:v>0.4309090909090909090909090909</x:v>
      </x:c>
      <x:c r="U32" s="32" t="n">
        <x:v>0.4381818181818181818181818182</x:v>
      </x:c>
      <x:c r="V32" s="32" t="n">
        <x:v>0.4381818181818181818181818182</x:v>
      </x:c>
      <x:c r="W32" s="32" t="n">
        <x:v>0.4381818181818181818181818182</x:v>
      </x:c>
      <x:c r="X32" s="32" t="n">
        <x:v>0.4381818181818181818181818182</x:v>
      </x:c>
      <x:c r="Y32" s="32" t="n">
        <x:v>0.4436363636363636363636363636</x:v>
      </x:c>
      <x:c r="Z32" s="32" t="n">
        <x:v>0.46</x:v>
      </x:c>
      <x:c r="AA32" s="32" t="n">
        <x:v>0.4818181818181818181818181818</x:v>
      </x:c>
      <x:c r="AB32" s="32" t="n">
        <x:v>0.5090909090909090909090909091</x:v>
      </x:c>
      <x:c r="AC32" s="32" t="n">
        <x:v>0.5236363636363636363636363636</x:v>
      </x:c>
      <x:c r="AD32" s="32" t="n">
        <x:v>0.5581818181818181818181818182</x:v>
      </x:c>
      <x:c r="AE32" s="32" t="n">
        <x:v>0.6236363636363636363636363636</x:v>
      </x:c>
      <x:c r="AF32" s="32" t="n">
        <x:v>0.6381818181818181818181818182</x:v>
      </x:c>
      <x:c r="AG32" s="32" t="n">
        <x:v>0.6363636363636363636363636364</x:v>
      </x:c>
      <x:c r="AH32" s="32" t="n">
        <x:v>0.6781818181818181818181818182</x:v>
      </x:c>
      <x:c r="AI32" s="23" t="n">
        <x:v>0.7036363636363636363636363636</x:v>
      </x:c>
      <x:c r="AW32" s="33" t="s"/>
      <x:c r="AX32" s="11" t="s">
        <x:v>114</x:v>
      </x:c>
      <x:c r="AY32" s="12" t="n">
        <x:f>=BI32</x:f>
      </x:c>
      <x:c r="AZ32" s="12" t="n">
        <x:v>0.6127272727272727272727272727</x:v>
      </x:c>
      <x:c r="BA32" s="12" t="n">
        <x:v>0.2418181818181818181818181818</x:v>
      </x:c>
      <x:c r="BB32" s="12" t="n">
        <x:v>0.1454545454545454545454545455</x:v>
      </x:c>
      <x:c r="BC32" s="12" t="n">
        <x:f>=BH32</x:f>
      </x:c>
      <x:c r="BD32" s="13" t="n">
        <x:f>=BQ32</x:f>
      </x:c>
      <x:c r="BE32" s="30" t="n">
        <x:v>5590.18</x:v>
      </x:c>
      <x:c r="BF32" s="30" t="n">
        <x:v>-4854.6850</x:v>
      </x:c>
      <x:c r="BG32" s="30" t="n">
        <x:f>=BE32+BF32</x:f>
      </x:c>
      <x:c r="BH32" s="66" t="n">
        <x:f>=BG32/BE32</x:f>
      </x:c>
      <x:c r="BI32" s="66" t="n">
        <x:v>0.8545454545454545454545454545</x:v>
      </x:c>
      <x:c r="BJ32" s="30" t="n">
        <x:v>4785.00</x:v>
      </x:c>
      <x:c r="BK32" s="41" t="n">
        <x:v>80</x:v>
      </x:c>
      <x:c r="BL32" s="30" t="n">
        <x:v>696.00</x:v>
      </x:c>
      <x:c r="BN32" s="30" t="n">
        <x:v>7887.1178445406250000000000000</x:v>
      </x:c>
      <x:c r="BO32" s="30" t="n">
        <x:v>-4854.6850</x:v>
      </x:c>
      <x:c r="BP32" s="30" t="n">
        <x:f>=BN32+BO32</x:f>
      </x:c>
      <x:c r="BQ32" s="66" t="n">
        <x:f>=BP32/BN32</x:f>
      </x:c>
      <x:c r="BS32" s="66" t="n">
        <x:f>=BT32+BU32</x:f>
      </x:c>
      <x:c r="BT32" s="66" t="n">
        <x:f>=BI32+(0*4)</x:f>
      </x:c>
      <x:c r="BU32" s="66" t="n">
        <x:f>=(1-BT32)*0.5</x:f>
      </x:c>
      <x:c r="BV32" s="66" t="n">
        <x:f>=1-BS32</x:f>
      </x:c>
      <x:c r="BX32" s="66" t="n">
        <x:f>=BU32/(1-BT32)</x:f>
      </x:c>
    </x:row>
    <x:row r="33">
      <x:c r="A33" s="31" t="s">
        <x:v>163</x:v>
      </x:c>
      <x:c r="B33" t="s"/>
      <x:c r="C33" t="s">
        <x:v>164</x:v>
      </x:c>
      <x:c r="D33" t="s">
        <x:v>147</x:v>
      </x:c>
      <x:c r="E33" s="67" t="s">
        <x:v>154</x:v>
      </x:c>
      <x:c r="F33" t="n">
        <x:v>3231</x:v>
      </x:c>
      <x:c r="G33" s="32" t="n">
        <x:v>0.0114515629835964097802537914</x:v>
      </x:c>
      <x:c r="H33" s="32" t="n">
        <x:v>0.0374497059733828536056948313</x:v>
      </x:c>
      <x:c r="I33" s="32" t="n">
        <x:v>0.0810894459919529557412565769</x:v>
      </x:c>
      <x:c r="J33" s="32" t="n">
        <x:v>0.112349117920148560817084494</x:v>
      </x:c>
      <x:c r="K33" s="32" t="n">
        <x:v>0.1355617455896007428040854225</x:v>
      </x:c>
      <x:c r="L33" s="32" t="n">
        <x:v>0.1519653358093469514082327453</x:v>
      </x:c>
      <x:c r="M33" s="32" t="n">
        <x:v>0.1590838749613122872175796967</x:v>
      </x:c>
      <x:c r="N33" s="32" t="n">
        <x:v>0.1621788919839059114825131538</x:v>
      </x:c>
      <x:c r="O33" s="32" t="n">
        <x:v>0.1649644073042401733209532652</x:v>
      </x:c>
      <x:c r="P33" s="32" t="n">
        <x:v>0.1757969668833178582482203652</x:v>
      </x:c>
      <x:c r="Q33" s="32" t="n">
        <x:v>0.1795109873104302073661405138</x:v>
      </x:c>
      <x:c r="R33" s="32" t="n">
        <x:v>0.187867533271432992881460848</x:v>
      </x:c>
      <x:c r="S33" s="32" t="n">
        <x:v>0.2033426183844011142061281337</x:v>
      </x:c>
      <x:c r="T33" s="32" t="n">
        <x:v>0.2166511915815536985453419994</x:v>
      </x:c>
      <x:c r="U33" s="32" t="n">
        <x:v>0.2228412256267409470752089136</x:v>
      </x:c>
      <x:c r="V33" s="32" t="n">
        <x:v>0.2265552460538532961931290622</x:v>
      </x:c>
      <x:c r="W33" s="32" t="n">
        <x:v>0.2324357783967811822965026308</x:v>
      </x:c>
      <x:c r="X33" s="32" t="n">
        <x:v>0.2370783039306716186939028165</x:v>
      </x:c>
      <x:c r="Y33" s="32" t="n">
        <x:v>0.2401733209532652429588362736</x:v>
      </x:c>
      <x:c r="Z33" s="32" t="n">
        <x:v>0.2370783039306716186939028165</x:v>
      </x:c>
      <x:c r="AA33" s="32" t="n">
        <x:v>0.2376973073351903435468895079</x:v>
      </x:c>
      <x:c r="AB33" s="32" t="n">
        <x:v>0.2373878056329309811203961622</x:v>
      </x:c>
      <x:c r="AC33" s="32" t="n">
        <x:v>0.2376973073351903435468895079</x:v>
      </x:c>
      <x:c r="AD33" s="32" t="n">
        <x:v>0.2401733209532652429588362736</x:v>
      </x:c>
      <x:c r="AE33" s="32" t="n">
        <x:v>0.2401733209532652429588362736</x:v>
      </x:c>
      <x:c r="AF33" s="32" t="n">
        <x:v>0.2401733209532652429588362736</x:v>
      </x:c>
      <x:c r="AG33" s="32" t="n">
        <x:v>0.2423398328690807799442896936</x:v>
      </x:c>
      <x:c r="AH33" s="32" t="n">
        <x:v>0.2463633549984524914887031879</x:v>
      </x:c>
      <x:c r="AW33" s="33" t="s"/>
      <x:c r="AX33" s="11" t="s">
        <x:v>165</x:v>
      </x:c>
      <x:c r="AY33" s="12" t="n">
        <x:f>=BI33</x:f>
      </x:c>
      <x:c r="AZ33" s="12" t="n">
        <x:v>0.7749922624574435159393376664</x:v>
      </x:c>
      <x:c r="BA33" s="12" t="n">
        <x:v>0.1640359021974620860414732281</x:v>
      </x:c>
      <x:c r="BB33" s="12" t="n">
        <x:v>0.0609718353450943980191891055</x:v>
      </x:c>
      <x:c r="BC33" s="12" t="n">
        <x:f>=BH33</x:f>
      </x:c>
      <x:c r="BD33" s="13" t="n">
        <x:f>=BQ33</x:f>
      </x:c>
      <x:c r="BE33" s="30" t="n">
        <x:v>26958.72</x:v>
      </x:c>
      <x:c r="BF33" s="30" t="n">
        <x:v>-18933.6600</x:v>
      </x:c>
      <x:c r="BG33" s="30" t="n">
        <x:f>=BE33+BF33</x:f>
      </x:c>
      <x:c r="BH33" s="66" t="n">
        <x:f>=BG33/BE33</x:f>
      </x:c>
      <x:c r="BI33" s="66" t="n">
        <x:v>0.9390281646549056019808108945</x:v>
      </x:c>
      <x:c r="BJ33" s="30" t="n">
        <x:v>16962.75</x:v>
      </x:c>
      <x:c r="BK33" s="41" t="n">
        <x:v>197</x:v>
      </x:c>
      <x:c r="BL33" s="30" t="n">
        <x:v>1034.25</x:v>
      </x:c>
      <x:c r="BN33" s="30" t="n">
        <x:v>36300.3501512443125000000</x:v>
      </x:c>
      <x:c r="BO33" s="30" t="n">
        <x:v>-18933.6600</x:v>
      </x:c>
      <x:c r="BP33" s="30" t="n">
        <x:f>=BN33+BO33</x:f>
      </x:c>
      <x:c r="BQ33" s="66" t="n">
        <x:f>=BP33/BN33</x:f>
      </x:c>
      <x:c r="BS33" s="66" t="n">
        <x:f>=BT33+BU33</x:f>
      </x:c>
      <x:c r="BT33" s="66" t="n">
        <x:f>=BI33+(0*4)</x:f>
      </x:c>
      <x:c r="BU33" s="66" t="n">
        <x:f>=(1-BT33)*0.5</x:f>
      </x:c>
      <x:c r="BV33" s="66" t="n">
        <x:f>=1-BS33</x:f>
      </x:c>
      <x:c r="BX33" s="66" t="n">
        <x:f>=BU33/(1-BT33)</x:f>
      </x:c>
    </x:row>
    <x:row r="34">
      <x:c r="A34" s="31" t="s">
        <x:v>166</x:v>
      </x:c>
      <x:c r="B34" t="s"/>
      <x:c r="C34" t="s">
        <x:v>167</x:v>
      </x:c>
      <x:c r="D34" t="s">
        <x:v>102</x:v>
      </x:c>
      <x:c r="E34" s="67" t="s">
        <x:v>154</x:v>
      </x:c>
      <x:c r="F34" t="n">
        <x:v>490</x:v>
      </x:c>
      <x:c r="G34" s="32" t="n">
        <x:v>0.1346938775510204081632653061</x:v>
      </x:c>
      <x:c r="H34" s="32" t="n">
        <x:v>0.4857142857142857142857142857</x:v>
      </x:c>
      <x:c r="I34" s="23" t="n">
        <x:v>0.7632653061224489795918367347</x:v>
      </x:c>
      <x:c r="J34" s="32" t="n">
        <x:v>0.8326530612244897959183673469</x:v>
      </x:c>
      <x:c r="K34" s="32" t="n">
        <x:v>0.8836734693877551020408163265</x:v>
      </x:c>
      <x:c r="L34" s="32" t="n">
        <x:v>0.8938775510204081632653061224</x:v>
      </x:c>
      <x:c r="M34" s="32" t="n">
        <x:v>0.9183673469387755102040816327</x:v>
      </x:c>
      <x:c r="N34" s="32" t="n">
        <x:v>0.9244897959183673469387755102</x:v>
      </x:c>
      <x:c r="O34" s="32" t="n">
        <x:v>0.9265306122448979591836734694</x:v>
      </x:c>
      <x:c r="P34" s="32" t="n">
        <x:v>0.9163265306122448979591836735</x:v>
      </x:c>
      <x:c r="Q34" s="32" t="n">
        <x:v>0.9367346938775510204081632653</x:v>
      </x:c>
      <x:c r="R34" s="32" t="n">
        <x:v>0.9387755102040816326530612245</x:v>
      </x:c>
      <x:c r="S34" s="32" t="n">
        <x:v>0.9387755102040816326530612245</x:v>
      </x:c>
      <x:c r="T34" s="32" t="n">
        <x:v>0.944897959183673469387755102</x:v>
      </x:c>
      <x:c r="U34" s="32" t="n">
        <x:v>0.9469387755102040816326530612</x:v>
      </x:c>
      <x:c r="V34" s="32" t="n">
        <x:v>0.944897959183673469387755102</x:v>
      </x:c>
      <x:c r="W34" s="32" t="n">
        <x:v>0.9428571428571428571428571429</x:v>
      </x:c>
      <x:c r="X34" s="32" t="n">
        <x:v>0.9469387755102040816326530612</x:v>
      </x:c>
      <x:c r="Y34" s="32" t="n">
        <x:v>0.9489795918367346938775510204</x:v>
      </x:c>
      <x:c r="Z34" s="32" t="n">
        <x:v>0.9489795918367346938775510204</x:v>
      </x:c>
      <x:c r="AA34" s="32" t="n">
        <x:v>0.9510204081632653061224489796</x:v>
      </x:c>
      <x:c r="AB34" s="32" t="n">
        <x:v>0.955102040816326530612244898</x:v>
      </x:c>
      <x:c r="AC34" s="32" t="n">
        <x:v>0.9571428571428571428571428571</x:v>
      </x:c>
      <x:c r="AD34" s="32" t="n">
        <x:v>0.9571428571428571428571428571</x:v>
      </x:c>
      <x:c r="AE34" s="32" t="n">
        <x:v>0.9510204081632653061224489796</x:v>
      </x:c>
      <x:c r="AF34" s="22" t="n">
        <x:v>0.9530612244897959183673469388</x:v>
      </x:c>
      <x:c r="AW34" s="33" t="s"/>
      <x:c r="AX34" s="11" t="s">
        <x:v>168</x:v>
      </x:c>
      <x:c r="AY34" s="12" t="n">
        <x:f>=BI34</x:f>
      </x:c>
      <x:c r="AZ34" s="12" t="n">
        <x:v>0.9510204081632653061224489796</x:v>
      </x:c>
      <x:c r="BA34" s="12" t="n">
        <x:v>0.0163265306122448979591836735</x:v>
      </x:c>
      <x:c r="BB34" s="12" t="n">
        <x:v>0.0326530612244897959183673469</x:v>
      </x:c>
      <x:c r="BC34" s="12" t="n">
        <x:f>=BH34</x:f>
      </x:c>
      <x:c r="BD34" s="13" t="n">
        <x:f>=BQ34</x:f>
      </x:c>
      <x:c r="BE34" s="30" t="n">
        <x:v>5236.38</x:v>
      </x:c>
      <x:c r="BF34" s="30" t="n">
        <x:v>-3498.7960</x:v>
      </x:c>
      <x:c r="BG34" s="30" t="n">
        <x:f>=BE34+BF34</x:f>
      </x:c>
      <x:c r="BH34" s="66" t="n">
        <x:f>=BG34/BE34</x:f>
      </x:c>
      <x:c r="BI34" s="66" t="n">
        <x:v>0.9673469387755102040816326531</x:v>
      </x:c>
      <x:c r="BJ34" s="30" t="n">
        <x:v>3332.00</x:v>
      </x:c>
      <x:c r="BK34" s="41" t="n">
        <x:v>16</x:v>
      </x:c>
      <x:c r="BL34" s="30" t="n">
        <x:v>108.80</x:v>
      </x:c>
      <x:c r="BN34" s="30" t="n">
        <x:v>6967.9177597306250000000000000</x:v>
      </x:c>
      <x:c r="BO34" s="30" t="n">
        <x:v>-3498.7960</x:v>
      </x:c>
      <x:c r="BP34" s="30" t="n">
        <x:f>=BN34+BO34</x:f>
      </x:c>
      <x:c r="BQ34" s="66" t="n">
        <x:f>=BP34/BN34</x:f>
      </x:c>
      <x:c r="BS34" s="66" t="n">
        <x:f>=BT34+BU34</x:f>
      </x:c>
      <x:c r="BT34" s="66" t="n">
        <x:f>=BI34+(0*4)</x:f>
      </x:c>
      <x:c r="BU34" s="66" t="n">
        <x:f>=(1-BT34)*0.5</x:f>
      </x:c>
      <x:c r="BV34" s="66" t="n">
        <x:f>=1-BS34</x:f>
      </x:c>
      <x:c r="BX34" s="66" t="n">
        <x:f>=BU34/(1-BT34)</x:f>
      </x:c>
    </x:row>
    <x:row r="35">
      <x:c r="A35" s="31" t="s">
        <x:v>169</x:v>
      </x:c>
      <x:c r="B35" t="s"/>
      <x:c r="C35" t="s">
        <x:v>170</x:v>
      </x:c>
      <x:c r="D35" t="s">
        <x:v>147</x:v>
      </x:c>
      <x:c r="E35" s="67" t="s">
        <x:v>154</x:v>
      </x:c>
      <x:c r="F35" t="n">
        <x:v>1013</x:v>
      </x:c>
      <x:c r="G35" s="32" t="n">
        <x:v>0.0019743336623889437314906219</x:v>
      </x:c>
      <x:c r="H35" s="32" t="n">
        <x:v>0.0957551826258637709772951629</x:v>
      </x:c>
      <x:c r="I35" s="32" t="n">
        <x:v>0.1924975320829220138203356367</x:v>
      </x:c>
      <x:c r="J35" s="32" t="n">
        <x:v>0.2369200394866732477788746298</x:v>
      </x:c>
      <x:c r="K35" s="32" t="n">
        <x:v>0.2458045409674234945705824284</x:v>
      </x:c>
      <x:c r="L35" s="32" t="n">
        <x:v>0.2606120434353405725567620928</x:v>
      </x:c>
      <x:c r="M35" s="32" t="n">
        <x:v>0.2675222112537018756169792695</x:v>
      </x:c>
      <x:c r="N35" s="32" t="n">
        <x:v>0.2843040473840078973346495558</x:v>
      </x:c>
      <x:c r="O35" s="32" t="n">
        <x:v>0.2941757156959526159921026654</x:v>
      </x:c>
      <x:c r="P35" s="32" t="n">
        <x:v>0.3070088845014807502467917078</x:v>
      </x:c>
      <x:c r="Q35" s="32" t="n">
        <x:v>0.3139190523198420533070088845</x:v>
      </x:c>
      <x:c r="R35" s="32" t="n">
        <x:v>0.3228035538005923000987166831</x:v>
      </x:c>
      <x:c r="S35" s="32" t="n">
        <x:v>0.3316880552813425468904244817</x:v>
      </x:c>
      <x:c r="T35" s="32" t="n">
        <x:v>0.3395853899308983218163869694</x:v>
      </x:c>
      <x:c r="U35" s="32" t="n">
        <x:v>0.349457058242843040473840079</x:v>
      </x:c>
      <x:c r="V35" s="32" t="n">
        <x:v>0.3543928923988153998025666338</x:v>
      </x:c>
      <x:c r="W35" s="32" t="n">
        <x:v>0.3543928923988153998025666338</x:v>
      </x:c>
      <x:c r="X35" s="32" t="n">
        <x:v>0.3692003948667324777887462981</x:v>
      </x:c>
      <x:c r="Y35" s="32" t="n">
        <x:v>0.3761105626850937808489634748</x:v>
      </x:c>
      <x:c r="Z35" s="32" t="n">
        <x:v>0.3869693978282329713721618954</x:v>
      </x:c>
      <x:c r="AA35" s="32" t="n">
        <x:v>0.3998025666337611056268509378</x:v>
      </x:c>
      <x:c r="AB35" s="32" t="n">
        <x:v>0.4155972359328726554787759131</x:v>
      </x:c>
      <x:c r="AC35" s="32" t="n">
        <x:v>0.4205330700888450148075024679</x:v>
      </x:c>
      <x:c r="AD35" s="32" t="n">
        <x:v>0.4274432379072063178677196446</x:v>
      </x:c>
      <x:c r="AE35" s="32" t="n">
        <x:v>0.4373149062191510365251727542</x:v>
      </x:c>
      <x:c r="AF35" s="22" t="n">
        <x:v>0.4619940769990128331688055281</x:v>
      </x:c>
      <x:c r="AW35" s="33" t="s"/>
      <x:c r="AX35" s="11" t="s">
        <x:v>168</x:v>
      </x:c>
      <x:c r="AY35" s="12" t="n">
        <x:f>=BI35</x:f>
      </x:c>
      <x:c r="AZ35" s="12" t="n">
        <x:v>0.5745310957551826258637709773</x:v>
      </x:c>
      <x:c r="BA35" s="12" t="n">
        <x:v>0.3415597235932872655478775913</x:v>
      </x:c>
      <x:c r="BB35" s="12" t="n">
        <x:v>0.0839091806515301085883514314</x:v>
      </x:c>
      <x:c r="BC35" s="12" t="n">
        <x:f>=BH35</x:f>
      </x:c>
      <x:c r="BD35" s="13" t="n">
        <x:f>=BQ35</x:f>
      </x:c>
      <x:c r="BE35" s="30" t="n">
        <x:v>11260.06</x:v>
      </x:c>
      <x:c r="BF35" s="30" t="n">
        <x:v>-9371.8708</x:v>
      </x:c>
      <x:c r="BG35" s="30" t="n">
        <x:f>=BE35+BF35</x:f>
      </x:c>
      <x:c r="BH35" s="66" t="n">
        <x:f>=BG35/BE35</x:f>
      </x:c>
      <x:c r="BI35" s="66" t="n">
        <x:v>0.9160908193484698914116485686</x:v>
      </x:c>
      <x:c r="BJ35" s="30" t="n">
        <x:v>9319.60</x:v>
      </x:c>
      <x:c r="BK35" s="41" t="n">
        <x:v>85</x:v>
      </x:c>
      <x:c r="BL35" s="30" t="n">
        <x:v>782.00</x:v>
      </x:c>
      <x:c r="BN35" s="30" t="n">
        <x:v>15816.028183395125000000000000</x:v>
      </x:c>
      <x:c r="BO35" s="30" t="n">
        <x:v>-9371.8708</x:v>
      </x:c>
      <x:c r="BP35" s="30" t="n">
        <x:f>=BN35+BO35</x:f>
      </x:c>
      <x:c r="BQ35" s="66" t="n">
        <x:f>=BP35/BN35</x:f>
      </x:c>
      <x:c r="BS35" s="66" t="n">
        <x:f>=BT35+BU35</x:f>
      </x:c>
      <x:c r="BT35" s="66" t="n">
        <x:f>=BI35+(0*4)</x:f>
      </x:c>
      <x:c r="BU35" s="66" t="n">
        <x:f>=(1-BT35)*0.5</x:f>
      </x:c>
      <x:c r="BV35" s="66" t="n">
        <x:f>=1-BS35</x:f>
      </x:c>
      <x:c r="BX35" s="66" t="n">
        <x:f>=BU35/(1-BT35)</x:f>
      </x:c>
    </x:row>
    <x:row r="36">
      <x:c r="A36" s="31" t="s">
        <x:v>171</x:v>
      </x:c>
      <x:c r="B36" t="s"/>
      <x:c r="C36" t="s">
        <x:v>172</x:v>
      </x:c>
      <x:c r="D36" t="s">
        <x:v>102</x:v>
      </x:c>
      <x:c r="E36" s="67" t="s">
        <x:v>154</x:v>
      </x:c>
      <x:c r="F36" t="n">
        <x:v>2462</x:v>
      </x:c>
      <x:c r="G36" s="32" t="n">
        <x:v>0.0052802599512591389114541024</x:v>
      </x:c>
      <x:c r="H36" s="32" t="n">
        <x:v>0.0909829406986190089358245329</x:v>
      </x:c>
      <x:c r="I36" s="32" t="n">
        <x:v>0.2416734362307067424857839155</x:v>
      </x:c>
      <x:c r="J36" s="32" t="n">
        <x:v>0.3740861088545897644191714054</x:v>
      </x:c>
      <x:c r="K36" s="32" t="n">
        <x:v>0.4569455727051177904142973193</x:v>
      </x:c>
      <x:c r="L36" s="32" t="n">
        <x:v>0.5369618196588139723801787165</x:v>
      </x:c>
      <x:c r="M36" s="32" t="n">
        <x:v>0.5808285946385052802599512591</x:v>
      </x:c>
      <x:c r="N36" s="32" t="n">
        <x:v>0.6181965881397238017871649066</x:v>
      </x:c>
      <x:c r="O36" s="32" t="n">
        <x:v>0.6515028432168968318440292445</x:v>
      </x:c>
      <x:c r="P36" s="32" t="n">
        <x:v>0.6665312753858651502843216897</x:v>
      </x:c>
      <x:c r="Q36" s="32" t="n">
        <x:v>0.6754670999187652315190901706</x:v>
      </x:c>
      <x:c r="R36" s="32" t="n">
        <x:v>0.6795288383428107229894394801</x:v>
      </x:c>
      <x:c r="S36" s="32" t="n">
        <x:v>0.6856214459788789601949634444</x:v>
      </x:c>
      <x:c r="T36" s="32" t="n">
        <x:v>0.6852152721364744110479285134</x:v>
      </x:c>
      <x:c r="U36" s="32" t="n">
        <x:v>0.6852152721364744110479285134</x:v>
      </x:c>
      <x:c r="V36" s="32" t="n">
        <x:v>0.6835905767668562144597887896</x:v>
      </x:c>
      <x:c r="W36" s="32" t="n">
        <x:v>0.6872461413484971567831031682</x:v>
      </x:c>
      <x:c r="X36" s="32" t="n">
        <x:v>0.6949634443541835905767668562</x:v>
      </x:c>
      <x:c r="Y36" s="32" t="n">
        <x:v>0.6982128350934199837530463038</x:v>
      </x:c>
      <x:c r="Z36" s="23" t="n">
        <x:v>0.7026807473598700243704305443</x:v>
      </x:c>
      <x:c r="AA36" s="32" t="n">
        <x:v>0.7071486596263200649878147847</x:v>
      </x:c>
      <x:c r="AB36" s="32" t="n">
        <x:v>0.7083671811535337124289195776</x:v>
      </x:c>
      <x:c r="AC36" s="32" t="n">
        <x:v>0.7108042242079610073111291633</x:v>
      </x:c>
      <x:c r="AD36" s="32" t="n">
        <x:v>0.7136474411047928513403736799</x:v>
      </x:c>
      <x:c r="AE36" s="22" t="n">
        <x:v>0.7217709179528838342810722989</x:v>
      </x:c>
      <x:c r="AW36" s="33" t="s"/>
      <x:c r="AX36" s="11" t="s">
        <x:v>173</x:v>
      </x:c>
      <x:c r="AY36" s="12" t="n">
        <x:f>=BI36</x:f>
      </x:c>
      <x:c r="AZ36" s="12" t="n">
        <x:v>0.7359870024370430544272948822</x:v>
      </x:c>
      <x:c r="BA36" s="12" t="n">
        <x:v>0.196994313566206336311941511</x:v>
      </x:c>
      <x:c r="BB36" s="12" t="n">
        <x:v>0.0670186839967506092607636068</x:v>
      </x:c>
      <x:c r="BC36" s="12" t="n">
        <x:f>=BH36</x:f>
      </x:c>
      <x:c r="BD36" s="13" t="n">
        <x:f>=BQ36</x:f>
      </x:c>
      <x:c r="BE36" s="30" t="n">
        <x:v>24431.20</x:v>
      </x:c>
      <x:c r="BF36" s="30" t="n">
        <x:v>-17493.0024</x:v>
      </x:c>
      <x:c r="BG36" s="30" t="n">
        <x:f>=BE36+BF36</x:f>
      </x:c>
      <x:c r="BH36" s="66" t="n">
        <x:f>=BG36/BE36</x:f>
      </x:c>
      <x:c r="BI36" s="66" t="n">
        <x:v>0.9329813160032493907392363932</x:v>
      </x:c>
      <x:c r="BJ36" s="30" t="n">
        <x:v>16741.60</x:v>
      </x:c>
      <x:c r="BK36" s="41" t="n">
        <x:v>165</x:v>
      </x:c>
      <x:c r="BL36" s="30" t="n">
        <x:v>1122.00</x:v>
      </x:c>
      <x:c r="BN36" s="30" t="n">
        <x:v>33131.293805013875000000000000</x:v>
      </x:c>
      <x:c r="BO36" s="30" t="n">
        <x:v>-17493.0024</x:v>
      </x:c>
      <x:c r="BP36" s="30" t="n">
        <x:f>=BN36+BO36</x:f>
      </x:c>
      <x:c r="BQ36" s="66" t="n">
        <x:f>=BP36/BN36</x:f>
      </x:c>
      <x:c r="BS36" s="66" t="n">
        <x:f>=BT36+BU36</x:f>
      </x:c>
      <x:c r="BT36" s="66" t="n">
        <x:f>=BI36+(0*4)</x:f>
      </x:c>
      <x:c r="BU36" s="66" t="n">
        <x:f>=(1-BT36)*0.5</x:f>
      </x:c>
      <x:c r="BV36" s="66" t="n">
        <x:f>=1-BS36</x:f>
      </x:c>
      <x:c r="BX36" s="66" t="n">
        <x:f>=BU36/(1-BT36)</x:f>
      </x:c>
    </x:row>
    <x:row r="37">
      <x:c r="A37" s="31" t="s">
        <x:v>174</x:v>
      </x:c>
      <x:c r="B37" t="s"/>
      <x:c r="C37" t="s">
        <x:v>175</x:v>
      </x:c>
      <x:c r="D37" t="s">
        <x:v>147</x:v>
      </x:c>
      <x:c r="E37" s="67" t="s">
        <x:v>154</x:v>
      </x:c>
      <x:c r="F37" t="n">
        <x:v>459</x:v>
      </x:c>
      <x:c r="G37" s="32" t="n">
        <x:v>0.0566448801742919389978213508</x:v>
      </x:c>
      <x:c r="H37" s="32" t="n">
        <x:v>0.3028322440087145969498910675</x:v>
      </x:c>
      <x:c r="I37" s="32" t="n">
        <x:v>0.4618736383442265795206971678</x:v>
      </x:c>
      <x:c r="J37" s="32" t="n">
        <x:v>0.5729847494553376906318082789</x:v>
      </x:c>
      <x:c r="K37" s="32" t="n">
        <x:v>0.6514161220043572984749455338</x:v>
      </x:c>
      <x:c r="L37" s="23" t="n">
        <x:v>0.7254901960784313725490196078</x:v>
      </x:c>
      <x:c r="M37" s="32" t="n">
        <x:v>0.7690631808278867102396514161</x:v>
      </x:c>
      <x:c r="N37" s="32" t="n">
        <x:v>0.7712418300653594771241830065</x:v>
      </x:c>
      <x:c r="O37" s="32" t="n">
        <x:v>0.7363834422657952069716775599</x:v>
      </x:c>
      <x:c r="P37" s="32" t="n">
        <x:v>0.721132897603485838779956427</x:v>
      </x:c>
      <x:c r="Q37" s="32" t="n">
        <x:v>0.694989106753812636165577342</x:v>
      </x:c>
      <x:c r="R37" s="32" t="n">
        <x:v>0.6993464052287581699346405229</x:v>
      </x:c>
      <x:c r="S37" s="32" t="n">
        <x:v>0.721132897603485838779956427</x:v>
      </x:c>
      <x:c r="T37" s="32" t="n">
        <x:v>0.7581699346405228758169934641</x:v>
      </x:c>
      <x:c r="U37" s="32" t="n">
        <x:v>0.7276688453159041394335511983</x:v>
      </x:c>
      <x:c r="V37" s="32" t="n">
        <x:v>0.7450980392156862745098039216</x:v>
      </x:c>
      <x:c r="W37" s="32" t="n">
        <x:v>0.7734204793028322440087145969</x:v>
      </x:c>
      <x:c r="X37" s="32" t="n">
        <x:v>0.7821350762527233115468409586</x:v>
      </x:c>
      <x:c r="Y37" s="32" t="n">
        <x:v>0.7995642701525054466230936819</x:v>
      </x:c>
      <x:c r="Z37" s="32" t="n">
        <x:v>0.8017429193899782135076252723</x:v>
      </x:c>
      <x:c r="AA37" s="32" t="n">
        <x:v>0.8017429193899782135076252723</x:v>
      </x:c>
      <x:c r="AB37" s="32" t="n">
        <x:v>0.8213507625272331154684095861</x:v>
      </x:c>
      <x:c r="AC37" s="32" t="n">
        <x:v>0.8409586056644880174291938998</x:v>
      </x:c>
      <x:c r="AD37" s="22" t="n">
        <x:v>0.8453159041394335511982570806</x:v>
      </x:c>
      <x:c r="AW37" s="33" t="s"/>
      <x:c r="AX37" s="11" t="s">
        <x:v>176</x:v>
      </x:c>
      <x:c r="AY37" s="12" t="n">
        <x:f>=BI37</x:f>
      </x:c>
      <x:c r="AZ37" s="12" t="n">
        <x:v>0.810457516339869281045751634</x:v>
      </x:c>
      <x:c r="BA37" s="12" t="n">
        <x:v>0.1176470588235294117647058824</x:v>
      </x:c>
      <x:c r="BB37" s="12" t="n">
        <x:v>0.0718954248366013071895424837</x:v>
      </x:c>
      <x:c r="BC37" s="12" t="n">
        <x:f>=BH37</x:f>
      </x:c>
      <x:c r="BD37" s="13" t="n">
        <x:f>=BQ37</x:f>
      </x:c>
      <x:c r="BE37" s="30" t="n">
        <x:v>6372.96</x:v>
      </x:c>
      <x:c r="BF37" s="30" t="n">
        <x:v>-4093.1784</x:v>
      </x:c>
      <x:c r="BG37" s="30" t="n">
        <x:f>=BE37+BF37</x:f>
      </x:c>
      <x:c r="BH37" s="66" t="n">
        <x:f>=BG37/BE37</x:f>
      </x:c>
      <x:c r="BI37" s="66" t="n">
        <x:v>0.9281045751633986928104575163</x:v>
      </x:c>
      <x:c r="BJ37" s="30" t="n">
        <x:v>3956.58</x:v>
      </x:c>
      <x:c r="BK37" s="41" t="n">
        <x:v>33</x:v>
      </x:c>
      <x:c r="BL37" s="30" t="n">
        <x:v>284.46</x:v>
      </x:c>
      <x:c r="BN37" s="30" t="n">
        <x:v>8437.3128096528750000000</x:v>
      </x:c>
      <x:c r="BO37" s="30" t="n">
        <x:v>-4093.1784</x:v>
      </x:c>
      <x:c r="BP37" s="30" t="n">
        <x:f>=BN37+BO37</x:f>
      </x:c>
      <x:c r="BQ37" s="66" t="n">
        <x:f>=BP37/BN37</x:f>
      </x:c>
      <x:c r="BS37" s="66" t="n">
        <x:f>=BT37+BU37</x:f>
      </x:c>
      <x:c r="BT37" s="66" t="n">
        <x:f>=BI37+(0*4)</x:f>
      </x:c>
      <x:c r="BU37" s="66" t="n">
        <x:f>=(1-BT37)*0.5</x:f>
      </x:c>
      <x:c r="BV37" s="66" t="n">
        <x:f>=1-BS37</x:f>
      </x:c>
      <x:c r="BX37" s="66" t="n">
        <x:f>=BU37/(1-BT37)</x:f>
      </x:c>
    </x:row>
    <x:row r="38">
      <x:c r="A38" s="31" t="s">
        <x:v>177</x:v>
      </x:c>
      <x:c r="B38" t="s"/>
      <x:c r="C38" t="s">
        <x:v>178</x:v>
      </x:c>
      <x:c r="D38" t="s">
        <x:v>113</x:v>
      </x:c>
      <x:c r="E38" s="67" t="s">
        <x:v>154</x:v>
      </x:c>
      <x:c r="F38" t="n">
        <x:v>270</x:v>
      </x:c>
      <x:c r="G38" s="32" t="n">
        <x:v>0.1148148148148148148148148148</x:v>
      </x:c>
      <x:c r="H38" s="32" t="n">
        <x:v>0.2037037037037037037037037037</x:v>
      </x:c>
      <x:c r="I38" s="32" t="n">
        <x:v>0.3185185185185185185185185185</x:v>
      </x:c>
      <x:c r="J38" s="32" t="n">
        <x:v>0.4111111111111111111111111111</x:v>
      </x:c>
      <x:c r="K38" s="32" t="n">
        <x:v>0.5</x:v>
      </x:c>
      <x:c r="L38" s="32" t="n">
        <x:v>0.5777777777777777777777777778</x:v>
      </x:c>
      <x:c r="M38" s="32" t="n">
        <x:v>0.662962962962962962962962963</x:v>
      </x:c>
      <x:c r="N38" s="23" t="n">
        <x:v>0.7185185185185185185185185185</x:v>
      </x:c>
      <x:c r="O38" s="32" t="n">
        <x:v>0.8481481481481481481481481481</x:v>
      </x:c>
      <x:c r="P38" s="32" t="n">
        <x:v>0.8333333333333333333333333333</x:v>
      </x:c>
      <x:c r="Q38" s="32" t="n">
        <x:v>0.8296296296296296296296296296</x:v>
      </x:c>
      <x:c r="R38" s="32" t="n">
        <x:v>0.8518518518518518518518518519</x:v>
      </x:c>
      <x:c r="S38" s="32" t="n">
        <x:v>0.8740740740740740740740740741</x:v>
      </x:c>
      <x:c r="T38" s="32" t="n">
        <x:v>0.8666666666666666666666666667</x:v>
      </x:c>
      <x:c r="U38" s="32" t="n">
        <x:v>0.8518518518518518518518518519</x:v>
      </x:c>
      <x:c r="V38" s="32" t="n">
        <x:v>0.8555555555555555555555555556</x:v>
      </x:c>
      <x:c r="W38" s="32" t="n">
        <x:v>0.8592592592592592592592592593</x:v>
      </x:c>
      <x:c r="X38" s="32" t="n">
        <x:v>0.8925925925925925925925925926</x:v>
      </x:c>
      <x:c r="Y38" s="32" t="n">
        <x:v>0.9074074074074074074074074074</x:v>
      </x:c>
      <x:c r="Z38" s="32" t="n">
        <x:v>0.9111111111111111111111111111</x:v>
      </x:c>
      <x:c r="AA38" s="32" t="n">
        <x:v>0.9185185185185185185185185185</x:v>
      </x:c>
      <x:c r="AB38" s="32" t="n">
        <x:v>0.9333333333333333333333333333</x:v>
      </x:c>
      <x:c r="AC38" s="32" t="n">
        <x:v>0.9259259259259259259259259259</x:v>
      </x:c>
      <x:c r="AW38" s="33" t="s"/>
      <x:c r="AX38" s="11" t="s">
        <x:v>179</x:v>
      </x:c>
      <x:c r="AY38" s="12" t="n">
        <x:f>=BI38</x:f>
      </x:c>
      <x:c r="AZ38" s="12" t="n">
        <x:v>0.9185185185185185185185185185</x:v>
      </x:c>
      <x:c r="BA38" s="12" t="n">
        <x:v>0.0296296296296296296296296296</x:v>
      </x:c>
      <x:c r="BB38" s="12" t="n">
        <x:v>0.0518518518518518518518518519</x:v>
      </x:c>
      <x:c r="BC38" s="12" t="n">
        <x:f>=BH38</x:f>
      </x:c>
      <x:c r="BD38" s="13" t="n">
        <x:f>=BQ38</x:f>
      </x:c>
      <x:c r="BE38" s="30" t="n">
        <x:v>3695.07</x:v>
      </x:c>
      <x:c r="BF38" s="30" t="n">
        <x:v>-2435.83914959972230894200</x:v>
      </x:c>
      <x:c r="BG38" s="30" t="n">
        <x:f>=BE38+BF38</x:f>
      </x:c>
      <x:c r="BH38" s="66" t="n">
        <x:f>=BG38/BE38</x:f>
      </x:c>
      <x:c r="BI38" s="66" t="n">
        <x:v>0.9481481481481481481481481481</x:v>
      </x:c>
      <x:c r="BJ38" s="30" t="n">
        <x:v>2465.163040824455988600</x:v>
      </x:c>
      <x:c r="BK38" s="41" t="n">
        <x:v>14</x:v>
      </x:c>
      <x:c r="BL38" s="30" t="n">
        <x:v>127.823268783490310520</x:v>
      </x:c>
      <x:c r="BN38" s="30" t="n">
        <x:v>4909.3951821487500000000</x:v>
      </x:c>
      <x:c r="BO38" s="30" t="n">
        <x:v>-2435.83914959972230894200</x:v>
      </x:c>
      <x:c r="BP38" s="30" t="n">
        <x:f>=BN38+BO38</x:f>
      </x:c>
      <x:c r="BQ38" s="66" t="n">
        <x:f>=BP38/BN38</x:f>
      </x:c>
      <x:c r="BS38" s="66" t="n">
        <x:f>=BT38+BU38</x:f>
      </x:c>
      <x:c r="BT38" s="66" t="n">
        <x:f>=BI38+(0*4)</x:f>
      </x:c>
      <x:c r="BU38" s="66" t="n">
        <x:f>=(1-BT38)*0.5</x:f>
      </x:c>
      <x:c r="BV38" s="66" t="n">
        <x:f>=1-BS38</x:f>
      </x:c>
      <x:c r="BX38" s="66" t="n">
        <x:f>=BU38/(1-BT38)</x:f>
      </x:c>
    </x:row>
    <x:row r="39">
      <x:c r="A39" s="31" t="s">
        <x:v>180</x:v>
      </x:c>
      <x:c r="B39" t="s"/>
      <x:c r="C39" t="s">
        <x:v>181</x:v>
      </x:c>
      <x:c r="D39" t="s">
        <x:v>113</x:v>
      </x:c>
      <x:c r="E39" s="67" t="s">
        <x:v>154</x:v>
      </x:c>
      <x:c r="F39" t="n">
        <x:v>277</x:v>
      </x:c>
      <x:c r="G39" s="32" t="n">
        <x:v>0.1913357400722021660649819495</x:v>
      </x:c>
      <x:c r="H39" s="32" t="n">
        <x:v>0.3537906137184115523465703971</x:v>
      </x:c>
      <x:c r="I39" s="32" t="n">
        <x:v>0.6642599277978339350180505415</x:v>
      </x:c>
      <x:c r="J39" s="23" t="n">
        <x:v>0.776173285198555956678700361</x:v>
      </x:c>
      <x:c r="K39" s="32" t="n">
        <x:v>0.8303249097472924187725631769</x:v>
      </x:c>
      <x:c r="L39" s="32" t="n">
        <x:v>0.8592057761732851985559566787</x:v>
      </x:c>
      <x:c r="M39" s="32" t="n">
        <x:v>0.8231046931407942238267148014</x:v>
      </x:c>
      <x:c r="N39" s="32" t="n">
        <x:v>0.8880866425992779783393501805</x:v>
      </x:c>
      <x:c r="O39" s="32" t="n">
        <x:v>0.9241877256317689530685920578</x:v>
      </x:c>
      <x:c r="P39" s="32" t="n">
        <x:v>0.9133574007220216606498194946</x:v>
      </x:c>
      <x:c r="Q39" s="32" t="n">
        <x:v>0.9097472924187725631768953069</x:v>
      </x:c>
      <x:c r="R39" s="32" t="n">
        <x:v>0.9133574007220216606498194946</x:v>
      </x:c>
      <x:c r="S39" s="32" t="n">
        <x:v>0.9133574007220216606498194946</x:v>
      </x:c>
      <x:c r="T39" s="32" t="n">
        <x:v>0.9061371841155234657039711191</x:v>
      </x:c>
      <x:c r="U39" s="32" t="n">
        <x:v>0.9097472924187725631768953069</x:v>
      </x:c>
      <x:c r="V39" s="32" t="n">
        <x:v>0.9025270758122743682310469314</x:v>
      </x:c>
      <x:c r="W39" s="32" t="n">
        <x:v>0.92057761732851985559566787</x:v>
      </x:c>
      <x:c r="X39" s="32" t="n">
        <x:v>0.9314079422382671480144404332</x:v>
      </x:c>
      <x:c r="Y39" s="32" t="n">
        <x:v>0.9386281588447653429602888087</x:v>
      </x:c>
      <x:c r="Z39" s="32" t="n">
        <x:v>0.9386281588447653429602888087</x:v>
      </x:c>
      <x:c r="AA39" s="32" t="n">
        <x:v>0.9494584837545126353790613718</x:v>
      </x:c>
      <x:c r="AB39" s="32" t="n">
        <x:v>0.9566787003610108303249097473</x:v>
      </x:c>
      <x:c r="AC39" s="22" t="n">
        <x:v>0.9783393501805054151624548736</x:v>
      </x:c>
      <x:c r="AW39" s="33" t="s"/>
      <x:c r="AX39" s="11" t="s">
        <x:v>179</x:v>
      </x:c>
      <x:c r="AY39" s="12" t="n">
        <x:f>=BI39</x:f>
      </x:c>
      <x:c r="AZ39" s="12" t="n">
        <x:v>0.9566787003610108303249097473</x:v>
      </x:c>
      <x:c r="BA39" s="12" t="n">
        <x:v>0.0288808664259927797833935018</x:v>
      </x:c>
      <x:c r="BB39" s="12" t="n">
        <x:v>0.0144404332129963898916967509</x:v>
      </x:c>
      <x:c r="BC39" s="12" t="n">
        <x:f>=BH39</x:f>
      </x:c>
      <x:c r="BD39" s="13" t="n">
        <x:f>=BQ39</x:f>
      </x:c>
      <x:c r="BE39" s="30" t="n">
        <x:v>4014.96</x:v>
      </x:c>
      <x:c r="BF39" s="30" t="n">
        <x:v>-2497.82713495971510954420</x:v>
      </x:c>
      <x:c r="BG39" s="30" t="n">
        <x:f>=BE39+BF39</x:f>
      </x:c>
      <x:c r="BH39" s="66" t="n">
        <x:f>=BG39/BE39</x:f>
      </x:c>
      <x:c r="BI39" s="66" t="n">
        <x:v>0.9855595667870036101083032491</x:v>
      </x:c>
      <x:c r="BJ39" s="30" t="n">
        <x:v>2529.074675216201143860</x:v>
      </x:c>
      <x:c r="BK39" s="41" t="n">
        <x:v>4</x:v>
      </x:c>
      <x:c r="BL39" s="30" t="n">
        <x:v>36.520933938140088720</x:v>
      </x:c>
      <x:c r="BN39" s="30" t="n">
        <x:v>5260.7676868711250000000000000</x:v>
      </x:c>
      <x:c r="BO39" s="30" t="n">
        <x:v>-2497.82713495971510954420</x:v>
      </x:c>
      <x:c r="BP39" s="30" t="n">
        <x:f>=BN39+BO39</x:f>
      </x:c>
      <x:c r="BQ39" s="66" t="n">
        <x:f>=BP39/BN39</x:f>
      </x:c>
      <x:c r="BS39" s="66" t="n">
        <x:f>=BT39+BU39</x:f>
      </x:c>
      <x:c r="BT39" s="66" t="n">
        <x:f>=BI39+(0*4)</x:f>
      </x:c>
      <x:c r="BU39" s="66" t="n">
        <x:f>=(1-BT39)*0.5</x:f>
      </x:c>
      <x:c r="BV39" s="66" t="n">
        <x:f>=1-BS39</x:f>
      </x:c>
      <x:c r="BX39" s="66" t="n">
        <x:f>=BU39/(1-BT39)</x:f>
      </x:c>
    </x:row>
    <x:row r="40">
      <x:c r="A40" s="31" t="s">
        <x:v>182</x:v>
      </x:c>
      <x:c r="B40" t="s"/>
      <x:c r="C40" t="s">
        <x:v>183</x:v>
      </x:c>
      <x:c r="D40" t="s">
        <x:v>131</x:v>
      </x:c>
      <x:c r="E40" s="67" t="s">
        <x:v>154</x:v>
      </x:c>
      <x:c r="F40" t="n">
        <x:v>2044</x:v>
      </x:c>
      <x:c r="G40" s="32" t="n">
        <x:v>0</x:v>
      </x:c>
      <x:c r="H40" s="32" t="n">
        <x:v>0</x:v>
      </x:c>
      <x:c r="I40" s="32" t="n">
        <x:v>0</x:v>
      </x:c>
      <x:c r="J40" s="32" t="n">
        <x:v>0</x:v>
      </x:c>
      <x:c r="K40" s="32" t="n">
        <x:v>0.023972602739726027397260274</x:v>
      </x:c>
      <x:c r="L40" s="32" t="n">
        <x:v>0.0973581213307240704500978474</x:v>
      </x:c>
      <x:c r="M40" s="32" t="n">
        <x:v>0.1898238747553816046966731898</x:v>
      </x:c>
      <x:c r="N40" s="32" t="n">
        <x:v>0.2871819960861056751467710372</x:v>
      </x:c>
      <x:c r="O40" s="32" t="n">
        <x:v>0.3742661448140900195694716243</x:v>
      </x:c>
      <x:c r="P40" s="32" t="n">
        <x:v>0.4481409001956947162426614481</x:v>
      </x:c>
      <x:c r="Q40" s="32" t="n">
        <x:v>0.4975538160469667318982387476</x:v>
      </x:c>
      <x:c r="R40" s="32" t="n">
        <x:v>0.5288649706457925636007827789</x:v>
      </x:c>
      <x:c r="S40" s="32" t="n">
        <x:v>0.5567514677103718199608610568</x:v>
      </x:c>
      <x:c r="T40" s="32" t="n">
        <x:v>0.5406066536203522504892367906</x:v>
      </x:c>
      <x:c r="U40" s="32" t="n">
        <x:v>0.546966731898238747553816047</x:v>
      </x:c>
      <x:c r="V40" s="32" t="n">
        <x:v>0.5425636007827788649706457926</x:v>
      </x:c>
      <x:c r="W40" s="32" t="n">
        <x:v>0.5410958904109589041095890411</x:v>
      </x:c>
      <x:c r="X40" s="32" t="n">
        <x:v>0.544031311154598825831702544</x:v>
      </x:c>
      <x:c r="Y40" s="32" t="n">
        <x:v>0.5494129158512720156555772994</x:v>
      </x:c>
      <x:c r="Z40" s="32" t="n">
        <x:v>0.5567514677103718199608610568</x:v>
      </x:c>
      <x:c r="AA40" s="32" t="n">
        <x:v>0.566046966731898238747553816</x:v>
      </x:c>
      <x:c r="AB40" s="32" t="n">
        <x:v>0.5782778864970645792563600783</x:v>
      </x:c>
      <x:c r="AC40" s="32" t="n">
        <x:v>0.5924657534246575342465753425</x:v>
      </x:c>
      <x:c r="AW40" s="33" t="s"/>
      <x:c r="AX40" s="11" t="s">
        <x:v>179</x:v>
      </x:c>
      <x:c r="AY40" s="12" t="n">
        <x:f>=BI40</x:f>
      </x:c>
      <x:c r="AZ40" s="12" t="n">
        <x:v>0.6286692759295499021526418787</x:v>
      </x:c>
      <x:c r="BA40" s="12" t="n">
        <x:v>0.1330724070450097847358121331</x:v>
      </x:c>
      <x:c r="BB40" s="12" t="n">
        <x:v>0.2382583170254403131115459883</x:v>
      </x:c>
      <x:c r="BC40" s="12" t="n">
        <x:f>=BH40</x:f>
      </x:c>
      <x:c r="BD40" s="13" t="n">
        <x:f>=BQ40</x:f>
      </x:c>
      <x:c r="BE40" s="30" t="n">
        <x:v>25938.94</x:v>
      </x:c>
      <x:c r="BF40" s="30" t="n">
        <x:v>-23581.42360</x:v>
      </x:c>
      <x:c r="BG40" s="30" t="n">
        <x:f>=BE40+BF40</x:f>
      </x:c>
      <x:c r="BH40" s="66" t="n">
        <x:f>=BG40/BE40</x:f>
      </x:c>
      <x:c r="BI40" s="66" t="n">
        <x:v>0.7617416829745596868884540117</x:v>
      </x:c>
      <x:c r="BJ40" s="30" t="n">
        <x:v>21768.60</x:v>
      </x:c>
      <x:c r="BK40" s="41" t="n">
        <x:v>487</x:v>
      </x:c>
      <x:c r="BL40" s="30" t="n">
        <x:v>5186.55</x:v>
      </x:c>
      <x:c r="BN40" s="30" t="n">
        <x:v>37101.736674419250000000000000</x:v>
      </x:c>
      <x:c r="BO40" s="30" t="n">
        <x:v>-23581.42360</x:v>
      </x:c>
      <x:c r="BP40" s="30" t="n">
        <x:f>=BN40+BO40</x:f>
      </x:c>
      <x:c r="BQ40" s="66" t="n">
        <x:f>=BP40/BN40</x:f>
      </x:c>
      <x:c r="BS40" s="66" t="n">
        <x:f>=BT40+BU40</x:f>
      </x:c>
      <x:c r="BT40" s="66" t="n">
        <x:f>=BI40+(0*4)</x:f>
      </x:c>
      <x:c r="BU40" s="66" t="n">
        <x:f>=(1-BT40)*0.5</x:f>
      </x:c>
      <x:c r="BV40" s="66" t="n">
        <x:f>=1-BS40</x:f>
      </x:c>
      <x:c r="BX40" s="66" t="n">
        <x:f>=BU40/(1-BT40)</x:f>
      </x:c>
    </x:row>
    <x:row r="41">
      <x:c r="A41" s="31" t="s">
        <x:v>184</x:v>
      </x:c>
      <x:c r="B41" t="s"/>
      <x:c r="C41" t="s">
        <x:v>185</x:v>
      </x:c>
      <x:c r="D41" t="s">
        <x:v>147</x:v>
      </x:c>
      <x:c r="E41" s="67" t="s">
        <x:v>154</x:v>
      </x:c>
      <x:c r="F41" t="n">
        <x:v>1012</x:v>
      </x:c>
      <x:c r="G41" s="32" t="n">
        <x:v>0.0069169960474308300395256917</x:v>
      </x:c>
      <x:c r="H41" s="32" t="n">
        <x:v>0.1264822134387351778656126482</x:v>
      </x:c>
      <x:c r="I41" s="32" t="n">
        <x:v>0.1956521739130434782608695652</x:v>
      </x:c>
      <x:c r="J41" s="32" t="n">
        <x:v>0.2697628458498023715415019763</x:v>
      </x:c>
      <x:c r="K41" s="32" t="n">
        <x:v>0.4140316205533596837944664032</x:v>
      </x:c>
      <x:c r="L41" s="32" t="n">
        <x:v>0.4535573122529644268774703557</x:v>
      </x:c>
      <x:c r="M41" s="32" t="n">
        <x:v>0.4960474308300395256916996047</x:v>
      </x:c>
      <x:c r="N41" s="32" t="n">
        <x:v>0.5385375494071146245059288538</x:v>
      </x:c>
      <x:c r="O41" s="32" t="n">
        <x:v>0.5938735177865612648221343874</x:v>
      </x:c>
      <x:c r="P41" s="32" t="n">
        <x:v>0.6086956521739130434782608696</x:v>
      </x:c>
      <x:c r="Q41" s="32" t="n">
        <x:v>0.595849802371541501976284585</x:v>
      </x:c>
      <x:c r="R41" s="32" t="n">
        <x:v>0.611660079051383399209486166</x:v>
      </x:c>
      <x:c r="S41" s="32" t="n">
        <x:v>0.6017786561264822134387351779</x:v>
      </x:c>
      <x:c r="T41" s="32" t="n">
        <x:v>0.5750988142292490118577075099</x:v>
      </x:c>
      <x:c r="U41" s="32" t="n">
        <x:v>0.5909090909090909090909090909</x:v>
      </x:c>
      <x:c r="V41" s="32" t="n">
        <x:v>0.5830039525691699604743083004</x:v>
      </x:c>
      <x:c r="W41" s="32" t="n">
        <x:v>0.584980237154150197628458498</x:v>
      </x:c>
      <x:c r="X41" s="32" t="n">
        <x:v>0.5869565217391304347826086957</x:v>
      </x:c>
      <x:c r="Y41" s="32" t="n">
        <x:v>0.5859683794466403162055335968</x:v>
      </x:c>
      <x:c r="Z41" s="32" t="n">
        <x:v>0.5859683794466403162055335968</x:v>
      </x:c>
      <x:c r="AA41" s="32" t="n">
        <x:v>0.595849802371541501976284585</x:v>
      </x:c>
      <x:c r="AB41" s="32" t="n">
        <x:v>0.6047430830039525691699604743</x:v>
      </x:c>
      <x:c r="AW41" s="33" t="s"/>
      <x:c r="AX41" s="11" t="s">
        <x:v>117</x:v>
      </x:c>
      <x:c r="AY41" s="12" t="n">
        <x:f>=BI41</x:f>
      </x:c>
      <x:c r="AZ41" s="12" t="n">
        <x:v>0.6511857707509881422924901186</x:v>
      </x:c>
      <x:c r="BA41" s="12" t="n">
        <x:v>0.2084980237154150197628458498</x:v>
      </x:c>
      <x:c r="BB41" s="12" t="n">
        <x:v>0.1403162055335968379446640316</x:v>
      </x:c>
      <x:c r="BC41" s="12" t="n">
        <x:f>=BH41</x:f>
      </x:c>
      <x:c r="BD41" s="13" t="n">
        <x:f>=BQ41</x:f>
      </x:c>
      <x:c r="BE41" s="30" t="n">
        <x:v>15250.25</x:v>
      </x:c>
      <x:c r="BF41" s="30" t="n">
        <x:v>-12627.3312</x:v>
      </x:c>
      <x:c r="BG41" s="30" t="n">
        <x:f>=BE41+BF41</x:f>
      </x:c>
      <x:c r="BH41" s="66" t="n">
        <x:f>=BG41/BE41</x:f>
      </x:c>
      <x:c r="BI41" s="66" t="n">
        <x:v>0.8596837944664031620553359684</x:v>
      </x:c>
      <x:c r="BJ41" s="30" t="n">
        <x:v>12326.16</x:v>
      </x:c>
      <x:c r="BK41" s="41" t="n">
        <x:v>142</x:v>
      </x:c>
      <x:c r="BL41" s="30" t="n">
        <x:v>1729.56</x:v>
      </x:c>
      <x:c r="BN41" s="30" t="n">
        <x:v>21102.1408777835000000000</x:v>
      </x:c>
      <x:c r="BO41" s="30" t="n">
        <x:v>-12627.3312</x:v>
      </x:c>
      <x:c r="BP41" s="30" t="n">
        <x:f>=BN41+BO41</x:f>
      </x:c>
      <x:c r="BQ41" s="66" t="n">
        <x:f>=BP41/BN41</x:f>
      </x:c>
      <x:c r="BS41" s="66" t="n">
        <x:f>=BT41+BU41</x:f>
      </x:c>
      <x:c r="BT41" s="66" t="n">
        <x:f>=BI41+(0*4)</x:f>
      </x:c>
      <x:c r="BU41" s="66" t="n">
        <x:f>=(1-BT41)*0.5</x:f>
      </x:c>
      <x:c r="BV41" s="66" t="n">
        <x:f>=1-BS41</x:f>
      </x:c>
      <x:c r="BX41" s="66" t="n">
        <x:f>=BU41/(1-BT41)</x:f>
      </x:c>
    </x:row>
    <x:row r="42">
      <x:c r="A42" s="31" t="s">
        <x:v>186</x:v>
      </x:c>
      <x:c r="B42" t="s"/>
      <x:c r="C42" t="s">
        <x:v>187</x:v>
      </x:c>
      <x:c r="D42" t="s">
        <x:v>113</x:v>
      </x:c>
      <x:c r="E42" s="67" t="s">
        <x:v>154</x:v>
      </x:c>
      <x:c r="F42" t="n">
        <x:v>318</x:v>
      </x:c>
      <x:c r="G42" s="32" t="n">
        <x:v>0.0125786163522012578616352201</x:v>
      </x:c>
      <x:c r="H42" s="32" t="n">
        <x:v>0.1132075471698113207547169811</x:v>
      </x:c>
      <x:c r="I42" s="32" t="n">
        <x:v>0.1635220125786163522012578616</x:v>
      </x:c>
      <x:c r="J42" s="32" t="n">
        <x:v>0.2327044025157232704402515723</x:v>
      </x:c>
      <x:c r="K42" s="32" t="n">
        <x:v>0.3616352201257861635220125786</x:v>
      </x:c>
      <x:c r="L42" s="32" t="n">
        <x:v>0.4088050314465408805031446541</x:v>
      </x:c>
      <x:c r="M42" s="32" t="n">
        <x:v>0.4088050314465408805031446541</x:v>
      </x:c>
      <x:c r="N42" s="32" t="n">
        <x:v>0.4088050314465408805031446541</x:v>
      </x:c>
      <x:c r="O42" s="32" t="n">
        <x:v>0.4056603773584905660377358491</x:v>
      </x:c>
      <x:c r="P42" s="32" t="n">
        <x:v>0.402515723270440251572327044</x:v>
      </x:c>
      <x:c r="Q42" s="32" t="n">
        <x:v>0.402515723270440251572327044</x:v>
      </x:c>
      <x:c r="R42" s="32" t="n">
        <x:v>0.4056603773584905660377358491</x:v>
      </x:c>
      <x:c r="S42" s="32" t="n">
        <x:v>0.4213836477987421383647798742</x:v>
      </x:c>
      <x:c r="T42" s="32" t="n">
        <x:v>0.4276729559748427672955974843</x:v>
      </x:c>
      <x:c r="U42" s="32" t="n">
        <x:v>0.4339622641509433962264150943</x:v>
      </x:c>
      <x:c r="V42" s="32" t="n">
        <x:v>0.4433962264150943396226415094</x:v>
      </x:c>
      <x:c r="W42" s="32" t="n">
        <x:v>0.4779874213836477987421383648</x:v>
      </x:c>
      <x:c r="X42" s="32" t="n">
        <x:v>0.4905660377358490566037735849</x:v>
      </x:c>
      <x:c r="Y42" s="32" t="n">
        <x:v>0.5</x:v>
      </x:c>
      <x:c r="Z42" s="22" t="n">
        <x:v>0.5408805031446540880503144654</x:v>
      </x:c>
      <x:c r="AW42" s="33" t="s"/>
      <x:c r="AX42" s="11" t="s">
        <x:v>125</x:v>
      </x:c>
      <x:c r="AY42" s="12" t="n">
        <x:f>=BI42</x:f>
      </x:c>
      <x:c r="AZ42" s="12" t="n">
        <x:v>0.5</x:v>
      </x:c>
      <x:c r="BA42" s="12" t="n">
        <x:v>0.4591194968553459119496855346</x:v>
      </x:c>
      <x:c r="BB42" s="12" t="n">
        <x:v>0.0408805031446540880503144654</x:v>
      </x:c>
      <x:c r="BC42" s="12" t="n">
        <x:f>=BH42</x:f>
      </x:c>
      <x:c r="BD42" s="13" t="n">
        <x:f>=BQ42</x:f>
      </x:c>
      <x:c r="BE42" s="30" t="n">
        <x:v>374.31</x:v>
      </x:c>
      <x:c r="BF42" s="30" t="n">
        <x:v>-277.29158842985220000000</x:v>
      </x:c>
      <x:c r="BG42" s="30" t="n">
        <x:f>=BE42+BF42</x:f>
      </x:c>
      <x:c r="BH42" s="66" t="n">
        <x:f>=BG42/BE42</x:f>
      </x:c>
      <x:c r="BI42" s="66" t="n">
        <x:v>0.9591194968553459119496855346</x:v>
      </x:c>
      <x:c r="BJ42" s="30" t="n">
        <x:v>277.868441680260000000</x:v>
      </x:c>
      <x:c r="BK42" s="41" t="n">
        <x:v>13</x:v>
      </x:c>
      <x:c r="BL42" s="30" t="n">
        <x:v>11.359401703910000000</x:v>
      </x:c>
      <x:c r="BN42" s="30" t="n">
        <x:v>527.5462729854375000000</x:v>
      </x:c>
      <x:c r="BO42" s="30" t="n">
        <x:v>-277.29158842985220000000</x:v>
      </x:c>
      <x:c r="BP42" s="30" t="n">
        <x:f>=BN42+BO42</x:f>
      </x:c>
      <x:c r="BQ42" s="66" t="n">
        <x:f>=BP42/BN42</x:f>
      </x:c>
      <x:c r="BS42" s="66" t="n">
        <x:f>=BT42+BU42</x:f>
      </x:c>
      <x:c r="BT42" s="66" t="n">
        <x:f>=BI42+(0*4)</x:f>
      </x:c>
      <x:c r="BU42" s="66" t="n">
        <x:f>=(1-BT42)*0.5</x:f>
      </x:c>
      <x:c r="BV42" s="66" t="n">
        <x:f>=1-BS42</x:f>
      </x:c>
      <x:c r="BX42" s="66" t="n">
        <x:f>=BU42/(1-BT42)</x:f>
      </x:c>
    </x:row>
    <x:row r="43">
      <x:c r="A43" s="31" t="s">
        <x:v>188</x:v>
      </x:c>
      <x:c r="B43" t="s">
        <x:v>129</x:v>
      </x:c>
      <x:c r="C43" s="9" t="s">
        <x:v>189</x:v>
      </x:c>
      <x:c r="D43" t="s">
        <x:v>113</x:v>
      </x:c>
      <x:c r="E43" s="67" t="s">
        <x:v>154</x:v>
      </x:c>
      <x:c r="F43" t="n">
        <x:v>537</x:v>
      </x:c>
      <x:c r="G43" s="32" t="n">
        <x:v>0.0204841713221601489757914339</x:v>
      </x:c>
      <x:c r="H43" s="32" t="n">
        <x:v>0.063314711359404096834264432</x:v>
      </x:c>
      <x:c r="I43" s="32" t="n">
        <x:v>0.0986964618249534450651769088</x:v>
      </x:c>
      <x:c r="J43" s="32" t="n">
        <x:v>0.1378026070763500931098696462</x:v>
      </x:c>
      <x:c r="K43" s="32" t="n">
        <x:v>0.1284916201117318435754189944</x:v>
      </x:c>
      <x:c r="L43" s="32" t="n">
        <x:v>0.1359404096834264432029795158</x:v>
      </x:c>
      <x:c r="M43" s="32" t="n">
        <x:v>0.152700186219739292364990689</x:v>
      </x:c>
      <x:c r="N43" s="32" t="n">
        <x:v>0.2364990689013035381750465549</x:v>
      </x:c>
      <x:c r="O43" s="32" t="n">
        <x:v>0.3109869646182495344506517691</x:v>
      </x:c>
      <x:c r="P43" s="32" t="n">
        <x:v>0.3743016759776536312849162011</x:v>
      </x:c>
      <x:c r="Q43" s="32" t="n">
        <x:v>0.4022346368715083798882681564</x:v>
      </x:c>
      <x:c r="R43" s="32" t="n">
        <x:v>0.4376163873370577281191806331</x:v>
      </x:c>
      <x:c r="S43" s="32" t="n">
        <x:v>0.452513966480446927374301676</x:v>
      </x:c>
      <x:c r="T43" s="32" t="n">
        <x:v>0.4692737430167597765363128492</x:v>
      </x:c>
      <x:c r="U43" s="32" t="n">
        <x:v>0.515828677839851024208566108</x:v>
      </x:c>
      <x:c r="V43" s="32" t="n">
        <x:v>0.5865921787709497206703910615</x:v>
      </x:c>
      <x:c r="W43" s="32" t="n">
        <x:v>0.6070763500931098696461824953</x:v>
      </x:c>
      <x:c r="X43" s="22" t="n">
        <x:v>0.6983240223463687150837988827</x:v>
      </x:c>
      <x:c r="AW43" s="33" t="s"/>
      <x:c r="AX43" s="11" t="s">
        <x:v>190</x:v>
      </x:c>
      <x:c r="AY43" s="12" t="n">
        <x:f>=BI43</x:f>
      </x:c>
      <x:c r="AZ43" s="12" t="n">
        <x:v>0.5977653631284916201117318436</x:v>
      </x:c>
      <x:c r="BA43" s="12" t="n">
        <x:v>0.337057728119180633147113594</x:v>
      </x:c>
      <x:c r="BB43" s="12" t="n">
        <x:v>0.0651769087523277467411545624</x:v>
      </x:c>
      <x:c r="BC43" s="12" t="n">
        <x:f>=BH43</x:f>
      </x:c>
      <x:c r="BD43" s="13" t="n">
        <x:f>=BQ43</x:f>
      </x:c>
      <x:c r="BE43" s="30" t="n">
        <x:v>5396.71</x:v>
      </x:c>
      <x:c r="BF43" s="30" t="n">
        <x:v>-4322.57623978617573630240</x:v>
      </x:c>
      <x:c r="BG43" s="30" t="n">
        <x:f>=BE43+BF43</x:f>
      </x:c>
      <x:c r="BH43" s="66" t="n">
        <x:f>=BG43/BE43</x:f>
      </x:c>
      <x:c r="BI43" s="66" t="n">
        <x:v>0.9348230912476722532588454376</x:v>
      </x:c>
      <x:c r="BJ43" s="30" t="n">
        <x:v>4358.164783284717253920</x:v>
      </x:c>
      <x:c r="BK43" s="41" t="n">
        <x:v>35</x:v>
      </x:c>
      <x:c r="BL43" s="30" t="n">
        <x:v>284.051708407756245600</x:v>
      </x:c>
      <x:c r="BN43" s="30" t="n">
        <x:v>7466.8453105202500000000</x:v>
      </x:c>
      <x:c r="BO43" s="30" t="n">
        <x:v>-4322.57623978617573630240</x:v>
      </x:c>
      <x:c r="BP43" s="30" t="n">
        <x:f>=BN43+BO43</x:f>
      </x:c>
      <x:c r="BQ43" s="66" t="n">
        <x:f>=BP43/BN43</x:f>
      </x:c>
      <x:c r="BS43" s="66" t="n">
        <x:f>=BT43+BU43</x:f>
      </x:c>
      <x:c r="BT43" s="66" t="n">
        <x:f>=BI43+(0*4)</x:f>
      </x:c>
      <x:c r="BU43" s="66" t="n">
        <x:f>=(1-BT43)*0.5</x:f>
      </x:c>
      <x:c r="BV43" s="66" t="n">
        <x:f>=1-BS43</x:f>
      </x:c>
      <x:c r="BX43" s="66" t="n">
        <x:f>=BU43/(1-BT43)</x:f>
      </x:c>
    </x:row>
    <x:row r="44">
      <x:c r="A44" s="31" t="s">
        <x:v>191</x:v>
      </x:c>
      <x:c r="B44" t="s"/>
      <x:c r="C44" t="s">
        <x:v>192</x:v>
      </x:c>
      <x:c r="D44" t="s">
        <x:v>147</x:v>
      </x:c>
      <x:c r="E44" s="67" t="s">
        <x:v>154</x:v>
      </x:c>
      <x:c r="F44" t="n">
        <x:v>2084</x:v>
      </x:c>
      <x:c r="G44" s="32" t="n">
        <x:v>0</x:v>
      </x:c>
      <x:c r="H44" s="32" t="n">
        <x:v>0</x:v>
      </x:c>
      <x:c r="I44" s="32" t="n">
        <x:v>0.0004798464491362763915547025</x:v>
      </x:c>
      <x:c r="J44" s="32" t="n">
        <x:v>0.000959692898272552783109405</x:v>
      </x:c>
      <x:c r="K44" s="32" t="n">
        <x:v>0.0115163147792706333973128599</x:v>
      </x:c>
      <x:c r="L44" s="32" t="n">
        <x:v>0.049424184261036468330134357</x:v>
      </x:c>
      <x:c r="M44" s="32" t="n">
        <x:v>0.0772552783109404990403071017</x:v>
      </x:c>
      <x:c r="N44" s="32" t="n">
        <x:v>0.0964491362763915547024952015</x:v>
      </x:c>
      <x:c r="O44" s="32" t="n">
        <x:v>0.1070057581573896353166986564</x:v>
      </x:c>
      <x:c r="P44" s="32" t="n">
        <x:v>0.1170825335892514395393474088</x:v>
      </x:c>
      <x:c r="Q44" s="32" t="n">
        <x:v>0.1242802303262955854126679463</x:v>
      </x:c>
      <x:c r="R44" s="32" t="n">
        <x:v>0.1381957773512476007677543186</x:v>
      </x:c>
      <x:c r="S44" s="32" t="n">
        <x:v>0.1468330134357005758157389635</x:v>
      </x:c>
      <x:c r="T44" s="32" t="n">
        <x:v>0.1645873320537428023032629559</x:v>
      </x:c>
      <x:c r="U44" s="32" t="n">
        <x:v>0.1804222648752399232245681382</x:v>
      </x:c>
      <x:c r="V44" s="32" t="n">
        <x:v>0.1876199616122840690978886756</x:v>
      </x:c>
      <x:c r="W44" s="32" t="n">
        <x:v>0.1952975047984644913627639155</x:v>
      </x:c>
      <x:c r="X44" s="32" t="n">
        <x:v>0.198656429942418426103646833</x:v>
      </x:c>
      <x:c r="AW44" s="33" t="s"/>
      <x:c r="AX44" s="11" t="s">
        <x:v>190</x:v>
      </x:c>
      <x:c r="AY44" s="12" t="n">
        <x:f>=BI44</x:f>
      </x:c>
      <x:c r="AZ44" s="12" t="n">
        <x:v>0.5916506717850287907869481766</x:v>
      </x:c>
      <x:c r="BA44" s="12" t="n">
        <x:v>0.3142994241842610364683301344</x:v>
      </x:c>
      <x:c r="BB44" s="12" t="n">
        <x:v>0.0940499040307101727447216891</x:v>
      </x:c>
      <x:c r="BC44" s="12" t="n">
        <x:f>=BH44</x:f>
      </x:c>
      <x:c r="BD44" s="13" t="n">
        <x:f>=BQ44</x:f>
      </x:c>
      <x:c r="BE44" s="30" t="n">
        <x:v>15233.51</x:v>
      </x:c>
      <x:c r="BF44" s="30" t="n">
        <x:v>-12253.9200</x:v>
      </x:c>
      <x:c r="BG44" s="30" t="n">
        <x:f>=BE44+BF44</x:f>
      </x:c>
      <x:c r="BH44" s="66" t="n">
        <x:f>=BG44/BE44</x:f>
      </x:c>
      <x:c r="BI44" s="66" t="n">
        <x:v>0.9059500959692898272552783109</x:v>
      </x:c>
      <x:c r="BJ44" s="30" t="n">
        <x:v>10941.00</x:v>
      </x:c>
      <x:c r="BK44" s="41" t="n">
        <x:v>196</x:v>
      </x:c>
      <x:c r="BL44" s="30" t="n">
        <x:v>1029.00</x:v>
      </x:c>
      <x:c r="BN44" s="30" t="n">
        <x:v>21928.361004227500000000000000</x:v>
      </x:c>
      <x:c r="BO44" s="30" t="n">
        <x:v>-12253.9200</x:v>
      </x:c>
      <x:c r="BP44" s="30" t="n">
        <x:f>=BN44+BO44</x:f>
      </x:c>
      <x:c r="BQ44" s="66" t="n">
        <x:f>=BP44/BN44</x:f>
      </x:c>
      <x:c r="BS44" s="66" t="n">
        <x:f>=BT44+BU44</x:f>
      </x:c>
      <x:c r="BT44" s="66" t="n">
        <x:f>=BI44+(0*4)</x:f>
      </x:c>
      <x:c r="BU44" s="66" t="n">
        <x:f>=(1-BT44)*0.5</x:f>
      </x:c>
      <x:c r="BV44" s="66" t="n">
        <x:f>=1-BS44</x:f>
      </x:c>
      <x:c r="BX44" s="66" t="n">
        <x:f>=BU44/(1-BT44)</x:f>
      </x:c>
    </x:row>
    <x:row r="45">
      <x:c r="A45" s="31" t="s">
        <x:v>193</x:v>
      </x:c>
      <x:c r="B45" t="s"/>
      <x:c r="C45" t="s">
        <x:v>194</x:v>
      </x:c>
      <x:c r="D45" t="s">
        <x:v>147</x:v>
      </x:c>
      <x:c r="E45" s="67" t="s">
        <x:v>154</x:v>
      </x:c>
      <x:c r="F45" t="n">
        <x:v>3510</x:v>
      </x:c>
      <x:c r="G45" s="32" t="n">
        <x:v>0.0002849002849002849002849003</x:v>
      </x:c>
      <x:c r="H45" s="32" t="n">
        <x:v>0.0071225071225071225071225071</x:v>
      </x:c>
      <x:c r="I45" s="32" t="n">
        <x:v>0.0145299145299145299145299145</x:v>
      </x:c>
      <x:c r="J45" s="32" t="n">
        <x:v>0.0321937321937321937321937322</x:v>
      </x:c>
      <x:c r="K45" s="32" t="n">
        <x:v>0.0404558404558404558404558405</x:v>
      </x:c>
      <x:c r="L45" s="32" t="n">
        <x:v>0.0555555555555555555555555556</x:v>
      </x:c>
      <x:c r="M45" s="32" t="n">
        <x:v>0.0581196581196581196581196581</x:v>
      </x:c>
      <x:c r="N45" s="32" t="n">
        <x:v>0.0612535612535612535612535613</x:v>
      </x:c>
      <x:c r="O45" s="32" t="n">
        <x:v>0.0686609686609686609686609687</x:v>
      </x:c>
      <x:c r="P45" s="32" t="n">
        <x:v>0.0829059829059829059829059829</x:v>
      </x:c>
      <x:c r="Q45" s="32" t="n">
        <x:v>0.0937321937321937321937321937</x:v>
      </x:c>
      <x:c r="R45" s="32" t="n">
        <x:v>0.1150997150997150997150997151</x:v>
      </x:c>
      <x:c r="S45" s="32" t="n">
        <x:v>0.1427350427350427350427350427</x:v>
      </x:c>
      <x:c r="T45" s="32" t="n">
        <x:v>0.1575498575498575498575498575</x:v>
      </x:c>
      <x:c r="U45" s="32" t="n">
        <x:v>0.1749287749287749287749287749</x:v>
      </x:c>
      <x:c r="V45" s="32" t="n">
        <x:v>0.1931623931623931623931623932</x:v>
      </x:c>
      <x:c r="W45" s="22" t="n">
        <x:v>0.2096866096866096866096866097</x:v>
      </x:c>
      <x:c r="AW45" s="33" t="s"/>
      <x:c r="AX45" s="11" t="s">
        <x:v>195</x:v>
      </x:c>
      <x:c r="AY45" s="12" t="n">
        <x:f>=BI45</x:f>
      </x:c>
      <x:c r="AZ45" s="12" t="n">
        <x:v>0.6304843304843304843304843305</x:v>
      </x:c>
      <x:c r="BA45" s="12" t="n">
        <x:v>0.237037037037037037037037037</x:v>
      </x:c>
      <x:c r="BB45" s="12" t="n">
        <x:v>0.1324786324786324786324786325</x:v>
      </x:c>
      <x:c r="BC45" s="12" t="n">
        <x:f>=BH45</x:f>
      </x:c>
      <x:c r="BD45" s="13" t="n">
        <x:f>=BQ45</x:f>
      </x:c>
      <x:c r="BE45" s="30" t="n">
        <x:v>37573.50</x:v>
      </x:c>
      <x:c r="BF45" s="30" t="n">
        <x:v>-24449.6070</x:v>
      </x:c>
      <x:c r="BG45" s="30" t="n">
        <x:f>=BE45+BF45</x:f>
      </x:c>
      <x:c r="BH45" s="66" t="n">
        <x:f>=BG45/BE45</x:f>
      </x:c>
      <x:c r="BI45" s="66" t="n">
        <x:v>0.8675213675213675213675213675</x:v>
      </x:c>
      <x:c r="BJ45" s="30" t="n">
        <x:v>21375.90</x:v>
      </x:c>
      <x:c r="BK45" s="41" t="n">
        <x:v>465</x:v>
      </x:c>
      <x:c r="BL45" s="30" t="n">
        <x:v>2831.85</x:v>
      </x:c>
      <x:c r="BN45" s="30" t="n">
        <x:v>52232.1396987956250000000</x:v>
      </x:c>
      <x:c r="BO45" s="30" t="n">
        <x:v>-24449.6070</x:v>
      </x:c>
      <x:c r="BP45" s="30" t="n">
        <x:f>=BN45+BO45</x:f>
      </x:c>
      <x:c r="BQ45" s="66" t="n">
        <x:f>=BP45/BN45</x:f>
      </x:c>
      <x:c r="BS45" s="66" t="n">
        <x:f>=BT45+BU45</x:f>
      </x:c>
      <x:c r="BT45" s="66" t="n">
        <x:f>=BI45+(0*4)</x:f>
      </x:c>
      <x:c r="BU45" s="66" t="n">
        <x:f>=(1-BT45)*0.5</x:f>
      </x:c>
      <x:c r="BV45" s="66" t="n">
        <x:f>=1-BS45</x:f>
      </x:c>
      <x:c r="BX45" s="66" t="n">
        <x:f>=BU45/(1-BT45)</x:f>
      </x:c>
    </x:row>
    <x:row r="46">
      <x:c r="A46" s="31" t="s"/>
      <x:c r="AW46" s="33" t="s"/>
      <x:c r="AX46" s="11" t="s"/>
      <x:c r="BD46" s="13" t="s"/>
    </x:row>
    <x:row r="47">
      <x:c r="A47" s="17" t="s">
        <x:v>196</x:v>
      </x:c>
      <x:c r="AW47" s="33" t="s"/>
      <x:c r="AX47" s="11" t="s"/>
      <x:c r="BD47" s="13" t="s"/>
    </x:row>
    <x:row r="48">
      <x:c r="A48" s="31" t="s">
        <x:v>197</x:v>
      </x:c>
      <x:c r="B48" t="s"/>
      <x:c r="C48" t="s">
        <x:v>198</x:v>
      </x:c>
      <x:c r="D48" t="s">
        <x:v>147</x:v>
      </x:c>
      <x:c r="E48" s="67" t="s">
        <x:v>154</x:v>
      </x:c>
      <x:c r="F48" t="n">
        <x:v>895</x:v>
      </x:c>
      <x:c r="G48" s="32" t="n">
        <x:v>0.0178770949720670391061452514</x:v>
      </x:c>
      <x:c r="H48" s="32" t="n">
        <x:v>0.0782122905027932960893854749</x:v>
      </x:c>
      <x:c r="I48" s="32" t="n">
        <x:v>0.147486033519553072625698324</x:v>
      </x:c>
      <x:c r="J48" s="32" t="n">
        <x:v>0.1821229050279329608938547486</x:v>
      </x:c>
      <x:c r="K48" s="32" t="n">
        <x:v>0.2011173184357541899441340782</x:v>
      </x:c>
      <x:c r="L48" s="32" t="n">
        <x:v>0.2111731843575418994413407821</x:v>
      </x:c>
      <x:c r="M48" s="32" t="n">
        <x:v>0.2379888268156424581005586592</x:v>
      </x:c>
      <x:c r="N48" s="32" t="n">
        <x:v>0.2357541899441340782122905028</x:v>
      </x:c>
      <x:c r="O48" s="32" t="n">
        <x:v>0.2301675977653631284916201117</x:v>
      </x:c>
      <x:c r="P48" s="32" t="n">
        <x:v>0.2201117318435754189944134078</x:v>
      </x:c>
      <x:c r="Q48" s="32" t="n">
        <x:v>0.2134078212290502793296089385</x:v>
      </x:c>
      <x:c r="R48" s="32" t="n">
        <x:v>0.2145251396648044692737430168</x:v>
      </x:c>
      <x:c r="S48" s="32" t="n">
        <x:v>0.2100558659217877094972067039</x:v>
      </x:c>
      <x:c r="T48" s="32" t="n">
        <x:v>0.2089385474860335195530726257</x:v>
      </x:c>
      <x:c r="U48" s="32" t="n">
        <x:v>0.2089385474860335195530726257</x:v>
      </x:c>
      <x:c r="V48" s="32" t="n">
        <x:v>0.2100558659217877094972067039</x:v>
      </x:c>
      <x:c r="W48" s="32" t="n">
        <x:v>0.2100558659217877094972067039</x:v>
      </x:c>
      <x:c r="X48" s="32" t="n">
        <x:v>0.2044692737430167597765363128</x:v>
      </x:c>
      <x:c r="Y48" s="32" t="n">
        <x:v>0.2089385474860335195530726257</x:v>
      </x:c>
      <x:c r="Z48" s="32" t="n">
        <x:v>0.2078212290502793296089385475</x:v>
      </x:c>
      <x:c r="AA48" s="32" t="n">
        <x:v>0.2067039106145251396648044693</x:v>
      </x:c>
      <x:c r="AB48" s="32" t="n">
        <x:v>0.2055865921787709497206703911</x:v>
      </x:c>
      <x:c r="AC48" s="32" t="n">
        <x:v>0.2055865921787709497206703911</x:v>
      </x:c>
      <x:c r="AD48" s="32" t="n">
        <x:v>0.2022346368715083798882681564</x:v>
      </x:c>
      <x:c r="AE48" s="32" t="n">
        <x:v>0.2</x:v>
      </x:c>
      <x:c r="AF48" s="32" t="n">
        <x:v>0.2</x:v>
      </x:c>
      <x:c r="AG48" s="32" t="n">
        <x:v>0.2</x:v>
      </x:c>
      <x:c r="AH48" s="22" t="n">
        <x:v>0.2279329608938547486033519553</x:v>
      </x:c>
      <x:c r="AW48" s="33" t="s"/>
      <x:c r="AX48" s="11" t="s">
        <x:v>165</x:v>
      </x:c>
      <x:c r="AY48" s="12" t="n">
        <x:f>=BI48</x:f>
      </x:c>
      <x:c r="AZ48" s="12" t="n">
        <x:v>0.2245810055865921787709497207</x:v>
      </x:c>
      <x:c r="BA48" s="12" t="n">
        <x:v>0.3955307262569832402234636872</x:v>
      </x:c>
      <x:c r="BB48" s="12" t="n">
        <x:v>0.3798882681564245810055865922</x:v>
      </x:c>
      <x:c r="BC48" s="12" t="n">
        <x:f>=BH48</x:f>
      </x:c>
      <x:c r="BD48" s="13" t="n">
        <x:f>=BQ48</x:f>
      </x:c>
      <x:c r="BE48" s="30" t="n">
        <x:v>7202.41</x:v>
      </x:c>
      <x:c r="BF48" s="30" t="n">
        <x:v>-11167.4520</x:v>
      </x:c>
      <x:c r="BG48" s="30" t="n">
        <x:f>=BE48+BF48</x:f>
      </x:c>
      <x:c r="BH48" s="66" t="n">
        <x:f>=BG48/BE48</x:f>
      </x:c>
      <x:c r="BI48" s="66" t="n">
        <x:v>0.6201117318435754189944134078</x:v>
      </x:c>
      <x:c r="BJ48" s="30" t="n">
        <x:v>10901.10</x:v>
      </x:c>
      <x:c r="BK48" s="41" t="n">
        <x:v>340</x:v>
      </x:c>
      <x:c r="BL48" s="30" t="n">
        <x:v>4141.20</x:v>
      </x:c>
      <x:c r="BN48" s="30" t="n">
        <x:v>12377.7482763006250000000</x:v>
      </x:c>
      <x:c r="BO48" s="30" t="n">
        <x:v>-11167.4520</x:v>
      </x:c>
      <x:c r="BP48" s="30" t="n">
        <x:f>=BN48+BO48</x:f>
      </x:c>
      <x:c r="BQ48" s="66" t="n">
        <x:f>=BP48/BN48</x:f>
      </x:c>
      <x:c r="BS48" s="66" t="n">
        <x:f>=BT48+BU48</x:f>
      </x:c>
      <x:c r="BT48" s="66" t="n">
        <x:f>=BI48+(0*4)</x:f>
      </x:c>
      <x:c r="BU48" s="66" t="n">
        <x:f>=(1-BT48)*0.5</x:f>
      </x:c>
      <x:c r="BV48" s="66" t="n">
        <x:f>=1-BS48</x:f>
      </x:c>
      <x:c r="BX48" s="66" t="n">
        <x:f>=BU48/(1-BT48)</x:f>
      </x:c>
    </x:row>
    <x:row r="49">
      <x:c r="A49" s="31" t="s">
        <x:v>199</x:v>
      </x:c>
      <x:c r="B49" t="s"/>
      <x:c r="C49" t="s">
        <x:v>200</x:v>
      </x:c>
      <x:c r="D49" t="s">
        <x:v>147</x:v>
      </x:c>
      <x:c r="E49" s="67" t="s">
        <x:v>154</x:v>
      </x:c>
      <x:c r="F49" t="n">
        <x:v>834</x:v>
      </x:c>
      <x:c r="G49" s="32" t="n">
        <x:v>0.003597122302158273381294964</x:v>
      </x:c>
      <x:c r="H49" s="32" t="n">
        <x:v>0.045563549160671462829736211</x:v>
      </x:c>
      <x:c r="I49" s="32" t="n">
        <x:v>0.0731414868105515587529976019</x:v>
      </x:c>
      <x:c r="J49" s="32" t="n">
        <x:v>0.1366906474820143884892086331</x:v>
      </x:c>
      <x:c r="K49" s="32" t="n">
        <x:v>0.1175059952038369304556354916</x:v>
      </x:c>
      <x:c r="L49" s="32" t="n">
        <x:v>0.1270983213429256594724220624</x:v>
      </x:c>
      <x:c r="M49" s="32" t="n">
        <x:v>0.1354916067146282973621103118</x:v>
      </x:c>
      <x:c r="N49" s="32" t="n">
        <x:v>0.1438848920863309352517985612</x:v>
      </x:c>
      <x:c r="O49" s="32" t="n">
        <x:v>0.164268585131894484412470024</x:v>
      </x:c>
      <x:c r="P49" s="32" t="n">
        <x:v>0.1654676258992805755395683453</x:v>
      </x:c>
      <x:c r="Q49" s="32" t="n">
        <x:v>0.1594724220623501199040767386</x:v>
      </x:c>
      <x:c r="R49" s="32" t="n">
        <x:v>0.1546762589928057553956834532</x:v>
      </x:c>
      <x:c r="S49" s="32" t="n">
        <x:v>0.1486810551558752997601918465</x:v>
      </x:c>
      <x:c r="T49" s="32" t="n">
        <x:v>0.1486810551558752997601918465</x:v>
      </x:c>
      <x:c r="U49" s="32" t="n">
        <x:v>0.1510791366906474820143884892</x:v>
      </x:c>
      <x:c r="V49" s="32" t="n">
        <x:v>0.1510791366906474820143884892</x:v>
      </x:c>
      <x:c r="W49" s="32" t="n">
        <x:v>0.1546762589928057553956834532</x:v>
      </x:c>
      <x:c r="X49" s="32" t="n">
        <x:v>0.1558752997601918465227817746</x:v>
      </x:c>
      <x:c r="Y49" s="32" t="n">
        <x:v>0.1582733812949640287769784173</x:v>
      </x:c>
      <x:c r="Z49" s="32" t="n">
        <x:v>0.1630695443645083932853717026</x:v>
      </x:c>
      <x:c r="AA49" s="32" t="n">
        <x:v>0.1666666666666666666666666667</x:v>
      </x:c>
      <x:c r="AB49" s="32" t="n">
        <x:v>0.1798561151079136690647482014</x:v>
      </x:c>
      <x:c r="AC49" s="32" t="n">
        <x:v>0.1810551558752997601918465228</x:v>
      </x:c>
      <x:c r="AD49" s="32" t="n">
        <x:v>0.1882494004796163069544364508</x:v>
      </x:c>
      <x:c r="AE49" s="32" t="n">
        <x:v>0.1930455635491606714628297362</x:v>
      </x:c>
      <x:c r="AF49" s="22" t="n">
        <x:v>0.202637889688249400479616307</x:v>
      </x:c>
      <x:c r="AW49" s="33" t="s"/>
      <x:c r="AX49" s="11" t="s">
        <x:v>168</x:v>
      </x:c>
      <x:c r="AY49" s="12" t="n">
        <x:f>=BI49</x:f>
      </x:c>
      <x:c r="AZ49" s="12" t="n">
        <x:v>0.1942446043165467625899280576</x:v>
      </x:c>
      <x:c r="BA49" s="12" t="n">
        <x:v>0.3069544364508393285371702638</x:v>
      </x:c>
      <x:c r="BB49" s="12" t="n">
        <x:v>0.4988009592326139088729016787</x:v>
      </x:c>
      <x:c r="BC49" s="12" t="n">
        <x:f>=BH49</x:f>
      </x:c>
      <x:c r="BD49" s="13" t="n">
        <x:f>=BQ49</x:f>
      </x:c>
      <x:c r="BE49" s="30" t="n">
        <x:v>5686.46</x:v>
      </x:c>
      <x:c r="BF49" s="30" t="n">
        <x:v>-10406.3184</x:v>
      </x:c>
      <x:c r="BG49" s="30" t="n">
        <x:f>=BE49+BF49</x:f>
      </x:c>
      <x:c r="BH49" s="66" t="n">
        <x:f>=BG49/BE49</x:f>
      </x:c>
      <x:c r="BI49" s="66" t="n">
        <x:v>0.5011990407673860911270983213</x:v>
      </x:c>
      <x:c r="BJ49" s="30" t="n">
        <x:v>10158.12</x:v>
      </x:c>
      <x:c r="BK49" s="41" t="n">
        <x:v>416</x:v>
      </x:c>
      <x:c r="BL49" s="30" t="n">
        <x:v>5066.88</x:v>
      </x:c>
      <x:c r="BN49" s="30" t="n">
        <x:v>10509.0657233907500000000</x:v>
      </x:c>
      <x:c r="BO49" s="30" t="n">
        <x:v>-10406.3184</x:v>
      </x:c>
      <x:c r="BP49" s="30" t="n">
        <x:f>=BN49+BO49</x:f>
      </x:c>
      <x:c r="BQ49" s="66" t="n">
        <x:f>=BP49/BN49</x:f>
      </x:c>
      <x:c r="BS49" s="66" t="n">
        <x:f>=BT49+BU49</x:f>
      </x:c>
      <x:c r="BT49" s="66" t="n">
        <x:f>=BI49+(0*4)</x:f>
      </x:c>
      <x:c r="BU49" s="66" t="n">
        <x:f>=(1-BT49)*0.5</x:f>
      </x:c>
      <x:c r="BV49" s="66" t="n">
        <x:f>=1-BS49</x:f>
      </x:c>
      <x:c r="BX49" s="66" t="n">
        <x:f>=BU49/(1-BT49)</x:f>
      </x:c>
    </x:row>
    <x:row r="50">
      <x:c r="A50" s="31" t="s">
        <x:v>201</x:v>
      </x:c>
      <x:c r="B50" t="s"/>
      <x:c r="C50" t="s">
        <x:v>202</x:v>
      </x:c>
      <x:c r="D50" t="s">
        <x:v>131</x:v>
      </x:c>
      <x:c r="E50" s="67" t="s">
        <x:v>154</x:v>
      </x:c>
      <x:c r="F50" t="n">
        <x:v>4194</x:v>
      </x:c>
      <x:c r="G50" s="32" t="n">
        <x:v>0.0131139723414401525989508822</x:v>
      </x:c>
      <x:c r="H50" s="32" t="n">
        <x:v>0.0214592274678111587982832618</x:v>
      </x:c>
      <x:c r="I50" s="32" t="n">
        <x:v>0.0734382451120648545541249404</x:v>
      </x:c>
      <x:c r="J50" s="32" t="n">
        <x:v>0.1213638531235097758702908918</x:v>
      </x:c>
      <x:c r="K50" s="32" t="n">
        <x:v>0.1704816404387219837863614688</x:v>
      </x:c>
      <x:c r="L50" s="32" t="n">
        <x:v>0.2255603242727706247019551741</x:v>
      </x:c>
      <x:c r="M50" s="22" t="n">
        <x:v>0.2780162136385312350977587029</x:v>
      </x:c>
      <x:c r="AW50" s="33" t="s"/>
      <x:c r="AX50" s="11" t="s">
        <x:v>203</x:v>
      </x:c>
      <x:c r="AY50" s="12" t="n">
        <x:f>=BI50</x:f>
      </x:c>
      <x:c r="AZ50" s="12" t="n">
        <x:v>0.6213638531235097758702908918</x:v>
      </x:c>
      <x:c r="BA50" s="12" t="n">
        <x:v>0.0100143061516452074391988555</x:v>
      </x:c>
      <x:c r="BB50" s="12" t="n">
        <x:v>0.3686218407248450166905102527</x:v>
      </x:c>
      <x:c r="BC50" s="12" t="n">
        <x:f>=BH50</x:f>
      </x:c>
      <x:c r="BD50" s="13" t="n">
        <x:f>=BQ50</x:f>
      </x:c>
      <x:c r="BE50" s="30" t="n">
        <x:v>47456.59</x:v>
      </x:c>
      <x:c r="BF50" s="30" t="n">
        <x:v>-48385.75860</x:v>
      </x:c>
      <x:c r="BG50" s="30" t="n">
        <x:f>=BE50+BF50</x:f>
      </x:c>
      <x:c r="BH50" s="66" t="n">
        <x:f>=BG50/BE50</x:f>
      </x:c>
      <x:c r="BI50" s="66" t="n">
        <x:v>0.6313781592751549833094897473</x:v>
      </x:c>
      <x:c r="BJ50" s="30" t="n">
        <x:v>44666.10</x:v>
      </x:c>
      <x:c r="BK50" s="41" t="n">
        <x:v>1546</x:v>
      </x:c>
      <x:c r="BL50" s="30" t="n">
        <x:v>16464.90</x:v>
      </x:c>
      <x:c r="BN50" s="30" t="n">
        <x:v>70361.0759356723750000000</x:v>
      </x:c>
      <x:c r="BO50" s="30" t="n">
        <x:v>-48385.75860</x:v>
      </x:c>
      <x:c r="BP50" s="30" t="n">
        <x:f>=BN50+BO50</x:f>
      </x:c>
      <x:c r="BQ50" s="66" t="n">
        <x:f>=BP50/BN50</x:f>
      </x:c>
      <x:c r="BS50" s="66" t="n">
        <x:f>=BT50+BU50</x:f>
      </x:c>
      <x:c r="BT50" s="66" t="n">
        <x:f>=BI50+(0*4)</x:f>
      </x:c>
      <x:c r="BU50" s="66" t="n">
        <x:f>=(1-BT50)*0.5</x:f>
      </x:c>
      <x:c r="BV50" s="66" t="n">
        <x:f>=1-BS50</x:f>
      </x:c>
      <x:c r="BX50" s="66" t="n">
        <x:f>=BU50/(1-BT50)</x:f>
      </x:c>
    </x:row>
    <x:row r="51">
      <x:c r="A51" s="34" t="s"/>
      <x:c r="B51" s="6" t="s"/>
      <x:c r="C51" s="6" t="s"/>
      <x:c r="D51" s="6" t="s"/>
      <x:c r="E51" s="6" t="s"/>
      <x:c r="F51" s="6" t="s"/>
      <x:c r="G51" s="6" t="s"/>
      <x:c r="H51" s="6" t="s"/>
      <x:c r="I51" s="6" t="s"/>
      <x:c r="J51" s="6" t="s"/>
      <x:c r="K51" s="6" t="s"/>
      <x:c r="L51" s="6" t="s"/>
      <x:c r="M51" s="6" t="s"/>
      <x:c r="N51" s="6" t="s"/>
      <x:c r="O51" s="6" t="s"/>
      <x:c r="P51" s="6" t="s"/>
      <x:c r="Q51" s="6" t="s"/>
      <x:c r="R51" s="6" t="s"/>
      <x:c r="S51" s="6" t="s"/>
      <x:c r="T51" s="6" t="s"/>
      <x:c r="U51" s="6" t="s"/>
      <x:c r="V51" s="6" t="s"/>
      <x:c r="W51" s="6" t="s"/>
      <x:c r="X51" s="6" t="s"/>
      <x:c r="Y51" s="6" t="s"/>
      <x:c r="Z51" s="6" t="s"/>
      <x:c r="AA51" s="6" t="s"/>
      <x:c r="AB51" s="6" t="s"/>
      <x:c r="AC51" s="6" t="s"/>
      <x:c r="AD51" s="6" t="s"/>
      <x:c r="AE51" s="6" t="s"/>
      <x:c r="AF51" s="6" t="s"/>
      <x:c r="AG51" s="6" t="s"/>
      <x:c r="AH51" s="6" t="s"/>
      <x:c r="AI51" s="6" t="s"/>
      <x:c r="AJ51" s="6" t="s"/>
      <x:c r="AK51" s="6" t="s"/>
      <x:c r="AL51" s="6" t="s"/>
      <x:c r="AM51" s="6" t="s"/>
      <x:c r="AN51" s="6" t="s"/>
      <x:c r="AO51" s="6" t="s"/>
      <x:c r="AP51" s="6" t="s"/>
      <x:c r="AQ51" s="6" t="s"/>
      <x:c r="AR51" s="6" t="s"/>
      <x:c r="AS51" s="6" t="s"/>
      <x:c r="AT51" s="6" t="s"/>
      <x:c r="AU51" s="6" t="s"/>
      <x:c r="AV51" s="6" t="s"/>
      <x:c r="AW51" s="8" t="s"/>
      <x:c r="AX51" s="14" t="s">
        <x:v>36</x:v>
      </x:c>
      <x:c r="AY51" s="15" t="s"/>
      <x:c r="AZ51" s="15" t="s"/>
      <x:c r="BA51" s="15" t="s"/>
      <x:c r="BB51" s="15" t="s"/>
      <x:c r="BC51" s="37">
        <x:f>=BG52/BE52</x:f>
      </x:c>
      <x:c r="BD51" s="16">
        <x:f>=BQ52</x:f>
      </x:c>
      <x:c r="BE51" s="20" t="n">
        <x:v>540518.42</x:v>
      </x:c>
      <x:c r="BF51" s="20" t="n">
        <x:v>-423520.75977028367147978860</x:v>
      </x:c>
      <x:c r="BG51" s="20" t="n">
        <x:f>=BE51+BF51</x:f>
      </x:c>
      <x:c r="BH51" s="21" t="n">
        <x:v>0.216454529393681585393910165</x:v>
      </x:c>
      <x:c r="BJ51" s="20" t="n">
        <x:v>-399343.262237405846886380</x:v>
      </x:c>
      <x:c r="BK51" s="20" t="n">
        <x:v>6161</x:v>
      </x:c>
      <x:c r="BL51" s="20" t="n">
        <x:v>36511.891943973546377784183127</x:v>
      </x:c>
      <x:c r="BN51" s="20" t="n">
        <x:v>750372.51786560995812500000000</x:v>
      </x:c>
      <x:c r="BO51" s="20" t="n">
        <x:v>-423520.75977028367147978860</x:v>
      </x:c>
      <x:c r="BP51" s="20" t="n">
        <x:f>=BN51+BO51</x:f>
      </x:c>
      <x:c r="BQ51" s="21" t="n">
        <x:v>0.435585992708044121687048371</x:v>
      </x:c>
    </x:row>
    <x:row r="52">
      <x:c r="BE52" s="18" t="n">
        <x:v>540518.42</x:v>
      </x:c>
      <x:c r="BF52" s="18" t="n">
        <x:v>-423520.75977028367147978860</x:v>
      </x:c>
      <x:c r="BG52" s="18" t="n">
        <x:f>=BE52+BF52</x:f>
      </x:c>
      <x:c r="BH52" s="19" t="n">
        <x:v>0.216454529393681585393910165</x:v>
      </x:c>
      <x:c r="BJ52" s="18" t="n">
        <x:v>-399343.262237405846886380</x:v>
      </x:c>
      <x:c r="BK52" s="18" t="n">
        <x:v>6161</x:v>
      </x:c>
      <x:c r="BL52" s="18" t="n">
        <x:v>36511.891943973546377784183127</x:v>
      </x:c>
      <x:c r="BN52" s="18" t="n">
        <x:v>750372.51786560995812500000000</x:v>
      </x:c>
      <x:c r="BO52" s="18" t="n">
        <x:v>-423520.75977028367147978860</x:v>
      </x:c>
      <x:c r="BP52" s="18" t="n">
        <x:f>=BN52+BO52</x:f>
      </x:c>
      <x:c r="BQ52" s="19" t="n">
        <x:v>0.435585992708044121687048371</x:v>
      </x:c>
    </x:row>
    <x:row r="53">
      <x:c r="A53" s="10" t="s">
        <x:v>204</x:v>
      </x:c>
      <x:c r="B53" s="5" t="s"/>
      <x:c r="C53" s="5" t="s"/>
      <x:c r="D53" s="5" t="s"/>
      <x:c r="E53" s="5" t="s"/>
      <x:c r="F53" s="5" t="s"/>
      <x:c r="G53" s="5" t="s"/>
      <x:c r="H53" s="5" t="s"/>
      <x:c r="I53" s="5" t="s"/>
      <x:c r="J53" s="5" t="s"/>
      <x:c r="K53" s="5" t="s"/>
      <x:c r="L53" s="5" t="s"/>
      <x:c r="M53" s="5" t="s"/>
      <x:c r="N53" s="5" t="s"/>
      <x:c r="O53" s="5" t="s"/>
      <x:c r="P53" s="5" t="s"/>
      <x:c r="Q53" s="5" t="s"/>
      <x:c r="R53" s="5" t="s"/>
      <x:c r="S53" s="5" t="s"/>
      <x:c r="T53" s="5" t="s"/>
      <x:c r="U53" s="5" t="s"/>
      <x:c r="V53" s="5" t="s"/>
      <x:c r="W53" s="5" t="s"/>
      <x:c r="X53" s="5" t="s"/>
      <x:c r="Y53" s="5" t="s"/>
      <x:c r="Z53" s="5" t="s"/>
      <x:c r="AA53" s="5" t="s"/>
      <x:c r="AB53" s="5" t="s"/>
      <x:c r="AC53" s="5" t="s"/>
      <x:c r="AD53" s="5" t="s"/>
      <x:c r="AE53" s="5" t="s"/>
      <x:c r="AF53" s="5" t="s"/>
      <x:c r="AG53" s="5" t="s"/>
      <x:c r="AH53" s="5" t="s"/>
      <x:c r="AI53" s="5" t="s"/>
      <x:c r="AJ53" s="5" t="s"/>
      <x:c r="AK53" s="5" t="s"/>
      <x:c r="AL53" s="5" t="s"/>
      <x:c r="AM53" s="5" t="s"/>
      <x:c r="AN53" s="5" t="s"/>
      <x:c r="AO53" s="5" t="s"/>
      <x:c r="AP53" s="5" t="s"/>
      <x:c r="AQ53" s="5" t="s"/>
      <x:c r="AR53" s="5" t="s"/>
      <x:c r="AS53" s="5" t="s"/>
      <x:c r="AT53" s="5" t="s"/>
      <x:c r="AU53" s="5" t="s"/>
      <x:c r="AV53" s="5" t="s"/>
      <x:c r="AW53" s="7" t="s"/>
      <x:c r="AX53" s="10" t="s"/>
      <x:c r="AY53" s="5" t="s"/>
      <x:c r="AZ53" s="5" t="s"/>
      <x:c r="BA53" s="5" t="s"/>
      <x:c r="BB53" s="5" t="s"/>
      <x:c r="BC53" s="5" t="s"/>
      <x:c r="BD53" s="7" t="s"/>
      <x:c r="BE53" s="47" t="s">
        <x:v>11</x:v>
      </x:c>
      <x:c r="BF53" s="48"/>
      <x:c r="BG53" s="49"/>
      <x:c r="BH53" s="50"/>
      <x:c r="BI53" s="50"/>
      <x:c r="BJ53" s="51"/>
      <x:c r="BK53" s="52"/>
      <x:c r="BL53" s="51"/>
      <x:c r="BN53" s="57" t="s">
        <x:v>26</x:v>
      </x:c>
      <x:c r="BO53" s="58"/>
      <x:c r="BP53" s="58"/>
      <x:c r="BQ53" s="58"/>
      <x:c r="BR53" s="58"/>
      <x:c r="BS53" s="59"/>
      <x:c r="BT53" s="59"/>
      <x:c r="BU53" s="59"/>
      <x:c r="BV53" s="59"/>
      <x:c r="BW53" s="58"/>
      <x:c r="BX53" s="60"/>
    </x:row>
    <x:row r="54" ht="45.75" customHeight="1">
      <x:c r="A54" s="40" t="s">
        <x:v>43</x:v>
      </x:c>
      <x:c r="B54" s="40" t="s">
        <x:v>44</x:v>
      </x:c>
      <x:c r="C54" s="40" t="s">
        <x:v>45</x:v>
      </x:c>
      <x:c r="D54" s="40" t="s">
        <x:v>46</x:v>
      </x:c>
      <x:c r="E54" s="40" t="s">
        <x:v>47</x:v>
      </x:c>
      <x:c r="F54" s="40" t="s">
        <x:v>90</x:v>
      </x:c>
      <x:c r="G54" s="40" t="s">
        <x:v>48</x:v>
      </x:c>
      <x:c r="H54" s="40" t="s">
        <x:v>49</x:v>
      </x:c>
      <x:c r="I54" s="40" t="s">
        <x:v>50</x:v>
      </x:c>
      <x:c r="J54" s="40" t="s">
        <x:v>51</x:v>
      </x:c>
      <x:c r="K54" s="40" t="s">
        <x:v>52</x:v>
      </x:c>
      <x:c r="L54" s="40" t="s">
        <x:v>53</x:v>
      </x:c>
      <x:c r="M54" s="40" t="s">
        <x:v>54</x:v>
      </x:c>
      <x:c r="N54" s="40" t="s">
        <x:v>55</x:v>
      </x:c>
      <x:c r="O54" s="40" t="s">
        <x:v>56</x:v>
      </x:c>
      <x:c r="P54" s="40" t="s">
        <x:v>57</x:v>
      </x:c>
      <x:c r="Q54" s="40" t="s">
        <x:v>58</x:v>
      </x:c>
      <x:c r="R54" s="40" t="s">
        <x:v>59</x:v>
      </x:c>
      <x:c r="S54" s="40" t="s">
        <x:v>60</x:v>
      </x:c>
      <x:c r="T54" s="40" t="s">
        <x:v>61</x:v>
      </x:c>
      <x:c r="U54" s="40" t="s">
        <x:v>62</x:v>
      </x:c>
      <x:c r="V54" s="40" t="s">
        <x:v>63</x:v>
      </x:c>
      <x:c r="W54" s="40" t="s">
        <x:v>64</x:v>
      </x:c>
      <x:c r="X54" s="40" t="s">
        <x:v>65</x:v>
      </x:c>
      <x:c r="Y54" s="40" t="s">
        <x:v>66</x:v>
      </x:c>
      <x:c r="Z54" s="40" t="s">
        <x:v>67</x:v>
      </x:c>
      <x:c r="AA54" s="40" t="s">
        <x:v>68</x:v>
      </x:c>
      <x:c r="AB54" s="40" t="s">
        <x:v>69</x:v>
      </x:c>
      <x:c r="AC54" s="40" t="s">
        <x:v>70</x:v>
      </x:c>
      <x:c r="AD54" s="40" t="s">
        <x:v>71</x:v>
      </x:c>
      <x:c r="AE54" s="40" t="s">
        <x:v>72</x:v>
      </x:c>
      <x:c r="AF54" s="40" t="s">
        <x:v>73</x:v>
      </x:c>
      <x:c r="AG54" s="40" t="s">
        <x:v>74</x:v>
      </x:c>
      <x:c r="AH54" s="40" t="s">
        <x:v>75</x:v>
      </x:c>
      <x:c r="AI54" s="40" t="s">
        <x:v>76</x:v>
      </x:c>
      <x:c r="AJ54" s="40" t="s">
        <x:v>77</x:v>
      </x:c>
      <x:c r="AK54" s="40" t="s">
        <x:v>78</x:v>
      </x:c>
      <x:c r="AL54" s="40" t="s">
        <x:v>79</x:v>
      </x:c>
      <x:c r="AM54" s="40" t="s">
        <x:v>80</x:v>
      </x:c>
      <x:c r="AN54" s="40" t="s">
        <x:v>81</x:v>
      </x:c>
      <x:c r="AO54" s="40" t="s">
        <x:v>82</x:v>
      </x:c>
      <x:c r="AP54" s="40" t="s">
        <x:v>83</x:v>
      </x:c>
      <x:c r="AQ54" s="40" t="s">
        <x:v>84</x:v>
      </x:c>
      <x:c r="AR54" s="40" t="s">
        <x:v>85</x:v>
      </x:c>
      <x:c r="AS54" s="40" t="s">
        <x:v>86</x:v>
      </x:c>
      <x:c r="AT54" s="40" t="s">
        <x:v>87</x:v>
      </x:c>
      <x:c r="AU54" s="40" t="s">
        <x:v>88</x:v>
      </x:c>
      <x:c r="AV54" s="40" t="s">
        <x:v>89</x:v>
      </x:c>
      <x:c r="AX54" s="31" t="s">
        <x:v>91</x:v>
      </x:c>
      <x:c r="AY54" s="32" t="s">
        <x:v>92</x:v>
      </x:c>
      <x:c r="AZ54" s="32" t="s">
        <x:v>93</x:v>
      </x:c>
      <x:c r="BA54" s="32" t="s">
        <x:v>94</x:v>
      </x:c>
      <x:c r="BB54" s="32" t="s">
        <x:v>95</x:v>
      </x:c>
      <x:c r="BC54" s="32" t="s">
        <x:v>96</x:v>
      </x:c>
      <x:c r="BD54" s="33" t="s">
        <x:v>97</x:v>
      </x:c>
      <x:c r="BE54" s="53" t="s">
        <x:v>12</x:v>
      </x:c>
      <x:c r="BF54" s="54" t="s">
        <x:v>13</x:v>
      </x:c>
      <x:c r="BG54" s="54" t="s">
        <x:v>14</x:v>
      </x:c>
      <x:c r="BH54" s="55" t="s">
        <x:v>15</x:v>
      </x:c>
      <x:c r="BI54" s="55" t="s">
        <x:v>27</x:v>
      </x:c>
      <x:c r="BJ54" s="56" t="s">
        <x:v>16</x:v>
      </x:c>
      <x:c r="BK54" s="53" t="s">
        <x:v>17</x:v>
      </x:c>
      <x:c r="BL54" s="56" t="s">
        <x:v>18</x:v>
      </x:c>
      <x:c r="BN54" s="61" t="s">
        <x:v>19</x:v>
      </x:c>
      <x:c r="BO54" s="62" t="s">
        <x:v>20</x:v>
      </x:c>
      <x:c r="BP54" s="62" t="s">
        <x:v>21</x:v>
      </x:c>
      <x:c r="BQ54" s="62" t="s">
        <x:v>15</x:v>
      </x:c>
      <x:c r="BR54" s="62"/>
      <x:c r="BS54" s="63" t="s">
        <x:v>22</x:v>
      </x:c>
      <x:c r="BT54" s="63" t="s">
        <x:v>23</x:v>
      </x:c>
      <x:c r="BU54" s="63" t="s">
        <x:v>25</x:v>
      </x:c>
      <x:c r="BV54" s="63" t="s">
        <x:v>24</x:v>
      </x:c>
      <x:c r="BW54" s="62"/>
      <x:c r="BX54" s="64" t="s">
        <x:v>28</x:v>
      </x:c>
    </x:row>
    <x:row r="55">
      <x:c r="AX55" s="31" t="s"/>
      <x:c r="BD55" s="33" t="s"/>
    </x:row>
    <x:row r="56">
      <x:c r="A56" s="35" t="s">
        <x:v>98</x:v>
      </x:c>
      <x:c r="AW56" s="33" t="s"/>
      <x:c r="AX56" s="11" t="s"/>
      <x:c r="BD56" s="13" t="s"/>
    </x:row>
    <x:row r="57">
      <x:c r="A57" s="17" t="s">
        <x:v>99</x:v>
      </x:c>
      <x:c r="AW57" s="33" t="s"/>
      <x:c r="AX57" s="11" t="s"/>
      <x:c r="BD57" s="13" t="s"/>
    </x:row>
    <x:row r="58">
      <x:c r="A58" s="31" t="s">
        <x:v>205</x:v>
      </x:c>
      <x:c r="B58" t="s"/>
      <x:c r="C58" t="s">
        <x:v>206</x:v>
      </x:c>
      <x:c r="D58" t="s">
        <x:v>131</x:v>
      </x:c>
      <x:c r="E58" s="69" t="s">
        <x:v>103</x:v>
      </x:c>
      <x:c r="F58" t="n">
        <x:v>2961</x:v>
      </x:c>
      <x:c r="G58" s="32" t="n">
        <x:v>0.0003377237419790611279972982</x:v>
      </x:c>
      <x:c r="H58" s="32" t="n">
        <x:v>0.0013508949679162445119891928</x:v>
      </x:c>
      <x:c r="I58" s="32" t="n">
        <x:v>0.0178993583248902397838568051</x:v>
      </x:c>
      <x:c r="J58" s="32" t="n">
        <x:v>0.0307328605200945626477541371</x:v>
      </x:c>
      <x:c r="K58" s="32" t="n">
        <x:v>0.0398514015535292131036811888</x:v>
      </x:c>
      <x:c r="L58" s="32" t="n">
        <x:v>0.0567375886524822695035460993</x:v>
      </x:c>
      <x:c r="M58" s="32" t="n">
        <x:v>0.0729483282674772036474164134</x:v>
      </x:c>
      <x:c r="N58" s="32" t="n">
        <x:v>0.0976021614319486659912191827</x:v>
      </x:c>
      <x:c r="O58" s="32" t="n">
        <x:v>0.0976021614319486659912191827</x:v>
      </x:c>
      <x:c r="P58" s="32" t="n">
        <x:v>0.0976021614319486659912191827</x:v>
      </x:c>
      <x:c r="Q58" s="32" t="n">
        <x:v>0.0976021614319486659912191827</x:v>
      </x:c>
      <x:c r="R58" s="32" t="n">
        <x:v>0.1306990881458966565349544073</x:v>
      </x:c>
      <x:c r="S58" s="32" t="n">
        <x:v>0.1391421816953731847348868625</x:v>
      </x:c>
      <x:c r="T58" s="32" t="n">
        <x:v>0.1621073961499493414387031408</x:v>
      </x:c>
      <x:c r="U58" s="32" t="n">
        <x:v>0.180006754474839581222559946</x:v>
      </x:c>
      <x:c r="V58" s="32" t="n">
        <x:v>0.2002701789935832489023978386</x:v>
      </x:c>
      <x:c r="W58" s="32" t="n">
        <x:v>0.2232353934481594056062141169</x:v>
      </x:c>
      <x:c r="X58" s="32" t="n">
        <x:v>0.2499155690645052347180006754</x:v>
      </x:c>
      <x:c r="Y58" s="32" t="n">
        <x:v>0.2728807835190813914218169537</x:v>
      </x:c>
      <x:c r="Z58" s="32" t="n">
        <x:v>0.3012495778453225261735900034</x:v>
      </x:c>
      <x:c r="AA58" s="32" t="n">
        <x:v>0.3134076325565687267814927389</x:v>
      </x:c>
      <x:c r="AB58" s="32" t="n">
        <x:v>0.3252279635258358662613981763</x:v>
      </x:c>
      <x:c r="AC58" s="32" t="n">
        <x:v>0.3245525160418777440054035799</x:v>
      </x:c>
      <x:c r="AD58" s="32" t="n">
        <x:v>0.3238770685579196217494089835</x:v>
      </x:c>
      <x:c r="AE58" s="32" t="n">
        <x:v>0.3252279635258358662613981763</x:v>
      </x:c>
      <x:c r="AF58" s="32" t="n">
        <x:v>0.3289429246876055386693684566</x:v>
      </x:c>
      <x:c r="AG58" s="32" t="n">
        <x:v>0.340763255656872678149273894</x:v>
      </x:c>
      <x:c r="AH58" s="32" t="n">
        <x:v>0.3708206686930091185410334347</x:v>
      </x:c>
      <x:c r="AI58" s="32" t="n">
        <x:v>0.4133738601823708206686930091</x:v>
      </x:c>
      <x:c r="AJ58" s="32" t="n">
        <x:v>0.4376899696048632218844984802</x:v>
      </x:c>
      <x:c r="AK58" s="32" t="n">
        <x:v>0.4555893279297534616683552854</x:v>
      </x:c>
      <x:c r="AL58" s="32" t="n">
        <x:v>0.4738264099966227625802093887</x:v>
      </x:c>
      <x:c r="AM58" s="32" t="n">
        <x:v>0.4988179669030732860520094563</x:v>
      </x:c>
      <x:c r="AN58" s="32" t="n">
        <x:v>0.5238095238095238095238095238</x:v>
      </x:c>
      <x:c r="AO58" s="32" t="n">
        <x:v>0.5440729483282674772036474164</x:v>
      </x:c>
      <x:c r="AP58" s="32" t="n">
        <x:v>0.5873015873015873015873015873</x:v>
      </x:c>
      <x:c r="AQ58" s="32" t="n">
        <x:v>0.6099290780141843971631205674</x:v>
      </x:c>
      <x:c r="AR58" s="32" t="n">
        <x:v>0.6183721715636609253630530226</x:v>
      </x:c>
      <x:c r="AS58" s="32" t="n">
        <x:v>0.6322188449848024316109422492</x:v>
      </x:c>
      <x:c r="AT58" s="32" t="n">
        <x:v>0.6585612968591691995947315096</x:v>
      </x:c>
      <x:c r="AU58" s="32" t="n">
        <x:v>0.6761229314420803782505910165</x:v>
      </x:c>
      <x:c r="AW58" s="33" t="s"/>
      <x:c r="AX58" s="11" t="s">
        <x:v>207</x:v>
      </x:c>
      <x:c r="AY58" s="12" t="n">
        <x:f>=BI58</x:f>
      </x:c>
      <x:c r="AZ58" s="12" t="n">
        <x:v>0.7038162782843633907463694698</x:v>
      </x:c>
      <x:c r="BA58" s="12" t="n">
        <x:v>0</x:v>
      </x:c>
      <x:c r="BB58" s="12" t="n">
        <x:v>0.2961837217156366092536305302</x:v>
      </x:c>
      <x:c r="BC58" s="12" t="n">
        <x:f>=BH58</x:f>
      </x:c>
      <x:c r="BD58" s="13" t="n">
        <x:f>=BQ58</x:f>
      </x:c>
      <x:c r="BE58" s="30" t="n">
        <x:v>19870.36</x:v>
      </x:c>
      <x:c r="BF58" s="30" t="n">
        <x:v>-17650.04122</x:v>
      </x:c>
      <x:c r="BG58" s="30" t="n">
        <x:f>=BE58+BF58</x:f>
      </x:c>
      <x:c r="BH58" s="66" t="n">
        <x:f>=BG58/BE58</x:f>
      </x:c>
      <x:c r="BI58" s="66" t="n">
        <x:v>0.7038162782843633907463694698</x:v>
      </x:c>
      <x:c r="BJ58" s="30" t="n">
        <x:v>16046.17</x:v>
      </x:c>
      <x:c r="BK58" s="41" t="n">
        <x:v>877</x:v>
      </x:c>
      <x:c r="BL58" s="30" t="n">
        <x:v>4752.6143498817966903073286052</x:v>
      </x:c>
      <x:c r="BN58" s="30" t="n">
        <x:v>28397.10856401209275000000</x:v>
      </x:c>
      <x:c r="BO58" s="30" t="n">
        <x:v>-17650.04122</x:v>
      </x:c>
      <x:c r="BP58" s="30" t="n">
        <x:f>=BN58+BO58</x:f>
      </x:c>
      <x:c r="BQ58" s="66" t="n">
        <x:f>=BP58/BN58</x:f>
      </x:c>
      <x:c r="BS58" s="66" t="n">
        <x:f>=BT58+BU58</x:f>
      </x:c>
      <x:c r="BT58" s="66" t="n">
        <x:f>=BI58+(0*4)</x:f>
      </x:c>
      <x:c r="BU58" s="66" t="n">
        <x:f>=(1-BT58)*0.5</x:f>
      </x:c>
      <x:c r="BV58" s="66" t="n">
        <x:f>=1-BS58</x:f>
      </x:c>
      <x:c r="BX58" s="66" t="n">
        <x:f>=BU58/(1-BT58)</x:f>
      </x:c>
    </x:row>
    <x:row r="59">
      <x:c r="A59" s="31" t="s">
        <x:v>208</x:v>
      </x:c>
      <x:c r="B59" t="s"/>
      <x:c r="C59" t="s">
        <x:v>209</x:v>
      </x:c>
      <x:c r="D59" t="s">
        <x:v>131</x:v>
      </x:c>
      <x:c r="E59" s="69" t="s">
        <x:v>103</x:v>
      </x:c>
      <x:c r="F59" t="n">
        <x:v>2959</x:v>
      </x:c>
      <x:c r="G59" s="32" t="n">
        <x:v>0.0101385603244339303818857722</x:v>
      </x:c>
      <x:c r="H59" s="32" t="n">
        <x:v>0.0375126732004055424129773572</x:v>
      </x:c>
      <x:c r="I59" s="32" t="n">
        <x:v>0.0665765461304494761743832376</x:v>
      </x:c>
      <x:c r="J59" s="32" t="n">
        <x:v>0.077728962487326799594457587</x:v>
      </x:c>
      <x:c r="K59" s="32" t="n">
        <x:v>0.0763771544440689422102061507</x:v>
      </x:c>
      <x:c r="L59" s="32" t="n">
        <x:v>0.0787428185197701926326461642</x:v>
      </x:c>
      <x:c r="M59" s="32" t="n">
        <x:v>0.0834741466711726934775261913</x:v>
      </x:c>
      <x:c r="N59" s="32" t="n">
        <x:v>0.0875295708009462656302805002</x:v>
      </x:c>
      <x:c r="O59" s="32" t="n">
        <x:v>0.0936127069956066238594119635</x:v>
      </x:c>
      <x:c r="P59" s="32" t="n">
        <x:v>0.1155795876985468063534978033</x:v>
      </x:c>
      <x:c r="Q59" s="32" t="n">
        <x:v>0.1443055086177762757688408246</x:v>
      </x:c>
      <x:c r="R59" s="32" t="n">
        <x:v>0.1716796214937478877999324096</x:v>
      </x:c>
      <x:c r="S59" s="32" t="n">
        <x:v>0.196350118283203785062521122</x:v>
      </x:c>
      <x:c r="T59" s="32" t="n">
        <x:v>0.2348766475160527205136870564</x:v>
      </x:c>
      <x:c r="U59" s="32" t="n">
        <x:v>0.2717134166948293342345386955</x:v>
      </x:c>
      <x:c r="V59" s="32" t="n">
        <x:v>0.3159851301115241635687732342</x:v>
      </x:c>
      <x:c r="W59" s="32" t="n">
        <x:v>0.3511321392362284555593105779</x:v>
      </x:c>
      <x:c r="X59" s="32" t="n">
        <x:v>0.4085839810746873943899966205</x:v>
      </x:c>
      <x:c r="Y59" s="32" t="n">
        <x:v>0.479553903345724907063197026</x:v>
      </x:c>
      <x:c r="AW59" s="33" t="s"/>
      <x:c r="AX59" s="11" t="s">
        <x:v>136</x:v>
      </x:c>
      <x:c r="AY59" s="12" t="n">
        <x:f>=BI59</x:f>
      </x:c>
      <x:c r="AZ59" s="12" t="n">
        <x:v>0.7056437985806015545792497465</x:v>
      </x:c>
      <x:c r="BA59" s="12" t="n">
        <x:v>-0.0003379520108144643460628591</x:v>
      </x:c>
      <x:c r="BB59" s="12" t="n">
        <x:v>0.2946941534302129097668131125</x:v>
      </x:c>
      <x:c r="BC59" s="12" t="n">
        <x:f>=BH59</x:f>
      </x:c>
      <x:c r="BD59" s="13" t="n">
        <x:f>=BQ59</x:f>
      </x:c>
      <x:c r="BE59" s="30" t="n">
        <x:v>18865.72</x:v>
      </x:c>
      <x:c r="BF59" s="30" t="n">
        <x:v>-17102.31420</x:v>
      </x:c>
      <x:c r="BG59" s="30" t="n">
        <x:f>=BE59+BF59</x:f>
      </x:c>
      <x:c r="BH59" s="66" t="n">
        <x:f>=BG59/BE59</x:f>
      </x:c>
      <x:c r="BI59" s="66" t="n">
        <x:v>0.7053058465697870902331868875</x:v>
      </x:c>
      <x:c r="BJ59" s="30" t="n">
        <x:v>15532.70</x:v>
      </x:c>
      <x:c r="BK59" s="41" t="n">
        <x:v>872</x:v>
      </x:c>
      <x:c r="BL59" s="30" t="n">
        <x:v>4577.3958769854680635349780331</x:v>
      </x:c>
      <x:c r="BN59" s="30" t="n">
        <x:v>26964.65216483964250000000</x:v>
      </x:c>
      <x:c r="BO59" s="30" t="n">
        <x:v>-17102.31420</x:v>
      </x:c>
      <x:c r="BP59" s="30" t="n">
        <x:f>=BN59+BO59</x:f>
      </x:c>
      <x:c r="BQ59" s="66" t="n">
        <x:f>=BP59/BN59</x:f>
      </x:c>
      <x:c r="BS59" s="66" t="n">
        <x:f>=BT59+BU59</x:f>
      </x:c>
      <x:c r="BT59" s="66" t="n">
        <x:f>=BI59+(0*4)</x:f>
      </x:c>
      <x:c r="BU59" s="66" t="n">
        <x:f>=(1-BT59)*0.5</x:f>
      </x:c>
      <x:c r="BV59" s="66" t="n">
        <x:f>=1-BS59</x:f>
      </x:c>
      <x:c r="BX59" s="66" t="n">
        <x:f>=BU59/(1-BT59)</x:f>
      </x:c>
    </x:row>
    <x:row r="60">
      <x:c r="A60" s="31" t="s">
        <x:v>210</x:v>
      </x:c>
      <x:c r="B60" t="s"/>
      <x:c r="C60" t="s">
        <x:v>211</x:v>
      </x:c>
      <x:c r="D60" t="s">
        <x:v>131</x:v>
      </x:c>
      <x:c r="E60" s="69" t="s">
        <x:v>103</x:v>
      </x:c>
      <x:c r="F60" t="n">
        <x:v>2043</x:v>
      </x:c>
      <x:c r="G60" s="32" t="n">
        <x:v>0.0024473813020068526676456192</x:v>
      </x:c>
      <x:c r="H60" s="32" t="n">
        <x:v>0.0024473813020068526676456192</x:v>
      </x:c>
      <x:c r="I60" s="32" t="n">
        <x:v>0.0014684287812041116005873715</x:v>
      </x:c>
      <x:c r="J60" s="32" t="n">
        <x:v>0.0039158100832109642682329907</x:v>
      </x:c>
      <x:c r="K60" s="32" t="n">
        <x:v>0.0097895252080274106705824767</x:v>
      </x:c>
      <x:c r="L60" s="32" t="n">
        <x:v>0.0254527655408712677435144395</x:v>
      </x:c>
      <x:c r="M60" s="32" t="n">
        <x:v>0.0846793930494371023005384239</x:v>
      </x:c>
      <x:c r="N60" s="32" t="n">
        <x:v>0.1757219774840920215369554577</x:v>
      </x:c>
      <x:c r="O60" s="32" t="n">
        <x:v>0.2178169358786098874204601077</x:v>
      </x:c>
      <x:c r="P60" s="32" t="n">
        <x:v>0.2393538913362701908957415565</x:v>
      </x:c>
      <x:c r="Q60" s="32" t="n">
        <x:v>0.2682329906999510523739598629</x:v>
      </x:c>
      <x:c r="R60" s="32" t="n">
        <x:v>0.2976015663240332843857072932</x:v>
      </x:c>
      <x:c r="S60" s="32" t="n">
        <x:v>0.3245227606461086637298091043</x:v>
      </x:c>
      <x:c r="T60" s="32" t="n">
        <x:v>0.3455702398433675966715614293</x:v>
      </x:c>
      <x:c r="U60" s="32" t="n">
        <x:v>0.370533529123837493881546745</x:v>
      </x:c>
      <x:c r="V60" s="22" t="n">
        <x:v>0.4302496328928046989720998532</x:v>
      </x:c>
      <x:c r="AW60" s="33" t="s"/>
      <x:c r="AX60" s="11" t="s">
        <x:v>139</x:v>
      </x:c>
      <x:c r="AY60" s="12" t="n">
        <x:f>=BI60</x:f>
      </x:c>
      <x:c r="AZ60" s="12" t="n">
        <x:v>0.7224669603524229074889867841</x:v>
      </x:c>
      <x:c r="BA60" s="12" t="n">
        <x:v>0.0009789525208027410670582477</x:v>
      </x:c>
      <x:c r="BB60" s="12" t="n">
        <x:v>0.2765540871267743514439549682</x:v>
      </x:c>
      <x:c r="BC60" s="12" t="n">
        <x:f>=BH60</x:f>
      </x:c>
      <x:c r="BD60" s="13" t="n">
        <x:f>=BQ60</x:f>
      </x:c>
      <x:c r="BE60" s="30" t="n">
        <x:v>17656.93</x:v>
      </x:c>
      <x:c r="BF60" s="30" t="n">
        <x:v>-15949.53240</x:v>
      </x:c>
      <x:c r="BG60" s="30" t="n">
        <x:f>=BE60+BF60</x:f>
      </x:c>
      <x:c r="BH60" s="66" t="n">
        <x:f>=BG60/BE60</x:f>
      </x:c>
      <x:c r="BI60" s="66" t="n">
        <x:v>0.7234459128732256485560450318</x:v>
      </x:c>
      <x:c r="BJ60" s="30" t="n">
        <x:v>14609.40</x:v>
      </x:c>
      <x:c r="BK60" s="41" t="n">
        <x:v>565</x:v>
      </x:c>
      <x:c r="BL60" s="30" t="n">
        <x:v>4040.2892804698972099853157122</x:v>
      </x:c>
      <x:c r="BN60" s="30" t="n">
        <x:v>25217.66553411016000000000</x:v>
      </x:c>
      <x:c r="BO60" s="30" t="n">
        <x:v>-15949.53240</x:v>
      </x:c>
      <x:c r="BP60" s="30" t="n">
        <x:f>=BN60+BO60</x:f>
      </x:c>
      <x:c r="BQ60" s="66" t="n">
        <x:f>=BP60/BN60</x:f>
      </x:c>
      <x:c r="BS60" s="66" t="n">
        <x:f>=BT60+BU60</x:f>
      </x:c>
      <x:c r="BT60" s="66" t="n">
        <x:f>=BI60+(0*4)</x:f>
      </x:c>
      <x:c r="BU60" s="66" t="n">
        <x:f>=(1-BT60)*0.5</x:f>
      </x:c>
      <x:c r="BV60" s="66" t="n">
        <x:f>=1-BS60</x:f>
      </x:c>
      <x:c r="BX60" s="66" t="n">
        <x:f>=BU60/(1-BT60)</x:f>
      </x:c>
    </x:row>
    <x:row r="61">
      <x:c r="A61" s="31" t="s">
        <x:v>212</x:v>
      </x:c>
      <x:c r="B61" t="s"/>
      <x:c r="C61" t="s">
        <x:v>213</x:v>
      </x:c>
      <x:c r="D61" t="s">
        <x:v>131</x:v>
      </x:c>
      <x:c r="E61" s="69" t="s">
        <x:v>103</x:v>
      </x:c>
      <x:c r="F61" t="n">
        <x:v>2052</x:v>
      </x:c>
      <x:c r="G61" s="32" t="n">
        <x:v>0.003411306042884990253411306</x:v>
      </x:c>
      <x:c r="H61" s="32" t="n">
        <x:v>0.0955165692007797270955165692</x:v>
      </x:c>
      <x:c r="I61" s="32" t="n">
        <x:v>0.0935672514619883040935672515</x:v>
      </x:c>
      <x:c r="J61" s="32" t="n">
        <x:v>0.0852826510721247563352826511</x:v>
      </x:c>
      <x:c r="K61" s="32" t="n">
        <x:v>0.0989278752436647173489278752</x:v>
      </x:c>
      <x:c r="L61" s="32" t="n">
        <x:v>0.1135477582846003898635477583</x:v>
      </x:c>
      <x:c r="M61" s="32" t="n">
        <x:v>0.1588693957115009746588693957</x:v>
      </x:c>
      <x:c r="N61" s="32" t="n">
        <x:v>0.3031189083820662768031189084</x:v>
      </x:c>
      <x:c r="O61" s="32" t="n">
        <x:v>0.4113060428849902534113060429</x:v>
      </x:c>
      <x:c r="P61" s="32" t="n">
        <x:v>0.4537037037037037037037037037</x:v>
      </x:c>
      <x:c r="Q61" s="32" t="n">
        <x:v>0.4751461988304093567251461988</x:v>
      </x:c>
      <x:c r="R61" s="32" t="n">
        <x:v>0.5019493177387914230019493177</x:v>
      </x:c>
      <x:c r="S61" s="32" t="n">
        <x:v>0.5497076023391812865497076023</x:v>
      </x:c>
      <x:c r="T61" s="32" t="n">
        <x:v>0.5755360623781676413255360624</x:v>
      </x:c>
      <x:c r="U61" s="22" t="n">
        <x:v>0.6086744639376218323586744639</x:v>
      </x:c>
      <x:c r="AW61" s="33" t="s"/>
      <x:c r="AX61" s="11" t="s">
        <x:v>142</x:v>
      </x:c>
      <x:c r="AY61" s="12" t="n">
        <x:f>=BI61</x:f>
      </x:c>
      <x:c r="AZ61" s="12" t="n">
        <x:v>0.8572124756335282651072124756</x:v>
      </x:c>
      <x:c r="BA61" s="12" t="n">
        <x:v>0.0004873294346978557504873294</x:v>
      </x:c>
      <x:c r="BB61" s="12" t="n">
        <x:v>0.1423001949317738791423001949</x:v>
      </x:c>
      <x:c r="BC61" s="12" t="n">
        <x:f>=BH61</x:f>
      </x:c>
      <x:c r="BD61" s="13" t="n">
        <x:f>=BQ61</x:f>
      </x:c>
      <x:c r="BE61" s="30" t="n">
        <x:v>21387.05</x:v>
      </x:c>
      <x:c r="BF61" s="30" t="n">
        <x:v>-16026.66120</x:v>
      </x:c>
      <x:c r="BG61" s="30" t="n">
        <x:f>=BE61+BF61</x:f>
      </x:c>
      <x:c r="BH61" s="66" t="n">
        <x:f>=BG61/BE61</x:f>
      </x:c>
      <x:c r="BI61" s="66" t="n">
        <x:v>0.8576998050682261208576998051</x:v>
      </x:c>
      <x:c r="BJ61" s="30" t="n">
        <x:v>14680.20</x:v>
      </x:c>
      <x:c r="BK61" s="41" t="n">
        <x:v>292</x:v>
      </x:c>
      <x:c r="BL61" s="30" t="n">
        <x:v>2088.9953216374269005847953217</x:v>
      </x:c>
      <x:c r="BN61" s="30" t="n">
        <x:v>28985.047969699524500000000</x:v>
      </x:c>
      <x:c r="BO61" s="30" t="n">
        <x:v>-16026.66120</x:v>
      </x:c>
      <x:c r="BP61" s="30" t="n">
        <x:f>=BN61+BO61</x:f>
      </x:c>
      <x:c r="BQ61" s="66" t="n">
        <x:f>=BP61/BN61</x:f>
      </x:c>
      <x:c r="BS61" s="66" t="n">
        <x:f>=BT61+BU61</x:f>
      </x:c>
      <x:c r="BT61" s="66" t="n">
        <x:f>=BI61+(0*4)</x:f>
      </x:c>
      <x:c r="BU61" s="66" t="n">
        <x:f>=(1-BT61)*0.5</x:f>
      </x:c>
      <x:c r="BV61" s="66" t="n">
        <x:f>=1-BS61</x:f>
      </x:c>
      <x:c r="BX61" s="66" t="n">
        <x:f>=BU61/(1-BT61)</x:f>
      </x:c>
    </x:row>
    <x:row r="62">
      <x:c r="A62" s="31" t="s">
        <x:v>214</x:v>
      </x:c>
      <x:c r="B62" t="s"/>
      <x:c r="C62" t="s">
        <x:v>215</x:v>
      </x:c>
      <x:c r="D62" t="s">
        <x:v>131</x:v>
      </x:c>
      <x:c r="E62" s="69" t="s">
        <x:v>103</x:v>
      </x:c>
      <x:c r="F62" t="n">
        <x:v>6263</x:v>
      </x:c>
      <x:c r="G62" s="32" t="n">
        <x:v>0.003991697269679067539517803</x:v>
      </x:c>
      <x:c r="H62" s="32" t="n">
        <x:v>0.0273032093246048219703017723</x:v>
      </x:c>
      <x:c r="I62" s="32" t="n">
        <x:v>0.026824205652243333865559636</x:v>
      </x:c>
      <x:c r="J62" s="32" t="n">
        <x:v>0.030975570812709564106658151</x:v>
      </x:c>
      <x:c r="K62" s="32" t="n">
        <x:v>0.0499760498163819255947628932</x:v>
      </x:c>
      <x:c r="L62" s="32" t="n">
        <x:v>0.087338336260577997764649529</x:v>
      </x:c>
      <x:c r="M62" s="32" t="n">
        <x:v>0.1278939805205173239661504072</x:v>
      </x:c>
      <x:c r="N62" s="32" t="n">
        <x:v>0.1598275586779498642822928309</x:v>
      </x:c>
      <x:c r="O62" s="32" t="n">
        <x:v>0.2053329075522912342327957848</x:v>
      </x:c>
      <x:c r="P62" s="32" t="n">
        <x:v>0.2414178508701900047900367236</x:v>
      </x:c>
      <x:c r="Q62" s="32" t="n">
        <x:v>0.2920325722497205811911224653</x:v>
      </x:c>
      <x:c r="R62" s="32" t="n">
        <x:v>0.3466389908989302251317260099</x:v>
      </x:c>
      <x:c r="S62" s="32" t="n">
        <x:v>0.4020437490020756825802331151</x:v>
      </x:c>
      <x:c r="T62" s="22" t="n">
        <x:v>0.4480281015487785406354782053</x:v>
      </x:c>
      <x:c r="AW62" s="33" t="s"/>
      <x:c r="AX62" s="11" t="s">
        <x:v>216</x:v>
      </x:c>
      <x:c r="AY62" s="12" t="n">
        <x:f>=BI62</x:f>
      </x:c>
      <x:c r="AZ62" s="12" t="n">
        <x:v>0.7256905636276544786843365799</x:v>
      </x:c>
      <x:c r="BA62" s="12" t="n">
        <x:v>0.0001596678907871627015807121</x:v>
      </x:c>
      <x:c r="BB62" s="12" t="n">
        <x:v>0.274149768481558358614082708</x:v>
      </x:c>
      <x:c r="BC62" s="12" t="n">
        <x:f>=BH62</x:f>
      </x:c>
      <x:c r="BD62" s="13" t="n">
        <x:f>=BQ62</x:f>
      </x:c>
      <x:c r="BE62" s="30" t="n">
        <x:v>55704.24</x:v>
      </x:c>
      <x:c r="BF62" s="30" t="n">
        <x:v>-48340.37440</x:v>
      </x:c>
      <x:c r="BG62" s="30" t="n">
        <x:f>=BE62+BF62</x:f>
      </x:c>
      <x:c r="BH62" s="66" t="n">
        <x:f>=BG62/BE62</x:f>
      </x:c>
      <x:c r="BI62" s="66" t="n">
        <x:v>0.725850231518441641385917292</x:v>
      </x:c>
      <x:c r="BJ62" s="30" t="n">
        <x:v>44266.40</x:v>
      </x:c>
      <x:c r="BK62" s="41" t="n">
        <x:v>1717</x:v>
      </x:c>
      <x:c r="BL62" s="30" t="n">
        <x:v>12135.623311512054925754430784</x:v>
      </x:c>
      <x:c r="BN62" s="30" t="n">
        <x:v>79003.07321982445875000000</x:v>
      </x:c>
      <x:c r="BO62" s="30" t="n">
        <x:v>-48340.37440</x:v>
      </x:c>
      <x:c r="BP62" s="30" t="n">
        <x:f>=BN62+BO62</x:f>
      </x:c>
      <x:c r="BQ62" s="66" t="n">
        <x:f>=BP62/BN62</x:f>
      </x:c>
      <x:c r="BS62" s="66" t="n">
        <x:f>=BT62+BU62</x:f>
      </x:c>
      <x:c r="BT62" s="66" t="n">
        <x:f>=BI62+(0*4)</x:f>
      </x:c>
      <x:c r="BU62" s="66" t="n">
        <x:f>=(1-BT62)*0.5</x:f>
      </x:c>
      <x:c r="BV62" s="66" t="n">
        <x:f>=1-BS62</x:f>
      </x:c>
      <x:c r="BX62" s="66" t="n">
        <x:f>=BU62/(1-BT62)</x:f>
      </x:c>
    </x:row>
    <x:row r="63">
      <x:c r="A63" s="31" t="s"/>
      <x:c r="AW63" s="33" t="s"/>
      <x:c r="AX63" s="11" t="s"/>
      <x:c r="BD63" s="13" t="s"/>
    </x:row>
    <x:row r="64">
      <x:c r="A64" s="17" t="s">
        <x:v>196</x:v>
      </x:c>
      <x:c r="AW64" s="33" t="s"/>
      <x:c r="AX64" s="11" t="s"/>
      <x:c r="BD64" s="13" t="s"/>
    </x:row>
    <x:row r="65">
      <x:c r="A65" s="31" t="s">
        <x:v>217</x:v>
      </x:c>
      <x:c r="B65" t="s"/>
      <x:c r="C65" t="s">
        <x:v>218</x:v>
      </x:c>
      <x:c r="D65" t="s">
        <x:v>102</x:v>
      </x:c>
      <x:c r="E65" s="69" t="s">
        <x:v>103</x:v>
      </x:c>
      <x:c r="F65" t="n">
        <x:v>5056</x:v>
      </x:c>
      <x:c r="G65" s="32" t="n">
        <x:v>0.0136471518987341772151898734</x:v>
      </x:c>
      <x:c r="H65" s="32" t="n">
        <x:v>0.0187895569620253164556962025</x:v>
      </x:c>
      <x:c r="I65" s="32" t="n">
        <x:v>0.0253164556962025316455696203</x:v>
      </x:c>
      <x:c r="J65" s="32" t="n">
        <x:v>0.0648734177215189873417721519</x:v>
      </x:c>
      <x:c r="K65" s="32" t="n">
        <x:v>0.1056170886075949367088607595</x:v>
      </x:c>
      <x:c r="L65" s="32" t="n">
        <x:v>0.1437895569620253164556962025</x:v>
      </x:c>
      <x:c r="M65" s="32" t="n">
        <x:v>0.1989715189873417721518987342</x:v>
      </x:c>
      <x:c r="N65" s="32" t="n">
        <x:v>0.2796677215189873417721518987</x:v>
      </x:c>
      <x:c r="O65" s="32" t="n">
        <x:v>0.3397943037974683544303797468</x:v>
      </x:c>
      <x:c r="P65" s="32" t="n">
        <x:v>0.3742088607594936708860759494</x:v>
      </x:c>
      <x:c r="Q65" s="32" t="n">
        <x:v>0.3868670886075949367088607595</x:v>
      </x:c>
      <x:c r="R65" s="32" t="n">
        <x:v>0.3892405063291139240506329114</x:v>
      </x:c>
      <x:c r="S65" s="32" t="n">
        <x:v>0.3973496835443037974683544304</x:v>
      </x:c>
      <x:c r="T65" s="32" t="n">
        <x:v>0.4005142405063291139240506329</x:v>
      </x:c>
      <x:c r="U65" s="32" t="n">
        <x:v>0.4123813291139240506329113924</x:v>
      </x:c>
      <x:c r="V65" s="32" t="n">
        <x:v>0.4272151898734177215189873418</x:v>
      </x:c>
      <x:c r="W65" s="22" t="n">
        <x:v>0.4386867088607594936708860759</x:v>
      </x:c>
      <x:c r="AW65" s="33" t="s"/>
      <x:c r="AX65" s="11" t="s">
        <x:v>195</x:v>
      </x:c>
      <x:c r="AY65" s="12" t="n">
        <x:f>=BI65</x:f>
      </x:c>
      <x:c r="AZ65" s="12" t="n">
        <x:v>0.4580696202531645569620253165</x:v>
      </x:c>
      <x:c r="BA65" s="12" t="n">
        <x:v>0.0001977848101265822784810127</x:v>
      </x:c>
      <x:c r="BB65" s="12" t="n">
        <x:v>0.5417325949367088607594936709</x:v>
      </x:c>
      <x:c r="BC65" s="12" t="n">
        <x:f>=BH65</x:f>
      </x:c>
      <x:c r="BD65" s="13" t="n">
        <x:f>=BQ65</x:f>
      </x:c>
      <x:c r="BE65" s="30" t="n">
        <x:v>18991.75</x:v>
      </x:c>
      <x:c r="BF65" s="30" t="n">
        <x:v>-25877.1845</x:v>
      </x:c>
      <x:c r="BG65" s="30" t="n">
        <x:f>=BE65+BF65</x:f>
      </x:c>
      <x:c r="BH65" s="66" t="n">
        <x:f>=BG65/BE65</x:f>
      </x:c>
      <x:c r="BI65" s="66" t="n">
        <x:v>0.4582674050632911392405063291</x:v>
      </x:c>
      <x:c r="BJ65" s="30" t="n">
        <x:v>25708.53</x:v>
      </x:c>
      <x:c r="BK65" s="41" t="n">
        <x:v>2739</x:v>
      </x:c>
      <x:c r="BL65" s="30" t="n">
        <x:v>13927.148668908227848101265823</x:v>
      </x:c>
      <x:c r="BN65" s="30" t="n">
        <x:v>31543.87860281900800000000</x:v>
      </x:c>
      <x:c r="BO65" s="30" t="n">
        <x:v>-25877.1845</x:v>
      </x:c>
      <x:c r="BP65" s="30" t="n">
        <x:f>=BN65+BO65</x:f>
      </x:c>
      <x:c r="BQ65" s="66" t="n">
        <x:f>=BP65/BN65</x:f>
      </x:c>
      <x:c r="BS65" s="66" t="n">
        <x:f>=BT65+BU65</x:f>
      </x:c>
      <x:c r="BT65" s="66" t="n">
        <x:f>=BI65+(0*4)</x:f>
      </x:c>
      <x:c r="BU65" s="66" t="n">
        <x:f>=(1-BT65)*0.5</x:f>
      </x:c>
      <x:c r="BV65" s="66" t="n">
        <x:f>=1-BS65</x:f>
      </x:c>
      <x:c r="BX65" s="66" t="n">
        <x:f>=BU65/(1-BT65)</x:f>
      </x:c>
    </x:row>
    <x:row r="66">
      <x:c r="A66" s="31" t="s">
        <x:v>219</x:v>
      </x:c>
      <x:c r="B66" t="s"/>
      <x:c r="C66" t="s">
        <x:v>220</x:v>
      </x:c>
      <x:c r="D66" t="s">
        <x:v>131</x:v>
      </x:c>
      <x:c r="E66" s="69" t="s">
        <x:v>103</x:v>
      </x:c>
      <x:c r="F66" t="n">
        <x:v>1753</x:v>
      </x:c>
      <x:c r="G66" s="32" t="n">
        <x:v>0.0136908157444381061038220194</x:v>
      </x:c>
      <x:c r="H66" s="32" t="n">
        <x:v>0.0222475755847119224187107815</x:v>
      </x:c>
      <x:c r="I66" s="32" t="n">
        <x:v>0.0239589275527666856816885339</x:v>
      </x:c>
      <x:c r="J66" s="32" t="n">
        <x:v>0.0239589275527666856816885339</x:v>
      </x:c>
      <x:c r="K66" s="32" t="n">
        <x:v>0.0239589275527666856816885339</x:v>
      </x:c>
      <x:c r="L66" s="32" t="n">
        <x:v>0.0239589275527666856816885339</x:v>
      </x:c>
      <x:c r="M66" s="32" t="n">
        <x:v>0.0239589275527666856816885339</x:v>
      </x:c>
      <x:c r="N66" s="32" t="n">
        <x:v>0.0239589275527666856816885339</x:v>
      </x:c>
      <x:c r="O66" s="32" t="n">
        <x:v>0.0239589275527666856816885339</x:v>
      </x:c>
      <x:c r="P66" s="32" t="n">
        <x:v>0.0239589275527666856816885339</x:v>
      </x:c>
      <x:c r="Q66" s="32" t="n">
        <x:v>0.0239589275527666856816885339</x:v>
      </x:c>
      <x:c r="R66" s="32" t="n">
        <x:v>0.0239589275527666856816885339</x:v>
      </x:c>
      <x:c r="S66" s="32" t="n">
        <x:v>0.0239589275527666856816885339</x:v>
      </x:c>
      <x:c r="T66" s="32" t="n">
        <x:v>0.0296634341129492298916143754</x:v>
      </x:c>
      <x:c r="U66" s="32" t="n">
        <x:v>0.0416428978893325727324586423</x:v>
      </x:c>
      <x:c r="V66" s="22" t="n">
        <x:v>0.0627495721620079863091842556</x:v>
      </x:c>
      <x:c r="AW66" s="33" t="s"/>
      <x:c r="AX66" s="11" t="s">
        <x:v>139</x:v>
      </x:c>
      <x:c r="AY66" s="12" t="n">
        <x:f>=BI66</x:f>
      </x:c>
      <x:c r="AZ66" s="12" t="n">
        <x:v>0.6423274386765544780376497433</x:v>
      </x:c>
      <x:c r="BA66" s="12" t="n">
        <x:v>0.0005704506560182544209925841</x:v>
      </x:c>
      <x:c r="BB66" s="12" t="n">
        <x:v>0.3571021106674272675413576726</x:v>
      </x:c>
      <x:c r="BC66" s="12" t="n">
        <x:f>=BH66</x:f>
      </x:c>
      <x:c r="BD66" s="13" t="n">
        <x:f>=BQ66</x:f>
      </x:c>
      <x:c r="BE66" s="30" t="n">
        <x:v>13858.13</x:v>
      </x:c>
      <x:c r="BF66" s="30" t="n">
        <x:v>-14069.52810</x:v>
      </x:c>
      <x:c r="BG66" s="30" t="n">
        <x:f>=BE66+BF66</x:f>
      </x:c>
      <x:c r="BH66" s="66" t="n">
        <x:f>=BG66/BE66</x:f>
      </x:c>
      <x:c r="BI66" s="66" t="n">
        <x:v>0.6428978893325727324586423274</x:v>
      </x:c>
      <x:c r="BJ66" s="30" t="n">
        <x:v>12895.85</x:v>
      </x:c>
      <x:c r="BK66" s="41" t="n">
        <x:v>626</x:v>
      </x:c>
      <x:c r="BL66" s="30" t="n">
        <x:v>4605.1352538505419281232173417</x:v>
      </x:c>
      <x:c r="BN66" s="30" t="n">
        <x:v>20595.67256563123325000000</x:v>
      </x:c>
      <x:c r="BO66" s="30" t="n">
        <x:v>-14069.52810</x:v>
      </x:c>
      <x:c r="BP66" s="30" t="n">
        <x:f>=BN66+BO66</x:f>
      </x:c>
      <x:c r="BQ66" s="66" t="n">
        <x:f>=BP66/BN66</x:f>
      </x:c>
      <x:c r="BS66" s="66" t="n">
        <x:f>=BT66+BU66</x:f>
      </x:c>
      <x:c r="BT66" s="66" t="n">
        <x:f>=BI66+(0*4)</x:f>
      </x:c>
      <x:c r="BU66" s="66" t="n">
        <x:f>=(1-BT66)*0.5</x:f>
      </x:c>
      <x:c r="BV66" s="66" t="n">
        <x:f>=1-BS66</x:f>
      </x:c>
      <x:c r="BX66" s="66" t="n">
        <x:f>=BU66/(1-BT66)</x:f>
      </x:c>
    </x:row>
    <x:row r="67">
      <x:c r="A67" s="31" t="s">
        <x:v>221</x:v>
      </x:c>
      <x:c r="B67" t="s"/>
      <x:c r="C67" t="s">
        <x:v>222</x:v>
      </x:c>
      <x:c r="D67" t="s">
        <x:v>131</x:v>
      </x:c>
      <x:c r="E67" s="69" t="s">
        <x:v>103</x:v>
      </x:c>
      <x:c r="F67" t="n">
        <x:v>5328</x:v>
      </x:c>
      <x:c r="G67" s="32" t="n">
        <x:v>0.0101351351351351351351351351</x:v>
      </x:c>
      <x:c r="H67" s="32" t="n">
        <x:v>0.0227102102102102102102102102</x:v>
      </x:c>
      <x:c r="I67" s="32" t="n">
        <x:v>0.0320945945945945945945945946</x:v>
      </x:c>
      <x:c r="J67" s="32" t="n">
        <x:v>0.0478603603603603603603603604</x:v>
      </x:c>
      <x:c r="K67" s="32" t="n">
        <x:v>0.0538663663663663663663663664</x:v>
      </x:c>
      <x:c r="L67" s="32" t="n">
        <x:v>0.0611861861861861861861861862</x:v>
      </x:c>
      <x:c r="M67" s="32" t="n">
        <x:v>0.0696321321321321321321321321</x:v>
      </x:c>
      <x:c r="N67" s="32" t="n">
        <x:v>0.0818318318318318318318318318</x:v>
      </x:c>
      <x:c r="O67" s="22" t="n">
        <x:v>0.1114864864864864864864864865</x:v>
      </x:c>
      <x:c r="AW67" s="33" t="s"/>
      <x:c r="AX67" s="11" t="s">
        <x:v>223</x:v>
      </x:c>
      <x:c r="AY67" s="12" t="n">
        <x:f>=BI67</x:f>
      </x:c>
      <x:c r="AZ67" s="12" t="n">
        <x:v>0.4493243243243243243243243243</x:v>
      </x:c>
      <x:c r="BA67" s="12" t="n">
        <x:v>0.0001876876876876876876876877</x:v>
      </x:c>
      <x:c r="BB67" s="12" t="n">
        <x:v>0.550487987987987987987987988</x:v>
      </x:c>
      <x:c r="BC67" s="12" t="n">
        <x:f>=BH67</x:f>
      </x:c>
      <x:c r="BD67" s="13" t="n">
        <x:f>=BQ67</x:f>
      </x:c>
      <x:c r="BE67" s="30" t="n">
        <x:v>33370.69</x:v>
      </x:c>
      <x:c r="BF67" s="30" t="n">
        <x:v>-45244.82940</x:v>
      </x:c>
      <x:c r="BG67" s="30" t="n">
        <x:f>=BE67+BF67</x:f>
      </x:c>
      <x:c r="BH67" s="66" t="n">
        <x:f>=BG67/BE67</x:f>
      </x:c>
      <x:c r="BI67" s="66" t="n">
        <x:v>0.449512012012012012012012012</x:v>
      </x:c>
      <x:c r="BJ67" s="30" t="n">
        <x:v>41523.90</x:v>
      </x:c>
      <x:c r="BK67" s="41" t="n">
        <x:v>2933</x:v>
      </x:c>
      <x:c r="BL67" s="30" t="n">
        <x:v>22858.408164414414414414414414</x:v>
      </x:c>
      <x:c r="BN67" s="30" t="n">
        <x:v>55799.76184436027200000000</x:v>
      </x:c>
      <x:c r="BO67" s="30" t="n">
        <x:v>-45244.82940</x:v>
      </x:c>
      <x:c r="BP67" s="30" t="n">
        <x:f>=BN67+BO67</x:f>
      </x:c>
      <x:c r="BQ67" s="66" t="n">
        <x:f>=BP67/BN67</x:f>
      </x:c>
      <x:c r="BS67" s="66" t="n">
        <x:f>=BT67+BU67</x:f>
      </x:c>
      <x:c r="BT67" s="66" t="n">
        <x:f>=BI67+(0*4)</x:f>
      </x:c>
      <x:c r="BU67" s="66" t="n">
        <x:f>=(1-BT67)*0.5</x:f>
      </x:c>
      <x:c r="BV67" s="66" t="n">
        <x:f>=1-BS67</x:f>
      </x:c>
      <x:c r="BX67" s="66" t="n">
        <x:f>=BU67/(1-BT67)</x:f>
      </x:c>
    </x:row>
    <x:row r="68">
      <x:c r="A68" s="31" t="s">
        <x:v>224</x:v>
      </x:c>
      <x:c r="B68" t="s"/>
      <x:c r="C68" t="s">
        <x:v>225</x:v>
      </x:c>
      <x:c r="D68" t="s">
        <x:v>147</x:v>
      </x:c>
      <x:c r="E68" s="69" t="s">
        <x:v>103</x:v>
      </x:c>
      <x:c r="F68" t="n">
        <x:v>3132</x:v>
      </x:c>
      <x:c r="G68" s="32" t="n">
        <x:v>0.0028735632183908045977011494</x:v>
      </x:c>
      <x:c r="H68" s="32" t="n">
        <x:v>0.0296934865900383141762452107</x:v>
      </x:c>
      <x:c r="I68" s="32" t="n">
        <x:v>0.1107918263090676883780332056</x:v>
      </x:c>
      <x:c r="J68" s="22" t="n">
        <x:v>0.1583652618135376756066411239</x:v>
      </x:c>
      <x:c r="AW68" s="33" t="s"/>
      <x:c r="AX68" s="11" t="s">
        <x:v>226</x:v>
      </x:c>
      <x:c r="AY68" s="12" t="n">
        <x:f>=BI68</x:f>
      </x:c>
      <x:c r="AZ68" s="12" t="n">
        <x:v>0.5999361430395913154533844189</x:v>
      </x:c>
      <x:c r="BA68" s="12" t="n">
        <x:v>0.0038314176245210727969348659</x:v>
      </x:c>
      <x:c r="BB68" s="12" t="n">
        <x:v>0.3962324393358876117496807152</x:v>
      </x:c>
      <x:c r="BC68" s="12" t="n">
        <x:f>=BH68</x:f>
      </x:c>
      <x:c r="BD68" s="13" t="n">
        <x:f>=BQ68</x:f>
      </x:c>
      <x:c r="BE68" s="30" t="n">
        <x:v>16040.20</x:v>
      </x:c>
      <x:c r="BF68" s="30" t="n">
        <x:v>-16503.7748</x:v>
      </x:c>
      <x:c r="BG68" s="30" t="n">
        <x:f>=BE68+BF68</x:f>
      </x:c>
      <x:c r="BH68" s="66" t="n">
        <x:f>=BG68/BE68</x:f>
      </x:c>
      <x:c r="BI68" s="66" t="n">
        <x:v>0.6037675606641123882503192848</x:v>
      </x:c>
      <x:c r="BJ68" s="30" t="n">
        <x:v>15966.95</x:v>
      </x:c>
      <x:c r="BK68" s="41" t="n">
        <x:v>1241</x:v>
      </x:c>
      <x:c r="BL68" s="30" t="n">
        <x:v>6326.6235472541507024265644956</x:v>
      </x:c>
      <x:c r="BN68" s="30" t="n">
        <x:v>24177.98286066724600000000</x:v>
      </x:c>
      <x:c r="BO68" s="30" t="n">
        <x:v>-16503.7748</x:v>
      </x:c>
      <x:c r="BP68" s="30" t="n">
        <x:f>=BN68+BO68</x:f>
      </x:c>
      <x:c r="BQ68" s="66" t="n">
        <x:f>=BP68/BN68</x:f>
      </x:c>
      <x:c r="BS68" s="66" t="n">
        <x:f>=BT68+BU68</x:f>
      </x:c>
      <x:c r="BT68" s="66" t="n">
        <x:f>=BI68+(0*4)</x:f>
      </x:c>
      <x:c r="BU68" s="66" t="n">
        <x:f>=(1-BT68)*0.5</x:f>
      </x:c>
      <x:c r="BV68" s="66" t="n">
        <x:f>=1-BS68</x:f>
      </x:c>
      <x:c r="BX68" s="66" t="n">
        <x:f>=BU68/(1-BT68)</x:f>
      </x:c>
    </x:row>
    <x:row r="69">
      <x:c r="AW69" s="33" t="s"/>
      <x:c r="AX69" s="11" t="s"/>
      <x:c r="BD69" s="13" t="s"/>
      <x:c r="BE69" s="20" t="n">
        <x:v>215745.07</x:v>
      </x:c>
      <x:c r="BF69" s="20" t="n">
        <x:v>-216764.24022</x:v>
      </x:c>
      <x:c r="BG69" s="20" t="n">
        <x:f>=BE69+BF69</x:f>
      </x:c>
      <x:c r="BH69" s="21" t="n">
        <x:v>-0.0047239560097479863618668088</x:v>
      </x:c>
      <x:c r="BJ69" s="20" t="n">
        <x:v>-201230.10</x:v>
      </x:c>
      <x:c r="BK69" s="20" t="n">
        <x:v>11862</x:v>
      </x:c>
      <x:c r="BL69" s="20" t="n">
        <x:v>75664.609826607918344058072083</x:v>
      </x:c>
      <x:c r="BN69" s="20" t="n">
        <x:v>320684.843325963637750000000</x:v>
      </x:c>
      <x:c r="BO69" s="20" t="n">
        <x:v>-216764.24022</x:v>
      </x:c>
      <x:c r="BP69" s="20" t="n">
        <x:f>=BN69+BO69</x:f>
      </x:c>
      <x:c r="BQ69" s="21" t="n">
        <x:v>0.3240583559489663725753030612</x:v>
      </x:c>
    </x:row>
    <x:row r="70">
      <x:c r="A70" s="35" t="s">
        <x:v>151</x:v>
      </x:c>
      <x:c r="AW70" s="33" t="s"/>
      <x:c r="AX70" s="11" t="s"/>
      <x:c r="BD70" s="13" t="s"/>
    </x:row>
    <x:row r="71">
      <x:c r="A71" s="17" t="s">
        <x:v>99</x:v>
      </x:c>
      <x:c r="AW71" s="33" t="s"/>
      <x:c r="AX71" s="11" t="s"/>
      <x:c r="BD71" s="13" t="s"/>
    </x:row>
    <x:row r="72">
      <x:c r="A72" s="31" t="s">
        <x:v>227</x:v>
      </x:c>
      <x:c r="B72" t="s"/>
      <x:c r="C72" t="s">
        <x:v>228</x:v>
      </x:c>
      <x:c r="D72" t="s">
        <x:v>113</x:v>
      </x:c>
      <x:c r="E72" s="67" t="s">
        <x:v>154</x:v>
      </x:c>
      <x:c r="F72" t="n">
        <x:v>2544</x:v>
      </x:c>
      <x:c r="G72" s="32" t="n">
        <x:v>0.0161163522012578616352201258</x:v>
      </x:c>
      <x:c r="H72" s="32" t="n">
        <x:v>0.051886792452830188679245283</x:v>
      </x:c>
      <x:c r="I72" s="32" t="n">
        <x:v>0.0982704402515723270440251572</x:v>
      </x:c>
      <x:c r="J72" s="32" t="n">
        <x:v>0.1348270440251572327044025157</x:v>
      </x:c>
      <x:c r="K72" s="32" t="n">
        <x:v>0.173742138364779874213836478</x:v>
      </x:c>
      <x:c r="L72" s="32" t="n">
        <x:v>0.2059748427672955974842767296</x:v>
      </x:c>
      <x:c r="M72" s="32" t="n">
        <x:v>0.2421383647798742138364779874</x:v>
      </x:c>
      <x:c r="N72" s="32" t="n">
        <x:v>0.2492138364779874213836477987</x:v>
      </x:c>
      <x:c r="O72" s="32" t="n">
        <x:v>0.2688679245283018867924528302</x:v>
      </x:c>
      <x:c r="P72" s="32" t="n">
        <x:v>0.2873427672955974842767295597</x:v>
      </x:c>
      <x:c r="Q72" s="32" t="n">
        <x:v>0.3254716981132075471698113208</x:v>
      </x:c>
      <x:c r="R72" s="32" t="n">
        <x:v>0.3565251572327044025157232704</x:v>
      </x:c>
      <x:c r="S72" s="32" t="n">
        <x:v>0.3636006289308176100628930818</x:v>
      </x:c>
      <x:c r="T72" s="32" t="n">
        <x:v>0.3738207547169811320754716981</x:v>
      </x:c>
      <x:c r="U72" s="32" t="n">
        <x:v>0.3832547169811320754716981132</x:v>
      </x:c>
      <x:c r="V72" s="32" t="n">
        <x:v>0.3985849056603773584905660377</x:v>
      </x:c>
      <x:c r="W72" s="32" t="n">
        <x:v>0.4056603773584905660377358491</x:v>
      </x:c>
      <x:c r="X72" s="32" t="n">
        <x:v>0.4139150943396226415094339623</x:v>
      </x:c>
      <x:c r="Y72" s="32" t="n">
        <x:v>0.4111635220125786163522012579</x:v>
      </x:c>
      <x:c r="Z72" s="32" t="n">
        <x:v>0.4143081761006289308176100629</x:v>
      </x:c>
      <x:c r="AA72" s="32" t="n">
        <x:v>0.4127358490566037735849056604</x:v>
      </x:c>
      <x:c r="AB72" s="32" t="n">
        <x:v>0.4123427672955974842767295597</x:v>
      </x:c>
      <x:c r="AC72" s="32" t="n">
        <x:v>0.4119496855345911949685534591</x:v>
      </x:c>
      <x:c r="AD72" s="32" t="n">
        <x:v>0.4135220125786163522012578616</x:v>
      </x:c>
      <x:c r="AE72" s="32" t="n">
        <x:v>0.4166666666666666666666666667</x:v>
      </x:c>
      <x:c r="AF72" s="32" t="n">
        <x:v>0.4213836477987421383647798742</x:v>
      </x:c>
      <x:c r="AG72" s="32" t="n">
        <x:v>0.4245283018867924528301886792</x:v>
      </x:c>
      <x:c r="AH72" s="32" t="n">
        <x:v>0.4272798742138364779874213836</x:v>
      </x:c>
      <x:c r="AI72" s="32" t="n">
        <x:v>0.4300314465408805031446540881</x:v>
      </x:c>
      <x:c r="AJ72" s="32" t="n">
        <x:v>0.4339622641509433962264150943</x:v>
      </x:c>
      <x:c r="AK72" s="32" t="n">
        <x:v>0.4441823899371069182389937107</x:v>
      </x:c>
      <x:c r="AL72" s="32" t="n">
        <x:v>0.4492924528301886792452830189</x:v>
      </x:c>
      <x:c r="AM72" s="32" t="n">
        <x:v>0.4528301886792452830188679245</x:v>
      </x:c>
      <x:c r="AN72" s="32" t="n">
        <x:v>0.4626572327044025157232704403</x:v>
      </x:c>
      <x:c r="AW72" s="33" t="s"/>
      <x:c r="AX72" s="11" t="s">
        <x:v>229</x:v>
      </x:c>
      <x:c r="AY72" s="12" t="n">
        <x:f>=BI72</x:f>
      </x:c>
      <x:c r="AZ72" s="12" t="n">
        <x:v>0.6022012578616352201257861635</x:v>
      </x:c>
      <x:c r="BA72" s="12" t="n">
        <x:v>-0.0003930817610062893081761006</x:v>
      </x:c>
      <x:c r="BB72" s="12" t="n">
        <x:v>0.3981918238993710691823899371</x:v>
      </x:c>
      <x:c r="BC72" s="12" t="n">
        <x:f>=BH72</x:f>
      </x:c>
      <x:c r="BD72" s="13" t="n">
        <x:f>=BQ72</x:f>
      </x:c>
      <x:c r="BE72" s="30" t="n">
        <x:v>30087.34</x:v>
      </x:c>
      <x:c r="BF72" s="30" t="n">
        <x:v>-26642.06598467040000000000</x:v>
      </x:c>
      <x:c r="BG72" s="30" t="n">
        <x:f>=BE72+BF72</x:f>
      </x:c>
      <x:c r="BH72" s="66" t="n">
        <x:f>=BG72/BE72</x:f>
      </x:c>
      <x:c r="BI72" s="66" t="n">
        <x:v>0.6018081761006289308176100629</x:v>
      </x:c>
      <x:c r="BJ72" s="30" t="n">
        <x:v>26788.346788320000000000</x:v>
      </x:c>
      <x:c r="BK72" s="41" t="n">
        <x:v>1013</x:v>
      </x:c>
      <x:c r="BL72" s="30" t="n">
        <x:v>10666.900666890000000000</x:v>
      </x:c>
      <x:c r="BN72" s="30" t="n">
        <x:v>45615.2823291910000000000</x:v>
      </x:c>
      <x:c r="BO72" s="30" t="n">
        <x:v>-26642.06598467040000000000</x:v>
      </x:c>
      <x:c r="BP72" s="30" t="n">
        <x:f>=BN72+BO72</x:f>
      </x:c>
      <x:c r="BQ72" s="66" t="n">
        <x:f>=BP72/BN72</x:f>
      </x:c>
      <x:c r="BS72" s="66" t="n">
        <x:f>=BT72+BU72</x:f>
      </x:c>
      <x:c r="BT72" s="66" t="n">
        <x:f>=BI72+(0*4)</x:f>
      </x:c>
      <x:c r="BU72" s="66" t="n">
        <x:f>=(1-BT72)*0.5</x:f>
      </x:c>
      <x:c r="BV72" s="66" t="n">
        <x:f>=1-BS72</x:f>
      </x:c>
      <x:c r="BX72" s="66" t="n">
        <x:f>=BU72/(1-BT72)</x:f>
      </x:c>
    </x:row>
    <x:row r="73">
      <x:c r="A73" s="31" t="s">
        <x:v>230</x:v>
      </x:c>
      <x:c r="B73" t="s">
        <x:v>129</x:v>
      </x:c>
      <x:c r="C73" s="9" t="s">
        <x:v>231</x:v>
      </x:c>
      <x:c r="D73" t="s">
        <x:v>113</x:v>
      </x:c>
      <x:c r="E73" s="67" t="s">
        <x:v>154</x:v>
      </x:c>
      <x:c r="F73" t="n">
        <x:v>513</x:v>
      </x:c>
      <x:c r="G73" s="32" t="n">
        <x:v>0.0350877192982456140350877193</x:v>
      </x:c>
      <x:c r="H73" s="32" t="n">
        <x:v>0.0643274853801169590643274854</x:v>
      </x:c>
      <x:c r="I73" s="32" t="n">
        <x:v>0.0916179337231968810916179337</x:v>
      </x:c>
      <x:c r="J73" s="32" t="n">
        <x:v>0.0916179337231968810916179337</x:v>
      </x:c>
      <x:c r="K73" s="32" t="n">
        <x:v>0.0974658869395711500974658869</x:v>
      </x:c>
      <x:c r="L73" s="32" t="n">
        <x:v>0.1150097465886939571150097466</x:v>
      </x:c>
      <x:c r="M73" s="32" t="n">
        <x:v>0.1656920077972709551656920078</x:v>
      </x:c>
      <x:c r="N73" s="32" t="n">
        <x:v>0.2280701754385964912280701754</x:v>
      </x:c>
      <x:c r="O73" s="32" t="n">
        <x:v>0.3274853801169590643274853801</x:v>
      </x:c>
      <x:c r="P73" s="32" t="n">
        <x:v>0.4230019493177387914230019493</x:v>
      </x:c>
      <x:c r="Q73" s="32" t="n">
        <x:v>0.4600389863547758284600389864</x:v>
      </x:c>
      <x:c r="R73" s="32" t="n">
        <x:v>0.5185185185185185185185185185</x:v>
      </x:c>
      <x:c r="S73" s="32" t="n">
        <x:v>0.5886939571150097465886939571</x:v>
      </x:c>
      <x:c r="T73" s="32" t="n">
        <x:v>0.6393762183235867446393762183</x:v>
      </x:c>
      <x:c r="U73" s="32" t="n">
        <x:v>0.6588693957115009746588693957</x:v>
      </x:c>
      <x:c r="V73" s="32" t="n">
        <x:v>0.6374269005847953216374269006</x:v>
      </x:c>
      <x:c r="W73" s="32" t="n">
        <x:v>0.6608187134502923976608187135</x:v>
      </x:c>
      <x:c r="X73" s="32" t="n">
        <x:v>0.6881091617933723196881091618</x:v>
      </x:c>
      <x:c r="Y73" s="23" t="n">
        <x:v>0.7192982456140350877192982456</x:v>
      </x:c>
      <x:c r="Z73" s="32" t="n">
        <x:v>0.7329434697855750487329434698</x:v>
      </x:c>
      <x:c r="AA73" s="32" t="n">
        <x:v>0.7621832358674463937621832359</x:v>
      </x:c>
      <x:c r="AB73" s="32" t="n">
        <x:v>0.7953216374269005847953216374</x:v>
      </x:c>
      <x:c r="AC73" s="32" t="n">
        <x:v>0.7992202729044834307992202729</x:v>
      </x:c>
      <x:c r="AD73" s="32" t="n">
        <x:v>0.7933723196881091617933723197</x:v>
      </x:c>
      <x:c r="AW73" s="33" t="s"/>
      <x:c r="AX73" s="11" t="s">
        <x:v>176</x:v>
      </x:c>
      <x:c r="AY73" s="12" t="n">
        <x:f>=BI73</x:f>
      </x:c>
      <x:c r="AZ73" s="12" t="n">
        <x:v>0.8109161793372319688109161793</x:v>
      </x:c>
      <x:c r="BA73" s="12" t="n">
        <x:v>-0.0175438596491228070175438596</x:v>
      </x:c>
      <x:c r="BB73" s="12" t="n">
        <x:v>0.2066276803118908382066276803</x:v>
      </x:c>
      <x:c r="BC73" s="12" t="n">
        <x:f>=BH73</x:f>
      </x:c>
      <x:c r="BD73" s="13" t="n">
        <x:f>=BQ73</x:f>
      </x:c>
      <x:c r="BE73" s="30" t="n">
        <x:v>5566.67</x:v>
      </x:c>
      <x:c r="BF73" s="30" t="n">
        <x:v>-4163.04437643952124004630</x:v>
      </x:c>
      <x:c r="BG73" s="30" t="n">
        <x:f>=BE73+BF73</x:f>
      </x:c>
      <x:c r="BH73" s="66" t="n">
        <x:f>=BG73/BE73</x:f>
      </x:c>
      <x:c r="BI73" s="66" t="n">
        <x:v>0.7933723196881091617933723197</x:v>
      </x:c>
      <x:c r="BJ73" s="30" t="n">
        <x:v>4250.123687051052824790</x:v>
      </x:c>
      <x:c r="BK73" s="41" t="n">
        <x:v>106</x:v>
      </x:c>
      <x:c r="BL73" s="30" t="n">
        <x:v>878.193198493979725980</x:v>
      </x:c>
      <x:c r="BN73" s="30" t="n">
        <x:v>6311.5674166811844541910331376</x:v>
      </x:c>
      <x:c r="BO73" s="30" t="n">
        <x:v>-4163.04437643952124004630</x:v>
      </x:c>
      <x:c r="BP73" s="30" t="n">
        <x:f>=BN73+BO73</x:f>
      </x:c>
      <x:c r="BQ73" s="66" t="n">
        <x:f>=BP73/BN73</x:f>
      </x:c>
      <x:c r="BS73" s="66" t="n">
        <x:f>=BT73+BU73</x:f>
      </x:c>
      <x:c r="BT73" s="66" t="n">
        <x:f>=BI73+(0.0142949967511371020142949967*4)</x:f>
      </x:c>
      <x:c r="BU73" s="66" t="n">
        <x:f>=(1-BT73)*0.5</x:f>
      </x:c>
      <x:c r="BV73" s="66" t="n">
        <x:f>=1-BS73</x:f>
      </x:c>
      <x:c r="BX73" s="66" t="n">
        <x:f>=BU73/(1-BT73)</x:f>
      </x:c>
    </x:row>
    <x:row r="74">
      <x:c r="A74" s="31" t="s">
        <x:v>232</x:v>
      </x:c>
      <x:c r="B74" t="s"/>
      <x:c r="C74" t="s">
        <x:v>233</x:v>
      </x:c>
      <x:c r="D74" t="s">
        <x:v>147</x:v>
      </x:c>
      <x:c r="E74" s="67" t="s">
        <x:v>154</x:v>
      </x:c>
      <x:c r="F74" t="n">
        <x:v>1901</x:v>
      </x:c>
      <x:c r="G74" s="32" t="n">
        <x:v>0.0015781167806417674907943188</x:v>
      </x:c>
      <x:c r="H74" s="32" t="n">
        <x:v>0.0015781167806417674907943188</x:v>
      </x:c>
      <x:c r="I74" s="32" t="n">
        <x:v>0.0042083114150447133087848501</x:v>
      </x:c>
      <x:c r="J74" s="32" t="n">
        <x:v>0.0320883745397159389794844819</x:v>
      </x:c>
      <x:c r="K74" s="32" t="n">
        <x:v>0.0357706470278800631246712257</x:v>
      </x:c>
      <x:c r="L74" s="32" t="n">
        <x:v>0.0341925302472382956338769069</x:v>
      </x:c>
      <x:c r="M74" s="32" t="n">
        <x:v>0.0352446081009994739610731194</x:v>
      </x:c>
      <x:c r="N74" s="32" t="n">
        <x:v>0.0557601262493424513413992635</x:v>
      </x:c>
      <x:c r="O74" s="32" t="n">
        <x:v>0.0846922672277748553392951078</x:v>
      </x:c>
      <x:c r="P74" s="32" t="n">
        <x:v>0.1367701209889531825355076276</x:v>
      </x:c>
      <x:c r="Q74" s="32" t="n">
        <x:v>0.1856917411888479747501315097</x:v>
      </x:c>
      <x:c r="R74" s="22" t="n">
        <x:v>0.2225144660704892162019989479</x:v>
      </x:c>
      <x:c r="AW74" s="33" t="s"/>
      <x:c r="AX74" s="11" t="s">
        <x:v>234</x:v>
      </x:c>
      <x:c r="AY74" s="12" t="n">
        <x:f>=BI74</x:f>
      </x:c>
      <x:c r="AZ74" s="12" t="n">
        <x:v>0.6975276170436612309310889006</x:v>
      </x:c>
      <x:c r="BA74" s="12" t="n">
        <x:v>-0.0005260389268805891635981063</x:v>
      </x:c>
      <x:c r="BB74" s="12" t="n">
        <x:v>0.3029984218832193582325092057</x:v>
      </x:c>
      <x:c r="BC74" s="12" t="n">
        <x:f>=BH74</x:f>
      </x:c>
      <x:c r="BD74" s="13" t="n">
        <x:f>=BQ74</x:f>
      </x:c>
      <x:c r="BE74" s="30" t="n">
        <x:v>14954.88</x:v>
      </x:c>
      <x:c r="BF74" s="30" t="n">
        <x:v>-14233.9276</x:v>
      </x:c>
      <x:c r="BG74" s="30" t="n">
        <x:f>=BE74+BF74</x:f>
      </x:c>
      <x:c r="BH74" s="66" t="n">
        <x:f>=BG74/BE74</x:f>
      </x:c>
      <x:c r="BI74" s="66" t="n">
        <x:v>0.6970015781167806417674907943</x:v>
      </x:c>
      <x:c r="BJ74" s="30" t="n">
        <x:v>13668.19</x:v>
      </x:c>
      <x:c r="BK74" s="41" t="n">
        <x:v>576</x:v>
      </x:c>
      <x:c r="BL74" s="30" t="n">
        <x:v>4141.44</x:v>
      </x:c>
      <x:c r="BN74" s="30" t="n">
        <x:v>21672.539757648812500000000000</x:v>
      </x:c>
      <x:c r="BO74" s="30" t="n">
        <x:v>-14233.9276</x:v>
      </x:c>
      <x:c r="BP74" s="30" t="n">
        <x:f>=BN74+BO74</x:f>
      </x:c>
      <x:c r="BQ74" s="66" t="n">
        <x:f>=BP74/BN74</x:f>
      </x:c>
      <x:c r="BS74" s="66" t="n">
        <x:f>=BT74+BU74</x:f>
      </x:c>
      <x:c r="BT74" s="66" t="n">
        <x:f>=BI74+(0*4)</x:f>
      </x:c>
      <x:c r="BU74" s="66" t="n">
        <x:f>=(1-BT74)*0.5</x:f>
      </x:c>
      <x:c r="BV74" s="66" t="n">
        <x:f>=1-BS74</x:f>
      </x:c>
      <x:c r="BX74" s="66" t="n">
        <x:f>=BU74/(1-BT74)</x:f>
      </x:c>
    </x:row>
    <x:row r="75">
      <x:c r="A75" s="31" t="s">
        <x:v>235</x:v>
      </x:c>
      <x:c r="B75" t="s"/>
      <x:c r="C75" t="s">
        <x:v>236</x:v>
      </x:c>
      <x:c r="D75" t="s">
        <x:v>147</x:v>
      </x:c>
      <x:c r="E75" s="67" t="s">
        <x:v>154</x:v>
      </x:c>
      <x:c r="F75" t="n">
        <x:v>2050</x:v>
      </x:c>
      <x:c r="G75" s="32" t="n">
        <x:v>0.000487804878048780487804878</x:v>
      </x:c>
      <x:c r="H75" s="32" t="n">
        <x:v>0.000487804878048780487804878</x:v>
      </x:c>
      <x:c r="I75" s="32" t="n">
        <x:v>0.0019512195121951219512195122</x:v>
      </x:c>
      <x:c r="J75" s="32" t="n">
        <x:v>0.0248780487804878048780487805</x:v>
      </x:c>
      <x:c r="K75" s="32" t="n">
        <x:v>0.0365853658536585365853658537</x:v>
      </x:c>
      <x:c r="L75" s="32" t="n">
        <x:v>0.0341463414634146341463414634</x:v>
      </x:c>
      <x:c r="M75" s="32" t="n">
        <x:v>0.0434146341463414634146341463</x:v>
      </x:c>
      <x:c r="N75" s="32" t="n">
        <x:v>0.0536585365853658536585365854</x:v>
      </x:c>
      <x:c r="O75" s="32" t="n">
        <x:v>0.1</x:v>
      </x:c>
      <x:c r="P75" s="32" t="n">
        <x:v>0.1468292682926829268292682927</x:v>
      </x:c>
      <x:c r="Q75" s="32" t="n">
        <x:v>0.1780487804878048780487804878</x:v>
      </x:c>
      <x:c r="R75" s="22" t="n">
        <x:v>0.2078048780487804878048780488</x:v>
      </x:c>
      <x:c r="AW75" s="33" t="s"/>
      <x:c r="AX75" s="11" t="s">
        <x:v>234</x:v>
      </x:c>
      <x:c r="AY75" s="12" t="n">
        <x:f>=BI75</x:f>
      </x:c>
      <x:c r="AZ75" s="12" t="n">
        <x:v>0.7282926829268292682926829268</x:v>
      </x:c>
      <x:c r="BA75" s="12" t="n">
        <x:v>0.0029268292682926829268292683</x:v>
      </x:c>
      <x:c r="BB75" s="12" t="n">
        <x:v>0.2687804878048780487804878049</x:v>
      </x:c>
      <x:c r="BC75" s="12" t="n">
        <x:f>=BH75</x:f>
      </x:c>
      <x:c r="BD75" s="13" t="n">
        <x:f>=BQ75</x:f>
      </x:c>
      <x:c r="BE75" s="30" t="n">
        <x:v>24740.00</x:v>
      </x:c>
      <x:c r="BF75" s="30" t="n">
        <x:v>-20864.0800</x:v>
      </x:c>
      <x:c r="BG75" s="30" t="n">
        <x:f>=BE75+BF75</x:f>
      </x:c>
      <x:c r="BH75" s="66" t="n">
        <x:f>=BG75/BE75</x:f>
      </x:c>
      <x:c r="BI75" s="66" t="n">
        <x:v>0.7312195121951219512195121951</x:v>
      </x:c>
      <x:c r="BJ75" s="30" t="n">
        <x:v>20254.00</x:v>
      </x:c>
      <x:c r="BK75" s="41" t="n">
        <x:v>551</x:v>
      </x:c>
      <x:c r="BL75" s="30" t="n">
        <x:v>5443.88</x:v>
      </x:c>
      <x:c r="BN75" s="30" t="n">
        <x:v>29801.053571657921875000000000</x:v>
      </x:c>
      <x:c r="BO75" s="30" t="n">
        <x:v>-20864.0800</x:v>
      </x:c>
      <x:c r="BP75" s="30" t="n">
        <x:f>=BN75+BO75</x:f>
      </x:c>
      <x:c r="BQ75" s="66" t="n">
        <x:f>=BP75/BN75</x:f>
      </x:c>
      <x:c r="BS75" s="66" t="n">
        <x:f>=BT75+BU75</x:f>
      </x:c>
      <x:c r="BT75" s="66" t="n">
        <x:f>=BI75+(0*4)</x:f>
      </x:c>
      <x:c r="BU75" s="66" t="n">
        <x:f>=(1-BT75)*0.5</x:f>
      </x:c>
      <x:c r="BV75" s="66" t="n">
        <x:f>=1-BS75</x:f>
      </x:c>
      <x:c r="BX75" s="66" t="n">
        <x:f>=BU75/(1-BT75)</x:f>
      </x:c>
    </x:row>
    <x:row r="76">
      <x:c r="A76" s="31" t="s">
        <x:v>237</x:v>
      </x:c>
      <x:c r="B76" t="s"/>
      <x:c r="C76" t="s">
        <x:v>238</x:v>
      </x:c>
      <x:c r="D76" t="s">
        <x:v>113</x:v>
      </x:c>
      <x:c r="E76" s="67" t="s">
        <x:v>154</x:v>
      </x:c>
      <x:c r="F76" t="n">
        <x:v>938</x:v>
      </x:c>
      <x:c r="G76" s="32" t="n">
        <x:v>0.0341151385927505330490405117</x:v>
      </x:c>
      <x:c r="H76" s="32" t="n">
        <x:v>0.1140724946695095948827292111</x:v>
      </x:c>
      <x:c r="I76" s="32" t="n">
        <x:v>0.1375266524520255863539445629</x:v>
      </x:c>
      <x:c r="J76" s="32" t="n">
        <x:v>0.2046908315565031982942430704</x:v>
      </x:c>
      <x:c r="K76" s="32" t="n">
        <x:v>0.2953091684434968017057569296</x:v>
      </x:c>
      <x:c r="L76" s="32" t="n">
        <x:v>0.3443496801705756929637526652</x:v>
      </x:c>
      <x:c r="M76" s="32" t="n">
        <x:v>0.368869936034115138592750533</x:v>
      </x:c>
      <x:c r="N76" s="32" t="n">
        <x:v>0.5597014925373134328358208955</x:v>
      </x:c>
      <x:c r="O76" s="23" t="n">
        <x:v>0.7835820895522388059701492537</x:v>
      </x:c>
      <x:c r="AW76" s="33" t="s"/>
      <x:c r="AX76" s="11" t="s">
        <x:v>223</x:v>
      </x:c>
      <x:c r="AY76" s="12" t="n">
        <x:f>=BI76</x:f>
      </x:c>
      <x:c r="AZ76" s="12" t="n">
        <x:v>0.9424307036247334754797441365</x:v>
      </x:c>
      <x:c r="BA76" s="12" t="n">
        <x:v>-0.001066098081023454157782516</x:v>
      </x:c>
      <x:c r="BB76" s="12" t="n">
        <x:v>0.0586353944562899786780383795</x:v>
      </x:c>
      <x:c r="BC76" s="12" t="n">
        <x:f>=BH76</x:f>
      </x:c>
      <x:c r="BD76" s="13" t="n">
        <x:f>=BQ76</x:f>
      </x:c>
      <x:c r="BE76" s="30" t="n">
        <x:v>15637.41</x:v>
      </x:c>
      <x:c r="BF76" s="30" t="n">
        <x:v>-9177.53899363153854742580</x:v>
      </x:c>
      <x:c r="BG76" s="30" t="n">
        <x:f>=BE76+BF76</x:f>
      </x:c>
      <x:c r="BH76" s="66" t="n">
        <x:f>=BG76/BE76</x:f>
      </x:c>
      <x:c r="BI76" s="66" t="n">
        <x:v>0.9413646055437100213219616205</x:v>
      </x:c>
      <x:c r="BJ76" s="30" t="n">
        <x:v>9357.136694465503657140</x:v>
      </x:c>
      <x:c r="BK76" s="41" t="n">
        <x:v>55</x:v>
      </x:c>
      <x:c r="BL76" s="30" t="n">
        <x:v>548.659401061410129150</x:v>
      </x:c>
      <x:c r="BN76" s="30" t="n">
        <x:v>20760.063268397875000000000000</x:v>
      </x:c>
      <x:c r="BO76" s="30" t="n">
        <x:v>-9177.53899363153854742580</x:v>
      </x:c>
      <x:c r="BP76" s="30" t="n">
        <x:f>=BN76+BO76</x:f>
      </x:c>
      <x:c r="BQ76" s="66" t="n">
        <x:f>=BP76/BN76</x:f>
      </x:c>
      <x:c r="BS76" s="66" t="n">
        <x:f>=BT76+BU76</x:f>
      </x:c>
      <x:c r="BT76" s="66" t="n">
        <x:f>=BI76+(0*4)</x:f>
      </x:c>
      <x:c r="BU76" s="66" t="n">
        <x:f>=(1-BT76)*0.5</x:f>
      </x:c>
      <x:c r="BV76" s="66" t="n">
        <x:f>=1-BS76</x:f>
      </x:c>
      <x:c r="BX76" s="66" t="n">
        <x:f>=BU76/(1-BT76)</x:f>
      </x:c>
    </x:row>
    <x:row r="77">
      <x:c r="A77" s="31" t="s"/>
      <x:c r="AW77" s="33" t="s"/>
      <x:c r="AX77" s="11" t="s"/>
      <x:c r="BD77" s="13" t="s"/>
    </x:row>
    <x:row r="78">
      <x:c r="A78" s="17" t="s">
        <x:v>196</x:v>
      </x:c>
      <x:c r="AW78" s="33" t="s"/>
      <x:c r="AX78" s="11" t="s"/>
      <x:c r="BD78" s="13" t="s"/>
    </x:row>
    <x:row r="79">
      <x:c r="A79" s="31" t="s">
        <x:v>239</x:v>
      </x:c>
      <x:c r="B79" t="s"/>
      <x:c r="C79" t="s">
        <x:v>240</x:v>
      </x:c>
      <x:c r="D79" t="s">
        <x:v>147</x:v>
      </x:c>
      <x:c r="E79" s="67" t="s">
        <x:v>154</x:v>
      </x:c>
      <x:c r="F79" t="n">
        <x:v>2642</x:v>
      </x:c>
      <x:c r="G79" s="32" t="n">
        <x:v>0.0007570022710068130204390613</x:v>
      </x:c>
      <x:c r="H79" s="32" t="n">
        <x:v>0.001135503406510219530658592</x:v>
      </x:c>
      <x:c r="I79" s="32" t="n">
        <x:v>0.0052990158970476911430734292</x:v>
      </x:c>
      <x:c r="J79" s="32" t="n">
        <x:v>0.015518546555639666919000757</x:v>
      </x:c>
      <x:c r="K79" s="32" t="n">
        <x:v>0.0238455715367146101438304315</x:v>
      </x:c>
      <x:c r="L79" s="32" t="n">
        <x:v>0.0367146101438304314912944739</x:v>
      </x:c>
      <x:c r="M79" s="32" t="n">
        <x:v>0.0389856169568508705526116578</x:v>
      </x:c>
      <x:c r="N79" s="32" t="n">
        <x:v>0.0404996214988644965934897805</x:v>
      </x:c>
      <x:c r="O79" s="32" t="n">
        <x:v>0.0427706283118849356548069644</x:v>
      </x:c>
      <x:c r="P79" s="32" t="n">
        <x:v>0.0431491294473883421650264951</x:v>
      </x:c>
      <x:c r="Q79" s="32" t="n">
        <x:v>0.0431491294473883421650264951</x:v>
      </x:c>
      <x:c r="R79" s="32" t="n">
        <x:v>0.0461771385314155942467827403</x:v>
      </x:c>
      <x:c r="S79" s="32" t="n">
        <x:v>0.0484481453444360333080999243</x:v>
      </x:c>
      <x:c r="T79" s="32" t="n">
        <x:v>0.0499621498864496593489780469</x:v>
      </x:c>
      <x:c r="U79" s="32" t="n">
        <x:v>0.0541256623769871309613928842</x:v>
      </x:c>
      <x:c r="V79" s="32" t="n">
        <x:v>0.0575321725965177895533686601</x:v>
      </x:c>
      <x:c r="W79" s="32" t="n">
        <x:v>0.0582891748675246025738077214</x:v>
      </x:c>
      <x:c r="X79" s="32" t="n">
        <x:v>0.0601816805450416351249053747</x:v>
      </x:c>
      <x:c r="Y79" s="32" t="n">
        <x:v>0.0624526873580620741862225587</x:v>
      </x:c>
      <x:c r="Z79" s="32" t="n">
        <x:v>0.060938682816048448145344436</x:v>
      </x:c>
      <x:c r="AA79" s="32" t="n">
        <x:v>0.0624526873580620741862225587</x:v>
      </x:c>
      <x:c r="AB79" s="32" t="n">
        <x:v>0.062074186222558667676003028</x:v>
      </x:c>
      <x:c r="AC79" s="32" t="n">
        <x:v>0.06320968962906888720666162</x:v>
      </x:c>
      <x:c r="AD79" s="32" t="n">
        <x:v>0.0635881907645722937168811506</x:v>
      </x:c>
      <x:c r="AE79" s="32" t="n">
        <x:v>0.0669947009841029523088569266</x:v>
      </x:c>
      <x:c r="AF79" s="32" t="n">
        <x:v>0.0688872066616199848599545799</x:v>
      </x:c>
      <x:c r="AG79" s="32" t="n">
        <x:v>0.0730507191521574564723694171</x:v>
      </x:c>
      <x:c r="AH79" s="32" t="n">
        <x:v>0.077592732778198334595003785</x:v>
      </x:c>
      <x:c r="AI79" s="32" t="n">
        <x:v>0.0862982588947766843300529902</x:v>
      </x:c>
      <x:c r="AJ79" s="32" t="n">
        <x:v>0.0874337623012869038607115821</x:v>
      </x:c>
      <x:c r="AK79" s="32" t="n">
        <x:v>0.0908402725208175624526873581</x:v>
      </x:c>
      <x:c r="AW79" s="33" t="s"/>
      <x:c r="AX79" s="11" t="s">
        <x:v>241</x:v>
      </x:c>
      <x:c r="AY79" s="12" t="n">
        <x:f>=BI79</x:f>
      </x:c>
      <x:c r="AZ79" s="12" t="n">
        <x:v>0.0912187736563209689629068887</x:v>
      </x:c>
      <x:c r="BA79" s="12" t="n">
        <x:v>-0.0003785011355034065102195307</x:v>
      </x:c>
      <x:c r="BB79" s="12" t="n">
        <x:v>0.9091597274791824375473126419</x:v>
      </x:c>
      <x:c r="BC79" s="12" t="n">
        <x:f>=BH79</x:f>
      </x:c>
      <x:c r="BD79" s="13" t="n">
        <x:f>=BQ79</x:f>
      </x:c>
      <x:c r="BE79" s="30" t="n">
        <x:v>3220.74</x:v>
      </x:c>
      <x:c r="BF79" s="30" t="n">
        <x:v>-22831.1072</x:v>
      </x:c>
      <x:c r="BG79" s="30" t="n">
        <x:f>=BE79+BF79</x:f>
      </x:c>
      <x:c r="BH79" s="66" t="n">
        <x:f>=BG79/BE79</x:f>
      </x:c>
      <x:c r="BI79" s="66" t="n">
        <x:v>0.0908402725208175624526873581</x:v>
      </x:c>
      <x:c r="BJ79" s="30" t="n">
        <x:v>19682.90</x:v>
      </x:c>
      <x:c r="BK79" s="41" t="n">
        <x:v>2402</x:v>
      </x:c>
      <x:c r="BL79" s="30" t="n">
        <x:v>17894.90</x:v>
      </x:c>
      <x:c r="BN79" s="30" t="n">
        <x:v>13312.098357463500070968962905</x:v>
      </x:c>
      <x:c r="BO79" s="30" t="n">
        <x:v>-22831.1072</x:v>
      </x:c>
      <x:c r="BP79" s="30" t="n">
        <x:f>=BN79+BO79</x:f>
      </x:c>
      <x:c r="BQ79" s="66" t="n">
        <x:f>=BP79/BN79</x:f>
      </x:c>
      <x:c r="BS79" s="66" t="n">
        <x:f>=BT79+BU79</x:f>
      </x:c>
      <x:c r="BT79" s="66" t="n">
        <x:f>=BI79+(0.0045420136260408781226343679*4)</x:f>
      </x:c>
      <x:c r="BU79" s="66" t="n">
        <x:f>=(1-BT79)*0.5</x:f>
      </x:c>
      <x:c r="BV79" s="66" t="n">
        <x:f>=1-BS79</x:f>
      </x:c>
      <x:c r="BX79" s="66" t="n">
        <x:f>=BU79/(1-BT79)</x:f>
      </x:c>
    </x:row>
    <x:row r="80">
      <x:c r="A80" s="31" t="s">
        <x:v>242</x:v>
      </x:c>
      <x:c r="B80" t="s">
        <x:v>129</x:v>
      </x:c>
      <x:c r="C80" s="9" t="s">
        <x:v>243</x:v>
      </x:c>
      <x:c r="D80" t="s">
        <x:v>113</x:v>
      </x:c>
      <x:c r="E80" s="67" t="s">
        <x:v>154</x:v>
      </x:c>
      <x:c r="F80" t="n">
        <x:v>500</x:v>
      </x:c>
      <x:c r="G80" s="32" t="n">
        <x:v>0.042</x:v>
      </x:c>
      <x:c r="H80" s="32" t="n">
        <x:v>0.054</x:v>
      </x:c>
      <x:c r="I80" s="32" t="n">
        <x:v>0.058</x:v>
      </x:c>
      <x:c r="J80" s="32" t="n">
        <x:v>0.058</x:v>
      </x:c>
      <x:c r="K80" s="32" t="n">
        <x:v>0.074</x:v>
      </x:c>
      <x:c r="L80" s="32" t="n">
        <x:v>0.1</x:v>
      </x:c>
      <x:c r="M80" s="32" t="n">
        <x:v>0.156</x:v>
      </x:c>
      <x:c r="N80" s="32" t="n">
        <x:v>0.192</x:v>
      </x:c>
      <x:c r="O80" s="32" t="n">
        <x:v>0.226</x:v>
      </x:c>
      <x:c r="P80" s="32" t="n">
        <x:v>0.268</x:v>
      </x:c>
      <x:c r="Q80" s="32" t="n">
        <x:v>0.28</x:v>
      </x:c>
      <x:c r="R80" s="32" t="n">
        <x:v>0.314</x:v>
      </x:c>
      <x:c r="S80" s="32" t="n">
        <x:v>0.39</x:v>
      </x:c>
      <x:c r="T80" s="32" t="n">
        <x:v>0.408</x:v>
      </x:c>
      <x:c r="U80" s="32" t="n">
        <x:v>0.428</x:v>
      </x:c>
      <x:c r="V80" s="32" t="n">
        <x:v>0.432</x:v>
      </x:c>
      <x:c r="W80" s="32" t="n">
        <x:v>0.406</x:v>
      </x:c>
      <x:c r="X80" s="32" t="n">
        <x:v>0.414</x:v>
      </x:c>
      <x:c r="Y80" s="32" t="n">
        <x:v>0.392</x:v>
      </x:c>
      <x:c r="Z80" s="32" t="n">
        <x:v>0.378</x:v>
      </x:c>
      <x:c r="AA80" s="32" t="n">
        <x:v>0.408</x:v>
      </x:c>
      <x:c r="AB80" s="32" t="n">
        <x:v>0.458</x:v>
      </x:c>
      <x:c r="AC80" s="32" t="n">
        <x:v>0.478</x:v>
      </x:c>
      <x:c r="AD80" s="32" t="n">
        <x:v>0.492</x:v>
      </x:c>
      <x:c r="AW80" s="33" t="s"/>
      <x:c r="AX80" s="11" t="s">
        <x:v>176</x:v>
      </x:c>
      <x:c r="AY80" s="12" t="n">
        <x:f>=BI80</x:f>
      </x:c>
      <x:c r="AZ80" s="12" t="n">
        <x:v>0.51</x:v>
      </x:c>
      <x:c r="BA80" s="12" t="n">
        <x:v>-0.018</x:v>
      </x:c>
      <x:c r="BB80" s="12" t="n">
        <x:v>0.508</x:v>
      </x:c>
      <x:c r="BC80" s="12" t="n">
        <x:f>=BH80</x:f>
      </x:c>
      <x:c r="BD80" s="13" t="n">
        <x:f>=BQ80</x:f>
      </x:c>
      <x:c r="BE80" s="30" t="n">
        <x:v>4871.76</x:v>
      </x:c>
      <x:c r="BF80" s="30" t="n">
        <x:v>-5458.14951555492703670000</x:v>
      </x:c>
      <x:c r="BG80" s="30" t="n">
        <x:f>=BE80+BF80</x:f>
      </x:c>
      <x:c r="BH80" s="66" t="n">
        <x:f>=BG80/BE80</x:f>
      </x:c>
      <x:c r="BI80" s="66" t="n">
        <x:v>0.492</x:v>
      </x:c>
      <x:c r="BJ80" s="30" t="n">
        <x:v>5579.587129438069110000</x:v>
      </x:c>
      <x:c r="BK80" s="41" t="n">
        <x:v>254</x:v>
      </x:c>
      <x:c r="BL80" s="30" t="n">
        <x:v>2834.430261754539107880</x:v>
      </x:c>
      <x:c r="BN80" s="30" t="n">
        <x:v>7222.2141024915625000000000000</x:v>
      </x:c>
      <x:c r="BO80" s="30" t="n">
        <x:v>-5458.14951555492703670000</x:v>
      </x:c>
      <x:c r="BP80" s="30" t="n">
        <x:f>=BN80+BO80</x:f>
      </x:c>
      <x:c r="BQ80" s="66" t="n">
        <x:f>=BP80/BN80</x:f>
      </x:c>
      <x:c r="BS80" s="66" t="n">
        <x:f>=BT80+BU80</x:f>
      </x:c>
      <x:c r="BT80" s="66" t="n">
        <x:f>=BI80+(0.030*4)</x:f>
      </x:c>
      <x:c r="BU80" s="66" t="n">
        <x:f>=(1-BT80)*0.5</x:f>
      </x:c>
      <x:c r="BV80" s="66" t="n">
        <x:f>=1-BS80</x:f>
      </x:c>
      <x:c r="BX80" s="66" t="n">
        <x:f>=BU80/(1-BT80)</x:f>
      </x:c>
    </x:row>
    <x:row r="81">
      <x:c r="A81" s="31" t="s">
        <x:v>244</x:v>
      </x:c>
      <x:c r="B81" t="s"/>
      <x:c r="C81" t="s">
        <x:v>245</x:v>
      </x:c>
      <x:c r="D81" t="s">
        <x:v>102</x:v>
      </x:c>
      <x:c r="E81" s="67" t="s">
        <x:v>154</x:v>
      </x:c>
      <x:c r="F81" t="n">
        <x:v>2158</x:v>
      </x:c>
      <x:c r="G81" s="32" t="n">
        <x:v>0.0180722891566265060240963855</x:v>
      </x:c>
      <x:c r="H81" s="32" t="n">
        <x:v>0.1010194624652455977757182576</x:v>
      </x:c>
      <x:c r="I81" s="32" t="n">
        <x:v>0.1649675625579240037071362373</x:v>
      </x:c>
      <x:c r="J81" s="32" t="n">
        <x:v>0.1756255792400370713623725672</x:v>
      </x:c>
      <x:c r="K81" s="32" t="n">
        <x:v>0.1821130676552363299351251158</x:v>
      </x:c>
      <x:c r="L81" s="32" t="n">
        <x:v>0.2275254865616311399443929564</x:v>
      </x:c>
      <x:c r="M81" s="32" t="n">
        <x:v>0.28266913809082483781278962</x:v>
      </x:c>
      <x:c r="N81" s="32" t="n">
        <x:v>0.3507877664504170528266913809</x:v>
      </x:c>
      <x:c r="O81" s="32" t="n">
        <x:v>0.4036144578313253012048192771</x:v>
      </x:c>
      <x:c r="P81" s="32" t="n">
        <x:v>0.4040778498609823911028730306</x:v>
      </x:c>
      <x:c r="Q81" s="32" t="n">
        <x:v>0.3989805375347544022242817424</x:v>
      </x:c>
      <x:c r="R81" s="32" t="n">
        <x:v>0.3975903614457831325301204819</x:v>
      </x:c>
      <x:c r="S81" s="32" t="n">
        <x:v>0.4119555143651529193697868397</x:v>
      </x:c>
      <x:c r="T81" s="32" t="n">
        <x:v>0.4286376274328081556997219648</x:v>
      </x:c>
      <x:c r="U81" s="32" t="n">
        <x:v>0.4448563484708063021316033364</x:v>
      </x:c>
      <x:c r="V81" s="32" t="n">
        <x:v>0.4545875810936051899907321594</x:v>
      </x:c>
      <x:c r="W81" s="32" t="n">
        <x:v>0.4518072289156626506024096386</x:v>
      </x:c>
      <x:c r="X81" s="32" t="n">
        <x:v>0.4666357738646895273401297498</x:v>
      </x:c>
      <x:c r="AW81" s="33" t="s"/>
      <x:c r="AX81" s="11" t="s">
        <x:v>190</x:v>
      </x:c>
      <x:c r="AY81" s="12" t="n">
        <x:f>=BI81</x:f>
      </x:c>
      <x:c r="AZ81" s="12" t="n">
        <x:v>0.5074142724745134383688600556</x:v>
      </x:c>
      <x:c r="BA81" s="12" t="n">
        <x:v>0.0037071362372567191844300278</x:v>
      </x:c>
      <x:c r="BB81" s="12" t="n">
        <x:v>0.4888785912882298424467099166</x:v>
      </x:c>
      <x:c r="BC81" s="12" t="n">
        <x:f>=BH81</x:f>
      </x:c>
      <x:c r="BD81" s="13" t="n">
        <x:f>=BQ81</x:f>
      </x:c>
      <x:c r="BE81" s="30" t="n">
        <x:v>17899.50</x:v>
      </x:c>
      <x:c r="BF81" s="30" t="n">
        <x:v>-20942.3110</x:v>
      </x:c>
      <x:c r="BG81" s="30" t="n">
        <x:f>=BE81+BF81</x:f>
      </x:c>
      <x:c r="BH81" s="66" t="n">
        <x:f>=BG81/BE81</x:f>
      </x:c>
      <x:c r="BI81" s="66" t="n">
        <x:v>0.5111214087117701575532900834</x:v>
      </x:c>
      <x:c r="BJ81" s="30" t="n">
        <x:v>20803.12</x:v>
      </x:c>
      <x:c r="BK81" s="41" t="n">
        <x:v>1055</x:v>
      </x:c>
      <x:c r="BL81" s="30" t="n">
        <x:v>10170.20</x:v>
      </x:c>
      <x:c r="BN81" s="30" t="n">
        <x:v>28991.621663818000000000000000</x:v>
      </x:c>
      <x:c r="BO81" s="30" t="n">
        <x:v>-20942.3110</x:v>
      </x:c>
      <x:c r="BP81" s="30" t="n">
        <x:f>=BN81+BO81</x:f>
      </x:c>
      <x:c r="BQ81" s="66" t="n">
        <x:f>=BP81/BN81</x:f>
      </x:c>
      <x:c r="BS81" s="66" t="n">
        <x:f>=BT81+BU81</x:f>
      </x:c>
      <x:c r="BT81" s="66" t="n">
        <x:f>=BI81+(0*4)</x:f>
      </x:c>
      <x:c r="BU81" s="66" t="n">
        <x:f>=(1-BT81)*0.5</x:f>
      </x:c>
      <x:c r="BV81" s="66" t="n">
        <x:f>=1-BS81</x:f>
      </x:c>
      <x:c r="BX81" s="66" t="n">
        <x:f>=BU81/(1-BT81)</x:f>
      </x:c>
    </x:row>
    <x:row r="82">
      <x:c r="A82" s="31" t="s">
        <x:v>246</x:v>
      </x:c>
      <x:c r="B82" t="s"/>
      <x:c r="C82" t="s">
        <x:v>247</x:v>
      </x:c>
      <x:c r="D82" t="s">
        <x:v>147</x:v>
      </x:c>
      <x:c r="E82" s="67" t="s">
        <x:v>154</x:v>
      </x:c>
      <x:c r="F82" t="n">
        <x:v>5010</x:v>
      </x:c>
      <x:c r="G82" s="32" t="n">
        <x:v>0.0007984031936127744510978044</x:v>
      </x:c>
      <x:c r="H82" s="32" t="n">
        <x:v>0.0059880239520958083832335329</x:v>
      </x:c>
      <x:c r="I82" s="32" t="n">
        <x:v>0.0606786427145708582834331337</x:v>
      </x:c>
      <x:c r="J82" s="32" t="n">
        <x:v>0.1273453093812375249500998004</x:v>
      </x:c>
      <x:c r="K82" s="32" t="n">
        <x:v>0.1910179640718562874251497006</x:v>
      </x:c>
      <x:c r="L82" s="32" t="n">
        <x:v>0.2443113772455089820359281437</x:v>
      </x:c>
      <x:c r="M82" s="32" t="n">
        <x:v>0.3027944111776447105788423154</x:v>
      </x:c>
      <x:c r="N82" s="22" t="n">
        <x:v>0.3397205588822355289421157685</x:v>
      </x:c>
      <x:c r="AW82" s="33" t="s"/>
      <x:c r="AX82" s="11" t="s">
        <x:v>248</x:v>
      </x:c>
      <x:c r="AY82" s="12" t="n">
        <x:f>=BI82</x:f>
      </x:c>
      <x:c r="AZ82" s="12" t="n">
        <x:v>0.5506986027944111776447105788</x:v>
      </x:c>
      <x:c r="BA82" s="12" t="n">
        <x:v>0.0003992015968063872255489022</x:v>
      </x:c>
      <x:c r="BB82" s="12" t="n">
        <x:v>0.448902195608782435129740519</x:v>
      </x:c>
      <x:c r="BC82" s="12" t="n">
        <x:f>=BH82</x:f>
      </x:c>
      <x:c r="BD82" s="13" t="n">
        <x:f>=BQ82</x:f>
      </x:c>
      <x:c r="BE82" s="30" t="n">
        <x:v>42227.92</x:v>
      </x:c>
      <x:c r="BF82" s="30" t="n">
        <x:v>-44677.1760</x:v>
      </x:c>
      <x:c r="BG82" s="30" t="n">
        <x:f>=BE82+BF82</x:f>
      </x:c>
      <x:c r="BH82" s="66" t="n">
        <x:f>=BG82/BE82</x:f>
      </x:c>
      <x:c r="BI82" s="66" t="n">
        <x:v>0.551097804391217564870259481</x:v>
      </x:c>
      <x:c r="BJ82" s="30" t="n">
        <x:v>43186.20</x:v>
      </x:c>
      <x:c r="BK82" s="41" t="n">
        <x:v>2249</x:v>
      </x:c>
      <x:c r="BL82" s="30" t="n">
        <x:v>19386.38</x:v>
      </x:c>
      <x:c r="BN82" s="30" t="n">
        <x:v>64760.3983798712500000000</x:v>
      </x:c>
      <x:c r="BO82" s="30" t="n">
        <x:v>-44677.1760</x:v>
      </x:c>
      <x:c r="BP82" s="30" t="n">
        <x:f>=BN82+BO82</x:f>
      </x:c>
      <x:c r="BQ82" s="66" t="n">
        <x:f>=BP82/BN82</x:f>
      </x:c>
      <x:c r="BS82" s="66" t="n">
        <x:f>=BT82+BU82</x:f>
      </x:c>
      <x:c r="BT82" s="66" t="n">
        <x:f>=BI82+(0*4)</x:f>
      </x:c>
      <x:c r="BU82" s="66" t="n">
        <x:f>=(1-BT82)*0.5</x:f>
      </x:c>
      <x:c r="BV82" s="66" t="n">
        <x:f>=1-BS82</x:f>
      </x:c>
      <x:c r="BX82" s="66" t="n">
        <x:f>=BU82/(1-BT82)</x:f>
      </x:c>
    </x:row>
    <x:row r="83">
      <x:c r="A83" s="31" t="s">
        <x:v>249</x:v>
      </x:c>
      <x:c r="B83" t="s"/>
      <x:c r="C83" t="s">
        <x:v>250</x:v>
      </x:c>
      <x:c r="D83" t="s">
        <x:v>147</x:v>
      </x:c>
      <x:c r="E83" s="67" t="s">
        <x:v>154</x:v>
      </x:c>
      <x:c r="F83" t="n">
        <x:v>2680</x:v>
      </x:c>
      <x:c r="G83" s="32" t="n">
        <x:v>0.019402985074626865671641791</x:v>
      </x:c>
      <x:c r="H83" s="32" t="n">
        <x:v>0.0794776119402985074626865672</x:v>
      </x:c>
      <x:c r="I83" s="32" t="n">
        <x:v>0.1451492537313432835820895522</x:v>
      </x:c>
      <x:c r="J83" s="22" t="n">
        <x:v>0.2123134328358208955223880597</x:v>
      </x:c>
      <x:c r="AW83" s="33" t="s"/>
      <x:c r="AX83" s="11" t="s">
        <x:v>226</x:v>
      </x:c>
      <x:c r="AY83" s="12" t="n">
        <x:f>=BI83</x:f>
      </x:c>
      <x:c r="AZ83" s="12" t="n">
        <x:v>0.5723880597014925373134328358</x:v>
      </x:c>
      <x:c r="BA83" s="12" t="n">
        <x:v>0.0044776119402985074626865672</x:v>
      </x:c>
      <x:c r="BB83" s="12" t="n">
        <x:v>0.423134328358208955223880597</x:v>
      </x:c>
      <x:c r="BC83" s="12" t="n">
        <x:f>=BH83</x:f>
      </x:c>
      <x:c r="BD83" s="13" t="n">
        <x:f>=BQ83</x:f>
      </x:c>
      <x:c r="BE83" s="30" t="n">
        <x:v>21197.39</x:v>
      </x:c>
      <x:c r="BF83" s="30" t="n">
        <x:v>-24570.2400</x:v>
      </x:c>
      <x:c r="BG83" s="30" t="n">
        <x:f>=BE83+BF83</x:f>
      </x:c>
      <x:c r="BH83" s="66" t="n">
        <x:f>=BG83/BE83</x:f>
      </x:c>
      <x:c r="BI83" s="66" t="n">
        <x:v>0.576865671641791044776119403</x:v>
      </x:c>
      <x:c r="BJ83" s="30" t="n">
        <x:v>21225.60</x:v>
      </x:c>
      <x:c r="BK83" s="41" t="n">
        <x:v>1134</x:v>
      </x:c>
      <x:c r="BL83" s="30" t="n">
        <x:v>8981.28</x:v>
      </x:c>
      <x:c r="BN83" s="30" t="n">
        <x:v>32389.741678852500000000000000</x:v>
      </x:c>
      <x:c r="BO83" s="30" t="n">
        <x:v>-24570.2400</x:v>
      </x:c>
      <x:c r="BP83" s="30" t="n">
        <x:f>=BN83+BO83</x:f>
      </x:c>
      <x:c r="BQ83" s="66" t="n">
        <x:f>=BP83/BN83</x:f>
      </x:c>
      <x:c r="BS83" s="66" t="n">
        <x:f>=BT83+BU83</x:f>
      </x:c>
      <x:c r="BT83" s="66" t="n">
        <x:f>=BI83+(0*4)</x:f>
      </x:c>
      <x:c r="BU83" s="66" t="n">
        <x:f>=(1-BT83)*0.5</x:f>
      </x:c>
      <x:c r="BV83" s="66" t="n">
        <x:f>=1-BS83</x:f>
      </x:c>
      <x:c r="BX83" s="66" t="n">
        <x:f>=BU83/(1-BT83)</x:f>
      </x:c>
    </x:row>
    <x:row r="84">
      <x:c r="A84" s="34" t="s"/>
      <x:c r="B84" s="6" t="s"/>
      <x:c r="C84" s="6" t="s"/>
      <x:c r="D84" s="6" t="s"/>
      <x:c r="E84" s="6" t="s"/>
      <x:c r="F84" s="6" t="s"/>
      <x:c r="G84" s="6" t="s"/>
      <x:c r="H84" s="6" t="s"/>
      <x:c r="I84" s="6" t="s"/>
      <x:c r="J84" s="6" t="s"/>
      <x:c r="K84" s="6" t="s"/>
      <x:c r="L84" s="6" t="s"/>
      <x:c r="M84" s="6" t="s"/>
      <x:c r="N84" s="6" t="s"/>
      <x:c r="O84" s="6" t="s"/>
      <x:c r="P84" s="6" t="s"/>
      <x:c r="Q84" s="6" t="s"/>
      <x:c r="R84" s="6" t="s"/>
      <x:c r="S84" s="6" t="s"/>
      <x:c r="T84" s="6" t="s"/>
      <x:c r="U84" s="6" t="s"/>
      <x:c r="V84" s="6" t="s"/>
      <x:c r="W84" s="6" t="s"/>
      <x:c r="X84" s="6" t="s"/>
      <x:c r="Y84" s="6" t="s"/>
      <x:c r="Z84" s="6" t="s"/>
      <x:c r="AA84" s="6" t="s"/>
      <x:c r="AB84" s="6" t="s"/>
      <x:c r="AC84" s="6" t="s"/>
      <x:c r="AD84" s="6" t="s"/>
      <x:c r="AE84" s="6" t="s"/>
      <x:c r="AF84" s="6" t="s"/>
      <x:c r="AG84" s="6" t="s"/>
      <x:c r="AH84" s="6" t="s"/>
      <x:c r="AI84" s="6" t="s"/>
      <x:c r="AJ84" s="6" t="s"/>
      <x:c r="AK84" s="6" t="s"/>
      <x:c r="AL84" s="6" t="s"/>
      <x:c r="AM84" s="6" t="s"/>
      <x:c r="AN84" s="6" t="s"/>
      <x:c r="AO84" s="6" t="s"/>
      <x:c r="AP84" s="6" t="s"/>
      <x:c r="AQ84" s="6" t="s"/>
      <x:c r="AR84" s="6" t="s"/>
      <x:c r="AS84" s="6" t="s"/>
      <x:c r="AT84" s="6" t="s"/>
      <x:c r="AU84" s="6" t="s"/>
      <x:c r="AV84" s="6" t="s"/>
      <x:c r="AW84" s="8" t="s"/>
      <x:c r="AX84" s="14" t="s">
        <x:v>36</x:v>
      </x:c>
      <x:c r="AY84" s="15" t="s"/>
      <x:c r="AZ84" s="15" t="s"/>
      <x:c r="BA84" s="15" t="s"/>
      <x:c r="BB84" s="15" t="s"/>
      <x:c r="BC84" s="37">
        <x:f>=BG85/BE85</x:f>
      </x:c>
      <x:c r="BD84" s="16">
        <x:f>=BQ85</x:f>
      </x:c>
      <x:c r="BE84" s="20" t="n">
        <x:v>180403.61</x:v>
      </x:c>
      <x:c r="BF84" s="20" t="n">
        <x:v>-193559.64067029638682417210</x:v>
      </x:c>
      <x:c r="BG84" s="20" t="n">
        <x:f>=BE84+BF84</x:f>
      </x:c>
      <x:c r="BH84" s="21" t="n">
        <x:v>-0.0729255399617357259323807323</x:v>
      </x:c>
      <x:c r="BJ84" s="20" t="n">
        <x:v>-184795.204299274625591930</x:v>
      </x:c>
      <x:c r="BK84" s="20" t="n">
        <x:v>9395</x:v>
      </x:c>
      <x:c r="BL84" s="20" t="n">
        <x:v>82926.58312914048086722307747</x:v>
      </x:c>
      <x:c r="BN84" s="20" t="n">
        <x:v>270836.58052607360640015999604</x:v>
      </x:c>
      <x:c r="BO84" s="20" t="n">
        <x:v>-193559.64067029638682417210</x:v>
      </x:c>
      <x:c r="BP84" s="20" t="n">
        <x:f>=BN84+BO84</x:f>
      </x:c>
      <x:c r="BQ84" s="21" t="n">
        <x:v>0.2853268185031516465144811991</x:v>
      </x:c>
    </x:row>
    <x:row r="85">
      <x:c r="BE85" s="18" t="n">
        <x:v>396148.68</x:v>
      </x:c>
      <x:c r="BF85" s="18" t="n">
        <x:v>-410323.88089029638682417210</x:v>
      </x:c>
      <x:c r="BG85" s="18" t="n">
        <x:f>=BE85+BF85</x:f>
      </x:c>
      <x:c r="BH85" s="19" t="n">
        <x:v>-0.0357825271317233388842090803</x:v>
      </x:c>
      <x:c r="BJ85" s="18" t="n">
        <x:v>-386025.304299274625591930</x:v>
      </x:c>
      <x:c r="BK85" s="18" t="n">
        <x:v>21257</x:v>
      </x:c>
      <x:c r="BL85" s="18" t="n">
        <x:v>391944.01478265574685745395539</x:v>
      </x:c>
      <x:c r="BN85" s="18" t="n">
        <x:v>591521.42385203724415015999604</x:v>
      </x:c>
      <x:c r="BO85" s="18" t="n">
        <x:v>-410323.88089029638682417210</x:v>
      </x:c>
      <x:c r="BP85" s="18" t="n">
        <x:f>=BN85+BO85</x:f>
      </x:c>
      <x:c r="BQ85" s="19" t="n">
        <x:v>0.3063245651894858235530758819</x:v>
      </x:c>
    </x:row>
    <x:row r="86">
      <x:c r="A86" s="10" t="s">
        <x:v>251</x:v>
      </x:c>
      <x:c r="B86" s="5" t="s"/>
      <x:c r="C86" s="5" t="s"/>
      <x:c r="D86" s="5" t="s"/>
      <x:c r="E86" s="5" t="s"/>
      <x:c r="F86" s="5" t="s"/>
      <x:c r="G86" s="5" t="s"/>
      <x:c r="H86" s="5" t="s"/>
      <x:c r="I86" s="5" t="s"/>
      <x:c r="J86" s="5" t="s"/>
      <x:c r="K86" s="5" t="s"/>
      <x:c r="L86" s="5" t="s"/>
      <x:c r="M86" s="5" t="s"/>
      <x:c r="N86" s="5" t="s"/>
      <x:c r="O86" s="5" t="s"/>
      <x:c r="P86" s="5" t="s"/>
      <x:c r="Q86" s="5" t="s"/>
      <x:c r="R86" s="5" t="s"/>
      <x:c r="S86" s="5" t="s"/>
      <x:c r="T86" s="5" t="s"/>
      <x:c r="U86" s="5" t="s"/>
      <x:c r="V86" s="5" t="s"/>
      <x:c r="W86" s="5" t="s"/>
      <x:c r="X86" s="5" t="s"/>
      <x:c r="Y86" s="5" t="s"/>
      <x:c r="Z86" s="5" t="s"/>
      <x:c r="AA86" s="5" t="s"/>
      <x:c r="AB86" s="5" t="s"/>
      <x:c r="AC86" s="5" t="s"/>
      <x:c r="AD86" s="5" t="s"/>
      <x:c r="AE86" s="5" t="s"/>
      <x:c r="AF86" s="5" t="s"/>
      <x:c r="AG86" s="5" t="s"/>
      <x:c r="AH86" s="5" t="s"/>
      <x:c r="AI86" s="5" t="s"/>
      <x:c r="AJ86" s="5" t="s"/>
      <x:c r="AK86" s="5" t="s"/>
      <x:c r="AL86" s="5" t="s"/>
      <x:c r="AM86" s="5" t="s"/>
      <x:c r="AN86" s="5" t="s"/>
      <x:c r="AO86" s="5" t="s"/>
      <x:c r="AP86" s="5" t="s"/>
      <x:c r="AQ86" s="5" t="s"/>
      <x:c r="AR86" s="5" t="s"/>
      <x:c r="AS86" s="5" t="s"/>
      <x:c r="AT86" s="5" t="s"/>
      <x:c r="AU86" s="5" t="s"/>
      <x:c r="AV86" s="5" t="s"/>
      <x:c r="AW86" s="7" t="s"/>
      <x:c r="AX86" s="10" t="s"/>
      <x:c r="AY86" s="5" t="s"/>
      <x:c r="AZ86" s="5" t="s"/>
      <x:c r="BA86" s="5" t="s"/>
      <x:c r="BB86" s="5" t="s"/>
      <x:c r="BC86" s="5" t="s"/>
      <x:c r="BD86" s="7" t="s"/>
      <x:c r="BE86" s="47" t="s">
        <x:v>11</x:v>
      </x:c>
      <x:c r="BF86" s="48"/>
      <x:c r="BG86" s="49"/>
      <x:c r="BH86" s="50"/>
      <x:c r="BI86" s="50"/>
      <x:c r="BJ86" s="51"/>
      <x:c r="BK86" s="52"/>
      <x:c r="BL86" s="51"/>
      <x:c r="BN86" s="57" t="s">
        <x:v>26</x:v>
      </x:c>
      <x:c r="BO86" s="58"/>
      <x:c r="BP86" s="58"/>
      <x:c r="BQ86" s="58"/>
      <x:c r="BR86" s="58"/>
      <x:c r="BS86" s="59"/>
      <x:c r="BT86" s="59"/>
      <x:c r="BU86" s="59"/>
      <x:c r="BV86" s="59"/>
      <x:c r="BW86" s="58"/>
      <x:c r="BX86" s="60"/>
    </x:row>
    <x:row r="87" ht="45.75" customHeight="1">
      <x:c r="A87" s="40" t="s">
        <x:v>43</x:v>
      </x:c>
      <x:c r="B87" s="40" t="s">
        <x:v>44</x:v>
      </x:c>
      <x:c r="C87" s="40" t="s">
        <x:v>45</x:v>
      </x:c>
      <x:c r="D87" s="40" t="s">
        <x:v>46</x:v>
      </x:c>
      <x:c r="E87" s="40" t="s">
        <x:v>47</x:v>
      </x:c>
      <x:c r="F87" s="40" t="s">
        <x:v>90</x:v>
      </x:c>
      <x:c r="G87" s="40" t="s">
        <x:v>48</x:v>
      </x:c>
      <x:c r="H87" s="40" t="s">
        <x:v>49</x:v>
      </x:c>
      <x:c r="I87" s="40" t="s">
        <x:v>50</x:v>
      </x:c>
      <x:c r="J87" s="40" t="s">
        <x:v>51</x:v>
      </x:c>
      <x:c r="K87" s="40" t="s">
        <x:v>52</x:v>
      </x:c>
      <x:c r="L87" s="40" t="s">
        <x:v>53</x:v>
      </x:c>
      <x:c r="M87" s="40" t="s">
        <x:v>54</x:v>
      </x:c>
      <x:c r="N87" s="40" t="s">
        <x:v>55</x:v>
      </x:c>
      <x:c r="O87" s="40" t="s">
        <x:v>56</x:v>
      </x:c>
      <x:c r="P87" s="40" t="s">
        <x:v>57</x:v>
      </x:c>
      <x:c r="Q87" s="40" t="s">
        <x:v>58</x:v>
      </x:c>
      <x:c r="R87" s="40" t="s">
        <x:v>59</x:v>
      </x:c>
      <x:c r="S87" s="40" t="s">
        <x:v>60</x:v>
      </x:c>
      <x:c r="T87" s="40" t="s">
        <x:v>61</x:v>
      </x:c>
      <x:c r="U87" s="40" t="s">
        <x:v>62</x:v>
      </x:c>
      <x:c r="V87" s="40" t="s">
        <x:v>63</x:v>
      </x:c>
      <x:c r="W87" s="40" t="s">
        <x:v>64</x:v>
      </x:c>
      <x:c r="X87" s="40" t="s">
        <x:v>65</x:v>
      </x:c>
      <x:c r="Y87" s="40" t="s">
        <x:v>66</x:v>
      </x:c>
      <x:c r="Z87" s="40" t="s">
        <x:v>67</x:v>
      </x:c>
      <x:c r="AA87" s="40" t="s">
        <x:v>68</x:v>
      </x:c>
      <x:c r="AB87" s="40" t="s">
        <x:v>69</x:v>
      </x:c>
      <x:c r="AC87" s="40" t="s">
        <x:v>70</x:v>
      </x:c>
      <x:c r="AD87" s="40" t="s">
        <x:v>71</x:v>
      </x:c>
      <x:c r="AE87" s="40" t="s">
        <x:v>72</x:v>
      </x:c>
      <x:c r="AF87" s="40" t="s">
        <x:v>73</x:v>
      </x:c>
      <x:c r="AG87" s="40" t="s">
        <x:v>74</x:v>
      </x:c>
      <x:c r="AH87" s="40" t="s">
        <x:v>75</x:v>
      </x:c>
      <x:c r="AI87" s="40" t="s">
        <x:v>76</x:v>
      </x:c>
      <x:c r="AJ87" s="40" t="s">
        <x:v>77</x:v>
      </x:c>
      <x:c r="AK87" s="40" t="s">
        <x:v>78</x:v>
      </x:c>
      <x:c r="AL87" s="40" t="s">
        <x:v>79</x:v>
      </x:c>
      <x:c r="AM87" s="40" t="s">
        <x:v>80</x:v>
      </x:c>
      <x:c r="AN87" s="40" t="s">
        <x:v>81</x:v>
      </x:c>
      <x:c r="AO87" s="40" t="s">
        <x:v>82</x:v>
      </x:c>
      <x:c r="AP87" s="40" t="s">
        <x:v>83</x:v>
      </x:c>
      <x:c r="AQ87" s="40" t="s">
        <x:v>84</x:v>
      </x:c>
      <x:c r="AR87" s="40" t="s">
        <x:v>85</x:v>
      </x:c>
      <x:c r="AS87" s="40" t="s">
        <x:v>86</x:v>
      </x:c>
      <x:c r="AT87" s="40" t="s">
        <x:v>87</x:v>
      </x:c>
      <x:c r="AU87" s="40" t="s">
        <x:v>88</x:v>
      </x:c>
      <x:c r="AV87" s="40" t="s">
        <x:v>89</x:v>
      </x:c>
      <x:c r="AX87" s="31" t="s">
        <x:v>91</x:v>
      </x:c>
      <x:c r="AY87" s="32" t="s">
        <x:v>92</x:v>
      </x:c>
      <x:c r="AZ87" s="32" t="s">
        <x:v>93</x:v>
      </x:c>
      <x:c r="BA87" s="32" t="s">
        <x:v>94</x:v>
      </x:c>
      <x:c r="BB87" s="32" t="s">
        <x:v>95</x:v>
      </x:c>
      <x:c r="BC87" s="32" t="s">
        <x:v>96</x:v>
      </x:c>
      <x:c r="BD87" s="33" t="s">
        <x:v>97</x:v>
      </x:c>
      <x:c r="BE87" s="53" t="s">
        <x:v>12</x:v>
      </x:c>
      <x:c r="BF87" s="54" t="s">
        <x:v>13</x:v>
      </x:c>
      <x:c r="BG87" s="54" t="s">
        <x:v>14</x:v>
      </x:c>
      <x:c r="BH87" s="55" t="s">
        <x:v>15</x:v>
      </x:c>
      <x:c r="BI87" s="55" t="s">
        <x:v>27</x:v>
      </x:c>
      <x:c r="BJ87" s="56" t="s">
        <x:v>16</x:v>
      </x:c>
      <x:c r="BK87" s="53" t="s">
        <x:v>17</x:v>
      </x:c>
      <x:c r="BL87" s="56" t="s">
        <x:v>18</x:v>
      </x:c>
      <x:c r="BN87" s="61" t="s">
        <x:v>19</x:v>
      </x:c>
      <x:c r="BO87" s="62" t="s">
        <x:v>20</x:v>
      </x:c>
      <x:c r="BP87" s="62" t="s">
        <x:v>21</x:v>
      </x:c>
      <x:c r="BQ87" s="62" t="s">
        <x:v>15</x:v>
      </x:c>
      <x:c r="BR87" s="62"/>
      <x:c r="BS87" s="63" t="s">
        <x:v>22</x:v>
      </x:c>
      <x:c r="BT87" s="63" t="s">
        <x:v>23</x:v>
      </x:c>
      <x:c r="BU87" s="63" t="s">
        <x:v>25</x:v>
      </x:c>
      <x:c r="BV87" s="63" t="s">
        <x:v>24</x:v>
      </x:c>
      <x:c r="BW87" s="62"/>
      <x:c r="BX87" s="64" t="s">
        <x:v>28</x:v>
      </x:c>
    </x:row>
    <x:row r="88">
      <x:c r="AX88" s="31" t="s"/>
      <x:c r="BD88" s="33" t="s"/>
    </x:row>
    <x:row r="89">
      <x:c r="A89" s="17" t="s">
        <x:v>43</x:v>
      </x:c>
      <x:c r="AW89" s="33" t="s"/>
      <x:c r="AX89" s="11" t="s"/>
      <x:c r="BD89" s="13" t="s"/>
    </x:row>
    <x:row r="90">
      <x:c r="A90" s="31" t="s">
        <x:v>252</x:v>
      </x:c>
      <x:c r="B90" t="s"/>
      <x:c r="C90" t="s">
        <x:v>253</x:v>
      </x:c>
      <x:c r="D90" t="s">
        <x:v>113</x:v>
      </x:c>
      <x:c r="E90" s="67" t="s">
        <x:v>154</x:v>
      </x:c>
      <x:c r="F90" t="n">
        <x:v>318</x:v>
      </x:c>
      <x:c r="G90" s="32" t="n">
        <x:v>0.0628930817610062893081761006</x:v>
      </x:c>
      <x:c r="H90" s="32" t="n">
        <x:v>0.2893081761006289308176100629</x:v>
      </x:c>
      <x:c r="I90" s="32" t="n">
        <x:v>0.5471698113207547169811320755</x:v>
      </x:c>
      <x:c r="J90" s="23" t="n">
        <x:v>0.9056603773584905660377358491</x:v>
      </x:c>
      <x:c r="K90" s="32" t="n">
        <x:v>0.9528301886792452830188679245</x:v>
      </x:c>
      <x:c r="L90" s="32" t="n">
        <x:v>0.9654088050314465408805031447</x:v>
      </x:c>
      <x:c r="M90" s="32" t="n">
        <x:v>0.9654088050314465408805031447</x:v>
      </x:c>
      <x:c r="N90" s="32" t="n">
        <x:v>0.9685534591194968553459119497</x:v>
      </x:c>
      <x:c r="O90" s="32" t="n">
        <x:v>0.9685534591194968553459119497</x:v>
      </x:c>
      <x:c r="P90" s="32" t="n">
        <x:v>0.9685534591194968553459119497</x:v>
      </x:c>
      <x:c r="Q90" s="32" t="n">
        <x:v>0.9748427672955974842767295597</x:v>
      </x:c>
      <x:c r="R90" s="32" t="n">
        <x:v>0.9748427672955974842767295597</x:v>
      </x:c>
      <x:c r="S90" s="32" t="n">
        <x:v>0.9874213836477987421383647799</x:v>
      </x:c>
      <x:c r="T90" s="32" t="n">
        <x:v>0.9874213836477987421383647799</x:v>
      </x:c>
      <x:c r="U90" s="32" t="n">
        <x:v>0.9874213836477987421383647799</x:v>
      </x:c>
      <x:c r="V90" s="32" t="n">
        <x:v>0.9905660377358490566037735849</x:v>
      </x:c>
      <x:c r="W90" s="32" t="n">
        <x:v>0.9905660377358490566037735849</x:v>
      </x:c>
      <x:c r="X90" s="32" t="n">
        <x:v>0.9905660377358490566037735849</x:v>
      </x:c>
      <x:c r="Y90" s="32" t="n">
        <x:v>0.9905660377358490566037735849</x:v>
      </x:c>
      <x:c r="Z90" s="32" t="n">
        <x:v>0.9905660377358490566037735849</x:v>
      </x:c>
      <x:c r="AA90" s="32" t="n">
        <x:v>0.9905660377358490566037735849</x:v>
      </x:c>
      <x:c r="AB90" s="32" t="n">
        <x:v>0.9937106918238993710691823899</x:v>
      </x:c>
      <x:c r="AC90" s="32" t="n">
        <x:v>0.9937106918238993710691823899</x:v>
      </x:c>
      <x:c r="AD90" s="32" t="n">
        <x:v>0.9937106918238993710691823899</x:v>
      </x:c>
      <x:c r="AE90" s="32" t="n">
        <x:v>0.9937106918238993710691823899</x:v>
      </x:c>
      <x:c r="AF90" s="32" t="n">
        <x:v>0.9937106918238993710691823899</x:v>
      </x:c>
      <x:c r="AG90" s="32" t="n">
        <x:v>0.9937106918238993710691823899</x:v>
      </x:c>
      <x:c r="AH90" s="32" t="n">
        <x:v>0.9937106918238993710691823899</x:v>
      </x:c>
      <x:c r="AI90" s="32" t="n">
        <x:v>0.9937106918238993710691823899</x:v>
      </x:c>
      <x:c r="AJ90" s="32" t="n">
        <x:v>0.9937106918238993710691823899</x:v>
      </x:c>
      <x:c r="AW90" s="33" t="s"/>
      <x:c r="AX90" s="11" t="s">
        <x:v>158</x:v>
      </x:c>
      <x:c r="AY90" s="12" t="n">
        <x:f>=BI90</x:f>
      </x:c>
      <x:c r="AZ90" s="12" t="n">
        <x:v>0.996855345911949685534591195</x:v>
      </x:c>
      <x:c r="BA90" s="12" t="n">
        <x:v>-0.003144654088050314465408805</x:v>
      </x:c>
      <x:c r="BB90" s="12" t="n">
        <x:v>0.0062893081761006289308176101</x:v>
      </x:c>
      <x:c r="BC90" s="12" t="n">
        <x:f>=BH90</x:f>
      </x:c>
      <x:c r="BD90" s="13" t="n">
        <x:f>=BQ90</x:f>
      </x:c>
      <x:c r="BE90" s="30" t="n">
        <x:v>471.01</x:v>
      </x:c>
      <x:c r="BF90" s="30" t="n">
        <x:v>-289.18272321352215000000</x:v>
      </x:c>
      <x:c r="BG90" s="30" t="n">
        <x:f>=BE90+BF90</x:f>
      </x:c>
      <x:c r="BH90" s="66" t="n">
        <x:f>=BG90/BE90</x:f>
      </x:c>
      <x:c r="BI90" s="66" t="n">
        <x:v>0.9937106918238993710691823899</x:v>
      </x:c>
      <x:c r="BJ90" s="30" t="n">
        <x:v>290.127343519095000000</x:v>
      </x:c>
      <x:c r="BK90" s="41" t="n">
        <x:v>2</x:v>
      </x:c>
      <x:c r="BL90" s="30" t="n">
        <x:v>1.824700273705000000</x:v>
      </x:c>
      <x:c r="BN90" s="30" t="n">
        <x:v>624.2462729854375000000</x:v>
      </x:c>
      <x:c r="BO90" s="30" t="n">
        <x:v>-289.18272321352215000000</x:v>
      </x:c>
      <x:c r="BP90" s="30" t="n">
        <x:f>=BN90+BO90</x:f>
      </x:c>
      <x:c r="BQ90" s="66" t="n">
        <x:f>=BP90/BN90</x:f>
      </x:c>
      <x:c r="BS90" s="66" t="n">
        <x:f>=BT90+BU90</x:f>
      </x:c>
      <x:c r="BT90" s="66" t="n">
        <x:f>=BI90+(0*4)</x:f>
      </x:c>
      <x:c r="BU90" s="66" t="n">
        <x:f>=(1-BT90)*0.5</x:f>
      </x:c>
      <x:c r="BV90" s="66" t="n">
        <x:f>=1-BS90</x:f>
      </x:c>
      <x:c r="BX90" s="66" t="n">
        <x:f>=BU90/(1-BT90)</x:f>
      </x:c>
    </x:row>
    <x:row r="91">
      <x:c r="AW91" s="33" t="s"/>
      <x:c r="AX91" s="11" t="s"/>
      <x:c r="BD91" s="13" t="s"/>
      <x:c r="BE91" s="20" t="n">
        <x:v>471.01</x:v>
      </x:c>
      <x:c r="BF91" s="20" t="n">
        <x:v>-289.18272321352215000000</x:v>
      </x:c>
      <x:c r="BG91" s="20" t="n">
        <x:f>=BE91+BF91</x:f>
      </x:c>
      <x:c r="BH91" s="21" t="n">
        <x:v>0.3860369775301540306999851383</x:v>
      </x:c>
      <x:c r="BJ91" s="20" t="n">
        <x:v>-290.127343519095000000</x:v>
      </x:c>
      <x:c r="BK91" s="20" t="n">
        <x:v>2</x:v>
      </x:c>
      <x:c r="BL91" s="20" t="n">
        <x:v>1.824700273705000000</x:v>
      </x:c>
      <x:c r="BN91" s="20" t="n">
        <x:v>624.2462729854375000000</x:v>
      </x:c>
      <x:c r="BO91" s="20" t="n">
        <x:v>-289.18272321352215000000</x:v>
      </x:c>
      <x:c r="BP91" s="20" t="n">
        <x:f>=BN91+BO91</x:f>
      </x:c>
      <x:c r="BQ91" s="21" t="n">
        <x:v>0.5367489791640802587684442912</x:v>
      </x:c>
    </x:row>
    <x:row r="92">
      <x:c r="A92" s="35" t="s">
        <x:v>98</x:v>
      </x:c>
      <x:c r="AW92" s="33" t="s"/>
      <x:c r="AX92" s="11" t="s"/>
      <x:c r="BD92" s="13" t="s"/>
    </x:row>
    <x:row r="93">
      <x:c r="A93" s="17" t="s">
        <x:v>254</x:v>
      </x:c>
      <x:c r="AW93" s="33" t="s"/>
      <x:c r="AX93" s="11" t="s"/>
      <x:c r="BD93" s="13" t="s"/>
    </x:row>
    <x:row r="94">
      <x:c r="A94" s="31" t="s">
        <x:v>255</x:v>
      </x:c>
      <x:c r="B94" t="s"/>
      <x:c r="C94" t="s">
        <x:v>256</x:v>
      </x:c>
      <x:c r="D94" t="s">
        <x:v>147</x:v>
      </x:c>
      <x:c r="E94" s="69" t="s">
        <x:v>103</x:v>
      </x:c>
      <x:c r="F94" t="n">
        <x:v>2123</x:v>
      </x:c>
      <x:c r="G94" s="32" t="n">
        <x:v>0.0037682524729156853509185115</x:v>
      </x:c>
      <x:c r="H94" s="32" t="n">
        <x:v>0.0098916627414036740461610928</x:v>
      </x:c>
      <x:c r="I94" s="32" t="n">
        <x:v>0.0103626943005181347150259067</x:v>
      </x:c>
      <x:c r="J94" s="32" t="n">
        <x:v>0.0103626943005181347150259067</x:v>
      </x:c>
      <x:c r="K94" s="32" t="n">
        <x:v>0.0103626943005181347150259067</x:v>
      </x:c>
      <x:c r="L94" s="32" t="n">
        <x:v>0.0103626943005181347150259067</x:v>
      </x:c>
      <x:c r="M94" s="32" t="n">
        <x:v>0.0103626943005181347150259067</x:v>
      </x:c>
      <x:c r="N94" s="32" t="n">
        <x:v>0.0103626943005181347150259067</x:v>
      </x:c>
      <x:c r="O94" s="32" t="n">
        <x:v>0.0103626943005181347150259067</x:v>
      </x:c>
      <x:c r="P94" s="32" t="n">
        <x:v>0.0103626943005181347150259067</x:v>
      </x:c>
      <x:c r="Q94" s="32" t="n">
        <x:v>0.0103626943005181347150259067</x:v>
      </x:c>
      <x:c r="R94" s="32" t="n">
        <x:v>0.0103626943005181347150259067</x:v>
      </x:c>
      <x:c r="S94" s="32" t="n">
        <x:v>0.0103626943005181347150259067</x:v>
      </x:c>
      <x:c r="T94" s="32" t="n">
        <x:v>0.0131888836552048987282147904</x:v>
      </x:c>
      <x:c r="U94" s="32" t="n">
        <x:v>0.0183702308054639660857277438</x:v>
      </x:c>
      <x:c r="V94" s="32" t="n">
        <x:v>0.0400376825247291568535091851</x:v>
      </x:c>
      <x:c r="W94" s="32" t="n">
        <x:v>0.0932642487046632124352331606</x:v>
      </x:c>
      <x:c r="X94" s="32" t="n">
        <x:v>0.1610927932171455487517663683</x:v>
      </x:c>
      <x:c r="Y94" s="32" t="n">
        <x:v>0.22939236928874234573716439</x:v>
      </x:c>
      <x:c r="Z94" s="32" t="n">
        <x:v>0.2878002826189354686764013189</x:v>
      </x:c>
      <x:c r="AA94" s="32" t="n">
        <x:v>0.3429109750353273669335845502</x:v>
      </x:c>
      <x:c r="AB94" s="32" t="n">
        <x:v>0.3744700894959962317475270843</x:v>
      </x:c>
      <x:c r="AC94" s="32" t="n">
        <x:v>0.4022609514837494112105511069</x:v>
      </x:c>
      <x:c r="AD94" s="32" t="n">
        <x:v>0.4295807819123881300047103156</x:v>
      </x:c>
      <x:c r="AE94" s="32" t="n">
        <x:v>0.4295807819123881300047103156</x:v>
      </x:c>
      <x:c r="AF94" s="32" t="n">
        <x:v>0.4295807819123881300047103156</x:v>
      </x:c>
      <x:c r="AG94" s="32" t="n">
        <x:v>0.4295807819123881300047103156</x:v>
      </x:c>
      <x:c r="AH94" s="32" t="n">
        <x:v>0.4295807819123881300047103156</x:v>
      </x:c>
      <x:c r="AI94" s="32" t="n">
        <x:v>0.4295807819123881300047103156</x:v>
      </x:c>
      <x:c r="AJ94" s="32" t="n">
        <x:v>0.4295807819123881300047103156</x:v>
      </x:c>
      <x:c r="AW94" s="33" t="s"/>
      <x:c r="AX94" s="11" t="s">
        <x:v>158</x:v>
      </x:c>
      <x:c r="AY94" s="12" t="n">
        <x:f>=BI94</x:f>
      </x:c>
      <x:c r="AZ94" s="12" t="n">
        <x:v>0.4295807819123881300047103156</x:v>
      </x:c>
      <x:c r="BA94" s="12" t="n">
        <x:v>0</x:v>
      </x:c>
      <x:c r="BB94" s="12" t="n">
        <x:v>0.5704192180876118699952896844</x:v>
      </x:c>
      <x:c r="BC94" s="12" t="n">
        <x:f>=BH94</x:f>
      </x:c>
      <x:c r="BD94" s="13" t="n">
        <x:f>=BQ94</x:f>
      </x:c>
      <x:c r="BE94" s="30" t="n">
        <x:v>8214.22</x:v>
      </x:c>
      <x:c r="BF94" s="30" t="n">
        <x:v>-11778.1822</x:v>
      </x:c>
      <x:c r="BG94" s="30" t="n">
        <x:f>=BE94+BF94</x:f>
      </x:c>
      <x:c r="BH94" s="66" t="n">
        <x:f>=BG94/BE94</x:f>
      </x:c>
      <x:c r="BI94" s="66" t="n">
        <x:v>0.4295807819123881300047103156</x:v>
      </x:c>
      <x:c r="BJ94" s="30" t="n">
        <x:v>11414.30</x:v>
      </x:c>
      <x:c r="BK94" s="41" t="n">
        <x:v>1211</x:v>
      </x:c>
      <x:c r="BL94" s="30" t="n">
        <x:v>6510.9360810174281676872350448</x:v>
      </x:c>
      <x:c r="BN94" s="30" t="n">
        <x:v>13381.346873286390013130004712</x:v>
      </x:c>
      <x:c r="BO94" s="30" t="n">
        <x:v>-11778.1822</x:v>
      </x:c>
      <x:c r="BP94" s="30" t="n">
        <x:f>=BN94+BO94</x:f>
      </x:c>
      <x:c r="BQ94" s="66" t="n">
        <x:f>=BP94/BN94</x:f>
      </x:c>
      <x:c r="BS94" s="66" t="n">
        <x:f>=BT94+BU94</x:f>
      </x:c>
      <x:c r="BT94" s="66" t="n">
        <x:f>=BI94+(0.0288899356256869210237085885*4)</x:f>
      </x:c>
      <x:c r="BU94" s="66" t="n">
        <x:f>=(1-BT94)*0.5</x:f>
      </x:c>
      <x:c r="BV94" s="66" t="n">
        <x:f>=1-BS94</x:f>
      </x:c>
      <x:c r="BX94" s="66" t="n">
        <x:f>=BU94/(1-BT94)</x:f>
      </x:c>
    </x:row>
    <x:row r="95">
      <x:c r="A95" s="31" t="s"/>
      <x:c r="AW95" s="33" t="s"/>
      <x:c r="AX95" s="11" t="s"/>
      <x:c r="BD95" s="13" t="s"/>
    </x:row>
    <x:row r="96">
      <x:c r="A96" s="17" t="s">
        <x:v>43</x:v>
      </x:c>
      <x:c r="AW96" s="33" t="s"/>
      <x:c r="AX96" s="11" t="s"/>
      <x:c r="BD96" s="13" t="s"/>
    </x:row>
    <x:row r="97">
      <x:c r="A97" s="31" t="s">
        <x:v>257</x:v>
      </x:c>
      <x:c r="B97" t="s"/>
      <x:c r="C97" t="s">
        <x:v>258</x:v>
      </x:c>
      <x:c r="D97" t="s">
        <x:v>102</x:v>
      </x:c>
      <x:c r="E97" s="69" t="s">
        <x:v>103</x:v>
      </x:c>
      <x:c r="F97" t="n">
        <x:v>1791</x:v>
      </x:c>
      <x:c r="G97" s="32" t="n">
        <x:v>0.0614182021217197096594081519</x:v>
      </x:c>
      <x:c r="H97" s="32" t="n">
        <x:v>0.1859296482412060301507537688</x:v>
      </x:c>
      <x:c r="I97" s="32" t="n">
        <x:v>0.3394751535455053042992741485</x:v>
      </x:c>
      <x:c r="J97" s="32" t="n">
        <x:v>0.4790619765494137353433835846</x:v>
      </x:c>
      <x:c r="K97" s="32" t="n">
        <x:v>0.5689558905639307649357900614</x:v>
      </x:c>
      <x:c r="L97" s="32" t="n">
        <x:v>0.6454494695700725851479620324</x:v>
      </x:c>
      <x:c r="M97" s="32" t="n">
        <x:v>0.6962590731434952540480178671</x:v>
      </x:c>
      <x:c r="N97" s="23" t="n">
        <x:v>0.7275265214963707426018983808</x:v>
      </x:c>
      <x:c r="O97" s="32" t="n">
        <x:v>0.7571189279731993299832495812</x:v>
      </x:c>
      <x:c r="P97" s="32" t="n">
        <x:v>0.7777777777777777777777777778</x:v>
      </x:c>
      <x:c r="Q97" s="32" t="n">
        <x:v>0.7984366275823562255723059743</x:v>
      </x:c>
      <x:c r="R97" s="32" t="n">
        <x:v>0.7984366275823562255723059743</x:v>
      </x:c>
      <x:c r="S97" s="32" t="n">
        <x:v>0.7984366275823562255723059743</x:v>
      </x:c>
      <x:c r="T97" s="32" t="n">
        <x:v>0.7984366275823562255723059743</x:v>
      </x:c>
      <x:c r="U97" s="32" t="n">
        <x:v>0.7984366275823562255723059743</x:v>
      </x:c>
      <x:c r="V97" s="32" t="n">
        <x:v>0.7984366275823562255723059743</x:v>
      </x:c>
      <x:c r="W97" s="32" t="n">
        <x:v>0.7984366275823562255723059743</x:v>
      </x:c>
      <x:c r="X97" s="32" t="n">
        <x:v>0.7984366275823562255723059743</x:v>
      </x:c>
      <x:c r="Y97" s="32" t="n">
        <x:v>0.7984366275823562255723059743</x:v>
      </x:c>
      <x:c r="Z97" s="32" t="n">
        <x:v>0.7984366275823562255723059743</x:v>
      </x:c>
      <x:c r="AA97" s="32" t="n">
        <x:v>0.7984366275823562255723059743</x:v>
      </x:c>
      <x:c r="AB97" s="32" t="n">
        <x:v>0.7984366275823562255723059743</x:v>
      </x:c>
      <x:c r="AC97" s="32" t="n">
        <x:v>0.7984366275823562255723059743</x:v>
      </x:c>
      <x:c r="AD97" s="32" t="n">
        <x:v>0.7984366275823562255723059743</x:v>
      </x:c>
      <x:c r="AE97" s="32" t="n">
        <x:v>0.7984366275823562255723059743</x:v>
      </x:c>
      <x:c r="AF97" s="32" t="n">
        <x:v>0.7984366275823562255723059743</x:v>
      </x:c>
      <x:c r="AG97" s="32" t="n">
        <x:v>0.7984366275823562255723059743</x:v>
      </x:c>
      <x:c r="AH97" s="32" t="n">
        <x:v>0.7984366275823562255723059743</x:v>
      </x:c>
      <x:c r="AI97" s="32" t="n">
        <x:v>0.7984366275823562255723059743</x:v>
      </x:c>
      <x:c r="AJ97" s="32" t="n">
        <x:v>0.7984366275823562255723059743</x:v>
      </x:c>
      <x:c r="AW97" s="33" t="s"/>
      <x:c r="AX97" s="11" t="s">
        <x:v>158</x:v>
      </x:c>
      <x:c r="AY97" s="12" t="n">
        <x:f>=BI97</x:f>
      </x:c>
      <x:c r="AZ97" s="12" t="n">
        <x:v>0.7984366275823562255723059743</x:v>
      </x:c>
      <x:c r="BA97" s="12" t="n">
        <x:v>0</x:v>
      </x:c>
      <x:c r="BB97" s="12" t="n">
        <x:v>0.2015633724176437744276940257</x:v>
      </x:c>
      <x:c r="BC97" s="12" t="n">
        <x:f>=BH97</x:f>
      </x:c>
      <x:c r="BD97" s="13" t="n">
        <x:f>=BQ97</x:f>
      </x:c>
      <x:c r="BE97" s="30" t="n">
        <x:v>8012.09</x:v>
      </x:c>
      <x:c r="BF97" s="30" t="n">
        <x:v>-6301.1859</x:v>
      </x:c>
      <x:c r="BG97" s="30" t="n">
        <x:f>=BE97+BF97</x:f>
      </x:c>
      <x:c r="BH97" s="66" t="n">
        <x:f>=BG97/BE97</x:f>
      </x:c>
      <x:c r="BI97" s="66" t="n">
        <x:v>0.7984366275823562255723059743</x:v>
      </x:c>
      <x:c r="BJ97" s="30" t="n">
        <x:v>6303.12</x:v>
      </x:c>
      <x:c r="BK97" s="41" t="n">
        <x:v>361</x:v>
      </x:c>
      <x:c r="BL97" s="30" t="n">
        <x:v>1270.4781239530988274706867672</x:v>
      </x:c>
      <x:c r="BN97" s="30" t="n">
        <x:v>9311.435743909649231225572306</x:v>
      </x:c>
      <x:c r="BO97" s="30" t="n">
        <x:v>-6301.1859</x:v>
      </x:c>
      <x:c r="BP97" s="30" t="n">
        <x:f>=BN97+BO97</x:f>
      </x:c>
      <x:c r="BQ97" s="66" t="n">
        <x:f>=BP97/BN97</x:f>
      </x:c>
      <x:c r="BS97" s="66" t="n">
        <x:f>=BT97+BU97</x:f>
      </x:c>
      <x:c r="BT97" s="66" t="n">
        <x:f>=BI97+(0.0236367020286618276568025312*4)</x:f>
      </x:c>
      <x:c r="BU97" s="66" t="n">
        <x:f>=(1-BT97)*0.5</x:f>
      </x:c>
      <x:c r="BV97" s="66" t="n">
        <x:f>=1-BS97</x:f>
      </x:c>
      <x:c r="BX97" s="66" t="n">
        <x:f>=BU97/(1-BT97)</x:f>
      </x:c>
    </x:row>
    <x:row r="98">
      <x:c r="A98" s="31" t="s">
        <x:v>259</x:v>
      </x:c>
      <x:c r="B98" t="s"/>
      <x:c r="C98" t="s">
        <x:v>260</x:v>
      </x:c>
      <x:c r="D98" t="s">
        <x:v>113</x:v>
      </x:c>
      <x:c r="E98" s="69" t="s">
        <x:v>103</x:v>
      </x:c>
      <x:c r="F98" t="n">
        <x:v>2057</x:v>
      </x:c>
      <x:c r="G98" s="32" t="n">
        <x:v>0.0792416140009722897423432183</x:v>
      </x:c>
      <x:c r="H98" s="32" t="n">
        <x:v>0.0792416140009722897423432183</x:v>
      </x:c>
      <x:c r="I98" s="32" t="n">
        <x:v>0.1268838113757899854156538649</x:v>
      </x:c>
      <x:c r="J98" s="32" t="n">
        <x:v>0.1609139523578026251823043267</x:v>
      </x:c>
      <x:c r="K98" s="32" t="n">
        <x:v>0.1905687894992707826932425863</x:v>
      </x:c>
      <x:c r="L98" s="32" t="n">
        <x:v>0.2105007292173067574137092854</x:v>
      </x:c>
      <x:c r="M98" s="32" t="n">
        <x:v>0.2250850753524550315994166262</x:v>
      </x:c>
      <x:c r="N98" s="32" t="n">
        <x:v>0.2430724355858045697617890131</x:v>
      </x:c>
      <x:c r="O98" s="32" t="n">
        <x:v>0.2532814778804083616917841517</x:v>
      </x:c>
      <x:c r="P98" s="32" t="n">
        <x:v>0.2707826932425862907146329606</x:v>
      </x:c>
      <x:c r="Q98" s="32" t="n">
        <x:v>0.2897423432182790471560525036</x:v>
      </x:c>
      <x:c r="R98" s="32" t="n">
        <x:v>0.3033543996110841030627126884</x:v>
      </x:c>
      <x:c r="S98" s="32" t="n">
        <x:v>0.3096742829363150218765192027</x:v>
      </x:c>
      <x:c r="T98" s="32" t="n">
        <x:v>0.3174526008750607681088964511</x:v>
      </x:c>
      <x:c r="U98" s="32" t="n">
        <x:v>0.3247447739426349052017501215</x:v>
      </x:c>
      <x:c r="V98" s="32" t="n">
        <x:v>0.3242586290714632960622265435</x:v>
      </x:c>
      <x:c r="W98" s="32" t="n">
        <x:v>0.3310646572678658240155566359</x:v>
      </x:c>
      <x:c r="X98" s="32" t="n">
        <x:v>0.3534273213417598444336412251</x:v>
      </x:c>
      <x:c r="Y98" s="32" t="n">
        <x:v>0.3607194944093339815264948955</x:v>
      </x:c>
      <x:c r="Z98" s="32" t="n">
        <x:v>0.3743315508021390374331550802</x:v>
      </x:c>
      <x:c r="AA98" s="32" t="n">
        <x:v>0.4326689353427321341759844434</x:v>
      </x:c>
      <x:c r="AB98" s="32" t="n">
        <x:v>0.4594069032571706368497812348</x:v>
      </x:c>
      <x:c r="AC98" s="32" t="n">
        <x:v>0.4871171609139523578026251823</x:v>
      </x:c>
      <x:c r="AD98" s="32" t="n">
        <x:v>0.5216334467671366067087992222</x:v>
      </x:c>
      <x:c r="AE98" s="32" t="n">
        <x:v>0.5819154107924161400097228974</x:v>
      </x:c>
      <x:c r="AF98" s="32" t="n">
        <x:v>0.6096256684491978609625668449</x:v>
      </x:c>
      <x:c r="AG98" s="32" t="n">
        <x:v>0.6242100145843461351482741857</x:v>
      </x:c>
      <x:c r="AH98" s="32" t="n">
        <x:v>0.6465726786582401555663587749</x:v>
      </x:c>
      <x:c r="AI98" s="32" t="n">
        <x:v>0.6596985901798736023334953816</x:v>
      </x:c>
      <x:c r="AJ98" s="32" t="n">
        <x:v>0.6786582401555663587749149246</x:v>
      </x:c>
      <x:c r="AK98" s="32" t="n">
        <x:v>0.6971317452600875060768108896</x:v>
      </x:c>
      <x:c r="AL98" s="23" t="n">
        <x:v>0.7131745260087506076810889645</x:v>
      </x:c>
      <x:c r="AM98" s="32" t="n">
        <x:v>0.7282450170150704910063198833</x:v>
      </x:c>
      <x:c r="AN98" s="32" t="n">
        <x:v>0.7433155080213903743315508021</x:v>
      </x:c>
      <x:c r="AO98" s="32" t="n">
        <x:v>0.7535245503159941662615459407</x:v>
      </x:c>
      <x:c r="AP98" s="32" t="n">
        <x:v>0.7705396208070004861448711716</x:v>
      </x:c>
      <x:c r="AW98" s="33" t="s"/>
      <x:c r="AX98" s="11" t="s">
        <x:v>110</x:v>
      </x:c>
      <x:c r="AY98" s="12" t="n">
        <x:f>=BI98</x:f>
      </x:c>
      <x:c r="AZ98" s="12" t="n">
        <x:v>0.7705396208070004861448711716</x:v>
      </x:c>
      <x:c r="BA98" s="12" t="n">
        <x:v>0</x:v>
      </x:c>
      <x:c r="BB98" s="12" t="n">
        <x:v>0.2294603791929995138551288284</x:v>
      </x:c>
      <x:c r="BC98" s="12" t="n">
        <x:f>=BH98</x:f>
      </x:c>
      <x:c r="BD98" s="13" t="n">
        <x:f>=BQ98</x:f>
      </x:c>
      <x:c r="BE98" s="30" t="n">
        <x:v>9096.81</x:v>
      </x:c>
      <x:c r="BF98" s="30" t="n">
        <x:v>-7623.35283057898225000000</x:v>
      </x:c>
      <x:c r="BG98" s="30" t="n">
        <x:f>=BE98+BF98</x:f>
      </x:c>
      <x:c r="BH98" s="66" t="n">
        <x:f>=BG98/BE98</x:f>
      </x:c>
      <x:c r="BI98" s="66" t="n">
        <x:v>0.7705396208070004861448711716</x:v>
      </x:c>
      <x:c r="BJ98" s="30" t="n">
        <x:v>7667.210650081425000000</x:v>
      </x:c>
      <x:c r="BK98" s="41" t="n">
        <x:v>472</x:v>
      </x:c>
      <x:c r="BL98" s="30" t="n">
        <x:v>1759.3210631202880894506562956</x:v>
      </x:c>
      <x:c r="BN98" s="30" t="n">
        <x:v>10447.475812105067500486144873</x:v>
      </x:c>
      <x:c r="BO98" s="30" t="n">
        <x:v>-7623.35283057898225000000</x:v>
      </x:c>
      <x:c r="BP98" s="30" t="n">
        <x:f>=BN98+BO98</x:f>
      </x:c>
      <x:c r="BQ98" s="66" t="n">
        <x:f>=BP98/BN98</x:f>
      </x:c>
      <x:c r="BS98" s="66" t="n">
        <x:f>=BT98+BU98</x:f>
      </x:c>
      <x:c r="BT98" s="66" t="n">
        <x:f>=BI98+(0.0140982012639766650461837628*4)</x:f>
      </x:c>
      <x:c r="BU98" s="66" t="n">
        <x:f>=(1-BT98)*0.5</x:f>
      </x:c>
      <x:c r="BV98" s="66" t="n">
        <x:f>=1-BS98</x:f>
      </x:c>
      <x:c r="BX98" s="66" t="n">
        <x:f>=BU98/(1-BT98)</x:f>
      </x:c>
    </x:row>
    <x:row r="99">
      <x:c r="A99" s="31" t="s">
        <x:v>261</x:v>
      </x:c>
      <x:c r="B99" t="s"/>
      <x:c r="C99" t="s">
        <x:v>262</x:v>
      </x:c>
      <x:c r="D99" t="s">
        <x:v>131</x:v>
      </x:c>
      <x:c r="E99" s="69" t="s">
        <x:v>103</x:v>
      </x:c>
      <x:c r="F99" t="n">
        <x:v>987</x:v>
      </x:c>
      <x:c r="G99" s="32" t="n">
        <x:v>0.0243161094224924012158054711</x:v>
      </x:c>
      <x:c r="H99" s="32" t="n">
        <x:v>0.0587639311043566362715298886</x:v>
      </x:c>
      <x:c r="I99" s="32" t="n">
        <x:v>0.0972644376899696048632218845</x:v>
      </x:c>
      <x:c r="J99" s="32" t="n">
        <x:v>0.1256332320162107396149949341</x:v>
      </x:c>
      <x:c r="K99" s="32" t="n">
        <x:v>0.1448834853090172239108409321</x:v>
      </x:c>
      <x:c r="L99" s="32" t="n">
        <x:v>0.175278622087132725430597771</x:v>
      </x:c>
      <x:c r="M99" s="32" t="n">
        <x:v>0.1995947315096251266464032421</x:v>
      </x:c>
      <x:c r="N99" s="32" t="n">
        <x:v>0.2188449848024316109422492401</x:v>
      </x:c>
      <x:c r="O99" s="32" t="n">
        <x:v>0.241134751773049645390070922</x:v>
      </x:c>
      <x:c r="P99" s="32" t="n">
        <x:v>0.2401215805471124620060790274</x:v>
      </x:c>
      <x:c r="Q99" s="32" t="n">
        <x:v>0.2391084093211752786220871327</x:v>
      </x:c>
      <x:c r="R99" s="32" t="n">
        <x:v>0.2522796352583586626139817629</x:v>
      </x:c>
      <x:c r="S99" s="32" t="n">
        <x:v>0.3009118541033434650455927052</x:v>
      </x:c>
      <x:c r="T99" s="32" t="n">
        <x:v>0.3515704154002026342451874367</x:v>
      </x:c>
      <x:c r="U99" s="32" t="n">
        <x:v>0.3870314083080040526849037487</x:v>
      </x:c>
      <x:c r="V99" s="32" t="n">
        <x:v>0.4113475177304964539007092199</x:v>
      </x:c>
      <x:c r="W99" s="32" t="n">
        <x:v>0.4427558257345491388044579534</x:v>
      </x:c>
      <x:c r="X99" s="32" t="n">
        <x:v>0.4660587639311043566362715299</x:v>
      </x:c>
      <x:c r="Y99" s="32" t="n">
        <x:v>0.4944275582573454913880445795</x:v>
      </x:c>
      <x:c r="Z99" s="32" t="n">
        <x:v>0.5217831813576494427558257345</x:v>
      </x:c>
      <x:c r="AA99" s="32" t="n">
        <x:v>0.5400202634245187436676798379</x:v>
      </x:c>
      <x:c r="AB99" s="32" t="n">
        <x:v>0.556231003039513677811550152</x:v>
      </x:c>
      <x:c r="AC99" s="32" t="n">
        <x:v>0.5856129685916919959473150963</x:v>
      </x:c>
      <x:c r="AD99" s="32" t="n">
        <x:v>0.6170212765957446808510638298</x:v>
      </x:c>
      <x:c r="AE99" s="32" t="n">
        <x:v>0.6737588652482269503546099291</x:v>
      </x:c>
      <x:c r="AF99" s="23" t="n">
        <x:v>0.712259371833839918946301925</x:v>
      </x:c>
      <x:c r="AG99" s="32" t="n">
        <x:v>0.7467071935157041540020263425</x:v>
      </x:c>
      <x:c r="AH99" s="32" t="n">
        <x:v>0.7730496453900709219858156028</x:v>
      </x:c>
      <x:c r="AI99" s="32" t="n">
        <x:v>0.7821681864235055724417426545</x:v>
      </x:c>
      <x:c r="AJ99" s="32" t="n">
        <x:v>0.8176291793313069908814589666</x:v>
      </x:c>
      <x:c r="AW99" s="33" t="s"/>
      <x:c r="AX99" s="11" t="s">
        <x:v>158</x:v>
      </x:c>
      <x:c r="AY99" s="12" t="n">
        <x:f>=BI99</x:f>
      </x:c>
      <x:c r="AZ99" s="12" t="n">
        <x:v>0.8176291793313069908814589666</x:v>
      </x:c>
      <x:c r="BA99" s="12" t="n">
        <x:v>0</x:v>
      </x:c>
      <x:c r="BB99" s="12" t="n">
        <x:v>0.1823708206686930091185410334</x:v>
      </x:c>
      <x:c r="BC99" s="12" t="n">
        <x:f>=BH99</x:f>
      </x:c>
      <x:c r="BD99" s="13" t="n">
        <x:f>=BQ99</x:f>
      </x:c>
      <x:c r="BE99" s="30" t="n">
        <x:v>7628.70</x:v>
      </x:c>
      <x:c r="BF99" s="30" t="n">
        <x:v>-6105.26340</x:v>
      </x:c>
      <x:c r="BG99" s="30" t="n">
        <x:f>=BE99+BF99</x:f>
      </x:c>
      <x:c r="BH99" s="66" t="n">
        <x:f>=BG99/BE99</x:f>
      </x:c>
      <x:c r="BI99" s="66" t="n">
        <x:v>0.8176291793313069908814589666</x:v>
      </x:c>
      <x:c r="BJ99" s="30" t="n">
        <x:v>5556.90</x:v>
      </x:c>
      <x:c r="BK99" s="41" t="n">
        <x:v>180</x:v>
      </x:c>
      <x:c r="BL99" s="30" t="n">
        <x:v>1013.4164133738601823708206687</x:v>
      </x:c>
      <x:c r="BN99" s="30" t="n">
        <x:v>8780.359518472255473657548125</x:v>
      </x:c>
      <x:c r="BO99" s="30" t="n">
        <x:v>-6105.26340</x:v>
      </x:c>
      <x:c r="BP99" s="30" t="n">
        <x:f>=BN99+BO99</x:f>
      </x:c>
      <x:c r="BQ99" s="66" t="n">
        <x:f>=BP99/BN99</x:f>
      </x:c>
      <x:c r="BS99" s="66" t="n">
        <x:f>=BT99+BU99</x:f>
      </x:c>
      <x:c r="BT99" s="66" t="n">
        <x:f>=BI99+(0.0236406619385342789598108747*4)</x:f>
      </x:c>
      <x:c r="BU99" s="66" t="n">
        <x:f>=(1-BT99)*0.5</x:f>
      </x:c>
      <x:c r="BV99" s="66" t="n">
        <x:f>=1-BS99</x:f>
      </x:c>
      <x:c r="BX99" s="66" t="n">
        <x:f>=BU99/(1-BT99)</x:f>
      </x:c>
    </x:row>
    <x:row r="100">
      <x:c r="A100" s="31" t="s">
        <x:v>263</x:v>
      </x:c>
      <x:c r="B100" t="s"/>
      <x:c r="C100" t="s">
        <x:v>264</x:v>
      </x:c>
      <x:c r="D100" t="s">
        <x:v>102</x:v>
      </x:c>
      <x:c r="E100" s="69" t="s">
        <x:v>103</x:v>
      </x:c>
      <x:c r="F100" t="n">
        <x:v>5261</x:v>
      </x:c>
      <x:c r="G100" s="32" t="n">
        <x:v>0.025470442881581448393841475</x:v>
      </x:c>
      <x:c r="H100" s="32" t="n">
        <x:v>0.0575936133814864094278654248</x:v>
      </x:c>
      <x:c r="I100" s="32" t="n">
        <x:v>0.0950389659760501805740353545</x:v>
      </x:c>
      <x:c r="J100" s="32" t="n">
        <x:v>0.0933282645884812773237027181</x:v>
      </x:c>
      <x:c r="K100" s="32" t="n">
        <x:v>0.1003611480707089906861813343</x:v>
      </x:c>
      <x:c r="L100" s="32" t="n">
        <x:v>0.1146169929671165177722866375</x:v>
      </x:c>
      <x:c r="M100" s="32" t="n">
        <x:v>0.122790344041056833301653678</x:v>
      </x:c>
      <x:c r="N100" s="32" t="n">
        <x:v>0.1302033833871887473864284357</x:v>
      </x:c>
      <x:c r="O100" s="32" t="n">
        <x:v>0.1571944497243869986694544763</x:v>
      </x:c>
      <x:c r="P100" s="32" t="n">
        <x:v>0.199201672685801178483178103</x:v>
      </x:c>
      <x:c r="Q100" s="32" t="n">
        <x:v>0.2419692073750237597414940125</x:v>
      </x:c>
      <x:c r="R100" s="32" t="n">
        <x:v>0.2805550275613001330545523665</x:v>
      </x:c>
      <x:c r="S100" s="32" t="n">
        <x:v>0.3200912374073370081733510739</x:v>
      </x:c>
      <x:c r="T100" s="32" t="n">
        <x:v>0.3883292149781410378255084585</x:v>
      </x:c>
      <x:c r="U100" s="32" t="n">
        <x:v>0.4463029842235316479756700247</x:v>
      </x:c>
      <x:c r="V100" s="32" t="n">
        <x:v>0.4708230374453525945637711462</x:v>
      </x:c>
      <x:c r="W100" s="32" t="n">
        <x:v>0.5010454286257365519863143889</x:v>
      </x:c>
      <x:c r="X100" s="32" t="n">
        <x:v>0.5582588861433187606918836723</x:v>
      </x:c>
      <x:c r="Y100" s="32" t="n">
        <x:v>0.6213647595514160805930431477</x:v>
      </x:c>
      <x:c r="Z100" s="32" t="n">
        <x:v>0.6633719825128302604067667744</x:v>
      </x:c>
      <x:c r="AA100" s="23" t="n">
        <x:v>0.7074700627257175441931191789</x:v>
      </x:c>
      <x:c r="AB100" s="32" t="n">
        <x:v>0.7356015966546283976430336438</x:v>
      </x:c>
      <x:c r="AC100" s="32" t="n">
        <x:v>0.7595514160805930431476905531</x:v>
      </x:c>
      <x:c r="AD100" s="32" t="n">
        <x:v>0.7909142748526896027371222201</x:v>
      </x:c>
      <x:c r="AW100" s="33" t="s"/>
      <x:c r="AX100" s="11" t="s">
        <x:v>176</x:v>
      </x:c>
      <x:c r="AY100" s="12" t="n">
        <x:f>=BI100</x:f>
      </x:c>
      <x:c r="AZ100" s="12" t="n">
        <x:v>0.7909142748526896027371222201</x:v>
      </x:c>
      <x:c r="BA100" s="12" t="n">
        <x:v>0</x:v>
      </x:c>
      <x:c r="BB100" s="12" t="n">
        <x:v>0.2090857251473103972628777799</x:v>
      </x:c>
      <x:c r="BC100" s="12" t="n">
        <x:f>=BH100</x:f>
      </x:c>
      <x:c r="BD100" s="13" t="n">
        <x:f>=BQ100</x:f>
      </x:c>
      <x:c r="BE100" s="30" t="n">
        <x:v>38954.35</x:v>
      </x:c>
      <x:c r="BF100" s="30" t="n">
        <x:v>-31655.9264</x:v>
      </x:c>
      <x:c r="BG100" s="30" t="n">
        <x:f>=BE100+BF100</x:f>
      </x:c>
      <x:c r="BH100" s="66" t="n">
        <x:f>=BG100/BE100</x:f>
      </x:c>
      <x:c r="BI100" s="66" t="n">
        <x:v>0.7909142748526896027371222201</x:v>
      </x:c>
      <x:c r="BJ100" s="30" t="n">
        <x:v>31554.03</x:v>
      </x:c>
      <x:c r="BK100" s="41" t="n">
        <x:v>1100</x:v>
      </x:c>
      <x:c r="BL100" s="30" t="n">
        <x:v>6597.4972438699866945447633530</x:v>
      </x:c>
      <x:c r="BN100" s="30" t="n">
        <x:v>46008.277385578498022936070450</x:v>
      </x:c>
      <x:c r="BO100" s="30" t="n">
        <x:v>-31655.9264</x:v>
      </x:c>
      <x:c r="BP100" s="30" t="n">
        <x:f>=BN100+BO100</x:f>
      </x:c>
      <x:c r="BQ100" s="66" t="n">
        <x:f>=BP100/BN100</x:f>
      </x:c>
      <x:c r="BS100" s="66" t="n">
        <x:f>=BT100+BU100</x:f>
      </x:c>
      <x:c r="BT100" s="66" t="n">
        <x:f>=BI100+(0.0278147373756573528480010137*4)</x:f>
      </x:c>
      <x:c r="BU100" s="66" t="n">
        <x:f>=(1-BT100)*0.5</x:f>
      </x:c>
      <x:c r="BV100" s="66" t="n">
        <x:f>=1-BS100</x:f>
      </x:c>
      <x:c r="BX100" s="66" t="n">
        <x:f>=BU100/(1-BT100)</x:f>
      </x:c>
    </x:row>
    <x:row r="101">
      <x:c r="A101" s="31" t="s">
        <x:v>265</x:v>
      </x:c>
      <x:c r="B101" t="s"/>
      <x:c r="C101" t="s">
        <x:v>266</x:v>
      </x:c>
      <x:c r="D101" t="s">
        <x:v>131</x:v>
      </x:c>
      <x:c r="E101" s="69" t="s">
        <x:v>103</x:v>
      </x:c>
      <x:c r="F101" t="n">
        <x:v>1952</x:v>
      </x:c>
      <x:c r="G101" s="32" t="n">
        <x:v>0.0051229508196721311475409836</x:v>
      </x:c>
      <x:c r="H101" s="32" t="n">
        <x:v>0.0040983606557377049180327869</x:v>
      </x:c>
      <x:c r="I101" s="32" t="n">
        <x:v>0.0010245901639344262295081967</x:v>
      </x:c>
      <x:c r="J101" s="32" t="n">
        <x:v>0.0020491803278688524590163934</x:v>
      </x:c>
      <x:c r="K101" s="32" t="n">
        <x:v>0.0169057377049180327868852459</x:v>
      </x:c>
      <x:c r="L101" s="32" t="n">
        <x:v>0.0486680327868852459016393443</x:v>
      </x:c>
      <x:c r="M101" s="32" t="n">
        <x:v>0.1086065573770491803278688525</x:v>
      </x:c>
      <x:c r="N101" s="32" t="n">
        <x:v>0.1716188524590163934426229508</x:v>
      </x:c>
      <x:c r="O101" s="32" t="n">
        <x:v>0.2254098360655737704918032787</x:v>
      </x:c>
      <x:c r="P101" s="32" t="n">
        <x:v>0.2587090163934426229508196721</x:v>
      </x:c>
      <x:c r="Q101" s="32" t="n">
        <x:v>0.3186475409836065573770491803</x:v>
      </x:c>
      <x:c r="R101" s="32" t="n">
        <x:v>0.3872950819672131147540983607</x:v>
      </x:c>
      <x:c r="S101" s="32" t="n">
        <x:v>0.4482581967213114754098360656</x:v>
      </x:c>
      <x:c r="T101" s="32" t="n">
        <x:v>0.5189549180327868852459016393</x:v>
      </x:c>
      <x:c r="U101" s="32" t="n">
        <x:v>0.6080942622950819672131147541</x:v>
      </x:c>
      <x:c r="V101" s="32" t="n">
        <x:v>0.6685450819672131147540983607</x:v>
      </x:c>
      <x:c r="W101" s="23" t="n">
        <x:v>0.7028688524590163934426229508</x:v>
      </x:c>
      <x:c r="X101" s="32" t="n">
        <x:v>0.7479508196721311475409836066</x:v>
      </x:c>
      <x:c r="Y101" s="32" t="n">
        <x:v>0.7699795081967213114754098361</x:v>
      </x:c>
      <x:c r="Z101" s="32" t="n">
        <x:v>0.7873975409836065573770491803</x:v>
      </x:c>
      <x:c r="AA101" s="32" t="n">
        <x:v>0.8058401639344262295081967213</x:v>
      </x:c>
      <x:c r="AB101" s="32" t="n">
        <x:v>0.8104508196721311475409836066</x:v>
      </x:c>
      <x:c r="AW101" s="33" t="s"/>
      <x:c r="AX101" s="11" t="s">
        <x:v>117</x:v>
      </x:c>
      <x:c r="AY101" s="12" t="n">
        <x:f>=BI101</x:f>
      </x:c>
      <x:c r="AZ101" s="12" t="n">
        <x:v>0.8104508196721311475409836066</x:v>
      </x:c>
      <x:c r="BA101" s="12" t="n">
        <x:v>0</x:v>
      </x:c>
      <x:c r="BB101" s="12" t="n">
        <x:v>0.1895491803278688524590163934</x:v>
      </x:c>
      <x:c r="BC101" s="12" t="n">
        <x:f>=BH101</x:f>
      </x:c>
      <x:c r="BD101" s="13" t="n">
        <x:f>=BQ101</x:f>
      </x:c>
      <x:c r="BE101" s="30" t="n">
        <x:v>25239.78</x:v>
      </x:c>
      <x:c r="BF101" s="30" t="n">
        <x:v>-20781.00970</x:v>
      </x:c>
      <x:c r="BG101" s="30" t="n">
        <x:f>=BE101+BF101</x:f>
      </x:c>
      <x:c r="BH101" s="66" t="n">
        <x:f>=BG101/BE101</x:f>
      </x:c>
      <x:c r="BI101" s="66" t="n">
        <x:v>0.8104508196721311475409836066</x:v>
      </x:c>
      <x:c r="BJ101" s="30" t="n">
        <x:v>19157.45</x:v>
      </x:c>
      <x:c r="BK101" s="41" t="n">
        <x:v>370</x:v>
      </x:c>
      <x:c r="BL101" s="30" t="n">
        <x:v>3631.2789446721311475409836064</x:v>
      </x:c>
      <x:c r="BN101" s="30" t="n">
        <x:v>28271.963302192198297814207647</x:v>
      </x:c>
      <x:c r="BO101" s="30" t="n">
        <x:v>-20781.00970</x:v>
      </x:c>
      <x:c r="BP101" s="30" t="n">
        <x:f>=BN101+BO101</x:f>
      </x:c>
      <x:c r="BQ101" s="66" t="n">
        <x:f>=BP101/BN101</x:f>
      </x:c>
      <x:c r="BS101" s="66" t="n">
        <x:f>=BT101+BU101</x:f>
      </x:c>
      <x:c r="BT101" s="66" t="n">
        <x:f>=BI101+(0.0134904371584699453551912568*4)</x:f>
      </x:c>
      <x:c r="BU101" s="66" t="n">
        <x:f>=(1-BT101)*0.5</x:f>
      </x:c>
      <x:c r="BV101" s="66" t="n">
        <x:f>=1-BS101</x:f>
      </x:c>
      <x:c r="BX101" s="66" t="n">
        <x:f>=BU101/(1-BT101)</x:f>
      </x:c>
    </x:row>
    <x:row r="102">
      <x:c r="A102" s="31" t="s">
        <x:v>267</x:v>
      </x:c>
      <x:c r="B102" t="s"/>
      <x:c r="C102" t="s">
        <x:v>268</x:v>
      </x:c>
      <x:c r="D102" t="s">
        <x:v>131</x:v>
      </x:c>
      <x:c r="E102" s="69" t="s">
        <x:v>103</x:v>
      </x:c>
      <x:c r="F102" t="n">
        <x:v>3425</x:v>
      </x:c>
      <x:c r="G102" s="32" t="n">
        <x:v>0.0087591240875912408759124088</x:v>
      </x:c>
      <x:c r="H102" s="32" t="n">
        <x:v>0.0537226277372262773722627737</x:v>
      </x:c>
      <x:c r="I102" s="32" t="n">
        <x:v>0.1167883211678832116788321168</x:v>
      </x:c>
      <x:c r="J102" s="32" t="n">
        <x:v>0.1559124087591240875912408759</x:v>
      </x:c>
      <x:c r="K102" s="32" t="n">
        <x:v>0.2061313868613138686131386861</x:v>
      </x:c>
      <x:c r="L102" s="32" t="n">
        <x:v>0.2826277372262773722627737226</x:v>
      </x:c>
      <x:c r="M102" s="32" t="n">
        <x:v>0.3331386861313868613138686131</x:v>
      </x:c>
      <x:c r="N102" s="32" t="n">
        <x:v>0.3889051094890510948905109489</x:v>
      </x:c>
      <x:c r="O102" s="32" t="n">
        <x:v>0.4283211678832116788321167883</x:v>
      </x:c>
      <x:c r="P102" s="32" t="n">
        <x:v>0.4630656934306569343065693431</x:v>
      </x:c>
      <x:c r="Q102" s="32" t="n">
        <x:v>0.508029197080291970802919708</x:v>
      </x:c>
      <x:c r="R102" s="32" t="n">
        <x:v>0.5655474452554744525547445255</x:v>
      </x:c>
      <x:c r="S102" s="32" t="n">
        <x:v>0.6195620437956204379562043796</x:v>
      </x:c>
      <x:c r="T102" s="32" t="n">
        <x:v>0.6767883211678832116788321168</x:v>
      </x:c>
      <x:c r="U102" s="23" t="n">
        <x:v>0.7357664233576642335766423358</x:v>
      </x:c>
      <x:c r="V102" s="32" t="n">
        <x:v>0.795036496350364963503649635</x:v>
      </x:c>
      <x:c r="W102" s="32" t="n">
        <x:v>0.8312408759124087591240875912</x:v>
      </x:c>
      <x:c r="X102" s="32" t="n">
        <x:v>0.8569343065693430656934306569</x:v>
      </x:c>
      <x:c r="Y102" s="32" t="n">
        <x:v>0.8694890510948905109489051095</x:v>
      </x:c>
      <x:c r="AW102" s="33" t="s"/>
      <x:c r="AX102" s="11" t="s">
        <x:v>136</x:v>
      </x:c>
      <x:c r="AY102" s="12" t="n">
        <x:f>=BI102</x:f>
      </x:c>
      <x:c r="AZ102" s="12" t="n">
        <x:v>0.8694890510948905109489051095</x:v>
      </x:c>
      <x:c r="BA102" s="12" t="n">
        <x:v>0</x:v>
      </x:c>
      <x:c r="BB102" s="12" t="n">
        <x:v>0.1305109489051094890510948905</x:v>
      </x:c>
      <x:c r="BC102" s="12" t="n">
        <x:f>=BH102</x:f>
      </x:c>
      <x:c r="BD102" s="13" t="n">
        <x:f>=BQ102</x:f>
      </x:c>
      <x:c r="BE102" s="30" t="n">
        <x:v>25633.15</x:v>
      </x:c>
      <x:c r="BF102" s="30" t="n">
        <x:v>-18944.50640</x:v>
      </x:c>
      <x:c r="BG102" s="30" t="n">
        <x:f>=BE102+BF102</x:f>
      </x:c>
      <x:c r="BH102" s="66" t="n">
        <x:f>=BG102/BE102</x:f>
      </x:c>
      <x:c r="BI102" s="66" t="n">
        <x:v>0.8694890510948905109489051095</x:v>
      </x:c>
      <x:c r="BJ102" s="30" t="n">
        <x:v>17180.40</x:v>
      </x:c>
      <x:c r="BK102" s="41" t="n">
        <x:v>447</x:v>
      </x:c>
      <x:c r="BL102" s="30" t="n">
        <x:v>2242.2303065693430656934306569</x:v>
      </x:c>
      <x:c r="BN102" s="30" t="n">
        <x:v>28911.727948207290015510948902</x:v>
      </x:c>
      <x:c r="BO102" s="30" t="n">
        <x:v>-18944.50640</x:v>
      </x:c>
      <x:c r="BP102" s="30" t="n">
        <x:f>=BN102+BO102</x:f>
      </x:c>
      <x:c r="BQ102" s="66" t="n">
        <x:f>=BP102/BN102</x:f>
      </x:c>
      <x:c r="BS102" s="66" t="n">
        <x:f>=BT102+BU102</x:f>
      </x:c>
      <x:c r="BT102" s="66" t="n">
        <x:f>=BI102+(0.0248175182481751824817518248*4)</x:f>
      </x:c>
      <x:c r="BU102" s="66" t="n">
        <x:f>=(1-BT102)*0.5</x:f>
      </x:c>
      <x:c r="BV102" s="66" t="n">
        <x:f>=1-BS102</x:f>
      </x:c>
      <x:c r="BX102" s="66" t="n">
        <x:f>=BU102/(1-BT102)</x:f>
      </x:c>
    </x:row>
    <x:row r="103">
      <x:c r="A103" s="31" t="s">
        <x:v>269</x:v>
      </x:c>
      <x:c r="B103" t="s"/>
      <x:c r="C103" t="s">
        <x:v>270</x:v>
      </x:c>
      <x:c r="D103" t="s">
        <x:v>131</x:v>
      </x:c>
      <x:c r="E103" s="69" t="s">
        <x:v>103</x:v>
      </x:c>
      <x:c r="F103" t="n">
        <x:v>975</x:v>
      </x:c>
      <x:c r="G103" s="32" t="n">
        <x:v>0.0235897435897435897435897436</x:v>
      </x:c>
      <x:c r="H103" s="32" t="n">
        <x:v>0.0471794871794871794871794872</x:v>
      </x:c>
      <x:c r="I103" s="32" t="n">
        <x:v>0.0871794871794871794871794872</x:v>
      </x:c>
      <x:c r="J103" s="32" t="n">
        <x:v>0.1456410256410256410256410256</x:v>
      </x:c>
      <x:c r="K103" s="32" t="n">
        <x:v>0.2369230769230769230769230769</x:v>
      </x:c>
      <x:c r="L103" s="32" t="n">
        <x:v>0.3128205128205128205128205128</x:v>
      </x:c>
      <x:c r="M103" s="32" t="n">
        <x:v>0.4235897435897435897435897436</x:v>
      </x:c>
      <x:c r="N103" s="32" t="n">
        <x:v>0.5158974358974358974358974359</x:v>
      </x:c>
      <x:c r="O103" s="32" t="n">
        <x:v>0.6153846153846153846153846154</x:v>
      </x:c>
      <x:c r="P103" s="23" t="n">
        <x:v>0.7107692307692307692307692308</x:v>
      </x:c>
      <x:c r="Q103" s="32" t="n">
        <x:v>0.7641025641025641025641025641</x:v>
      </x:c>
      <x:c r="R103" s="32" t="n">
        <x:v>0.7866666666666666666666666667</x:v>
      </x:c>
      <x:c r="S103" s="32" t="n">
        <x:v>0.7907692307692307692307692308</x:v>
      </x:c>
      <x:c r="AW103" s="33" t="s"/>
      <x:c r="AX103" s="11" t="s">
        <x:v>271</x:v>
      </x:c>
      <x:c r="AY103" s="12" t="n">
        <x:f>=BI103</x:f>
      </x:c>
      <x:c r="AZ103" s="12" t="n">
        <x:v>0.7907692307692307692307692308</x:v>
      </x:c>
      <x:c r="BA103" s="12" t="n">
        <x:v>0</x:v>
      </x:c>
      <x:c r="BB103" s="12" t="n">
        <x:v>0.2092307692307692307692307692</x:v>
      </x:c>
      <x:c r="BC103" s="12" t="n">
        <x:f>=BH103</x:f>
      </x:c>
      <x:c r="BD103" s="13" t="n">
        <x:f>=BQ103</x:f>
      </x:c>
      <x:c r="BE103" s="30" t="n">
        <x:v>13717.94</x:v>
      </x:c>
      <x:c r="BF103" s="30" t="n">
        <x:v>-10540.92000</x:v>
      </x:c>
      <x:c r="BG103" s="30" t="n">
        <x:f>=BE103+BF103</x:f>
      </x:c>
      <x:c r="BH103" s="66" t="n">
        <x:f>=BG103/BE103</x:f>
      </x:c>
      <x:c r="BI103" s="66" t="n">
        <x:v>0.7907692307692307692307692308</x:v>
      </x:c>
      <x:c r="BJ103" s="30" t="n">
        <x:v>9720.00</x:v>
      </x:c>
      <x:c r="BK103" s="41" t="n">
        <x:v>204</x:v>
      </x:c>
      <x:c r="BL103" s="30" t="n">
        <x:v>2033.7230769230769230769230769</x:v>
      </x:c>
      <x:c r="BN103" s="30" t="n">
        <x:v>16082.038873726931730769230771</x:v>
      </x:c>
      <x:c r="BO103" s="30" t="n">
        <x:v>-10540.92000</x:v>
      </x:c>
      <x:c r="BP103" s="30" t="n">
        <x:f>=BN103+BO103</x:f>
      </x:c>
      <x:c r="BQ103" s="66" t="n">
        <x:f>=BP103/BN103</x:f>
      </x:c>
      <x:c r="BS103" s="66" t="n">
        <x:f>=BT103+BU103</x:f>
      </x:c>
      <x:c r="BT103" s="66" t="n">
        <x:f>=BI103+(0.0266666666666666666666666667*4)</x:f>
      </x:c>
      <x:c r="BU103" s="66" t="n">
        <x:f>=(1-BT103)*0.5</x:f>
      </x:c>
      <x:c r="BV103" s="66" t="n">
        <x:f>=1-BS103</x:f>
      </x:c>
      <x:c r="BX103" s="66" t="n">
        <x:f>=BU103/(1-BT103)</x:f>
      </x:c>
    </x:row>
    <x:row r="104">
      <x:c r="A104" s="31" t="s">
        <x:v>272</x:v>
      </x:c>
      <x:c r="B104" t="s"/>
      <x:c r="C104" t="s">
        <x:v>273</x:v>
      </x:c>
      <x:c r="D104" t="s">
        <x:v>131</x:v>
      </x:c>
      <x:c r="E104" s="69" t="s">
        <x:v>103</x:v>
      </x:c>
      <x:c r="F104" t="n">
        <x:v>972</x:v>
      </x:c>
      <x:c r="G104" s="32" t="n">
        <x:v>0.0606995884773662551440329218</x:v>
      </x:c>
      <x:c r="H104" s="32" t="n">
        <x:v>0.1851851851851851851851851852</x:v>
      </x:c>
      <x:c r="I104" s="32" t="n">
        <x:v>0.3076131687242798353909465021</x:v>
      </x:c>
      <x:c r="J104" s="32" t="n">
        <x:v>0.3611111111111111111111111111</x:v>
      </x:c>
      <x:c r="K104" s="32" t="n">
        <x:v>0.5637860082304526748971193416</x:v>
      </x:c>
      <x:c r="L104" s="32" t="n">
        <x:v>0.6820987654320987654320987654</x:v>
      </x:c>
      <x:c r="M104" s="23" t="n">
        <x:v>0.7633744855967078189300411523</x:v>
      </x:c>
      <x:c r="N104" s="32" t="n">
        <x:v>0.8024691358024691358024691358</x:v>
      </x:c>
      <x:c r="O104" s="32" t="n">
        <x:v>0.8220164609053497942386831276</x:v>
      </x:c>
      <x:c r="P104" s="32" t="n">
        <x:v>0.8425925925925925925925925926</x:v>
      </x:c>
      <x:c r="Q104" s="32" t="n">
        <x:v>0.8518518518518518518518518519</x:v>
      </x:c>
      <x:c r="AW104" s="33" t="s"/>
      <x:c r="AX104" s="11" t="s">
        <x:v>274</x:v>
      </x:c>
      <x:c r="AY104" s="12" t="n">
        <x:f>=BI104</x:f>
      </x:c>
      <x:c r="AZ104" s="12" t="n">
        <x:v>0.8518518518518518518518518519</x:v>
      </x:c>
      <x:c r="BA104" s="12" t="n">
        <x:v>0</x:v>
      </x:c>
      <x:c r="BB104" s="12" t="n">
        <x:v>0.1481481481481481481481481481</x:v>
      </x:c>
      <x:c r="BC104" s="12" t="n">
        <x:f>=BH104</x:f>
      </x:c>
      <x:c r="BD104" s="13" t="n">
        <x:f>=BQ104</x:f>
      </x:c>
      <x:c r="BE104" s="30" t="n">
        <x:v>12080.40</x:v>
      </x:c>
      <x:c r="BF104" s="30" t="n">
        <x:v>-9416.80400</x:v>
      </x:c>
      <x:c r="BG104" s="30" t="n">
        <x:f>=BE104+BF104</x:f>
      </x:c>
      <x:c r="BH104" s="66" t="n">
        <x:f>=BG104/BE104</x:f>
      </x:c>
      <x:c r="BI104" s="66" t="n">
        <x:v>0.8518518518518518518518518519</x:v>
      </x:c>
      <x:c r="BJ104" s="30" t="n">
        <x:v>8666.00</x:v>
      </x:c>
      <x:c r="BK104" s="41" t="n">
        <x:v>144</x:v>
      </x:c>
      <x:c r="BL104" s="30" t="n">
        <x:v>1283.8518518518518518518518518</x:v>
      </x:c>
      <x:c r="BN104" s="30" t="n">
        <x:v>13400.895649798391851851851850</x:v>
      </x:c>
      <x:c r="BO104" s="30" t="n">
        <x:v>-9416.80400</x:v>
      </x:c>
      <x:c r="BP104" s="30" t="n">
        <x:f>=BN104+BO104</x:f>
      </x:c>
      <x:c r="BQ104" s="66" t="n">
        <x:f>=BP104/BN104</x:f>
      </x:c>
      <x:c r="BS104" s="66" t="n">
        <x:f>=BT104+BU104</x:f>
      </x:c>
      <x:c r="BT104" s="66" t="n">
        <x:f>=BI104+(0.016460905349794238683127572*4)</x:f>
      </x:c>
      <x:c r="BU104" s="66" t="n">
        <x:f>=(1-BT104)*0.5</x:f>
      </x:c>
      <x:c r="BV104" s="66" t="n">
        <x:f>=1-BS104</x:f>
      </x:c>
      <x:c r="BX104" s="66" t="n">
        <x:f>=BU104/(1-BT104)</x:f>
      </x:c>
    </x:row>
    <x:row r="105">
      <x:c r="A105" s="31" t="s"/>
      <x:c r="AW105" s="33" t="s"/>
      <x:c r="AX105" s="11" t="s"/>
      <x:c r="BD105" s="13" t="s"/>
    </x:row>
    <x:row r="106">
      <x:c r="A106" s="17" t="s">
        <x:v>275</x:v>
      </x:c>
      <x:c r="AW106" s="33" t="s"/>
      <x:c r="AX106" s="11" t="s"/>
      <x:c r="BD106" s="13" t="s"/>
    </x:row>
    <x:row r="107">
      <x:c r="A107" s="31" t="s">
        <x:v>276</x:v>
      </x:c>
      <x:c r="B107" t="s"/>
      <x:c r="C107" t="s">
        <x:v>277</x:v>
      </x:c>
      <x:c r="D107" t="s">
        <x:v>131</x:v>
      </x:c>
      <x:c r="E107" s="69" t="s">
        <x:v>103</x:v>
      </x:c>
      <x:c r="F107" t="n">
        <x:v>1448</x:v>
      </x:c>
      <x:c r="G107" s="32" t="n">
        <x:v>0.0207182320441988950276243094</x:v>
      </x:c>
      <x:c r="H107" s="32" t="n">
        <x:v>0.0414364640883977900552486188</x:v>
      </x:c>
      <x:c r="I107" s="32" t="n">
        <x:v>0.078038674033149171270718232</x:v>
      </x:c>
      <x:c r="J107" s="32" t="n">
        <x:v>0.1222375690607734806629834254</x:v>
      </x:c>
      <x:c r="K107" s="32" t="n">
        <x:v>0.1312154696132596685082872928</x:v>
      </x:c>
      <x:c r="L107" s="32" t="n">
        <x:v>0.1429558011049723756906077348</x:v>
      </x:c>
      <x:c r="M107" s="32" t="n">
        <x:v>0.1429558011049723756906077348</x:v>
      </x:c>
      <x:c r="N107" s="32" t="n">
        <x:v>0.1540055248618784530386740331</x:v>
      </x:c>
      <x:c r="O107" s="32" t="n">
        <x:v>0.1705801104972375690607734807</x:v>
      </x:c>
      <x:c r="P107" s="32" t="n">
        <x:v>0.1912983425414364640883977901</x:v>
      </x:c>
      <x:c r="Q107" s="32" t="n">
        <x:v>0.2071823204419889502762430939</x:v>
      </x:c>
      <x:c r="R107" s="32" t="n">
        <x:v>0.2306629834254143646408839779</x:v>
      </x:c>
      <x:c r="S107" s="32" t="n">
        <x:v>0.2486187845303867403314917127</x:v>
      </x:c>
      <x:c r="T107" s="32" t="n">
        <x:v>0.2672651933701657458563535912</x:v>
      </x:c>
      <x:c r="U107" s="32" t="n">
        <x:v>0.2900552486187845303867403315</x:v>
      </x:c>
      <x:c r="V107" s="32" t="n">
        <x:v>0.3059392265193370165745856354</x:v>
      </x:c>
      <x:c r="W107" s="32" t="n">
        <x:v>0.3287292817679558011049723757</x:v>
      </x:c>
      <x:c r="X107" s="32" t="n">
        <x:v>0.3674033149171270718232044199</x:v>
      </x:c>
      <x:c r="Y107" s="32" t="n">
        <x:v>0.4074585635359116022099447514</x:v>
      </x:c>
      <x:c r="Z107" s="32" t="n">
        <x:v>0.4571823204419889502762430939</x:v>
      </x:c>
      <x:c r="AA107" s="32" t="n">
        <x:v>0.5103591160220994475138121547</x:v>
      </x:c>
      <x:c r="AB107" s="32" t="n">
        <x:v>0.5676795580110497237569060773</x:v>
      </x:c>
      <x:c r="AC107" s="32" t="n">
        <x:v>0.6111878453038674033149171271</x:v>
      </x:c>
      <x:c r="AD107" s="32" t="n">
        <x:v>0.6443370165745856353591160221</x:v>
      </x:c>
      <x:c r="AE107" s="32" t="n">
        <x:v>0.6664364640883977900552486188</x:v>
      </x:c>
      <x:c r="AF107" s="32" t="n">
        <x:v>0.6837016574585635359116022099</x:v>
      </x:c>
      <x:c r="AG107" s="32" t="n">
        <x:v>0.6864640883977900552486187845</x:v>
      </x:c>
      <x:c r="AW107" s="33" t="s"/>
      <x:c r="AX107" s="11" t="s">
        <x:v>278</x:v>
      </x:c>
      <x:c r="AY107" s="12" t="n">
        <x:f>=BI107</x:f>
      </x:c>
      <x:c r="AZ107" s="12" t="n">
        <x:v>0.6864640883977900552486187845</x:v>
      </x:c>
      <x:c r="BA107" s="12" t="n">
        <x:v>0</x:v>
      </x:c>
      <x:c r="BB107" s="12" t="n">
        <x:v>0.3135359116022099447513812155</x:v>
      </x:c>
      <x:c r="BC107" s="12" t="n">
        <x:f>=BH107</x:f>
      </x:c>
      <x:c r="BD107" s="13" t="n">
        <x:f>=BQ107</x:f>
      </x:c>
      <x:c r="BE107" s="30" t="n">
        <x:v>11003.11</x:v>
      </x:c>
      <x:c r="BF107" s="30" t="n">
        <x:v>-10439.42990</x:v>
      </x:c>
      <x:c r="BG107" s="30" t="n">
        <x:f>=BE107+BF107</x:f>
      </x:c>
      <x:c r="BH107" s="66" t="n">
        <x:f>=BG107/BE107</x:f>
      </x:c>
      <x:c r="BI107" s="66" t="n">
        <x:v>0.6864640883977900552486187845</x:v>
      </x:c>
      <x:c r="BJ107" s="30" t="n">
        <x:v>9543.15</x:v>
      </x:c>
      <x:c r="BK107" s="41" t="n">
        <x:v>454</x:v>
      </x:c>
      <x:c r="BL107" s="30" t="n">
        <x:v>2992.1202348066298342541436464</x:v>
      </x:c>
      <x:c r="BN107" s="30" t="n">
        <x:v>13107.091204582561540055248619</x:v>
      </x:c>
      <x:c r="BO107" s="30" t="n">
        <x:v>-10439.42990</x:v>
      </x:c>
      <x:c r="BP107" s="30" t="n">
        <x:f>=BN107+BO107</x:f>
      </x:c>
      <x:c r="BQ107" s="66" t="n">
        <x:f>=BP107/BN107</x:f>
      </x:c>
      <x:c r="BS107" s="66" t="n">
        <x:f>=BT107+BU107</x:f>
      </x:c>
      <x:c r="BT107" s="66" t="n">
        <x:f>=BI107+(0.0140423572744014732965009208*4)</x:f>
      </x:c>
      <x:c r="BU107" s="66" t="n">
        <x:f>=(1-BT107)*0.5</x:f>
      </x:c>
      <x:c r="BV107" s="66" t="n">
        <x:f>=1-BS107</x:f>
      </x:c>
      <x:c r="BX107" s="66" t="n">
        <x:f>=BU107/(1-BT107)</x:f>
      </x:c>
    </x:row>
    <x:row r="108">
      <x:c r="A108" s="31" t="s">
        <x:v>279</x:v>
      </x:c>
      <x:c r="B108" t="s"/>
      <x:c r="C108" t="s">
        <x:v>280</x:v>
      </x:c>
      <x:c r="D108" t="s">
        <x:v>131</x:v>
      </x:c>
      <x:c r="E108" s="69" t="s">
        <x:v>103</x:v>
      </x:c>
      <x:c r="F108" t="n">
        <x:v>1666</x:v>
      </x:c>
      <x:c r="G108" s="32" t="n">
        <x:v>0.0132052821128451380552220888</x:v>
      </x:c>
      <x:c r="H108" s="32" t="n">
        <x:v>0.0330132052821128451380552221</x:v>
      </x:c>
      <x:c r="I108" s="32" t="n">
        <x:v>0.0618247298919567827130852341</x:v>
      </x:c>
      <x:c r="J108" s="32" t="n">
        <x:v>0.0642256902761104441776710684</x:v>
      </x:c>
      <x:c r="K108" s="32" t="n">
        <x:v>0.0684273709483793517406962785</x:v>
      </x:c>
      <x:c r="L108" s="32" t="n">
        <x:v>0.0690276110444177671068427371</x:v>
      </x:c>
      <x:c r="M108" s="32" t="n">
        <x:v>0.0726290516206482593037214886</x:v>
      </x:c>
      <x:c r="N108" s="32" t="n">
        <x:v>0.0780312124849939975990396158</x:v>
      </x:c>
      <x:c r="O108" s="32" t="n">
        <x:v>0.0798319327731092436974789916</x:v>
      </x:c>
      <x:c r="P108" s="32" t="n">
        <x:v>0.0888355342136854741896758703</x:v>
      </x:c>
      <x:c r="Q108" s="32" t="n">
        <x:v>0.1038415366146458583433373349</x:v>
      </x:c>
      <x:c r="R108" s="32" t="n">
        <x:v>0.1176470588235294117647058824</x:v>
      </x:c>
      <x:c r="S108" s="32" t="n">
        <x:v>0.1350540216086434573829531813</x:v>
      </x:c>
      <x:c r="T108" s="32" t="n">
        <x:v>0.1524609843937575030012004802</x:v>
      </x:c>
      <x:c r="U108" s="32" t="n">
        <x:v>0.1848739495798319327731092437</x:v>
      </x:c>
      <x:c r="V108" s="32" t="n">
        <x:v>0.21188475390156062424969988</x:v>
      </x:c>
      <x:c r="W108" s="32" t="n">
        <x:v>0.2545018007202881152460984394</x:v>
      </x:c>
      <x:c r="X108" s="32" t="n">
        <x:v>0.3265306122448979591836734694</x:v>
      </x:c>
      <x:c r="Y108" s="32" t="n">
        <x:v>0.3877551020408163265306122449</x:v>
      </x:c>
      <x:c r="Z108" s="32" t="n">
        <x:v>0.4177671068427370948379351741</x:v>
      </x:c>
      <x:c r="AA108" s="32" t="n">
        <x:v>0.4399759903961584633853541417</x:v>
      </x:c>
      <x:c r="AB108" s="32" t="n">
        <x:v>0.4795918367346938775510204082</x:v>
      </x:c>
      <x:c r="AC108" s="32" t="n">
        <x:v>0.514405762304921968787515006</x:v>
      </x:c>
      <x:c r="AD108" s="32" t="n">
        <x:v>0.5342136854741896758703481393</x:v>
      </x:c>
      <x:c r="AE108" s="32" t="n">
        <x:v>0.5516206482593037214885954382</x:v>
      </x:c>
      <x:c r="AF108" s="32" t="n">
        <x:v>0.5612244897959183673469387755</x:v>
      </x:c>
      <x:c r="AW108" s="33" t="s"/>
      <x:c r="AX108" s="11" t="s">
        <x:v>168</x:v>
      </x:c>
      <x:c r="AY108" s="12" t="n">
        <x:f>=BI108</x:f>
      </x:c>
      <x:c r="AZ108" s="12" t="n">
        <x:v>0.5612244897959183673469387755</x:v>
      </x:c>
      <x:c r="BA108" s="12" t="n">
        <x:v>0</x:v>
      </x:c>
      <x:c r="BB108" s="12" t="n">
        <x:v>0.4387755102040816326530612245</x:v>
      </x:c>
      <x:c r="BC108" s="12" t="n">
        <x:f>=BH108</x:f>
      </x:c>
      <x:c r="BD108" s="13" t="n">
        <x:f>=BQ108</x:f>
      </x:c>
      <x:c r="BE108" s="30" t="n">
        <x:v>10296.81</x:v>
      </x:c>
      <x:c r="BF108" s="30" t="n">
        <x:v>-12003.81530</x:v>
      </x:c>
      <x:c r="BG108" s="30" t="n">
        <x:f>=BE108+BF108</x:f>
      </x:c>
      <x:c r="BH108" s="66" t="n">
        <x:f>=BG108/BE108</x:f>
      </x:c>
      <x:c r="BI108" s="66" t="n">
        <x:v>0.5612244897959183673469387755</x:v>
      </x:c>
      <x:c r="BJ108" s="30" t="n">
        <x:v>10973.05</x:v>
      </x:c>
      <x:c r="BK108" s="41" t="n">
        <x:v>731</x:v>
      </x:c>
      <x:c r="BL108" s="30" t="n">
        <x:v>4814.7056122448979591836734694</x:v>
      </x:c>
      <x:c r="BN108" s="30" t="n">
        <x:v>13476.573496370065168367346940</x:v>
      </x:c>
      <x:c r="BO108" s="30" t="n">
        <x:v>-12003.81530</x:v>
      </x:c>
      <x:c r="BP108" s="30" t="n">
        <x:f>=BN108+BO108</x:f>
      </x:c>
      <x:c r="BQ108" s="66" t="n">
        <x:f>=BP108/BN108</x:f>
      </x:c>
      <x:c r="BS108" s="66" t="n">
        <x:f>=BT108+BU108</x:f>
      </x:c>
      <x:c r="BT108" s="66" t="n">
        <x:f>=BI108+(0.0156062424969987995198079232*4)</x:f>
      </x:c>
      <x:c r="BU108" s="66" t="n">
        <x:f>=(1-BT108)*0.5</x:f>
      </x:c>
      <x:c r="BV108" s="66" t="n">
        <x:f>=1-BS108</x:f>
      </x:c>
      <x:c r="BX108" s="66" t="n">
        <x:f>=BU108/(1-BT108)</x:f>
      </x:c>
    </x:row>
    <x:row r="109">
      <x:c r="A109" s="31" t="s">
        <x:v>281</x:v>
      </x:c>
      <x:c r="B109" t="s"/>
      <x:c r="C109" t="s">
        <x:v>282</x:v>
      </x:c>
      <x:c r="D109" t="s">
        <x:v>131</x:v>
      </x:c>
      <x:c r="E109" s="69" t="s">
        <x:v>103</x:v>
      </x:c>
      <x:c r="F109" t="n">
        <x:v>2098</x:v>
      </x:c>
      <x:c r="G109" s="32" t="n">
        <x:v>0.0004766444232602478551000953</x:v>
      </x:c>
      <x:c r="H109" s="32" t="n">
        <x:v>0.0047664442326024785510009533</x:v>
      </x:c>
      <x:c r="I109" s="32" t="n">
        <x:v>0.0448045757864632983794089609</x:v>
      </x:c>
      <x:c r="J109" s="32" t="n">
        <x:v>0.0743565300285986653956148713</x:v>
      </x:c>
      <x:c r="K109" s="32" t="n">
        <x:v>0.073879885605338417540514776</x:v>
      </x:c>
      <x:c r="L109" s="32" t="n">
        <x:v>0.0776930409914204003813155386</x:v>
      </x:c>
      <x:c r="M109" s="32" t="n">
        <x:v>0.0872259294566253574833174452</x:v>
      </x:c>
      <x:c r="N109" s="32" t="n">
        <x:v>0.1153479504289799809342230696</x:v>
      </x:c>
      <x:c r="O109" s="32" t="n">
        <x:v>0.142040038131553860819828408</x:v>
      </x:c>
      <x:c r="P109" s="32" t="n">
        <x:v>0.1630123927550047664442326025</x:v>
      </x:c>
      <x:c r="Q109" s="32" t="n">
        <x:v>0.1882745471877979027645376549</x:v>
      </x:c>
      <x:c r="R109" s="32" t="n">
        <x:v>0.2125834127740705433746425167</x:v>
      </x:c>
      <x:c r="S109" s="32" t="n">
        <x:v>0.2259294566253574833174451859</x:v>
      </x:c>
      <x:c r="T109" s="32" t="n">
        <x:v>0.2445185891325071496663489037</x:v>
      </x:c>
      <x:c r="U109" s="32" t="n">
        <x:v>0.2650142993326978074356530029</x:v>
      </x:c>
      <x:c r="V109" s="32" t="n">
        <x:v>0.2850333651096282173498570067</x:v>
      </x:c>
      <x:c r="W109" s="32" t="n">
        <x:v>0.3169685414680648236415633937</x:v>
      </x:c>
      <x:c r="X109" s="32" t="n">
        <x:v>0.3436606291706387035271687321</x:v>
      </x:c>
      <x:c r="Y109" s="32" t="n">
        <x:v>0.3770257387988560533841754051</x:v>
      </x:c>
      <x:c r="Z109" s="32" t="n">
        <x:v>0.4280266920877025738798856053</x:v>
      </x:c>
      <x:c r="AA109" s="32" t="n">
        <x:v>0.465204957102001906577693041</x:v>
      </x:c>
      <x:c r="AB109" s="32" t="n">
        <x:v>0.5095328884652049571020019066</x:v>
      </x:c>
      <x:c r="AC109" s="32" t="n">
        <x:v>0.5505243088655862726406101049</x:v>
      </x:c>
      <x:c r="AD109" s="32" t="n">
        <x:v>0.5881792183031458531935176358</x:v>
      </x:c>
      <x:c r="AE109" s="32" t="n">
        <x:v>0.6191611058150619637750238322</x:v>
      </x:c>
      <x:c r="AW109" s="33" t="s"/>
      <x:c r="AX109" s="11" t="s">
        <x:v>173</x:v>
      </x:c>
      <x:c r="AY109" s="12" t="n">
        <x:f>=BI109</x:f>
      </x:c>
      <x:c r="AZ109" s="12" t="n">
        <x:v>0.6191611058150619637750238322</x:v>
      </x:c>
      <x:c r="BA109" s="12" t="n">
        <x:v>0</x:v>
      </x:c>
      <x:c r="BB109" s="12" t="n">
        <x:v>0.3808388941849380362249761678</x:v>
      </x:c>
      <x:c r="BC109" s="12" t="n">
        <x:f>=BH109</x:f>
      </x:c>
      <x:c r="BD109" s="13" t="n">
        <x:f>=BQ109</x:f>
      </x:c>
      <x:c r="BE109" s="30" t="n">
        <x:v>13305.83</x:v>
      </x:c>
      <x:c r="BF109" s="30" t="n">
        <x:v>-14745.32916</x:v>
      </x:c>
      <x:c r="BG109" s="30" t="n">
        <x:f>=BE109+BF109</x:f>
      </x:c>
      <x:c r="BH109" s="66" t="n">
        <x:f>=BG109/BE109</x:f>
      </x:c>
      <x:c r="BI109" s="66" t="n">
        <x:v>0.6191611058150619637750238322</x:v>
      </x:c>
      <x:c r="BJ109" s="30" t="n">
        <x:v>13470.26</x:v>
      </x:c>
      <x:c r="BK109" s="41" t="n">
        <x:v>799</x:v>
      </x:c>
      <x:c r="BL109" s="30" t="n">
        <x:v>5129.9989227836034318398474738</x:v>
      </x:c>
      <x:c r="BN109" s="30" t="n">
        <x:v>18035.725320497132561963775025</x:v>
      </x:c>
      <x:c r="BO109" s="30" t="n">
        <x:v>-14745.32916</x:v>
      </x:c>
      <x:c r="BP109" s="30" t="n">
        <x:f>=BN109+BO109</x:f>
      </x:c>
      <x:c r="BQ109" s="66" t="n">
        <x:f>=BP109/BN109</x:f>
      </x:c>
      <x:c r="BS109" s="66" t="n">
        <x:f>=BT109+BU109</x:f>
      </x:c>
      <x:c r="BT109" s="66" t="n">
        <x:f>=BI109+(0.0365427391166190022243406419*4)</x:f>
      </x:c>
      <x:c r="BU109" s="66" t="n">
        <x:f>=(1-BT109)*0.5</x:f>
      </x:c>
      <x:c r="BV109" s="66" t="n">
        <x:f>=1-BS109</x:f>
      </x:c>
      <x:c r="BX109" s="66" t="n">
        <x:f>=BU109/(1-BT109)</x:f>
      </x:c>
    </x:row>
    <x:row r="110">
      <x:c r="A110" s="31" t="s">
        <x:v>283</x:v>
      </x:c>
      <x:c r="B110" t="s"/>
      <x:c r="C110" t="s">
        <x:v>284</x:v>
      </x:c>
      <x:c r="D110" t="s">
        <x:v>285</x:v>
      </x:c>
      <x:c r="E110" s="69" t="s">
        <x:v>103</x:v>
      </x:c>
      <x:c r="F110" t="n">
        <x:v>5252</x:v>
      </x:c>
      <x:c r="G110" s="32" t="n">
        <x:v>0.0041888804265041888804265042</x:v>
      </x:c>
      <x:c r="H110" s="32" t="n">
        <x:v>0.0186595582635186595582635187</x:v>
      </x:c>
      <x:c r="I110" s="32" t="n">
        <x:v>0.0262757044935262757044935263</x:v>
      </x:c>
      <x:c r="J110" s="32" t="n">
        <x:v>0.0251332825590251332825590251</x:v>
      </x:c>
      <x:c r="K110" s="32" t="n">
        <x:v>0.0257044935262757044935262757</x:v>
      </x:c>
      <x:c r="L110" s="32" t="n">
        <x:v>0.027037319116527037319116527</x:v>
      </x:c>
      <x:c r="M110" s="32" t="n">
        <x:v>0.0344630616907844630616907845</x:v>
      </x:c>
      <x:c r="N110" s="32" t="n">
        <x:v>0.0436024371667936024371667936</x:v>
      </x:c>
      <x:c r="O110" s="32" t="n">
        <x:v>0.0489337395277989337395277989</x:v>
      </x:c>
      <x:c r="P110" s="32" t="n">
        <x:v>0.0546458492003046458492003046</x:v>
      </x:c>
      <x:c r="Q110" s="32" t="n">
        <x:v>0.0584539223153084539223153085</x:v>
      </x:c>
      <x:c r="R110" s="32" t="n">
        <x:v>0.0664508758568164508758568165</x:v>
      </x:c>
      <x:c r="S110" s="32" t="n">
        <x:v>0.0795887281035795887281035796</x:v>
      </x:c>
      <x:c r="T110" s="32" t="n">
        <x:v>0.11995430312261995430312262</x:v>
      </x:c>
      <x:c r="U110" s="32" t="n">
        <x:v>0.150990099009900990099009901</x:v>
      </x:c>
      <x:c r="V110" s="32" t="n">
        <x:v>0.1707920792079207920792079208</x:v>
      </x:c>
      <x:c r="W110" s="32" t="n">
        <x:v>0.2159177456207159177456207159</x:v>
      </x:c>
      <x:c r="X110" s="32" t="n">
        <x:v>0.2667555217060167555217060168</x:v>
      </x:c>
      <x:c r="Y110" s="32" t="n">
        <x:v>0.3021706016755521706016755522</x:v>
      </x:c>
      <x:c r="Z110" s="32" t="n">
        <x:v>0.3271134805788271134805788271</x:v>
      </x:c>
      <x:c r="AA110" s="32" t="n">
        <x:v>0.3808073115003808073115003808</x:v>
      </x:c>
      <x:c r="AB110" s="32" t="n">
        <x:v>0.4345011424219345011424219345</x:v>
      </x:c>
      <x:c r="AC110" s="32" t="n">
        <x:v>0.4881949733434881949733434882</x:v>
      </x:c>
      <x:c r="AD110" s="32" t="n">
        <x:v>0.5597867479055597867479055598</x:v>
      </x:c>
      <x:c r="AW110" s="33" t="s"/>
      <x:c r="AX110" s="11" t="s">
        <x:v>176</x:v>
      </x:c>
      <x:c r="AY110" s="12" t="n">
        <x:f>=BI110</x:f>
      </x:c>
      <x:c r="AZ110" s="12" t="n">
        <x:v>0.5597867479055597867479055598</x:v>
      </x:c>
      <x:c r="BA110" s="12" t="n">
        <x:v>0</x:v>
      </x:c>
      <x:c r="BB110" s="12" t="n">
        <x:v>0.4402132520944402132520944402</x:v>
      </x:c>
      <x:c r="BC110" s="12" t="n">
        <x:f>=BH110</x:f>
      </x:c>
      <x:c r="BD110" s="13" t="n">
        <x:f>=BQ110</x:f>
      </x:c>
      <x:c r="BE110" s="30" t="n">
        <x:v>66227.20</x:v>
      </x:c>
      <x:c r="BF110" s="30" t="n">
        <x:v>-86132.0988</x:v>
      </x:c>
      <x:c r="BG110" s="30" t="n">
        <x:f>=BE110+BF110</x:f>
      </x:c>
      <x:c r="BH110" s="66" t="n">
        <x:f>=BG110/BE110</x:f>
      </x:c>
      <x:c r="BI110" s="66" t="n">
        <x:v>0.5597867479055597867479055598</x:v>
      </x:c>
      <x:c r="BJ110" s="30" t="n">
        <x:v>78885.40</x:v>
      </x:c>
      <x:c r="BK110" s="41" t="n">
        <x:v>2312</x:v>
      </x:c>
      <x:c r="BL110" s="30" t="n">
        <x:v>34726.398476770753998476770754</x:v>
      </x:c>
      <x:c r="BN110" s="30" t="n">
        <x:v>103451.65907699862822645341459</x:v>
      </x:c>
      <x:c r="BO110" s="30" t="n">
        <x:v>-86132.0988</x:v>
      </x:c>
      <x:c r="BP110" s="30" t="n">
        <x:f>=BN110+BO110</x:f>
      </x:c>
      <x:c r="BQ110" s="66" t="n">
        <x:f>=BP110/BN110</x:f>
      </x:c>
      <x:c r="BS110" s="66" t="n">
        <x:f>=BT110+BU110</x:f>
      </x:c>
      <x:c r="BT110" s="66" t="n">
        <x:f>=BI110+(0.0596598121350596598121350597*4)</x:f>
      </x:c>
      <x:c r="BU110" s="66" t="n">
        <x:f>=(1-BT110)*0.5</x:f>
      </x:c>
      <x:c r="BV110" s="66" t="n">
        <x:f>=1-BS110</x:f>
      </x:c>
      <x:c r="BX110" s="66" t="n">
        <x:f>=BU110/(1-BT110)</x:f>
      </x:c>
    </x:row>
    <x:row r="111">
      <x:c r="A111" s="31" t="s">
        <x:v>286</x:v>
      </x:c>
      <x:c r="B111" t="s"/>
      <x:c r="C111" t="s">
        <x:v>287</x:v>
      </x:c>
      <x:c r="D111" t="s">
        <x:v>102</x:v>
      </x:c>
      <x:c r="E111" s="69" t="s">
        <x:v>103</x:v>
      </x:c>
      <x:c r="F111" t="n">
        <x:v>3155</x:v>
      </x:c>
      <x:c r="G111" s="32" t="n">
        <x:v>0.035182250396196513470681458</x:v>
      </x:c>
      <x:c r="H111" s="32" t="n">
        <x:v>0.0732171156893819334389857369</x:v>
      </x:c>
      <x:c r="I111" s="32" t="n">
        <x:v>0.0751188589540412044374009509</x:v>
      </x:c>
      <x:c r="J111" s="32" t="n">
        <x:v>0.0751188589540412044374009509</x:v>
      </x:c>
      <x:c r="K111" s="32" t="n">
        <x:v>0.0751188589540412044374009509</x:v>
      </x:c>
      <x:c r="L111" s="32" t="n">
        <x:v>0.0751188589540412044374009509</x:v>
      </x:c>
      <x:c r="M111" s="32" t="n">
        <x:v>0.0751188589540412044374009509</x:v>
      </x:c>
      <x:c r="N111" s="32" t="n">
        <x:v>0.0751188589540412044374009509</x:v>
      </x:c>
      <x:c r="O111" s="32" t="n">
        <x:v>0.0751188589540412044374009509</x:v>
      </x:c>
      <x:c r="P111" s="32" t="n">
        <x:v>0.0751188589540412044374009509</x:v>
      </x:c>
      <x:c r="Q111" s="32" t="n">
        <x:v>0.0751188589540412044374009509</x:v>
      </x:c>
      <x:c r="R111" s="32" t="n">
        <x:v>0.0751188589540412044374009509</x:v>
      </x:c>
      <x:c r="S111" s="32" t="n">
        <x:v>0.0751188589540412044374009509</x:v>
      </x:c>
      <x:c r="T111" s="32" t="n">
        <x:v>0.0776545166402535657686212361</x:v>
      </x:c>
      <x:c r="U111" s="32" t="n">
        <x:v>0.0973058637083993660855784469</x:v>
      </x:c>
      <x:c r="V111" s="32" t="n">
        <x:v>0.1188589540412044374009508716</x:v>
      </x:c>
      <x:c r="W111" s="32" t="n">
        <x:v>0.1920760697305863708399366086</x:v>
      </x:c>
      <x:c r="X111" s="32" t="n">
        <x:v>0.3169572107765451664025356577</x:v>
      </x:c>
      <x:c r="Y111" s="32" t="n">
        <x:v>0.3980982567353407290015847861</x:v>
      </x:c>
      <x:c r="Z111" s="32" t="n">
        <x:v>0.4656101426307448494453248811</x:v>
      </x:c>
      <x:c r="AA111" s="32" t="n">
        <x:v>0.5213946117274167987321711569</x:v>
      </x:c>
      <x:c r="AB111" s="32" t="n">
        <x:v>0.554675118858954041204437401</x:v>
      </x:c>
      <x:c r="AC111" s="32" t="n">
        <x:v>0.5851030110935023771790808241</x:v>
      </x:c>
      <x:c r="AD111" s="32" t="n">
        <x:v>0.6418383518225039619651347068</x:v>
      </x:c>
      <x:c r="AW111" s="33" t="s"/>
      <x:c r="AX111" s="11" t="s">
        <x:v>176</x:v>
      </x:c>
      <x:c r="AY111" s="12" t="n">
        <x:f>=BI111</x:f>
      </x:c>
      <x:c r="AZ111" s="12" t="n">
        <x:v>0.6418383518225039619651347068</x:v>
      </x:c>
      <x:c r="BA111" s="12" t="n">
        <x:v>0</x:v>
      </x:c>
      <x:c r="BB111" s="12" t="n">
        <x:v>0.3581616481774960380348652932</x:v>
      </x:c>
      <x:c r="BC111" s="12" t="n">
        <x:f>=BH111</x:f>
      </x:c>
      <x:c r="BD111" s="13" t="n">
        <x:f>=BQ111</x:f>
      </x:c>
      <x:c r="BE111" s="30" t="n">
        <x:v>7276.05</x:v>
      </x:c>
      <x:c r="BF111" s="30" t="n">
        <x:v>-6630.1402</x:v>
      </x:c>
      <x:c r="BG111" s="30" t="n">
        <x:f>=BE111+BF111</x:f>
      </x:c>
      <x:c r="BH111" s="66" t="n">
        <x:f>=BG111/BE111</x:f>
      </x:c>
      <x:c r="BI111" s="66" t="n">
        <x:v>0.6418383518225039619651347068</x:v>
      </x:c>
      <x:c r="BJ111" s="30" t="n">
        <x:v>6253.31</x:v>
      </x:c>
      <x:c r="BK111" s="41" t="n">
        <x:v>1130</x:v>
      </x:c>
      <x:c r="BL111" s="30" t="n">
        <x:v>2239.6958161648177496038034866</x:v>
      </x:c>
      <x:c r="BN111" s="30" t="n">
        <x:v>9750.220834381116253961965136</x:v>
      </x:c>
      <x:c r="BO111" s="30" t="n">
        <x:v>-6630.1402</x:v>
      </x:c>
      <x:c r="BP111" s="30" t="n">
        <x:f>=BN111+BO111</x:f>
      </x:c>
      <x:c r="BQ111" s="66" t="n">
        <x:f>=BP111/BN111</x:f>
      </x:c>
      <x:c r="BS111" s="66" t="n">
        <x:f>=BT111+BU111</x:f>
      </x:c>
      <x:c r="BT111" s="66" t="n">
        <x:f>=BI111+(0.04014791336502905441098785*4)</x:f>
      </x:c>
      <x:c r="BU111" s="66" t="n">
        <x:f>=(1-BT111)*0.5</x:f>
      </x:c>
      <x:c r="BV111" s="66" t="n">
        <x:f>=1-BS111</x:f>
      </x:c>
      <x:c r="BX111" s="66" t="n">
        <x:f>=BU111/(1-BT111)</x:f>
      </x:c>
    </x:row>
    <x:row r="112">
      <x:c r="A112" s="31" t="s">
        <x:v>288</x:v>
      </x:c>
      <x:c r="B112" t="s"/>
      <x:c r="C112" t="s">
        <x:v>289</x:v>
      </x:c>
      <x:c r="D112" t="s">
        <x:v>102</x:v>
      </x:c>
      <x:c r="E112" s="69" t="s">
        <x:v>103</x:v>
      </x:c>
      <x:c r="F112" t="n">
        <x:v>2828</x:v>
      </x:c>
      <x:c r="G112" s="32" t="n">
        <x:v>0.0014144271570014144271570014</x:v>
      </x:c>
      <x:c r="H112" s="32" t="n">
        <x:v>0.0258132956152758132956152758</x:v>
      </x:c>
      <x:c r="I112" s="32" t="n">
        <x:v>0.0912305516265912305516265912</x:v>
      </x:c>
      <x:c r="J112" s="32" t="n">
        <x:v>0.1615983026874115983026874116</x:v>
      </x:c>
      <x:c r="K112" s="32" t="n">
        <x:v>0.239038189533239038189533239</x:v>
      </x:c>
      <x:c r="L112" s="32" t="n">
        <x:v>0.318953323903818953323903819</x:v>
      </x:c>
      <x:c r="M112" s="32" t="n">
        <x:v>0.3716407355021216407355021216</x:v>
      </x:c>
      <x:c r="N112" s="32" t="n">
        <x:v>0.4462517680339462517680339463</x:v>
      </x:c>
      <x:c r="O112" s="32" t="n">
        <x:v>0.5102545968882602545968882603</x:v>
      </x:c>
      <x:c r="P112" s="32" t="n">
        <x:v>0.5583451202263083451202263083</x:v>
      </x:c>
      <x:c r="Q112" s="32" t="n">
        <x:v>0.5997171145685997171145685997</x:v>
      </x:c>
      <x:c r="R112" s="32" t="n">
        <x:v>0.6311881188118811881188118812</x:v>
      </x:c>
      <x:c r="S112" s="32" t="n">
        <x:v>0.6516973125884016973125884017</x:v>
      </x:c>
      <x:c r="AW112" s="33" t="s"/>
      <x:c r="AX112" s="11" t="s">
        <x:v>271</x:v>
      </x:c>
      <x:c r="AY112" s="12" t="n">
        <x:f>=BI112</x:f>
      </x:c>
      <x:c r="AZ112" s="12" t="n">
        <x:v>0.6516973125884016973125884017</x:v>
      </x:c>
      <x:c r="BA112" s="12" t="n">
        <x:v>0</x:v>
      </x:c>
      <x:c r="BB112" s="12" t="n">
        <x:v>0.3483026874115983026874115983</x:v>
      </x:c>
      <x:c r="BC112" s="12" t="n">
        <x:f>=BH112</x:f>
      </x:c>
      <x:c r="BD112" s="13" t="n">
        <x:f>=BQ112</x:f>
      </x:c>
      <x:c r="BE112" s="30" t="n">
        <x:v>19012.95</x:v>
      </x:c>
      <x:c r="BF112" s="30" t="n">
        <x:v>-16131.1459</x:v>
      </x:c>
      <x:c r="BG112" s="30" t="n">
        <x:f>=BE112+BF112</x:f>
      </x:c>
      <x:c r="BH112" s="66" t="n">
        <x:f>=BG112/BE112</x:f>
      </x:c>
      <x:c r="BI112" s="66" t="n">
        <x:v>0.6516973125884016973125884017</x:v>
      </x:c>
      <x:c r="BJ112" s="30" t="n">
        <x:v>16191.27</x:v>
      </x:c>
      <x:c r="BK112" s="41" t="n">
        <x:v>985</x:v>
      </x:c>
      <x:c r="BL112" s="30" t="n">
        <x:v>5639.4628536067892503536067892</x:v>
      </x:c>
      <x:c r="BN112" s="30" t="n">
        <x:v>24469.438168187936276697312588</x:v>
      </x:c>
      <x:c r="BO112" s="30" t="n">
        <x:v>-16131.1459</x:v>
      </x:c>
      <x:c r="BP112" s="30" t="n">
        <x:f>=BN112+BO112</x:f>
      </x:c>
      <x:c r="BQ112" s="66" t="n">
        <x:f>=BP112/BN112</x:f>
      </x:c>
      <x:c r="BS112" s="66" t="n">
        <x:f>=BT112+BU112</x:f>
      </x:c>
      <x:c r="BT112" s="66" t="n">
        <x:f>=BI112+(0.0311173974540311173974540311*4)</x:f>
      </x:c>
      <x:c r="BU112" s="66" t="n">
        <x:f>=(1-BT112)*0.5</x:f>
      </x:c>
      <x:c r="BV112" s="66" t="n">
        <x:f>=1-BS112</x:f>
      </x:c>
      <x:c r="BX112" s="66" t="n">
        <x:f>=BU112/(1-BT112)</x:f>
      </x:c>
    </x:row>
    <x:row r="113">
      <x:c r="A113" s="31" t="s">
        <x:v>290</x:v>
      </x:c>
      <x:c r="B113" t="s"/>
      <x:c r="C113" t="s">
        <x:v>291</x:v>
      </x:c>
      <x:c r="D113" t="s">
        <x:v>147</x:v>
      </x:c>
      <x:c r="E113" s="69" t="s">
        <x:v>103</x:v>
      </x:c>
      <x:c r="F113" t="n">
        <x:v>2626</x:v>
      </x:c>
      <x:c r="G113" s="32" t="n">
        <x:v>0.0171363290175171363290175171</x:v>
      </x:c>
      <x:c r="H113" s="32" t="n">
        <x:v>0.0594059405940594059405940594</x:v>
      </x:c>
      <x:c r="I113" s="32" t="n">
        <x:v>0.1180502665651180502665651181</x:v>
      </x:c>
      <x:c r="J113" s="32" t="n">
        <x:v>0.2136329017517136329017517136</x:v>
      </x:c>
      <x:c r="K113" s="32" t="n">
        <x:v>0.353008377760853008377760853</x:v>
      </x:c>
      <x:c r="L113" s="32" t="n">
        <x:v>0.4257425742574257425742574257</x:v>
      </x:c>
      <x:c r="M113" s="32" t="n">
        <x:v>0.5175171363290175171363290175</x:v>
      </x:c>
      <x:c r="N113" s="32" t="n">
        <x:v>0.6035795887281035795887281036</x:v>
      </x:c>
      <x:c r="O113" s="32" t="n">
        <x:v>0.6416603198781416603198781417</x:v>
      </x:c>
      <x:c r="P113" s="32" t="n">
        <x:v>0.6572734196496572734196496573</x:v>
      </x:c>
      <x:c r="Q113" s="32" t="n">
        <x:v>0.6690784463061690784463061691</x:v>
      </x:c>
      <x:c r="R113" s="32" t="n">
        <x:v>0.6850723533891850723533891851</x:v>
      </x:c>
      <x:c r="AW113" s="33" t="s"/>
      <x:c r="AX113" s="11" t="s">
        <x:v>234</x:v>
      </x:c>
      <x:c r="AY113" s="12" t="n">
        <x:f>=BI113</x:f>
      </x:c>
      <x:c r="AZ113" s="12" t="n">
        <x:v>0.6850723533891850723533891851</x:v>
      </x:c>
      <x:c r="BA113" s="12" t="n">
        <x:v>0</x:v>
      </x:c>
      <x:c r="BB113" s="12" t="n">
        <x:v>0.3149276466108149276466108149</x:v>
      </x:c>
      <x:c r="BC113" s="12" t="n">
        <x:f>=BH113</x:f>
      </x:c>
      <x:c r="BD113" s="13" t="n">
        <x:f>=BQ113</x:f>
      </x:c>
      <x:c r="BE113" s="30" t="n">
        <x:v>21506.81</x:v>
      </x:c>
      <x:c r="BF113" s="30" t="n">
        <x:v>-20135.7764</x:v>
      </x:c>
      <x:c r="BG113" s="30" t="n">
        <x:f>=BE113+BF113</x:f>
      </x:c>
      <x:c r="BH113" s="66" t="n">
        <x:f>=BG113/BE113</x:f>
      </x:c>
      <x:c r="BI113" s="66" t="n">
        <x:v>0.6850723533891850723533891851</x:v>
      </x:c>
      <x:c r="BJ113" s="30" t="n">
        <x:v>17576.50</x:v>
      </x:c>
      <x:c r="BK113" s="41" t="n">
        <x:v>827</x:v>
      </x:c>
      <x:c r="BL113" s="30" t="n">
        <x:v>5535.3257806549885757806549886</x:v>
      </x:c>
      <x:c r="BN113" s="30" t="n">
        <x:v>25807.722517387409185072353390</x:v>
      </x:c>
      <x:c r="BO113" s="30" t="n">
        <x:v>-20135.7764</x:v>
      </x:c>
      <x:c r="BP113" s="30" t="n">
        <x:f>=BN113+BO113</x:f>
      </x:c>
      <x:c r="BQ113" s="66" t="n">
        <x:f>=BP113/BN113</x:f>
      </x:c>
      <x:c r="BS113" s="66" t="n">
        <x:f>=BT113+BU113</x:f>
      </x:c>
      <x:c r="BT113" s="66" t="n">
        <x:f>=BI113+(0.0144706778370144706778370145*4)</x:f>
      </x:c>
      <x:c r="BU113" s="66" t="n">
        <x:f>=(1-BT113)*0.5</x:f>
      </x:c>
      <x:c r="BV113" s="66" t="n">
        <x:f>=1-BS113</x:f>
      </x:c>
      <x:c r="BX113" s="66" t="n">
        <x:f>=BU113/(1-BT113)</x:f>
      </x:c>
    </x:row>
    <x:row r="114">
      <x:c r="A114" s="31" t="s"/>
      <x:c r="AW114" s="33" t="s"/>
      <x:c r="AX114" s="11" t="s"/>
      <x:c r="BD114" s="13" t="s"/>
    </x:row>
    <x:row r="115">
      <x:c r="A115" s="17" t="s">
        <x:v>254</x:v>
      </x:c>
      <x:c r="AW115" s="33" t="s"/>
      <x:c r="AX115" s="11" t="s"/>
      <x:c r="BD115" s="13" t="s"/>
    </x:row>
    <x:row r="116">
      <x:c r="A116" s="31" t="s">
        <x:v>292</x:v>
      </x:c>
      <x:c r="B116" t="s"/>
      <x:c r="C116" t="s">
        <x:v>293</x:v>
      </x:c>
      <x:c r="D116" t="s">
        <x:v>285</x:v>
      </x:c>
      <x:c r="E116" s="69" t="s">
        <x:v>103</x:v>
      </x:c>
      <x:c r="F116" t="n">
        <x:v>3051</x:v>
      </x:c>
      <x:c r="G116" s="32" t="n">
        <x:v>0.0009832841691248770894788594</x:v>
      </x:c>
      <x:c r="H116" s="32" t="n">
        <x:v>0.0127826941986234021632251721</x:v>
      </x:c>
      <x:c r="I116" s="32" t="n">
        <x:v>0.0219600131104555883316945264</x:v>
      </x:c>
      <x:c r="J116" s="32" t="n">
        <x:v>0.0380203212061619141265158964</x:v>
      </x:c>
      <x:c r="K116" s="32" t="n">
        <x:v>0.0606358570960340871845296624</x:v>
      </x:c>
      <x:c r="L116" s="32" t="n">
        <x:v>0.0825958702064896755162241888</x:v>
      </x:c>
      <x:c r="M116" s="32" t="n">
        <x:v>0.0894788593903638151425762045</x:v>
      </x:c>
      <x:c r="N116" s="32" t="n">
        <x:v>0.0924287118977384464110127827</x:v>
      </x:c>
      <x:c r="O116" s="32" t="n">
        <x:v>0.0940675188462799082268108817</x:v>
      </x:c>
      <x:c r="P116" s="32" t="n">
        <x:v>0.0970173713536545394952474598</x:v>
      </x:c>
      <x:c r="Q116" s="32" t="n">
        <x:v>0.0966896099639462471320878401</x:v>
      </x:c>
      <x:c r="R116" s="32" t="n">
        <x:v>0.0966896099639462471320878401</x:v>
      </x:c>
      <x:c r="S116" s="32" t="n">
        <x:v>0.0980006555227794165847263192</x:v>
      </x:c>
      <x:c r="T116" s="32" t="n">
        <x:v>0.0989839396919042936742051786</x:v>
      </x:c>
      <x:c r="U116" s="32" t="n">
        <x:v>0.0993117010816125860373647984</x:v>
      </x:c>
      <x:c r="V116" s="32" t="n">
        <x:v>0.1002949852507374631268436578</x:v>
      </x:c>
      <x:c r="W116" s="32" t="n">
        <x:v>0.1019337921992789249426417568</x:v>
      </x:c>
      <x:c r="X116" s="32" t="n">
        <x:v>0.1039003605375286791215994756</x:v>
      </x:c>
      <x:c r="Y116" s="32" t="n">
        <x:v>0.1055391674860701409373975746</x:v>
      </x:c>
      <x:c r="Z116" s="32" t="n">
        <x:v>0.1078334972140281874795149131</x:v>
      </x:c>
      <x:c r="AA116" s="32" t="n">
        <x:v>0.1098000655522779416584726319</x:v>
      </x:c>
      <x:c r="AB116" s="32" t="n">
        <x:v>0.1120943952802359882005899705</x:v>
      </x:c>
      <x:c r="AC116" s="32" t="n">
        <x:v>0.1166830547361520812848246477</x:v>
      </x:c>
      <x:c r="AD116" s="32" t="n">
        <x:v>0.125860373647984267453294002</x:v>
      </x:c>
      <x:c r="AE116" s="32" t="n">
        <x:v>0.1409373975745657161586365126</x:v>
      </x:c>
      <x:c r="AF116" s="32" t="n">
        <x:v>0.1543756145526057030481809243</x:v>
      </x:c>
      <x:c r="AG116" s="32" t="n">
        <x:v>0.1737135365453949524745984923</x:v>
      </x:c>
      <x:c r="AH116" s="32" t="n">
        <x:v>0.1828908554572271386430678466</x:v>
      </x:c>
      <x:c r="AI116" s="32" t="n">
        <x:v>0.1976401179941002949852507375</x:v>
      </x:c>
      <x:c r="AJ116" s="32" t="n">
        <x:v>0.2143559488692232055063913471</x:v>
      </x:c>
      <x:c r="AK116" s="32" t="n">
        <x:v>0.2363159619796787938380858735</x:v>
      </x:c>
      <x:c r="AW116" s="33" t="s"/>
      <x:c r="AX116" s="11" t="s">
        <x:v>241</x:v>
      </x:c>
      <x:c r="AY116" s="12" t="n">
        <x:f>=BI116</x:f>
      </x:c>
      <x:c r="AZ116" s="12" t="n">
        <x:v>0.2363159619796787938380858735</x:v>
      </x:c>
      <x:c r="BA116" s="12" t="n">
        <x:v>0</x:v>
      </x:c>
      <x:c r="BB116" s="12" t="n">
        <x:v>0.7636840380203212061619141265</x:v>
      </x:c>
      <x:c r="BC116" s="12" t="n">
        <x:f>=BH116</x:f>
      </x:c>
      <x:c r="BD116" s="13" t="n">
        <x:f>=BQ116</x:f>
      </x:c>
      <x:c r="BE116" s="30" t="n">
        <x:v>7502.63</x:v>
      </x:c>
      <x:c r="BF116" s="30" t="n">
        <x:v>-23242.4924</x:v>
      </x:c>
      <x:c r="BG116" s="30" t="n">
        <x:f>=BE116+BF116</x:f>
      </x:c>
      <x:c r="BH116" s="66" t="n">
        <x:f>=BG116/BE116</x:f>
      </x:c>
      <x:c r="BI116" s="66" t="n">
        <x:v>0.2363159619796787938380858735</x:v>
      </x:c>
      <x:c r="BJ116" s="30" t="n">
        <x:v>20349.20</x:v>
      </x:c>
      <x:c r="BK116" s="41" t="n">
        <x:v>2330</x:v>
      </x:c>
      <x:c r="BL116" s="30" t="n">
        <x:v>15540.359226483120288430022943</x:v>
      </x:c>
      <x:c r="BN116" s="30" t="n">
        <x:v>16509.539321962727928793838085</x:v>
      </x:c>
      <x:c r="BO116" s="30" t="n">
        <x:v>-23242.4924</x:v>
      </x:c>
      <x:c r="BP116" s="30" t="n">
        <x:f>=BN116+BO116</x:f>
      </x:c>
      <x:c r="BQ116" s="66" t="n">
        <x:f>=BP116/BN116</x:f>
      </x:c>
      <x:c r="BS116" s="66" t="n">
        <x:f>=BT116+BU116</x:f>
      </x:c>
      <x:c r="BT116" s="66" t="n">
        <x:f>=BI116+(0.0178083688408172183983393423*4)</x:f>
      </x:c>
      <x:c r="BU116" s="66" t="n">
        <x:f>=(1-BT116)*0.5</x:f>
      </x:c>
      <x:c r="BV116" s="66" t="n">
        <x:f>=1-BS116</x:f>
      </x:c>
      <x:c r="BX116" s="66" t="n">
        <x:f>=BU116/(1-BT116)</x:f>
      </x:c>
    </x:row>
    <x:row r="117">
      <x:c r="A117" s="31" t="s">
        <x:v>294</x:v>
      </x:c>
      <x:c r="B117" t="s"/>
      <x:c r="C117" t="s">
        <x:v>295</x:v>
      </x:c>
      <x:c r="D117" t="s">
        <x:v>131</x:v>
      </x:c>
      <x:c r="E117" s="69" t="s">
        <x:v>103</x:v>
      </x:c>
      <x:c r="F117" t="n">
        <x:v>1010</x:v>
      </x:c>
      <x:c r="G117" s="32" t="n">
        <x:v>0.0128712871287128712871287129</x:v>
      </x:c>
      <x:c r="H117" s="32" t="n">
        <x:v>0.0297029702970297029702970297</x:v>
      </x:c>
      <x:c r="I117" s="32" t="n">
        <x:v>0.0504950495049504950495049505</x:v>
      </x:c>
      <x:c r="J117" s="32" t="n">
        <x:v>0.0712871287128712871287128713</x:v>
      </x:c>
      <x:c r="K117" s="32" t="n">
        <x:v>0.096039603960396039603960396</x:v>
      </x:c>
      <x:c r="L117" s="32" t="n">
        <x:v>0.1178217821782178217821782178</x:v>
      </x:c>
      <x:c r="M117" s="32" t="n">
        <x:v>0.1356435643564356435643564356</x:v>
      </x:c>
      <x:c r="N117" s="32" t="n">
        <x:v>0.1455445544554455445544554455</x:v>
      </x:c>
      <x:c r="O117" s="32" t="n">
        <x:v>0.1504950495049504950495049505</x:v>
      </x:c>
      <x:c r="P117" s="32" t="n">
        <x:v>0.1524752475247524752475247525</x:v>
      </x:c>
      <x:c r="Q117" s="32" t="n">
        <x:v>0.1504950495049504950495049505</x:v>
      </x:c>
      <x:c r="R117" s="32" t="n">
        <x:v>0.1584158415841584158415841584</x:v>
      </x:c>
      <x:c r="S117" s="32" t="n">
        <x:v>0.1613861386138613861386138614</x:v>
      </x:c>
      <x:c r="T117" s="32" t="n">
        <x:v>0.1940594059405940594059405941</x:v>
      </x:c>
      <x:c r="U117" s="32" t="n">
        <x:v>0.2287128712871287128712871287</x:v>
      </x:c>
      <x:c r="V117" s="32" t="n">
        <x:v>0.2386138613861386138613861386</x:v>
      </x:c>
      <x:c r="W117" s="32" t="n">
        <x:v>0.2495049504950495049504950495</x:v>
      </x:c>
      <x:c r="X117" s="32" t="n">
        <x:v>0.2653465346534653465346534653</x:v>
      </x:c>
      <x:c r="Y117" s="32" t="n">
        <x:v>0.2940594059405940594059405941</x:v>
      </x:c>
      <x:c r="Z117" s="32" t="n">
        <x:v>0.3099009900990099009900990099</x:v>
      </x:c>
      <x:c r="AA117" s="32" t="n">
        <x:v>0.3217821782178217821782178218</x:v>
      </x:c>
      <x:c r="AB117" s="32" t="n">
        <x:v>0.3316831683168316831683168317</x:v>
      </x:c>
      <x:c r="AC117" s="32" t="n">
        <x:v>0.3475247524752475247524752475</x:v>
      </x:c>
      <x:c r="AD117" s="32" t="n">
        <x:v>0.3603960396039603960396039604</x:v>
      </x:c>
      <x:c r="AE117" s="32" t="n">
        <x:v>0.3811881188118811881188118812</x:v>
      </x:c>
      <x:c r="AF117" s="32" t="n">
        <x:v>0.397029702970297029702970297</x:v>
      </x:c>
      <x:c r="AG117" s="32" t="n">
        <x:v>0.4099009900990099009900990099</x:v>
      </x:c>
      <x:c r="AH117" s="32" t="n">
        <x:v>0.4188118811881188118811881188</x:v>
      </x:c>
      <x:c r="AI117" s="32" t="n">
        <x:v>0.4267326732673267326732673267</x:v>
      </x:c>
      <x:c r="AJ117" s="32" t="n">
        <x:v>0.4396039603960396039603960396</x:v>
      </x:c>
      <x:c r="AW117" s="33" t="s"/>
      <x:c r="AX117" s="11" t="s">
        <x:v>158</x:v>
      </x:c>
      <x:c r="AY117" s="12" t="n">
        <x:f>=BI117</x:f>
      </x:c>
      <x:c r="AZ117" s="12" t="n">
        <x:v>0.4396039603960396039603960396</x:v>
      </x:c>
      <x:c r="BA117" s="12" t="n">
        <x:v>0</x:v>
      </x:c>
      <x:c r="BB117" s="12" t="n">
        <x:v>0.5603960396039603960396039604</x:v>
      </x:c>
      <x:c r="BC117" s="12" t="n">
        <x:f>=BH117</x:f>
      </x:c>
      <x:c r="BD117" s="13" t="n">
        <x:f>=BQ117</x:f>
      </x:c>
      <x:c r="BE117" s="30" t="n">
        <x:v>4212.35</x:v>
      </x:c>
      <x:c r="BF117" s="30" t="n">
        <x:v>-6244.13120</x:v>
      </x:c>
      <x:c r="BG117" s="30" t="n">
        <x:f>=BE117+BF117</x:f>
      </x:c>
      <x:c r="BH117" s="66" t="n">
        <x:f>=BG117/BE117</x:f>
      </x:c>
      <x:c r="BI117" s="66" t="n">
        <x:v>0.4396039603960396039603960396</x:v>
      </x:c>
      <x:c r="BJ117" s="30" t="n">
        <x:v>5683.20</x:v>
      </x:c>
      <x:c r="BK117" s="41" t="n">
        <x:v>566</x:v>
      </x:c>
      <x:c r="BL117" s="30" t="n">
        <x:v>3184.8427722772277227722772277</x:v>
      </x:c>
      <x:c r="BN117" s="30" t="n">
        <x:v>6119.0873899050210396039603960</x:v>
      </x:c>
      <x:c r="BO117" s="30" t="n">
        <x:v>-6244.13120</x:v>
      </x:c>
      <x:c r="BP117" s="30" t="n">
        <x:f>=BN117+BO117</x:f>
      </x:c>
      <x:c r="BQ117" s="66" t="n">
        <x:f>=BP117/BN117</x:f>
      </x:c>
      <x:c r="BS117" s="66" t="n">
        <x:f>=BT117+BU117</x:f>
      </x:c>
      <x:c r="BT117" s="66" t="n">
        <x:f>=BI117+(0.0099009900990099009900990099*4)</x:f>
      </x:c>
      <x:c r="BU117" s="66" t="n">
        <x:f>=(1-BT117)*0.5</x:f>
      </x:c>
      <x:c r="BV117" s="66" t="n">
        <x:f>=1-BS117</x:f>
      </x:c>
      <x:c r="BX117" s="66" t="n">
        <x:f>=BU117/(1-BT117)</x:f>
      </x:c>
    </x:row>
    <x:row r="118">
      <x:c r="A118" s="31" t="s">
        <x:v>296</x:v>
      </x:c>
      <x:c r="B118" t="s"/>
      <x:c r="C118" t="s">
        <x:v>297</x:v>
      </x:c>
      <x:c r="D118" t="s">
        <x:v>102</x:v>
      </x:c>
      <x:c r="E118" s="69" t="s">
        <x:v>103</x:v>
      </x:c>
      <x:c r="F118" t="n">
        <x:v>8423</x:v>
      </x:c>
      <x:c r="G118" s="32" t="n">
        <x:v>0.003205508726107087735961059</x:v>
      </x:c>
      <x:c r="H118" s="32" t="n">
        <x:v>0.0383473821678736792116822985</x:v>
      </x:c>
      <x:c r="I118" s="32" t="n">
        <x:v>0.0871423483319482369702006411</x:v>
      </x:c>
      <x:c r="J118" s="32" t="n">
        <x:v>0.1390241006767185088448296331</x:v>
      </x:c>
      <x:c r="K118" s="32" t="n">
        <x:v>0.1619375519411136174759586846</x:v>
      </x:c>
      <x:c r="L118" s="32" t="n">
        <x:v>0.1695357948474415291463848985</x:v>
      </x:c>
      <x:c r="M118" s="32" t="n">
        <x:v>0.1689421821203846610471328505</x:v>
      </x:c>
      <x:c r="N118" s="32" t="n">
        <x:v>0.1706042977561438917250385848</x:v>
      </x:c>
      <x:c r="O118" s="32" t="n">
        <x:v>0.1722664133919031224029443191</x:v>
      </x:c>
      <x:c r="P118" s="32" t="n">
        <x:v>0.1734536388460168586014484151</x:v>
      </x:c>
      <x:c r="Q118" s="32" t="n">
        <x:v>0.1760655348450670782381574261</x:v>
      </x:c>
      <x:c r="R118" s="32" t="n">
        <x:v>0.180458269025287902172622581</x:v>
      </x:c>
      <x:c r="S118" s="32" t="n">
        <x:v>0.1856820610233883414460406031</x:v>
      </x:c>
      <x:c r="T118" s="32" t="n">
        <x:v>0.1920930784756025169179627211</x:v>
      </x:c>
      <x:c r="U118" s="32" t="n">
        <x:v>0.1935177490205390003561676362</x:v>
      </x:c>
      <x:c r="V118" s="32" t="n">
        <x:v>0.1963670901104119672325774665</x:v>
      </x:c>
      <x:c r="W118" s="32" t="n">
        <x:v>0.2063397839249673513000118723</x:v>
      </x:c>
      <x:c r="X118" s="32" t="n">
        <x:v>0.2249792235545530096165261783</x:v>
      </x:c>
      <x:c r="Y118" s="32" t="n">
        <x:v>0.2385135937314496022794728719</x:v>
      </x:c>
      <x:c r="Z118" s="32" t="n">
        <x:v>0.2717559064466342158375875579</x:v>
      </x:c>
      <x:c r="AA118" s="32" t="n">
        <x:v>0.3185325893387154220586489374</x:v>
      </x:c>
      <x:c r="AB118" s="32" t="n">
        <x:v>0.3575923067790573429894336935</x:v>
      </x:c>
      <x:c r="AC118" s="32" t="n">
        <x:v>0.3952273536744627804820135344</x:v>
      </x:c>
      <x:c r="AD118" s="32" t="n">
        <x:v>0.4345245162056274486524991096</x:v>
      </x:c>
      <x:c r="AE118" s="32" t="n">
        <x:v>0.4642051525584708536151015078</x:v>
      </x:c>
      <x:c r="AF118" s="32" t="n">
        <x:v>0.4883058292769796984447346551</x:v>
      </x:c>
      <x:c r="AG118" s="32" t="n">
        <x:v>0.5277217143535557402350706399</x:v>
      </x:c>
      <x:c r="AW118" s="33" t="s"/>
      <x:c r="AX118" s="11" t="s">
        <x:v>278</x:v>
      </x:c>
      <x:c r="AY118" s="12" t="n">
        <x:f>=BI118</x:f>
      </x:c>
      <x:c r="AZ118" s="12" t="n">
        <x:v>0.5277217143535557402350706399</x:v>
      </x:c>
      <x:c r="BA118" s="12" t="n">
        <x:v>0</x:v>
      </x:c>
      <x:c r="BB118" s="12" t="n">
        <x:v>0.4722782856464442597649293601</x:v>
      </x:c>
      <x:c r="BC118" s="12" t="n">
        <x:f>=BH118</x:f>
      </x:c>
      <x:c r="BD118" s="13" t="n">
        <x:f>=BQ118</x:f>
      </x:c>
      <x:c r="BE118" s="30" t="n">
        <x:v>16212.37</x:v>
      </x:c>
      <x:c r="BF118" s="30" t="n">
        <x:v>-18058.9644</x:v>
      </x:c>
      <x:c r="BG118" s="30" t="n">
        <x:f>=BE118+BF118</x:f>
      </x:c>
      <x:c r="BH118" s="66" t="n">
        <x:f>=BG118/BE118</x:f>
      </x:c>
      <x:c r="BI118" s="66" t="n">
        <x:v>0.5277217143535557402350706399</x:v>
      </x:c>
      <x:c r="BJ118" s="30" t="n">
        <x:v>17064.01</x:v>
      </x:c>
      <x:c r="BK118" s="41" t="n">
        <x:v>3978</x:v>
      </x:c>
      <x:c r="BL118" s="30" t="n">
        <x:v>8058.961389053781313071352250</x:v>
      </x:c>
      <x:c r="BN118" s="30" t="n">
        <x:v>23217.136509016680722406901736</x:v>
      </x:c>
      <x:c r="BO118" s="30" t="n">
        <x:v>-18058.9644</x:v>
      </x:c>
      <x:c r="BP118" s="30" t="n">
        <x:f>=BN118+BO118</x:f>
      </x:c>
      <x:c r="BQ118" s="66" t="n">
        <x:f>=BP118/BN118</x:f>
      </x:c>
      <x:c r="BS118" s="66" t="n">
        <x:f>=BT118+BU118</x:f>
      </x:c>
      <x:c r="BT118" s="66" t="n">
        <x:f>=BI118+(0.0310657327159760971941905101*4)</x:f>
      </x:c>
      <x:c r="BU118" s="66" t="n">
        <x:f>=(1-BT118)*0.5</x:f>
      </x:c>
      <x:c r="BV118" s="66" t="n">
        <x:f>=1-BS118</x:f>
      </x:c>
      <x:c r="BX118" s="66" t="n">
        <x:f>=BU118/(1-BT118)</x:f>
      </x:c>
    </x:row>
    <x:row r="119">
      <x:c r="A119" s="31" t="s">
        <x:v>298</x:v>
      </x:c>
      <x:c r="B119" t="s"/>
      <x:c r="C119" t="s">
        <x:v>299</x:v>
      </x:c>
      <x:c r="D119" t="s">
        <x:v>102</x:v>
      </x:c>
      <x:c r="E119" s="69" t="s">
        <x:v>103</x:v>
      </x:c>
      <x:c r="F119" t="n">
        <x:v>4000</x:v>
      </x:c>
      <x:c r="G119" s="32" t="n">
        <x:v>0.00825</x:v>
      </x:c>
      <x:c r="H119" s="32" t="n">
        <x:v>0.0125</x:v>
      </x:c>
      <x:c r="I119" s="32" t="n">
        <x:v>0.032</x:v>
      </x:c>
      <x:c r="J119" s="32" t="n">
        <x:v>0.05575</x:v>
      </x:c>
      <x:c r="K119" s="32" t="n">
        <x:v>0.077</x:v>
      </x:c>
      <x:c r="L119" s="32" t="n">
        <x:v>0.10775</x:v>
      </x:c>
      <x:c r="M119" s="32" t="n">
        <x:v>0.1375</x:v>
      </x:c>
      <x:c r="N119" s="32" t="n">
        <x:v>0.172</x:v>
      </x:c>
      <x:c r="O119" s="32" t="n">
        <x:v>0.2115</x:v>
      </x:c>
      <x:c r="P119" s="32" t="n">
        <x:v>0.264</x:v>
      </x:c>
      <x:c r="Q119" s="32" t="n">
        <x:v>0.324</x:v>
      </x:c>
      <x:c r="R119" s="32" t="n">
        <x:v>0.38</x:v>
      </x:c>
      <x:c r="S119" s="32" t="n">
        <x:v>0.4145</x:v>
      </x:c>
      <x:c r="AW119" s="33" t="s"/>
      <x:c r="AX119" s="11" t="s">
        <x:v>271</x:v>
      </x:c>
      <x:c r="AY119" s="12" t="n">
        <x:f>=BI119</x:f>
      </x:c>
      <x:c r="AZ119" s="12" t="n">
        <x:v>0.4145</x:v>
      </x:c>
      <x:c r="BA119" s="12" t="n">
        <x:v>0</x:v>
      </x:c>
      <x:c r="BB119" s="12" t="n">
        <x:v>0.5855</x:v>
      </x:c>
      <x:c r="BC119" s="12" t="n">
        <x:f>=BH119</x:f>
      </x:c>
      <x:c r="BD119" s="13" t="n">
        <x:f>=BQ119</x:f>
      </x:c>
      <x:c r="BE119" s="30" t="n">
        <x:v>12146.21</x:v>
      </x:c>
      <x:c r="BF119" s="30" t="n">
        <x:v>-18577.5842</x:v>
      </x:c>
      <x:c r="BG119" s="30" t="n">
        <x:f>=BE119+BF119</x:f>
      </x:c>
      <x:c r="BH119" s="66" t="n">
        <x:f>=BG119/BE119</x:f>
      </x:c>
      <x:c r="BI119" s="66" t="n">
        <x:v>0.4145</x:v>
      </x:c>
      <x:c r="BJ119" s="30" t="n">
        <x:v>18435.86</x:v>
      </x:c>
      <x:c r="BK119" s="41" t="n">
        <x:v>2342</x:v>
      </x:c>
      <x:c r="BL119" s="30" t="n">
        <x:v>10794.196030</x:v>
      </x:c>
      <x:c r="BN119" s="30" t="n">
        <x:v>21643.813776244844416666666670</x:v>
      </x:c>
      <x:c r="BO119" s="30" t="n">
        <x:v>-18577.5842</x:v>
      </x:c>
      <x:c r="BP119" s="30" t="n">
        <x:f>=BN119+BO119</x:f>
      </x:c>
      <x:c r="BQ119" s="66" t="n">
        <x:f>=BP119/BN119</x:f>
      </x:c>
      <x:c r="BS119" s="66" t="n">
        <x:f>=BT119+BU119</x:f>
      </x:c>
      <x:c r="BT119" s="66" t="n">
        <x:f>=BI119+(0.0501666666666666666666666667*4)</x:f>
      </x:c>
      <x:c r="BU119" s="66" t="n">
        <x:f>=(1-BT119)*0.5</x:f>
      </x:c>
      <x:c r="BV119" s="66" t="n">
        <x:f>=1-BS119</x:f>
      </x:c>
      <x:c r="BX119" s="66" t="n">
        <x:f>=BU119/(1-BT119)</x:f>
      </x:c>
    </x:row>
    <x:row r="120">
      <x:c r="A120" s="31" t="s">
        <x:v>300</x:v>
      </x:c>
      <x:c r="B120" t="s"/>
      <x:c r="C120" t="s">
        <x:v>301</x:v>
      </x:c>
      <x:c r="D120" t="s">
        <x:v>131</x:v>
      </x:c>
      <x:c r="E120" s="69" t="s">
        <x:v>103</x:v>
      </x:c>
      <x:c r="F120" t="n">
        <x:v>1991</x:v>
      </x:c>
      <x:c r="G120" s="32" t="n">
        <x:v>0.0025113008538422903063787042</x:v>
      </x:c>
      <x:c r="H120" s="32" t="n">
        <x:v>0.0080361627322953289804118533</x:v>
      </x:c>
      <x:c r="I120" s="32" t="n">
        <x:v>0.0155700652938221998995479658</x:v>
      </x:c>
      <x:c r="J120" s="32" t="n">
        <x:v>0.0291310899045705675539929684</x:v>
      </x:c>
      <x:c r="K120" s="32" t="n">
        <x:v>0.04821697639377197388247112</x:v>
      </x:c>
      <x:c r="L120" s="32" t="n">
        <x:v>0.0753390256152687091913611251</x:v>
      </x:c>
      <x:c r="M120" s="32" t="n">
        <x:v>0.1250627825213460572576594676</x:v>
      </x:c>
      <x:c r="N120" s="32" t="n">
        <x:v>0.1647413360120542440984429935</x:v>
      </x:c>
      <x:c r="O120" s="32" t="n">
        <x:v>0.2029131089904570567553992968</x:v>
      </x:c>
      <x:c r="P120" s="32" t="n">
        <x:v>0.2451029633350075339025615269</x:v>
      </x:c>
      <x:c r="Q120" s="32" t="n">
        <x:v>0.2923154193872425916624811652</x:v>
      </x:c>
      <x:c r="R120" s="32" t="n">
        <x:v>0.3249623304871923656454043194</x:v>
      </x:c>
      <x:c r="S120" s="32" t="n">
        <x:v>0.3385233550979407332998493219</x:v>
      </x:c>
      <x:c r="AW120" s="33" t="s"/>
      <x:c r="AX120" s="11" t="s">
        <x:v>271</x:v>
      </x:c>
      <x:c r="AY120" s="12" t="n">
        <x:f>=BI120</x:f>
      </x:c>
      <x:c r="AZ120" s="12" t="n">
        <x:v>0.3385233550979407332998493219</x:v>
      </x:c>
      <x:c r="BA120" s="12" t="n">
        <x:v>0</x:v>
      </x:c>
      <x:c r="BB120" s="12" t="n">
        <x:v>0.6614766449020592667001506781</x:v>
      </x:c>
      <x:c r="BC120" s="12" t="n">
        <x:f>=BH120</x:f>
      </x:c>
      <x:c r="BD120" s="13" t="n">
        <x:f>=BQ120</x:f>
      </x:c>
      <x:c r="BE120" s="30" t="n">
        <x:v>12014.26</x:v>
      </x:c>
      <x:c r="BF120" s="30" t="n">
        <x:v>-21224.87260</x:v>
      </x:c>
      <x:c r="BG120" s="30" t="n">
        <x:f>=BE120+BF120</x:f>
      </x:c>
      <x:c r="BH120" s="66" t="n">
        <x:f>=BG120/BE120</x:f>
      </x:c>
      <x:c r="BI120" s="66" t="n">
        <x:v>0.3385233550979407332998493219</x:v>
      </x:c>
      <x:c r="BJ120" s="30" t="n">
        <x:v>19567.10</x:v>
      </x:c>
      <x:c r="BK120" s="41" t="n">
        <x:v>1317</x:v>
      </x:c>
      <x:c r="BL120" s="30" t="n">
        <x:v>12943.179658463083877448518332</x:v>
      </x:c>
      <x:c r="BN120" s="30" t="n">
        <x:v>21361.269730355568690733299850</x:v>
      </x:c>
      <x:c r="BO120" s="30" t="n">
        <x:v>-21224.87260</x:v>
      </x:c>
      <x:c r="BP120" s="30" t="n">
        <x:f>=BN120+BO120</x:f>
      </x:c>
      <x:c r="BQ120" s="66" t="n">
        <x:f>=BP120/BN120</x:f>
      </x:c>
      <x:c r="BS120" s="66" t="n">
        <x:f>=BT120+BU120</x:f>
      </x:c>
      <x:c r="BT120" s="66" t="n">
        <x:f>=BI120+(0.0311401305876443997990959317*4)</x:f>
      </x:c>
      <x:c r="BU120" s="66" t="n">
        <x:f>=(1-BT120)*0.5</x:f>
      </x:c>
      <x:c r="BV120" s="66" t="n">
        <x:f>=1-BS120</x:f>
      </x:c>
      <x:c r="BX120" s="66" t="n">
        <x:f>=BU120/(1-BT120)</x:f>
      </x:c>
    </x:row>
    <x:row r="121">
      <x:c r="AW121" s="33" t="s"/>
      <x:c r="AX121" s="11" t="s"/>
      <x:c r="BD121" s="13" t="s"/>
    </x:row>
    <x:row r="122">
      <x:c r="A122" s="35" t="s">
        <x:v>302</x:v>
      </x:c>
      <x:c r="AW122" s="33" t="s"/>
      <x:c r="AX122" s="11" t="s"/>
      <x:c r="BD122" s="13" t="s"/>
    </x:row>
    <x:row r="123">
      <x:c r="A123" s="17" t="s">
        <x:v>254</x:v>
      </x:c>
      <x:c r="AW123" s="33" t="s"/>
      <x:c r="AX123" s="11" t="s"/>
      <x:c r="BD123" s="13" t="s"/>
    </x:row>
    <x:row r="124">
      <x:c r="A124" s="31" t="s">
        <x:v>303</x:v>
      </x:c>
      <x:c r="B124" t="s"/>
      <x:c r="C124" t="s">
        <x:v>304</x:v>
      </x:c>
      <x:c r="D124" t="s">
        <x:v>102</x:v>
      </x:c>
      <x:c r="E124" s="68" t="s">
        <x:v>305</x:v>
      </x:c>
      <x:c r="F124" t="n">
        <x:v>975</x:v>
      </x:c>
      <x:c r="G124" s="32" t="n">
        <x:v>0.0030769230769230769230769231</x:v>
      </x:c>
      <x:c r="H124" s="32" t="n">
        <x:v>0.0061538461538461538461538462</x:v>
      </x:c>
      <x:c r="I124" s="32" t="n">
        <x:v>0.0082051282051282051282051282</x:v>
      </x:c>
      <x:c r="J124" s="32" t="n">
        <x:v>0.0082051282051282051282051282</x:v>
      </x:c>
      <x:c r="K124" s="32" t="n">
        <x:v>0.0082051282051282051282051282</x:v>
      </x:c>
      <x:c r="L124" s="32" t="n">
        <x:v>0.0102564102564102564102564103</x:v>
      </x:c>
      <x:c r="M124" s="32" t="n">
        <x:v>0.0102564102564102564102564103</x:v>
      </x:c>
      <x:c r="N124" s="32" t="n">
        <x:v>0.0102564102564102564102564103</x:v>
      </x:c>
      <x:c r="O124" s="32" t="n">
        <x:v>0.0123076923076923076923076923</x:v>
      </x:c>
      <x:c r="P124" s="32" t="n">
        <x:v>0.0174358974358974358974358974</x:v>
      </x:c>
      <x:c r="Q124" s="32" t="n">
        <x:v>0.0205128205128205128205128205</x:v>
      </x:c>
      <x:c r="R124" s="32" t="n">
        <x:v>0.0276923076923076923076923077</x:v>
      </x:c>
      <x:c r="S124" s="32" t="n">
        <x:v>0.0297435897435897435897435897</x:v>
      </x:c>
      <x:c r="T124" s="32" t="n">
        <x:v>0.0369230769230769230769230769</x:v>
      </x:c>
      <x:c r="U124" s="32" t="n">
        <x:v>0.0502564102564102564102564103</x:v>
      </x:c>
      <x:c r="V124" s="32" t="n">
        <x:v>0.0584615384615384615384615385</x:v>
      </x:c>
      <x:c r="W124" s="32" t="n">
        <x:v>0.0594871794871794871794871795</x:v>
      </x:c>
      <x:c r="X124" s="32" t="n">
        <x:v>0.0687179487179487179487179487</x:v>
      </x:c>
      <x:c r="Y124" s="32" t="n">
        <x:v>0.0697435897435897435897435897</x:v>
      </x:c>
      <x:c r="Z124" s="32" t="n">
        <x:v>0.0851282051282051282051282051</x:v>
      </x:c>
      <x:c r="AA124" s="32" t="n">
        <x:v>0.0923076923076923076923076923</x:v>
      </x:c>
      <x:c r="AB124" s="32" t="n">
        <x:v>0.0974358974358974358974358974</x:v>
      </x:c>
      <x:c r="AC124" s="32" t="n">
        <x:v>0.1025641025641025641025641026</x:v>
      </x:c>
      <x:c r="AD124" s="32" t="n">
        <x:v>0.1005128205128205128205128205</x:v>
      </x:c>
      <x:c r="AW124" s="33" t="s"/>
      <x:c r="AX124" s="11" t="s">
        <x:v>176</x:v>
      </x:c>
      <x:c r="AY124" s="12" t="n">
        <x:f>=BI124</x:f>
      </x:c>
      <x:c r="AZ124" s="12" t="n">
        <x:v>0.1005128205128205128205128205</x:v>
      </x:c>
      <x:c r="BA124" s="12" t="n">
        <x:v>0</x:v>
      </x:c>
      <x:c r="BB124" s="12" t="n">
        <x:v>0.8994871794871794871794871795</x:v>
      </x:c>
      <x:c r="BC124" s="12" t="n">
        <x:f>=BH124</x:f>
      </x:c>
      <x:c r="BD124" s="13" t="n">
        <x:f>=BQ124</x:f>
      </x:c>
      <x:c r="BE124" s="30" t="n">
        <x:v>1036.31</x:v>
      </x:c>
      <x:c r="BF124" s="30" t="n">
        <x:v>-6433.2450</x:v>
      </x:c>
      <x:c r="BG124" s="30" t="n">
        <x:f>=BE124+BF124</x:f>
      </x:c>
      <x:c r="BH124" s="66" t="n">
        <x:f>=BG124/BE124</x:f>
      </x:c>
      <x:c r="BI124" s="66" t="n">
        <x:v>0.1005128205128205128205128205</x:v>
      </x:c>
      <x:c r="BJ124" s="30" t="n">
        <x:v>6366.75</x:v>
      </x:c>
      <x:c r="BK124" s="41" t="n">
        <x:v>877</x:v>
      </x:c>
      <x:c r="BL124" s="30" t="n">
        <x:v>5726.81</x:v>
      </x:c>
      <x:c r="BN124" s="30" t="n">
        <x:v>3933.7290029737767094017094010</x:v>
      </x:c>
      <x:c r="BO124" s="30" t="n">
        <x:v>-6433.2450</x:v>
      </x:c>
      <x:c r="BP124" s="30" t="n">
        <x:f>=BN124+BO124</x:f>
      </x:c>
      <x:c r="BQ124" s="66" t="n">
        <x:f>=BP124/BN124</x:f>
      </x:c>
      <x:c r="BS124" s="66" t="n">
        <x:f>=BT124+BU124</x:f>
      </x:c>
      <x:c r="BT124" s="66" t="n">
        <x:f>=BI124+(0.0027350427350427350427350427*4)</x:f>
      </x:c>
      <x:c r="BU124" s="66" t="n">
        <x:f>=(1-BT124)*0.5</x:f>
      </x:c>
      <x:c r="BV124" s="66" t="n">
        <x:f>=1-BS124</x:f>
      </x:c>
      <x:c r="BX124" s="66" t="n">
        <x:f>=BU124/(1-BT124)</x:f>
      </x:c>
    </x:row>
    <x:row r="125">
      <x:c r="A125" s="31" t="s">
        <x:v>306</x:v>
      </x:c>
      <x:c r="B125" t="s"/>
      <x:c r="C125" t="s">
        <x:v>307</x:v>
      </x:c>
      <x:c r="D125" t="s">
        <x:v>102</x:v>
      </x:c>
      <x:c r="E125" s="68" t="s">
        <x:v>305</x:v>
      </x:c>
      <x:c r="F125" t="n">
        <x:v>732</x:v>
      </x:c>
      <x:c r="G125" s="32" t="n">
        <x:v>0.0095628415300546448087431694</x:v>
      </x:c>
      <x:c r="H125" s="32" t="n">
        <x:v>0.0286885245901639344262295082</x:v>
      </x:c>
      <x:c r="I125" s="32" t="n">
        <x:v>0.0560109289617486338797814208</x:v>
      </x:c>
      <x:c r="J125" s="32" t="n">
        <x:v>0.0792349726775956284153005464</x:v>
      </x:c>
      <x:c r="K125" s="32" t="n">
        <x:v>0.0969945355191256830601092896</x:v>
      </x:c>
      <x:c r="L125" s="32" t="n">
        <x:v>0.1338797814207650273224043716</x:v>
      </x:c>
      <x:c r="M125" s="32" t="n">
        <x:v>0.1297814207650273224043715847</x:v>
      </x:c>
      <x:c r="N125" s="32" t="n">
        <x:v>0.1256830601092896174863387978</x:v>
      </x:c>
      <x:c r="O125" s="32" t="n">
        <x:v>0.1379781420765027322404371585</x:v>
      </x:c>
      <x:c r="P125" s="32" t="n">
        <x:v>0.143442622950819672131147541</x:v>
      </x:c>
      <x:c r="Q125" s="32" t="n">
        <x:v>0.154371584699453551912568306</x:v>
      </x:c>
      <x:c r="R125" s="32" t="n">
        <x:v>0.165300546448087431693989071</x:v>
      </x:c>
      <x:c r="S125" s="32" t="n">
        <x:v>0.1789617486338797814207650273</x:v>
      </x:c>
      <x:c r="T125" s="32" t="n">
        <x:v>0.180327868852459016393442623</x:v>
      </x:c>
      <x:c r="U125" s="32" t="n">
        <x:v>0.1844262295081967213114754098</x:v>
      </x:c>
      <x:c r="AW125" s="33" t="s"/>
      <x:c r="AX125" s="11" t="s">
        <x:v>142</x:v>
      </x:c>
      <x:c r="AY125" s="12" t="n">
        <x:f>=BI125</x:f>
      </x:c>
      <x:c r="AZ125" s="12" t="n">
        <x:v>0.1844262295081967213114754098</x:v>
      </x:c>
      <x:c r="BA125" s="12" t="n">
        <x:v>0</x:v>
      </x:c>
      <x:c r="BB125" s="12" t="n">
        <x:v>0.8155737704918032786885245902</x:v>
      </x:c>
      <x:c r="BC125" s="12" t="n">
        <x:f>=BH125</x:f>
      </x:c>
      <x:c r="BD125" s="13" t="n">
        <x:f>=BQ125</x:f>
      </x:c>
      <x:c r="BE125" s="30" t="n">
        <x:v>1423.15</x:v>
      </x:c>
      <x:c r="BF125" s="30" t="n">
        <x:v>-4841.2284</x:v>
      </x:c>
      <x:c r="BG125" s="30" t="n">
        <x:f>=BE125+BF125</x:f>
      </x:c>
      <x:c r="BH125" s="66" t="n">
        <x:f>=BG125/BE125</x:f>
      </x:c>
      <x:c r="BI125" s="66" t="n">
        <x:v>0.1844262295081967213114754098</x:v>
      </x:c>
      <x:c r="BJ125" s="30" t="n">
        <x:v>4779.96</x:v>
      </x:c>
      <x:c r="BK125" s="41" t="n">
        <x:v>597</x:v>
      </x:c>
      <x:c r="BL125" s="30" t="n">
        <x:v>3898.41</x:v>
      </x:c>
      <x:c r="BN125" s="30" t="n">
        <x:v>3481.1194571194387522768670304</x:v>
      </x:c>
      <x:c r="BO125" s="30" t="n">
        <x:v>-4841.2284</x:v>
      </x:c>
      <x:c r="BP125" s="30" t="n">
        <x:f>=BN125+BO125</x:f>
      </x:c>
      <x:c r="BQ125" s="66" t="n">
        <x:f>=BP125/BN125</x:f>
      </x:c>
      <x:c r="BS125" s="66" t="n">
        <x:f>=BT125+BU125</x:f>
      </x:c>
      <x:c r="BT125" s="66" t="n">
        <x:f>=BI125+(0.0063752276867030965391621129*4)</x:f>
      </x:c>
      <x:c r="BU125" s="66" t="n">
        <x:f>=(1-BT125)*0.5</x:f>
      </x:c>
      <x:c r="BV125" s="66" t="n">
        <x:f>=1-BS125</x:f>
      </x:c>
      <x:c r="BX125" s="66" t="n">
        <x:f>=BU125/(1-BT125)</x:f>
      </x:c>
    </x:row>
    <x:row r="126">
      <x:c r="AW126" s="33" t="s"/>
      <x:c r="AX126" s="11" t="s"/>
      <x:c r="BD126" s="13" t="s"/>
      <x:c r="BE126" s="20" t="n">
        <x:v>351753.48</x:v>
      </x:c>
      <x:c r="BF126" s="20" t="n">
        <x:v>-387987.40469057898225000000</x:v>
      </x:c>
      <x:c r="BG126" s="20" t="n">
        <x:f>=BE126+BF126</x:f>
      </x:c>
      <x:c r="BH126" s="21" t="n">
        <x:v>-0.103009427769069924340194161</x:v>
      </x:c>
      <x:c r="BJ126" s="20" t="n">
        <x:v>-362358.430650081425000000</x:v>
      </x:c>
      <x:c r="BK126" s="20" t="n">
        <x:v>23734</x:v>
      </x:c>
      <x:c r="BL126" s="20" t="n">
        <x:v>146267.13481834471480237423042</x:v>
      </x:c>
      <x:c r="BN126" s="20" t="n">
        <x:v>478959.64691325957960983623911</x:v>
      </x:c>
      <x:c r="BO126" s="20" t="n">
        <x:v>-387987.40469057898225000000</x:v>
      </x:c>
      <x:c r="BP126" s="20" t="n">
        <x:f>=BN126+BO126</x:f>
      </x:c>
      <x:c r="BQ126" s="21" t="n">
        <x:v>0.1899371748934745389058136632</x:v>
      </x:c>
    </x:row>
    <x:row r="127">
      <x:c r="A127" s="35" t="s">
        <x:v>151</x:v>
      </x:c>
      <x:c r="AW127" s="33" t="s"/>
      <x:c r="AX127" s="11" t="s"/>
      <x:c r="BD127" s="13" t="s"/>
    </x:row>
    <x:row r="128">
      <x:c r="A128" s="17" t="s">
        <x:v>43</x:v>
      </x:c>
      <x:c r="AW128" s="33" t="s"/>
      <x:c r="AX128" s="11" t="s"/>
      <x:c r="BD128" s="13" t="s"/>
    </x:row>
    <x:row r="129">
      <x:c r="A129" s="31" t="s">
        <x:v>308</x:v>
      </x:c>
      <x:c r="B129" t="s"/>
      <x:c r="C129" t="s">
        <x:v>309</x:v>
      </x:c>
      <x:c r="D129" t="s">
        <x:v>285</x:v>
      </x:c>
      <x:c r="E129" s="67" t="s">
        <x:v>154</x:v>
      </x:c>
      <x:c r="F129" t="n">
        <x:v>799</x:v>
      </x:c>
      <x:c r="G129" s="32" t="n">
        <x:v>0.0012515644555694618272841051</x:v>
      </x:c>
      <x:c r="H129" s="32" t="n">
        <x:v>0.1026282853566958698372966208</x:v>
      </x:c>
      <x:c r="I129" s="32" t="n">
        <x:v>0.1889862327909887359198998748</x:v>
      </x:c>
      <x:c r="J129" s="32" t="n">
        <x:v>0.3629536921151439299123904881</x:v>
      </x:c>
      <x:c r="K129" s="32" t="n">
        <x:v>0.4580725907384230287859824781</x:v>
      </x:c>
      <x:c r="L129" s="32" t="n">
        <x:v>0.5156445556946182728410513141</x:v>
      </x:c>
      <x:c r="M129" s="32" t="n">
        <x:v>0.5056320400500625782227784731</x:v>
      </x:c>
      <x:c r="N129" s="32" t="n">
        <x:v>0.4405506883604505632040050063</x:v>
      </x:c>
      <x:c r="O129" s="32" t="n">
        <x:v>0.4367959949937421777221526909</x:v>
      </x:c>
      <x:c r="P129" s="32" t="n">
        <x:v>0.4305381727158948685857321652</x:v>
      </x:c>
      <x:c r="Q129" s="32" t="n">
        <x:v>0.4355444305381727158948685857</x:v>
      </x:c>
      <x:c r="R129" s="32" t="n">
        <x:v>0.4405506883604505632040050063</x:v>
      </x:c>
      <x:c r="S129" s="32" t="n">
        <x:v>0.4430538172715894868585732165</x:v>
      </x:c>
      <x:c r="T129" s="32" t="n">
        <x:v>0.4418022528160200250312891114</x:v>
      </x:c>
      <x:c r="U129" s="32" t="n">
        <x:v>0.4418022528160200250312891114</x:v>
      </x:c>
      <x:c r="V129" s="32" t="n">
        <x:v>0.4730913642052565707133917397</x:v>
      </x:c>
      <x:c r="W129" s="32" t="n">
        <x:v>0.5244055068836045056320400501</x:v>
      </x:c>
      <x:c r="X129" s="32" t="n">
        <x:v>0.5106382978723404255319148936</x:v>
      </x:c>
      <x:c r="Y129" s="32" t="n">
        <x:v>0.533166458072590738423028786</x:v>
      </x:c>
      <x:c r="Z129" s="32" t="n">
        <x:v>0.5757196495619524405506883605</x:v>
      </x:c>
      <x:c r="AA129" s="32" t="n">
        <x:v>0.6483103879849812265331664581</x:v>
      </x:c>
      <x:c r="AB129" s="23" t="n">
        <x:v>0.7209011264080100125156445557</x:v>
      </x:c>
      <x:c r="AC129" s="32" t="n">
        <x:v>0.7321652065081351689612015019</x:v>
      </x:c>
      <x:c r="AD129" s="32" t="n">
        <x:v>0.723404255319148936170212766</x:v>
      </x:c>
      <x:c r="AE129" s="32" t="n">
        <x:v>0.7609511889862327909887359199</x:v>
      </x:c>
      <x:c r="AF129" s="32" t="n">
        <x:v>0.7647058823529411764705882353</x:v>
      </x:c>
      <x:c r="AG129" s="32" t="n">
        <x:v>0.7822277847309136420525657071</x:v>
      </x:c>
      <x:c r="AH129" s="32" t="n">
        <x:v>0.8072590738423028785982478098</x:v>
      </x:c>
      <x:c r="AI129" s="32" t="n">
        <x:v>0.838548185231539424280350438</x:v>
      </x:c>
      <x:c r="AJ129" s="32" t="n">
        <x:v>0.8260325406758448060075093867</x:v>
      </x:c>
      <x:c r="AW129" s="33" t="s"/>
      <x:c r="AX129" s="11" t="s">
        <x:v>158</x:v>
      </x:c>
      <x:c r="AY129" s="12" t="n">
        <x:f>=BI129</x:f>
      </x:c>
      <x:c r="AZ129" s="12" t="n">
        <x:v>0.8260325406758448060075093867</x:v>
      </x:c>
      <x:c r="BA129" s="12" t="n">
        <x:v>0</x:v>
      </x:c>
      <x:c r="BB129" s="12" t="n">
        <x:v>0.1739674593241551939924906133</x:v>
      </x:c>
      <x:c r="BC129" s="12" t="n">
        <x:f>=BH129</x:f>
      </x:c>
      <x:c r="BD129" s="13" t="n">
        <x:f>=BQ129</x:f>
      </x:c>
      <x:c r="BE129" s="30" t="n">
        <x:v>3501.86</x:v>
      </x:c>
      <x:c r="BF129" s="30" t="n">
        <x:v>-2608.0159</x:v>
      </x:c>
      <x:c r="BG129" s="30" t="n">
        <x:f>=BE129+BF129</x:f>
      </x:c>
      <x:c r="BH129" s="66" t="n">
        <x:f>=BG129/BE129</x:f>
      </x:c>
      <x:c r="BI129" s="66" t="n">
        <x:v>0.8260325406758448060075093867</x:v>
      </x:c>
      <x:c r="BJ129" s="30" t="n">
        <x:v>2149.31</x:v>
      </x:c>
      <x:c r="BK129" s="41" t="n">
        <x:v>139</x:v>
      </x:c>
      <x:c r="BL129" s="30" t="n">
        <x:v>373.91</x:v>
      </x:c>
      <x:c r="BN129" s="30" t="n">
        <x:v>3900.8576200441827892504519538</x:v>
      </x:c>
      <x:c r="BO129" s="30" t="n">
        <x:v>-2608.0159</x:v>
      </x:c>
      <x:c r="BP129" s="30" t="n">
        <x:f>=BN129+BO129</x:f>
      </x:c>
      <x:c r="BQ129" s="66" t="n">
        <x:f>=BP129/BN129</x:f>
      </x:c>
      <x:c r="BS129" s="66" t="n">
        <x:f>=BT129+BU129</x:f>
      </x:c>
      <x:c r="BT129" s="66" t="n">
        <x:f>=BI129+(0.0146015853149770546516478932*4)</x:f>
      </x:c>
      <x:c r="BU129" s="66" t="n">
        <x:f>=(1-BT129)*0.5</x:f>
      </x:c>
      <x:c r="BV129" s="66" t="n">
        <x:f>=1-BS129</x:f>
      </x:c>
      <x:c r="BX129" s="66" t="n">
        <x:f>=BU129/(1-BT129)</x:f>
      </x:c>
    </x:row>
    <x:row r="130">
      <x:c r="A130" s="31" t="s">
        <x:v>310</x:v>
      </x:c>
      <x:c r="B130" t="s"/>
      <x:c r="C130" t="s">
        <x:v>311</x:v>
      </x:c>
      <x:c r="D130" t="s">
        <x:v>285</x:v>
      </x:c>
      <x:c r="E130" s="67" t="s">
        <x:v>154</x:v>
      </x:c>
      <x:c r="F130" t="n">
        <x:v>756</x:v>
      </x:c>
      <x:c r="G130" s="32" t="n">
        <x:v>0.0013227513227513227513227513</x:v>
      </x:c>
      <x:c r="H130" s="32" t="n">
        <x:v>0.1084656084656084656084656085</x:v>
      </x:c>
      <x:c r="I130" s="32" t="n">
        <x:v>0.2076719576719576719576719577</x:v>
      </x:c>
      <x:c r="J130" s="32" t="n">
        <x:v>0.3888888888888888888888888889</x:v>
      </x:c>
      <x:c r="K130" s="32" t="n">
        <x:v>0.4828042328042328042328042328</x:v>
      </x:c>
      <x:c r="L130" s="32" t="n">
        <x:v>0.5502645502645502645502645503</x:v>
      </x:c>
      <x:c r="M130" s="32" t="n">
        <x:v>0.5343915343915343915343915344</x:v>
      </x:c>
      <x:c r="N130" s="32" t="n">
        <x:v>0.4669312169312169312169312169</x:v>
      </x:c>
      <x:c r="O130" s="32" t="n">
        <x:v>0.462962962962962962962962963</x:v>
      </x:c>
      <x:c r="P130" s="32" t="n">
        <x:v>0.4563492063492063492063492063</x:v>
      </x:c>
      <x:c r="Q130" s="32" t="n">
        <x:v>0.462962962962962962962962963</x:v>
      </x:c>
      <x:c r="R130" s="32" t="n">
        <x:v>0.4722222222222222222222222222</x:v>
      </x:c>
      <x:c r="S130" s="32" t="n">
        <x:v>0.4748677248677248677248677249</x:v>
      </x:c>
      <x:c r="T130" s="32" t="n">
        <x:v>0.4722222222222222222222222222</x:v>
      </x:c>
      <x:c r="U130" s="32" t="n">
        <x:v>0.4695767195767195767195767196</x:v>
      </x:c>
      <x:c r="V130" s="32" t="n">
        <x:v>0.496031746031746031746031746</x:v>
      </x:c>
      <x:c r="W130" s="32" t="n">
        <x:v>0.5515873015873015873015873016</x:v>
      </x:c>
      <x:c r="X130" s="32" t="n">
        <x:v>0.5476190476190476190476190476</x:v>
      </x:c>
      <x:c r="Y130" s="32" t="n">
        <x:v>0.5608465608465608465608465608</x:v>
      </x:c>
      <x:c r="Z130" s="32" t="n">
        <x:v>0.6031746031746031746031746032</x:v>
      </x:c>
      <x:c r="AA130" s="32" t="n">
        <x:v>0.6759259259259259259259259259</x:v>
      </x:c>
      <x:c r="AB130" s="23" t="n">
        <x:v>0.753968253968253968253968254</x:v>
      </x:c>
      <x:c r="AC130" s="32" t="n">
        <x:v>0.7592592592592592592592592593</x:v>
      </x:c>
      <x:c r="AD130" s="32" t="n">
        <x:v>0.7566137566137566137566137566</x:v>
      </x:c>
      <x:c r="AE130" s="32" t="n">
        <x:v>0.7751322751322751322751322751</x:v>
      </x:c>
      <x:c r="AF130" s="32" t="n">
        <x:v>0.7671957671957671957671957672</x:v>
      </x:c>
      <x:c r="AG130" s="32" t="n">
        <x:v>0.7791005291005291005291005291</x:v>
      </x:c>
      <x:c r="AH130" s="32" t="n">
        <x:v>0.8095238095238095238095238095</x:v>
      </x:c>
      <x:c r="AI130" s="32" t="n">
        <x:v>0.8214285714285714285714285714</x:v>
      </x:c>
      <x:c r="AJ130" s="32" t="n">
        <x:v>0.8161375661375661375661375661</x:v>
      </x:c>
      <x:c r="AW130" s="33" t="s"/>
      <x:c r="AX130" s="11" t="s">
        <x:v>158</x:v>
      </x:c>
      <x:c r="AY130" s="12" t="n">
        <x:f>=BI130</x:f>
      </x:c>
      <x:c r="AZ130" s="12" t="n">
        <x:v>0.8161375661375661375661375661</x:v>
      </x:c>
      <x:c r="BA130" s="12" t="n">
        <x:v>0</x:v>
      </x:c>
      <x:c r="BB130" s="12" t="n">
        <x:v>0.1838624338624338624338624339</x:v>
      </x:c>
      <x:c r="BC130" s="12" t="n">
        <x:f>=BH130</x:f>
      </x:c>
      <x:c r="BD130" s="13" t="n">
        <x:f>=BQ130</x:f>
      </x:c>
      <x:c r="BE130" s="30" t="n">
        <x:v>4926.62</x:v>
      </x:c>
      <x:c r="BF130" s="30" t="n">
        <x:v>-3873.0636</x:v>
      </x:c>
      <x:c r="BG130" s="30" t="n">
        <x:f>=BE130+BF130</x:f>
      </x:c>
      <x:c r="BH130" s="66" t="n">
        <x:f>=BG130/BE130</x:f>
      </x:c>
      <x:c r="BI130" s="66" t="n">
        <x:v>0.8161375661375661375661375661</x:v>
      </x:c>
      <x:c r="BJ130" s="30" t="n">
        <x:v>3250.80</x:v>
      </x:c>
      <x:c r="BK130" s="41" t="n">
        <x:v>139</x:v>
      </x:c>
      <x:c r="BL130" s="30" t="n">
        <x:v>597.70</x:v>
      </x:c>
      <x:c r="BN130" s="30" t="n">
        <x:v>5472.2226776174396494708994710</x:v>
      </x:c>
      <x:c r="BO130" s="30" t="n">
        <x:v>-3873.0636</x:v>
      </x:c>
      <x:c r="BP130" s="30" t="n">
        <x:f>=BN130+BO130</x:f>
      </x:c>
      <x:c r="BQ130" s="66" t="n">
        <x:f>=BP130/BN130</x:f>
      </x:c>
      <x:c r="BS130" s="66" t="n">
        <x:f>=BT130+BU130</x:f>
      </x:c>
      <x:c r="BT130" s="66" t="n">
        <x:f>=BI130+(0.0123456790123456790123456790*4)</x:f>
      </x:c>
      <x:c r="BU130" s="66" t="n">
        <x:f>=(1-BT130)*0.5</x:f>
      </x:c>
      <x:c r="BV130" s="66" t="n">
        <x:f>=1-BS130</x:f>
      </x:c>
      <x:c r="BX130" s="66" t="n">
        <x:f>=BU130/(1-BT130)</x:f>
      </x:c>
    </x:row>
    <x:row r="131">
      <x:c r="A131" s="31" t="s">
        <x:v>312</x:v>
      </x:c>
      <x:c r="B131" t="s"/>
      <x:c r="C131" t="s">
        <x:v>313</x:v>
      </x:c>
      <x:c r="D131" t="s">
        <x:v>113</x:v>
      </x:c>
      <x:c r="E131" s="67" t="s">
        <x:v>154</x:v>
      </x:c>
      <x:c r="F131" t="n">
        <x:v>290</x:v>
      </x:c>
      <x:c r="G131" s="32" t="n">
        <x:v>0.0482758620689655172413793103</x:v>
      </x:c>
      <x:c r="H131" s="32" t="n">
        <x:v>0.1137931034482758620689655172</x:v>
      </x:c>
      <x:c r="I131" s="32" t="n">
        <x:v>0.2241379310344827586206896552</x:v>
      </x:c>
      <x:c r="J131" s="32" t="n">
        <x:v>0.344827586206896551724137931</x:v>
      </x:c>
      <x:c r="K131" s="32" t="n">
        <x:v>0.4310344827586206896551724138</x:v>
      </x:c>
      <x:c r="L131" s="32" t="n">
        <x:v>0.4758620689655172413793103448</x:v>
      </x:c>
      <x:c r="M131" s="32" t="n">
        <x:v>0.4965517241379310344827586207</x:v>
      </x:c>
      <x:c r="N131" s="32" t="n">
        <x:v>0.4827586206896551724137931034</x:v>
      </x:c>
      <x:c r="O131" s="32" t="n">
        <x:v>0.4827586206896551724137931034</x:v>
      </x:c>
      <x:c r="P131" s="32" t="n">
        <x:v>0.4827586206896551724137931034</x:v>
      </x:c>
      <x:c r="Q131" s="32" t="n">
        <x:v>0.4827586206896551724137931034</x:v>
      </x:c>
      <x:c r="R131" s="32" t="n">
        <x:v>0.4827586206896551724137931034</x:v>
      </x:c>
      <x:c r="S131" s="32" t="n">
        <x:v>0.4827586206896551724137931034</x:v>
      </x:c>
      <x:c r="T131" s="32" t="n">
        <x:v>0.5206896551724137931034482759</x:v>
      </x:c>
      <x:c r="U131" s="32" t="n">
        <x:v>0.5586206896551724137931034483</x:v>
      </x:c>
      <x:c r="V131" s="32" t="n">
        <x:v>0.5655172413793103448275862069</x:v>
      </x:c>
      <x:c r="W131" s="32" t="n">
        <x:v>0.5620689655172413793103448276</x:v>
      </x:c>
      <x:c r="X131" s="32" t="n">
        <x:v>0.5620689655172413793103448276</x:v>
      </x:c>
      <x:c r="Y131" s="32" t="n">
        <x:v>0.6034482758620689655172413793</x:v>
      </x:c>
      <x:c r="Z131" s="32" t="n">
        <x:v>0.6206896551724137931034482759</x:v>
      </x:c>
      <x:c r="AA131" s="32" t="n">
        <x:v>0.6413793103448275862068965517</x:v>
      </x:c>
      <x:c r="AB131" s="32" t="n">
        <x:v>0.6689655172413793103448275862</x:v>
      </x:c>
      <x:c r="AC131" s="23" t="n">
        <x:v>0.7137931034482758620689655172</x:v>
      </x:c>
      <x:c r="AD131" s="32" t="n">
        <x:v>0.7724137931034482758620689655</x:v>
      </x:c>
      <x:c r="AE131" s="32" t="n">
        <x:v>0.844827586206896551724137931</x:v>
      </x:c>
      <x:c r="AF131" s="32" t="n">
        <x:v>0.8862068965517241379310344828</x:v>
      </x:c>
      <x:c r="AG131" s="32" t="n">
        <x:v>0.8827586206896551724137931034</x:v>
      </x:c>
      <x:c r="AH131" s="32" t="n">
        <x:v>0.9310344827586206896551724138</x:v>
      </x:c>
      <x:c r="AW131" s="33" t="s"/>
      <x:c r="AX131" s="11" t="s">
        <x:v>165</x:v>
      </x:c>
      <x:c r="AY131" s="12" t="n">
        <x:f>=BI131</x:f>
      </x:c>
      <x:c r="AZ131" s="12" t="n">
        <x:v>0.9310344827586206896551724138</x:v>
      </x:c>
      <x:c r="BA131" s="12" t="n">
        <x:v>0</x:v>
      </x:c>
      <x:c r="BB131" s="12" t="n">
        <x:v>0.0689655172413793103448275862</x:v>
      </x:c>
      <x:c r="BC131" s="12" t="n">
        <x:f>=BH131</x:f>
      </x:c>
      <x:c r="BD131" s="13" t="n">
        <x:f>=BQ131</x:f>
      </x:c>
      <x:c r="BE131" s="30" t="n">
        <x:v>417.68</x:v>
      </x:c>
      <x:c r="BF131" s="30" t="n">
        <x:v>-224.65433253234500000000</x:v>
      </x:c>
      <x:c r="BG131" s="30" t="n">
        <x:f>=BE131+BF131</x:f>
      </x:c>
      <x:c r="BH131" s="66" t="n">
        <x:f>=BG131/BE131</x:f>
      </x:c>
      <x:c r="BI131" s="66" t="n">
        <x:v>0.9310344827586206896551724138</x:v>
      </x:c>
      <x:c r="BJ131" s="30" t="n">
        <x:v>223.590033538500000000</x:v>
      </x:c>
      <x:c r="BK131" s="41" t="n">
        <x:v>20</x:v>
      </x:c>
      <x:c r="BL131" s="30" t="n">
        <x:v>15.420002313000000000</x:v>
      </x:c>
      <x:c r="BN131" s="30" t="n">
        <x:v>450.73603930150862068965517248</x:v>
      </x:c>
      <x:c r="BO131" s="30" t="n">
        <x:v>-224.65433253234500000000</x:v>
      </x:c>
      <x:c r="BP131" s="30" t="n">
        <x:f>=BN131+BO131</x:f>
      </x:c>
      <x:c r="BQ131" s="66" t="n">
        <x:f>=BP131/BN131</x:f>
      </x:c>
      <x:c r="BS131" s="66" t="n">
        <x:f>=BT131+BU131</x:f>
      </x:c>
      <x:c r="BT131" s="66" t="n">
        <x:f>=BI131+(0.0172413793103448275862068966*4)</x:f>
      </x:c>
      <x:c r="BU131" s="66" t="n">
        <x:f>=(1-BT131)*0.5</x:f>
      </x:c>
      <x:c r="BV131" s="66" t="n">
        <x:f>=1-BS131</x:f>
      </x:c>
      <x:c r="BX131" s="66" t="n">
        <x:f>=BU131/(1-BT131)</x:f>
      </x:c>
    </x:row>
    <x:row r="132">
      <x:c r="A132" s="31" t="s">
        <x:v>314</x:v>
      </x:c>
      <x:c r="B132" t="s"/>
      <x:c r="C132" t="s">
        <x:v>315</x:v>
      </x:c>
      <x:c r="D132" t="s">
        <x:v>113</x:v>
      </x:c>
      <x:c r="E132" s="67" t="s">
        <x:v>154</x:v>
      </x:c>
      <x:c r="F132" t="n">
        <x:v>293</x:v>
      </x:c>
      <x:c r="G132" s="32" t="n">
        <x:v>0.0477815699658703071672354949</x:v>
      </x:c>
      <x:c r="H132" s="32" t="n">
        <x:v>0.1126279863481228668941979522</x:v>
      </x:c>
      <x:c r="I132" s="32" t="n">
        <x:v>0.1706484641638225255972696246</x:v>
      </x:c>
      <x:c r="J132" s="32" t="n">
        <x:v>0.2525597269624573378839590444</x:v>
      </x:c>
      <x:c r="K132" s="32" t="n">
        <x:v>0.3310580204778156996587030717</x:v>
      </x:c>
      <x:c r="L132" s="32" t="n">
        <x:v>0.3549488054607508532423208191</x:v>
      </x:c>
      <x:c r="M132" s="32" t="n">
        <x:v>0.3651877133105802047781569966</x:v>
      </x:c>
      <x:c r="N132" s="32" t="n">
        <x:v>0.3617747440273037542662116041</x:v>
      </x:c>
      <x:c r="O132" s="32" t="n">
        <x:v>0.3617747440273037542662116041</x:v>
      </x:c>
      <x:c r="P132" s="32" t="n">
        <x:v>0.3583617747440273037542662116</x:v>
      </x:c>
      <x:c r="Q132" s="32" t="n">
        <x:v>0.3583617747440273037542662116</x:v>
      </x:c>
      <x:c r="R132" s="32" t="n">
        <x:v>0.3583617747440273037542662116</x:v>
      </x:c>
      <x:c r="S132" s="32" t="n">
        <x:v>0.3617747440273037542662116041</x:v>
      </x:c>
      <x:c r="T132" s="32" t="n">
        <x:v>0.3754266211604095563139931741</x:v>
      </x:c>
      <x:c r="U132" s="32" t="n">
        <x:v>0.3993174061433447098976109215</x:v>
      </x:c>
      <x:c r="V132" s="32" t="n">
        <x:v>0.3993174061433447098976109215</x:v>
      </x:c>
      <x:c r="W132" s="32" t="n">
        <x:v>0.4061433447098976109215017065</x:v>
      </x:c>
      <x:c r="X132" s="32" t="n">
        <x:v>0.4300341296928327645051194539</x:v>
      </x:c>
      <x:c r="Y132" s="32" t="n">
        <x:v>0.4675767918088737201365187713</x:v>
      </x:c>
      <x:c r="Z132" s="32" t="n">
        <x:v>0.4914675767918088737201365188</x:v>
      </x:c>
      <x:c r="AA132" s="32" t="n">
        <x:v>0.5187713310580204778156996587</x:v>
      </x:c>
      <x:c r="AB132" s="32" t="n">
        <x:v>0.5563139931740614334470989761</x:v>
      </x:c>
      <x:c r="AC132" s="32" t="n">
        <x:v>0.583617747440273037542662116</x:v>
      </x:c>
      <x:c r="AD132" s="32" t="n">
        <x:v>0.6279863481228668941979522184</x:v>
      </x:c>
      <x:c r="AE132" s="32" t="n">
        <x:v>0.6996587030716723549488054608</x:v>
      </x:c>
      <x:c r="AF132" s="23" t="n">
        <x:v>0.7576791808873720136518771331</x:v>
      </x:c>
      <x:c r="AG132" s="32" t="n">
        <x:v>0.791808873720136518771331058</x:v>
      </x:c>
      <x:c r="AH132" s="32" t="n">
        <x:v>0.8293515358361774744027303754</x:v>
      </x:c>
      <x:c r="AW132" s="33" t="s"/>
      <x:c r="AX132" s="11" t="s">
        <x:v>165</x:v>
      </x:c>
      <x:c r="AY132" s="12" t="n">
        <x:f>=BI132</x:f>
      </x:c>
      <x:c r="AZ132" s="12" t="n">
        <x:v>0.8293515358361774744027303754</x:v>
      </x:c>
      <x:c r="BA132" s="12" t="n">
        <x:v>0</x:v>
      </x:c>
      <x:c r="BB132" s="12" t="n">
        <x:v>0.1706484641638225255972696246</x:v>
      </x:c>
      <x:c r="BC132" s="12" t="n">
        <x:f>=BH132</x:f>
      </x:c>
      <x:c r="BD132" s="13" t="n">
        <x:f>=BQ132</x:f>
      </x:c>
      <x:c r="BE132" s="30" t="n">
        <x:v>374.19</x:v>
      </x:c>
      <x:c r="BF132" s="30" t="n">
        <x:v>-226.89044286888650000000</x:v>
      </x:c>
      <x:c r="BG132" s="30" t="n">
        <x:f>=BE132+BF132</x:f>
      </x:c>
      <x:c r="BH132" s="66" t="n">
        <x:f>=BG132/BE132</x:f>
      </x:c>
      <x:c r="BI132" s="66" t="n">
        <x:v>0.8293515358361774744027303754</x:v>
      </x:c>
      <x:c r="BJ132" s="30" t="n">
        <x:v>225.903033885450000000</x:v>
      </x:c>
      <x:c r="BK132" s="41" t="n">
        <x:v>50</x:v>
      </x:c>
      <x:c r="BL132" s="30" t="n">
        <x:v>38.550005782500000000</x:v>
      </x:c>
      <x:c r="BN132" s="30" t="n">
        <x:v>455.33186358271117747440273046</x:v>
      </x:c>
      <x:c r="BO132" s="30" t="n">
        <x:v>-226.89044286888650000000</x:v>
      </x:c>
      <x:c r="BP132" s="30" t="n">
        <x:f>=BN132+BO132</x:f>
      </x:c>
      <x:c r="BQ132" s="66" t="n">
        <x:f>=BP132/BN132</x:f>
      </x:c>
      <x:c r="BS132" s="66" t="n">
        <x:f>=BT132+BU132</x:f>
      </x:c>
      <x:c r="BT132" s="66" t="n">
        <x:f>=BI132+(0.0426621160409556313993174062*4)</x:f>
      </x:c>
      <x:c r="BU132" s="66" t="n">
        <x:f>=(1-BT132)*0.5</x:f>
      </x:c>
      <x:c r="BV132" s="66" t="n">
        <x:f>=1-BS132</x:f>
      </x:c>
      <x:c r="BX132" s="66" t="n">
        <x:f>=BU132/(1-BT132)</x:f>
      </x:c>
    </x:row>
    <x:row r="133">
      <x:c r="A133" s="31" t="s"/>
      <x:c r="AW133" s="33" t="s"/>
      <x:c r="AX133" s="11" t="s"/>
      <x:c r="BD133" s="13" t="s"/>
    </x:row>
    <x:row r="134">
      <x:c r="A134" s="17" t="s">
        <x:v>254</x:v>
      </x:c>
      <x:c r="AW134" s="33" t="s"/>
      <x:c r="AX134" s="11" t="s"/>
      <x:c r="BD134" s="13" t="s"/>
    </x:row>
    <x:row r="135">
      <x:c r="A135" s="31" t="s">
        <x:v>316</x:v>
      </x:c>
      <x:c r="B135" t="s"/>
      <x:c r="C135" t="s">
        <x:v>317</x:v>
      </x:c>
      <x:c r="D135" t="s">
        <x:v>109</x:v>
      </x:c>
      <x:c r="E135" s="67" t="s">
        <x:v>154</x:v>
      </x:c>
      <x:c r="F135" t="n">
        <x:v>796</x:v>
      </x:c>
      <x:c r="G135" s="32" t="n">
        <x:v>0</x:v>
      </x:c>
      <x:c r="H135" s="32" t="n">
        <x:v>0.0025125628140703517587939698</x:v>
      </x:c>
      <x:c r="I135" s="32" t="n">
        <x:v>0.0050251256281407035175879397</x:v>
      </x:c>
      <x:c r="J135" s="32" t="n">
        <x:v>0.0075376884422110552763819095</x:v>
      </x:c>
      <x:c r="K135" s="32" t="n">
        <x:v>0.0087939698492462311557788945</x:v>
      </x:c>
      <x:c r="L135" s="32" t="n">
        <x:v>0.1080402010050251256281407035</x:v>
      </x:c>
      <x:c r="M135" s="32" t="n">
        <x:v>0.1356783919597989949748743719</x:v>
      </x:c>
      <x:c r="N135" s="32" t="n">
        <x:v>0.1532663316582914572864321608</x:v>
      </x:c>
      <x:c r="O135" s="32" t="n">
        <x:v>0.1645728643216080402010050251</x:v>
      </x:c>
      <x:c r="P135" s="32" t="n">
        <x:v>0.1783919597989949748743718593</x:v>
      </x:c>
      <x:c r="Q135" s="32" t="n">
        <x:v>0.1871859296482412060301507538</x:v>
      </x:c>
      <x:c r="R135" s="32" t="n">
        <x:v>0.2010050251256281407035175879</x:v>
      </x:c>
      <x:c r="S135" s="32" t="n">
        <x:v>0.2010050251256281407035175879</x:v>
      </x:c>
      <x:c r="T135" s="32" t="n">
        <x:v>0.2010050251256281407035175879</x:v>
      </x:c>
      <x:c r="U135" s="32" t="n">
        <x:v>0.1972361809045226130653266332</x:v>
      </x:c>
      <x:c r="V135" s="32" t="n">
        <x:v>0.1959798994974874371859296482</x:v>
      </x:c>
      <x:c r="W135" s="32" t="n">
        <x:v>0.1947236180904522613065326633</x:v>
      </x:c>
      <x:c r="X135" s="32" t="n">
        <x:v>0.1947236180904522613065326633</x:v>
      </x:c>
      <x:c r="Y135" s="32" t="n">
        <x:v>0.1947236180904522613065326633</x:v>
      </x:c>
      <x:c r="Z135" s="32" t="n">
        <x:v>0.1934673366834170854271356784</x:v>
      </x:c>
      <x:c r="AA135" s="32" t="n">
        <x:v>0.1972361809045226130653266332</x:v>
      </x:c>
      <x:c r="AB135" s="32" t="n">
        <x:v>0.1984924623115577889447236181</x:v>
      </x:c>
      <x:c r="AC135" s="32" t="n">
        <x:v>0.1972361809045226130653266332</x:v>
      </x:c>
      <x:c r="AD135" s="32" t="n">
        <x:v>0.1972361809045226130653266332</x:v>
      </x:c>
      <x:c r="AE135" s="32" t="n">
        <x:v>0.1972361809045226130653266332</x:v>
      </x:c>
      <x:c r="AF135" s="32" t="n">
        <x:v>0.1984924623115577889447236181</x:v>
      </x:c>
      <x:c r="AG135" s="32" t="n">
        <x:v>0.1984924623115577889447236181</x:v>
      </x:c>
      <x:c r="AH135" s="32" t="n">
        <x:v>0.1972361809045226130653266332</x:v>
      </x:c>
      <x:c r="AI135" s="32" t="n">
        <x:v>0.2022613065326633165829145729</x:v>
      </x:c>
      <x:c r="AJ135" s="32" t="n">
        <x:v>0.2010050251256281407035175879</x:v>
      </x:c>
      <x:c r="AK135" s="32" t="n">
        <x:v>0.2035175879396984924623115578</x:v>
      </x:c>
      <x:c r="AL135" s="32" t="n">
        <x:v>0.2097989949748743718592964824</x:v>
      </x:c>
      <x:c r="AM135" s="32" t="n">
        <x:v>0.2135678391959798994974874372</x:v>
      </x:c>
      <x:c r="AN135" s="32" t="n">
        <x:v>0.2135678391959798994974874372</x:v>
      </x:c>
      <x:c r="AO135" s="32" t="n">
        <x:v>0.2185929648241206030150753769</x:v>
      </x:c>
      <x:c r="AW135" s="33" t="s"/>
      <x:c r="AX135" s="11" t="s">
        <x:v>318</x:v>
      </x:c>
      <x:c r="AY135" s="12" t="n">
        <x:f>=BI135</x:f>
      </x:c>
      <x:c r="AZ135" s="12" t="n">
        <x:v>0.2273869346733668341708542714</x:v>
      </x:c>
      <x:c r="BA135" s="12" t="n">
        <x:v>-0.0087939698492462311557788945</x:v>
      </x:c>
      <x:c r="BB135" s="12" t="n">
        <x:v>0.7814070351758793969849246231</x:v>
      </x:c>
      <x:c r="BC135" s="12" t="n">
        <x:f>=BH135</x:f>
      </x:c>
      <x:c r="BD135" s="13" t="n">
        <x:f>=BQ135</x:f>
      </x:c>
      <x:c r="BE135" s="30" t="n">
        <x:v>4399.18</x:v>
      </x:c>
      <x:c r="BF135" s="30" t="n">
        <x:v>-14301.2544</x:v>
      </x:c>
      <x:c r="BG135" s="30" t="n">
        <x:f>=BE135+BF135</x:f>
      </x:c>
      <x:c r="BH135" s="66" t="n">
        <x:f>=BG135/BE135</x:f>
      </x:c>
      <x:c r="BI135" s="66" t="n">
        <x:v>0.2185929648241206030150753769</x:v>
      </x:c>
      <x:c r="BJ135" s="30" t="n">
        <x:v>11900.20</x:v>
      </x:c>
      <x:c r="BK135" s="41" t="n">
        <x:v>622</x:v>
      </x:c>
      <x:c r="BL135" s="30" t="n">
        <x:v>9298.90</x:v>
      </x:c>
      <x:c r="BN135" s="30" t="n">
        <x:v>10536.3409205740000000000</x:v>
      </x:c>
      <x:c r="BO135" s="30" t="n">
        <x:v>-14301.2544</x:v>
      </x:c>
      <x:c r="BP135" s="30" t="n">
        <x:f>=BN135+BO135</x:f>
      </x:c>
      <x:c r="BQ135" s="66" t="n">
        <x:f>=BP135/BN135</x:f>
      </x:c>
      <x:c r="BS135" s="66" t="n">
        <x:f>=BT135+BU135</x:f>
      </x:c>
      <x:c r="BT135" s="66" t="n">
        <x:f>=BI135+(0*4)</x:f>
      </x:c>
      <x:c r="BU135" s="66" t="n">
        <x:f>=(1-BT135)*0.5</x:f>
      </x:c>
      <x:c r="BV135" s="66" t="n">
        <x:f>=1-BS135</x:f>
      </x:c>
      <x:c r="BX135" s="66" t="n">
        <x:f>=BU135/(1-BT135)</x:f>
      </x:c>
    </x:row>
    <x:row r="136">
      <x:c r="A136" s="31" t="s">
        <x:v>319</x:v>
      </x:c>
      <x:c r="B136" t="s"/>
      <x:c r="C136" t="s">
        <x:v>320</x:v>
      </x:c>
      <x:c r="D136" t="s">
        <x:v>113</x:v>
      </x:c>
      <x:c r="E136" s="67" t="s">
        <x:v>154</x:v>
      </x:c>
      <x:c r="F136" t="n">
        <x:v>433</x:v>
      </x:c>
      <x:c r="G136" s="32" t="n">
        <x:v>0.0115473441108545034642032333</x:v>
      </x:c>
      <x:c r="H136" s="32" t="n">
        <x:v>0.0508083140877598152424942263</x:v>
      </x:c>
      <x:c r="I136" s="32" t="n">
        <x:v>0.0854503464203233256351039261</x:v>
      </x:c>
      <x:c r="J136" s="32" t="n">
        <x:v>0.1108545034642032332563510393</x:v>
      </x:c>
      <x:c r="K136" s="32" t="n">
        <x:v>0.0762124711316397228637413395</x:v>
      </x:c>
      <x:c r="L136" s="32" t="n">
        <x:v>0.0669745958429561200923787529</x:v>
      </x:c>
      <x:c r="M136" s="32" t="n">
        <x:v>0.0692840646651270207852193995</x:v>
      </x:c>
      <x:c r="N136" s="32" t="n">
        <x:v>0.0669745958429561200923787529</x:v>
      </x:c>
      <x:c r="O136" s="32" t="n">
        <x:v>0.0669745958429561200923787529</x:v>
      </x:c>
      <x:c r="P136" s="32" t="n">
        <x:v>0.0669745958429561200923787529</x:v>
      </x:c>
      <x:c r="Q136" s="32" t="n">
        <x:v>0.0669745958429561200923787529</x:v>
      </x:c>
      <x:c r="R136" s="32" t="n">
        <x:v>0.0669745958429561200923787529</x:v>
      </x:c>
      <x:c r="S136" s="32" t="n">
        <x:v>0.0669745958429561200923787529</x:v>
      </x:c>
      <x:c r="T136" s="32" t="n">
        <x:v>0.0669745958429561200923787529</x:v>
      </x:c>
      <x:c r="U136" s="32" t="n">
        <x:v>0.0669745958429561200923787529</x:v>
      </x:c>
      <x:c r="V136" s="32" t="n">
        <x:v>0.0669745958429561200923787529</x:v>
      </x:c>
      <x:c r="W136" s="32" t="n">
        <x:v>0.0669745958429561200923787529</x:v>
      </x:c>
      <x:c r="X136" s="32" t="n">
        <x:v>0.0669745958429561200923787529</x:v>
      </x:c>
      <x:c r="Y136" s="32" t="n">
        <x:v>0.0669745958429561200923787529</x:v>
      </x:c>
      <x:c r="Z136" s="32" t="n">
        <x:v>0.0669745958429561200923787529</x:v>
      </x:c>
      <x:c r="AA136" s="32" t="n">
        <x:v>0.0669745958429561200923787529</x:v>
      </x:c>
      <x:c r="AB136" s="32" t="n">
        <x:v>0.0692840646651270207852193995</x:v>
      </x:c>
      <x:c r="AC136" s="32" t="n">
        <x:v>0.0715935334872979214780600462</x:v>
      </x:c>
      <x:c r="AD136" s="32" t="n">
        <x:v>0.0692840646651270207852193995</x:v>
      </x:c>
      <x:c r="AE136" s="32" t="n">
        <x:v>0.0692840646651270207852193995</x:v>
      </x:c>
      <x:c r="AF136" s="32" t="n">
        <x:v>0.0692840646651270207852193995</x:v>
      </x:c>
      <x:c r="AG136" s="32" t="n">
        <x:v>0.0692840646651270207852193995</x:v>
      </x:c>
      <x:c r="AH136" s="32" t="n">
        <x:v>0.0739030023094688221709006928</x:v>
      </x:c>
      <x:c r="AI136" s="32" t="n">
        <x:v>0.0785219399538106235565819861</x:v>
      </x:c>
      <x:c r="AJ136" s="32" t="n">
        <x:v>0.0739030023094688221709006928</x:v>
      </x:c>
      <x:c r="AK136" s="32" t="n">
        <x:v>0.0785219399538106235565819861</x:v>
      </x:c>
      <x:c r="AW136" s="33" t="s"/>
      <x:c r="AX136" s="11" t="s">
        <x:v>241</x:v>
      </x:c>
      <x:c r="AY136" s="12" t="n">
        <x:f>=BI136</x:f>
      </x:c>
      <x:c r="AZ136" s="12" t="n">
        <x:v>0.0808314087759815242494226328</x:v>
      </x:c>
      <x:c r="BA136" s="12" t="n">
        <x:v>-0.0023094688221709006928406467</x:v>
      </x:c>
      <x:c r="BB136" s="12" t="n">
        <x:v>0.9214780600461893764434180139</x:v>
      </x:c>
      <x:c r="BC136" s="12" t="n">
        <x:f>=BH136</x:f>
      </x:c>
      <x:c r="BD136" s="13" t="n">
        <x:f>=BQ136</x:f>
      </x:c>
      <x:c r="BE136" s="30" t="n">
        <x:v>358.77</x:v>
      </x:c>
      <x:c r="BF136" s="30" t="n">
        <x:v>-2491.87565550225539812545</x:v>
      </x:c>
      <x:c r="BG136" s="30" t="n">
        <x:f>=BE136+BF136</x:f>
      </x:c>
      <x:c r="BH136" s="66" t="n">
        <x:f>=BG136/BE136</x:f>
      </x:c>
      <x:c r="BI136" s="66" t="n">
        <x:v>0.0785219399538106235565819861</x:v>
      </x:c>
      <x:c r="BJ136" s="30" t="n">
        <x:v>2542.919335569335461985</x:v>
      </x:c>
      <x:c r="BK136" s="41" t="n">
        <x:v>399</x:v>
      </x:c>
      <x:c r="BL136" s="30" t="n">
        <x:v>2343.244376194376095455</x:v>
      </x:c>
      <x:c r="BN136" s="30" t="n">
        <x:v>1527.5585067149009815242494226</x:v>
      </x:c>
      <x:c r="BO136" s="30" t="n">
        <x:v>-2491.87565550225539812545</x:v>
      </x:c>
      <x:c r="BP136" s="30" t="n">
        <x:f>=BN136+BO136</x:f>
      </x:c>
      <x:c r="BQ136" s="66" t="n">
        <x:f>=BP136/BN136</x:f>
      </x:c>
      <x:c r="BS136" s="66" t="n">
        <x:f>=BT136+BU136</x:f>
      </x:c>
      <x:c r="BT136" s="66" t="n">
        <x:f>=BI136+(0.0015396458814472671285604311*4)</x:f>
      </x:c>
      <x:c r="BU136" s="66" t="n">
        <x:f>=(1-BT136)*0.5</x:f>
      </x:c>
      <x:c r="BV136" s="66" t="n">
        <x:f>=1-BS136</x:f>
      </x:c>
      <x:c r="BX136" s="66" t="n">
        <x:f>=BU136/(1-BT136)</x:f>
      </x:c>
    </x:row>
    <x:row r="137">
      <x:c r="A137" s="31" t="s">
        <x:v>321</x:v>
      </x:c>
      <x:c r="B137" t="s"/>
      <x:c r="C137" t="s">
        <x:v>322</x:v>
      </x:c>
      <x:c r="D137" t="s">
        <x:v>113</x:v>
      </x:c>
      <x:c r="E137" s="67" t="s">
        <x:v>154</x:v>
      </x:c>
      <x:c r="F137" t="n">
        <x:v>491</x:v>
      </x:c>
      <x:c r="G137" s="32" t="n">
        <x:v>0.0407331975560081466395112016</x:v>
      </x:c>
      <x:c r="H137" s="32" t="n">
        <x:v>0.1446028513238289205702647658</x:v>
      </x:c>
      <x:c r="I137" s="32" t="n">
        <x:v>0.1955193482688391038696537678</x:v>
      </x:c>
      <x:c r="J137" s="32" t="n">
        <x:v>0.2525458248472505091649694501</x:v>
      </x:c>
      <x:c r="K137" s="32" t="n">
        <x:v>0.2342158859470468431771894094</x:v>
      </x:c>
      <x:c r="L137" s="32" t="n">
        <x:v>0.226069246435845213849287169</x:v>
      </x:c>
      <x:c r="M137" s="32" t="n">
        <x:v>0.2199592668024439918533604888</x:v>
      </x:c>
      <x:c r="N137" s="32" t="n">
        <x:v>0.2179226069246435845213849287</x:v>
      </x:c>
      <x:c r="O137" s="32" t="n">
        <x:v>0.2179226069246435845213849287</x:v>
      </x:c>
      <x:c r="P137" s="32" t="n">
        <x:v>0.2179226069246435845213849287</x:v>
      </x:c>
      <x:c r="Q137" s="32" t="n">
        <x:v>0.2179226069246435845213849287</x:v>
      </x:c>
      <x:c r="R137" s="32" t="n">
        <x:v>0.2179226069246435845213849287</x:v>
      </x:c>
      <x:c r="S137" s="32" t="n">
        <x:v>0.2179226069246435845213849287</x:v>
      </x:c>
      <x:c r="T137" s="32" t="n">
        <x:v>0.2179226069246435845213849287</x:v>
      </x:c>
      <x:c r="U137" s="32" t="n">
        <x:v>0.2179226069246435845213849287</x:v>
      </x:c>
      <x:c r="V137" s="32" t="n">
        <x:v>0.2179226069246435845213849287</x:v>
      </x:c>
      <x:c r="W137" s="32" t="n">
        <x:v>0.2179226069246435845213849287</x:v>
      </x:c>
      <x:c r="X137" s="32" t="n">
        <x:v>0.2179226069246435845213849287</x:v>
      </x:c>
      <x:c r="Y137" s="32" t="n">
        <x:v>0.224032586558044806517311609</x:v>
      </x:c>
      <x:c r="Z137" s="32" t="n">
        <x:v>0.224032586558044806517311609</x:v>
      </x:c>
      <x:c r="AA137" s="32" t="n">
        <x:v>0.224032586558044806517311609</x:v>
      </x:c>
      <x:c r="AB137" s="32" t="n">
        <x:v>0.2423625254582484725050916497</x:v>
      </x:c>
      <x:c r="AC137" s="32" t="n">
        <x:v>0.2810590631364562118126272912</x:v>
      </x:c>
      <x:c r="AD137" s="32" t="n">
        <x:v>0.299389002036659877800407332</x:v>
      </x:c>
      <x:c r="AE137" s="32" t="n">
        <x:v>0.3034623217922606924643584521</x:v>
      </x:c>
      <x:c r="AF137" s="32" t="n">
        <x:v>0.2892057026476578411405295316</x:v>
      </x:c>
      <x:c r="AG137" s="32" t="n">
        <x:v>0.2892057026476578411405295316</x:v>
      </x:c>
      <x:c r="AH137" s="32" t="n">
        <x:v>0.299389002036659877800407332</x:v>
      </x:c>
      <x:c r="AI137" s="32" t="n">
        <x:v>0.3054989816700610997963340122</x:v>
      </x:c>
      <x:c r="AJ137" s="32" t="n">
        <x:v>0.299389002036659877800407332</x:v>
      </x:c>
      <x:c r="AK137" s="32" t="n">
        <x:v>0.3014256619144602851323828921</x:v>
      </x:c>
      <x:c r="AW137" s="33" t="s"/>
      <x:c r="AX137" s="11" t="s">
        <x:v>241</x:v>
      </x:c>
      <x:c r="AY137" s="12" t="n">
        <x:f>=BI137</x:f>
      </x:c>
      <x:c r="AZ137" s="12" t="n">
        <x:v>0.3075356415478615071283095723</x:v>
      </x:c>
      <x:c r="BA137" s="12" t="n">
        <x:v>-0.0061099796334012219959266802</x:v>
      </x:c>
      <x:c r="BB137" s="12" t="n">
        <x:v>0.6985743380855397148676171079</x:v>
      </x:c>
      <x:c r="BC137" s="12" t="n">
        <x:f>=BH137</x:f>
      </x:c>
      <x:c r="BD137" s="13" t="n">
        <x:f>=BQ137</x:f>
      </x:c>
      <x:c r="BE137" s="30" t="n">
        <x:v>1552.28</x:v>
      </x:c>
      <x:c r="BF137" s="30" t="n">
        <x:v>-2824.18738533858522050715</x:v>
      </x:c>
      <x:c r="BG137" s="30" t="n">
        <x:f>=BE137+BF137</x:f>
      </x:c>
      <x:c r="BH137" s="66" t="n">
        <x:f>=BG137/BE137</x:f>
      </x:c>
      <x:c r="BI137" s="66" t="n">
        <x:v>0.3014256619144602851323828921</x:v>
      </x:c>
      <x:c r="BJ137" s="30" t="n">
        <x:v>2883.541325091324969595</x:v>
      </x:c>
      <x:c r="BK137" s="41" t="n">
        <x:v>343</x:v>
      </x:c>
      <x:c r="BL137" s="30" t="n">
        <x:v>2014.367972517972432935</x:v>
      </x:c>
      <x:c r="BN137" s="30" t="n">
        <x:v>2544.6076844445478615071283091</x:v>
      </x:c>
      <x:c r="BO137" s="30" t="n">
        <x:v>-2824.18738533858522050715</x:v>
      </x:c>
      <x:c r="BP137" s="30" t="n">
        <x:f>=BN137+BO137</x:f>
      </x:c>
      <x:c r="BQ137" s="66" t="n">
        <x:f>=BP137/BN137</x:f>
      </x:c>
      <x:c r="BS137" s="66" t="n">
        <x:f>=BT137+BU137</x:f>
      </x:c>
      <x:c r="BT137" s="66" t="n">
        <x:f>=BI137+(0.00067888662593346911065852*4)</x:f>
      </x:c>
      <x:c r="BU137" s="66" t="n">
        <x:f>=(1-BT137)*0.5</x:f>
      </x:c>
      <x:c r="BV137" s="66" t="n">
        <x:f>=1-BS137</x:f>
      </x:c>
      <x:c r="BX137" s="66" t="n">
        <x:f>=BU137/(1-BT137)</x:f>
      </x:c>
    </x:row>
    <x:row r="138">
      <x:c r="A138" s="31" t="s">
        <x:v>323</x:v>
      </x:c>
      <x:c r="B138" t="s"/>
      <x:c r="C138" t="s">
        <x:v>324</x:v>
      </x:c>
      <x:c r="D138" t="s">
        <x:v>285</x:v>
      </x:c>
      <x:c r="E138" s="67" t="s">
        <x:v>154</x:v>
      </x:c>
      <x:c r="F138" t="n">
        <x:v>738</x:v>
      </x:c>
      <x:c r="G138" s="32" t="n">
        <x:v>0.0013550135501355013550135501</x:v>
      </x:c>
      <x:c r="H138" s="32" t="n">
        <x:v>0.0542005420054200542005420054</x:v>
      </x:c>
      <x:c r="I138" s="32" t="n">
        <x:v>0.1178861788617886178861788618</x:v>
      </x:c>
      <x:c r="J138" s="32" t="n">
        <x:v>0.1775067750677506775067750678</x:v>
      </x:c>
      <x:c r="K138" s="32" t="n">
        <x:v>0.2330623306233062330623306233</x:v>
      </x:c>
      <x:c r="L138" s="32" t="n">
        <x:v>0.2655826558265582655826558266</x:v>
      </x:c>
      <x:c r="M138" s="32" t="n">
        <x:v>0.3224932249322493224932249322</x:v>
      </x:c>
      <x:c r="N138" s="32" t="n">
        <x:v>0.280487804878048780487804878</x:v>
      </x:c>
      <x:c r="O138" s="32" t="n">
        <x:v>0.2682926829268292682926829268</x:v>
      </x:c>
      <x:c r="P138" s="32" t="n">
        <x:v>0.2669376693766937669376693767</x:v>
      </x:c>
      <x:c r="Q138" s="32" t="n">
        <x:v>0.2682926829268292682926829268</x:v>
      </x:c>
      <x:c r="R138" s="32" t="n">
        <x:v>0.2777777777777777777777777778</x:v>
      </x:c>
      <x:c r="S138" s="32" t="n">
        <x:v>0.2764227642276422764227642276</x:v>
      </x:c>
      <x:c r="T138" s="32" t="n">
        <x:v>0.2737127371273712737127371274</x:v>
      </x:c>
      <x:c r="U138" s="32" t="n">
        <x:v>0.2913279132791327913279132791</x:v>
      </x:c>
      <x:c r="V138" s="32" t="n">
        <x:v>0.3075880758807588075880758808</x:v>
      </x:c>
      <x:c r="W138" s="32" t="n">
        <x:v>0.3360433604336043360433604336</x:v>
      </x:c>
      <x:c r="X138" s="32" t="n">
        <x:v>0.3577235772357723577235772358</x:v>
      </x:c>
      <x:c r="Y138" s="32" t="n">
        <x:v>0.3753387533875338753387533875</x:v>
      </x:c>
      <x:c r="Z138" s="32" t="n">
        <x:v>0.4010840108401084010840108401</x:v>
      </x:c>
      <x:c r="AA138" s="32" t="n">
        <x:v>0.4132791327913279132791327913</x:v>
      </x:c>
      <x:c r="AB138" s="32" t="n">
        <x:v>0.4539295392953929539295392954</x:v>
      </x:c>
      <x:c r="AC138" s="32" t="n">
        <x:v>0.4688346883468834688346883469</x:v>
      </x:c>
      <x:c r="AD138" s="32" t="n">
        <x:v>0.4661246612466124661246612466</x:v>
      </x:c>
      <x:c r="AE138" s="32" t="n">
        <x:v>0.4674796747967479674796747967</x:v>
      </x:c>
      <x:c r="AF138" s="32" t="n">
        <x:v>0.4810298102981029810298102981</x:v>
      </x:c>
      <x:c r="AG138" s="32" t="n">
        <x:v>0.5027100271002710027100271003</x:v>
      </x:c>
      <x:c r="AH138" s="32" t="n">
        <x:v>0.5284552845528455284552845528</x:v>
      </x:c>
      <x:c r="AI138" s="32" t="n">
        <x:v>0.5514905149051490514905149051</x:v>
      </x:c>
      <x:c r="AJ138" s="32" t="n">
        <x:v>0.5663956639566395663956639566</x:v>
      </x:c>
      <x:c r="AW138" s="33" t="s"/>
      <x:c r="AX138" s="11" t="s">
        <x:v>158</x:v>
      </x:c>
      <x:c r="AY138" s="12" t="n">
        <x:f>=BI138</x:f>
      </x:c>
      <x:c r="AZ138" s="12" t="n">
        <x:v>0.5663956639566395663956639566</x:v>
      </x:c>
      <x:c r="BA138" s="12" t="n">
        <x:v>0</x:v>
      </x:c>
      <x:c r="BB138" s="12" t="n">
        <x:v>0.4336043360433604336043360434</x:v>
      </x:c>
      <x:c r="BC138" s="12" t="n">
        <x:f>=BH138</x:f>
      </x:c>
      <x:c r="BD138" s="13" t="n">
        <x:f>=BQ138</x:f>
      </x:c>
      <x:c r="BE138" s="30" t="n">
        <x:v>5277.75</x:v>
      </x:c>
      <x:c r="BF138" s="30" t="n">
        <x:v>-6362.1504</x:v>
      </x:c>
      <x:c r="BG138" s="30" t="n">
        <x:f>=BE138+BF138</x:f>
      </x:c>
      <x:c r="BH138" s="66" t="n">
        <x:f>=BG138/BE138</x:f>
      </x:c>
      <x:c r="BI138" s="66" t="n">
        <x:v>0.5663956639566395663956639566</x:v>
      </x:c>
      <x:c r="BJ138" s="30" t="n">
        <x:v>5158.62</x:v>
      </x:c>
      <x:c r="BK138" s="41" t="n">
        <x:v>320</x:v>
      </x:c>
      <x:c r="BL138" s="30" t="n">
        <x:v>2236.80</x:v>
      </x:c>
      <x:c r="BN138" s="30" t="n">
        <x:v>7075.6033319236233062330623310</x:v>
      </x:c>
      <x:c r="BO138" s="30" t="n">
        <x:v>-6362.1504</x:v>
      </x:c>
      <x:c r="BP138" s="30" t="n">
        <x:f>=BN138+BO138</x:f>
      </x:c>
      <x:c r="BQ138" s="66" t="n">
        <x:f>=BP138/BN138</x:f>
      </x:c>
      <x:c r="BS138" s="66" t="n">
        <x:f>=BT138+BU138</x:f>
      </x:c>
      <x:c r="BT138" s="66" t="n">
        <x:f>=BI138+(0.0212285456187895212285456188*4)</x:f>
      </x:c>
      <x:c r="BU138" s="66" t="n">
        <x:f>=(1-BT138)*0.5</x:f>
      </x:c>
      <x:c r="BV138" s="66" t="n">
        <x:f>=1-BS138</x:f>
      </x:c>
      <x:c r="BX138" s="66" t="n">
        <x:f>=BU138/(1-BT138)</x:f>
      </x:c>
    </x:row>
    <x:row r="139">
      <x:c r="A139" s="31" t="s">
        <x:v>325</x:v>
      </x:c>
      <x:c r="B139" t="s"/>
      <x:c r="C139" t="s">
        <x:v>326</x:v>
      </x:c>
      <x:c r="D139" t="s">
        <x:v>113</x:v>
      </x:c>
      <x:c r="E139" s="67" t="s">
        <x:v>154</x:v>
      </x:c>
      <x:c r="F139" t="n">
        <x:v>290</x:v>
      </x:c>
      <x:c r="G139" s="32" t="n">
        <x:v>0.0206896551724137931034482759</x:v>
      </x:c>
      <x:c r="H139" s="32" t="n">
        <x:v>0.0482758620689655172413793103</x:v>
      </x:c>
      <x:c r="I139" s="32" t="n">
        <x:v>0.0896551724137931034482758621</x:v>
      </x:c>
      <x:c r="J139" s="32" t="n">
        <x:v>0.1275862068965517241379310345</x:v>
      </x:c>
      <x:c r="K139" s="32" t="n">
        <x:v>0.1689655172413793103448275862</x:v>
      </x:c>
      <x:c r="L139" s="32" t="n">
        <x:v>0.1862068965517241379310344828</x:v>
      </x:c>
      <x:c r="M139" s="32" t="n">
        <x:v>0.1931034482758620689655172414</x:v>
      </x:c>
      <x:c r="N139" s="32" t="n">
        <x:v>0.1896551724137931034482758621</x:v>
      </x:c>
      <x:c r="O139" s="32" t="n">
        <x:v>0.1896551724137931034482758621</x:v>
      </x:c>
      <x:c r="P139" s="32" t="n">
        <x:v>0.1896551724137931034482758621</x:v>
      </x:c>
      <x:c r="Q139" s="32" t="n">
        <x:v>0.1896551724137931034482758621</x:v>
      </x:c>
      <x:c r="R139" s="32" t="n">
        <x:v>0.1896551724137931034482758621</x:v>
      </x:c>
      <x:c r="S139" s="32" t="n">
        <x:v>0.1931034482758620689655172414</x:v>
      </x:c>
      <x:c r="T139" s="32" t="n">
        <x:v>0.2068965517241379310344827586</x:v>
      </x:c>
      <x:c r="U139" s="32" t="n">
        <x:v>0.2137931034482758620689655172</x:v>
      </x:c>
      <x:c r="V139" s="32" t="n">
        <x:v>0.2137931034482758620689655172</x:v>
      </x:c>
      <x:c r="W139" s="32" t="n">
        <x:v>0.2137931034482758620689655172</x:v>
      </x:c>
      <x:c r="X139" s="32" t="n">
        <x:v>0.2241379310344827586206896552</x:v>
      </x:c>
      <x:c r="Y139" s="32" t="n">
        <x:v>0.2379310344827586206896551724</x:v>
      </x:c>
      <x:c r="Z139" s="32" t="n">
        <x:v>0.2517241379310344827586206897</x:v>
      </x:c>
      <x:c r="AA139" s="32" t="n">
        <x:v>0.2655172413793103448275862069</x:v>
      </x:c>
      <x:c r="AB139" s="32" t="n">
        <x:v>0.2793103448275862068965517241</x:v>
      </x:c>
      <x:c r="AC139" s="32" t="n">
        <x:v>0.2896551724137931034482758621</x:v>
      </x:c>
      <x:c r="AD139" s="32" t="n">
        <x:v>0.3103448275862068965517241379</x:v>
      </x:c>
      <x:c r="AE139" s="32" t="n">
        <x:v>0.3482758620689655172413793103</x:v>
      </x:c>
      <x:c r="AF139" s="32" t="n">
        <x:v>0.3827586206896551724137931034</x:v>
      </x:c>
      <x:c r="AG139" s="32" t="n">
        <x:v>0.3965517241379310344827586207</x:v>
      </x:c>
      <x:c r="AH139" s="32" t="n">
        <x:v>0.4241379310344827586206896552</x:v>
      </x:c>
      <x:c r="AW139" s="33" t="s"/>
      <x:c r="AX139" s="11" t="s">
        <x:v>165</x:v>
      </x:c>
      <x:c r="AY139" s="12" t="n">
        <x:f>=BI139</x:f>
      </x:c>
      <x:c r="AZ139" s="12" t="n">
        <x:v>0.4241379310344827586206896552</x:v>
      </x:c>
      <x:c r="BA139" s="12" t="n">
        <x:v>0</x:v>
      </x:c>
      <x:c r="BB139" s="12" t="n">
        <x:v>0.5758620689655172413793103448</x:v>
      </x:c>
      <x:c r="BC139" s="12" t="n">
        <x:f>=BH139</x:f>
      </x:c>
      <x:c r="BD139" s="13" t="n">
        <x:f>=BQ139</x:f>
      </x:c>
      <x:c r="BE139" s="30" t="n">
        <x:v>189.79</x:v>
      </x:c>
      <x:c r="BF139" s="30" t="n">
        <x:v>-224.65433253234500000000</x:v>
      </x:c>
      <x:c r="BG139" s="30" t="n">
        <x:f>=BE139+BF139</x:f>
      </x:c>
      <x:c r="BH139" s="66" t="n">
        <x:f>=BG139/BE139</x:f>
      </x:c>
      <x:c r="BI139" s="66" t="n">
        <x:v>0.4241379310344827586206896552</x:v>
      </x:c>
      <x:c r="BJ139" s="30" t="n">
        <x:v>223.590033538500000000</x:v>
      </x:c>
      <x:c r="BK139" s="41" t="n">
        <x:v>167</x:v>
      </x:c>
      <x:c r="BL139" s="30" t="n">
        <x:v>128.757019313550000000</x:v>
      </x:c>
      <x:c r="BN139" s="30" t="n">
        <x:v>303.66894661591989942528735640</x:v>
      </x:c>
      <x:c r="BO139" s="30" t="n">
        <x:v>-224.65433253234500000000</x:v>
      </x:c>
      <x:c r="BP139" s="30" t="n">
        <x:f>=BN139+BO139</x:f>
      </x:c>
      <x:c r="BQ139" s="66" t="n">
        <x:f>=BP139/BN139</x:f>
      </x:c>
      <x:c r="BS139" s="66" t="n">
        <x:f>=BT139+BU139</x:f>
      </x:c>
      <x:c r="BT139" s="66" t="n">
        <x:f>=BI139+(0.025287356321839080459770115*4)</x:f>
      </x:c>
      <x:c r="BU139" s="66" t="n">
        <x:f>=(1-BT139)*0.5</x:f>
      </x:c>
      <x:c r="BV139" s="66" t="n">
        <x:f>=1-BS139</x:f>
      </x:c>
      <x:c r="BX139" s="66" t="n">
        <x:f>=BU139/(1-BT139)</x:f>
      </x:c>
    </x:row>
    <x:row r="140">
      <x:c r="A140" s="31" t="s">
        <x:v>327</x:v>
      </x:c>
      <x:c r="B140" t="s"/>
      <x:c r="C140" t="s">
        <x:v>328</x:v>
      </x:c>
      <x:c r="D140" t="s">
        <x:v>113</x:v>
      </x:c>
      <x:c r="E140" s="67" t="s">
        <x:v>154</x:v>
      </x:c>
      <x:c r="F140" t="n">
        <x:v>315</x:v>
      </x:c>
      <x:c r="G140" s="32" t="n">
        <x:v>0.0095238095238095238095238095</x:v>
      </x:c>
      <x:c r="H140" s="32" t="n">
        <x:v>0.0317460317460317460317460317</x:v>
      </x:c>
      <x:c r="I140" s="32" t="n">
        <x:v>0.0571428571428571428571428571</x:v>
      </x:c>
      <x:c r="J140" s="32" t="n">
        <x:v>0.0984126984126984126984126984</x:v>
      </x:c>
      <x:c r="K140" s="32" t="n">
        <x:v>0.1111111111111111111111111111</x:v>
      </x:c>
      <x:c r="L140" s="32" t="n">
        <x:v>0.1206349206349206349206349206</x:v>
      </x:c>
      <x:c r="M140" s="32" t="n">
        <x:v>0.126984126984126984126984127</x:v>
      </x:c>
      <x:c r="N140" s="32" t="n">
        <x:v>0.1238095238095238095238095238</x:v>
      </x:c>
      <x:c r="O140" s="32" t="n">
        <x:v>0.1238095238095238095238095238</x:v>
      </x:c>
      <x:c r="P140" s="32" t="n">
        <x:v>0.1238095238095238095238095238</x:v>
      </x:c>
      <x:c r="Q140" s="32" t="n">
        <x:v>0.1238095238095238095238095238</x:v>
      </x:c>
      <x:c r="R140" s="32" t="n">
        <x:v>0.1238095238095238095238095238</x:v>
      </x:c>
      <x:c r="S140" s="32" t="n">
        <x:v>0.1238095238095238095238095238</x:v>
      </x:c>
      <x:c r="T140" s="32" t="n">
        <x:v>0.1301587301587301587301587302</x:v>
      </x:c>
      <x:c r="U140" s="32" t="n">
        <x:v>0.1365079365079365079365079365</x:v>
      </x:c>
      <x:c r="V140" s="32" t="n">
        <x:v>0.1396825396825396825396825397</x:v>
      </x:c>
      <x:c r="W140" s="32" t="n">
        <x:v>0.1428571428571428571428571429</x:v>
      </x:c>
      <x:c r="X140" s="32" t="n">
        <x:v>0.1523809523809523809523809524</x:v>
      </x:c>
      <x:c r="Y140" s="32" t="n">
        <x:v>0.1650793650793650793650793651</x:v>
      </x:c>
      <x:c r="Z140" s="32" t="n">
        <x:v>0.1777777777777777777777777778</x:v>
      </x:c>
      <x:c r="AA140" s="32" t="n">
        <x:v>0.2</x:v>
      </x:c>
      <x:c r="AB140" s="32" t="n">
        <x:v>0.2063492063492063492063492063</x:v>
      </x:c>
      <x:c r="AC140" s="32" t="n">
        <x:v>0.2158730158730158730158730159</x:v>
      </x:c>
      <x:c r="AD140" s="32" t="n">
        <x:v>0.2253968253968253968253968254</x:v>
      </x:c>
      <x:c r="AE140" s="32" t="n">
        <x:v>0.2634920634920634920634920635</x:v>
      </x:c>
      <x:c r="AF140" s="32" t="n">
        <x:v>0.2857142857142857142857142857</x:v>
      </x:c>
      <x:c r="AG140" s="32" t="n">
        <x:v>0.2888888888888888888888888889</x:v>
      </x:c>
      <x:c r="AH140" s="32" t="n">
        <x:v>0.3015873015873015873015873016</x:v>
      </x:c>
      <x:c r="AW140" s="33" t="s"/>
      <x:c r="AX140" s="11" t="s">
        <x:v>165</x:v>
      </x:c>
      <x:c r="AY140" s="12" t="n">
        <x:f>=BI140</x:f>
      </x:c>
      <x:c r="AZ140" s="12" t="n">
        <x:v>0.3015873015873015873015873016</x:v>
      </x:c>
      <x:c r="BA140" s="12" t="n">
        <x:v>0</x:v>
      </x:c>
      <x:c r="BB140" s="12" t="n">
        <x:v>0.6984126984126984126984126984</x:v>
      </x:c>
      <x:c r="BC140" s="12" t="n">
        <x:f>=BH140</x:f>
      </x:c>
      <x:c r="BD140" s="13" t="n">
        <x:f>=BQ140</x:f>
      </x:c>
      <x:c r="BE140" s="30" t="n">
        <x:v>142.98</x:v>
      </x:c>
      <x:c r="BF140" s="30" t="n">
        <x:v>-243.35958533685750000000</x:v>
      </x:c>
      <x:c r="BG140" s="30" t="n">
        <x:f>=BE140+BF140</x:f>
      </x:c>
      <x:c r="BH140" s="66" t="n">
        <x:f>=BG140/BE140</x:f>
      </x:c>
      <x:c r="BI140" s="66" t="n">
        <x:v>0.3015873015873015873015873016</x:v>
      </x:c>
      <x:c r="BJ140" s="30" t="n">
        <x:v>242.865036429750000000</x:v>
      </x:c>
      <x:c r="BK140" s="41" t="n">
        <x:v>220</x:v>
      </x:c>
      <x:c r="BL140" s="30" t="n">
        <x:v>169.620025443000000000</x:v>
      </x:c>
      <x:c r="BN140" s="30" t="n">
        <x:v>267.28410590196230158730158730</x:v>
      </x:c>
      <x:c r="BO140" s="30" t="n">
        <x:v>-243.35958533685750000000</x:v>
      </x:c>
      <x:c r="BP140" s="30" t="n">
        <x:f>=BN140+BO140</x:f>
      </x:c>
      <x:c r="BQ140" s="66" t="n">
        <x:f>=BP140/BN140</x:f>
      </x:c>
      <x:c r="BS140" s="66" t="n">
        <x:f>=BT140+BU140</x:f>
      </x:c>
      <x:c r="BT140" s="66" t="n">
        <x:f>=BI140+(0.0126984126984126984126984127*4)</x:f>
      </x:c>
      <x:c r="BU140" s="66" t="n">
        <x:f>=(1-BT140)*0.5</x:f>
      </x:c>
      <x:c r="BV140" s="66" t="n">
        <x:f>=1-BS140</x:f>
      </x:c>
      <x:c r="BX140" s="66" t="n">
        <x:f>=BU140/(1-BT140)</x:f>
      </x:c>
    </x:row>
    <x:row r="141">
      <x:c r="A141" s="31" t="s">
        <x:v>329</x:v>
      </x:c>
      <x:c r="B141" t="s"/>
      <x:c r="C141" t="s">
        <x:v>330</x:v>
      </x:c>
      <x:c r="D141" t="s">
        <x:v>113</x:v>
      </x:c>
      <x:c r="E141" s="67" t="s">
        <x:v>154</x:v>
      </x:c>
      <x:c r="F141" t="n">
        <x:v>307</x:v>
      </x:c>
      <x:c r="G141" s="32" t="n">
        <x:v>0.0130293159609120521172638436</x:v>
      </x:c>
      <x:c r="H141" s="32" t="n">
        <x:v>0.0228013029315960912052117264</x:v>
      </x:c>
      <x:c r="I141" s="32" t="n">
        <x:v>0.0488599348534201954397394137</x:v>
      </x:c>
      <x:c r="J141" s="32" t="n">
        <x:v>0.0651465798045602605863192182</x:v>
      </x:c>
      <x:c r="K141" s="32" t="n">
        <x:v>0.0879478827361563517915309446</x:v>
      </x:c>
      <x:c r="L141" s="32" t="n">
        <x:v>0.0944625407166123778501628664</x:v>
      </x:c>
      <x:c r="M141" s="32" t="n">
        <x:v>0.0944625407166123778501628664</x:v>
      </x:c>
      <x:c r="N141" s="32" t="n">
        <x:v>0.0944625407166123778501628664</x:v>
      </x:c>
      <x:c r="O141" s="32" t="n">
        <x:v>0.0944625407166123778501628664</x:v>
      </x:c>
      <x:c r="P141" s="32" t="n">
        <x:v>0.0944625407166123778501628664</x:v>
      </x:c>
      <x:c r="Q141" s="32" t="n">
        <x:v>0.0944625407166123778501628664</x:v>
      </x:c>
      <x:c r="R141" s="32" t="n">
        <x:v>0.0944625407166123778501628664</x:v>
      </x:c>
      <x:c r="S141" s="32" t="n">
        <x:v>0.0944625407166123778501628664</x:v>
      </x:c>
      <x:c r="T141" s="32" t="n">
        <x:v>0.0977198697068403908794788274</x:v>
      </x:c>
      <x:c r="U141" s="32" t="n">
        <x:v>0.1042345276872964169381107492</x:v>
      </x:c>
      <x:c r="V141" s="32" t="n">
        <x:v>0.1042345276872964169381107492</x:v>
      </x:c>
      <x:c r="W141" s="32" t="n">
        <x:v>0.1009771986970684039087947883</x:v>
      </x:c>
      <x:c r="X141" s="32" t="n">
        <x:v>0.110749185667752442996742671</x:v>
      </x:c>
      <x:c r="Y141" s="32" t="n">
        <x:v>0.1172638436482084690553745928</x:v>
      </x:c>
      <x:c r="Z141" s="32" t="n">
        <x:v>0.1172638436482084690553745928</x:v>
      </x:c>
      <x:c r="AA141" s="32" t="n">
        <x:v>0.1237785016286644951140065147</x:v>
      </x:c>
      <x:c r="AB141" s="32" t="n">
        <x:v>0.1368078175895765472312703583</x:v>
      </x:c>
      <x:c r="AC141" s="32" t="n">
        <x:v>0.1433224755700325732899022801</x:v>
      </x:c>
      <x:c r="AD141" s="32" t="n">
        <x:v>0.146579804560260586319218241</x:v>
      </x:c>
      <x:c r="AE141" s="32" t="n">
        <x:v>0.1628664495114006514657980456</x:v>
      </x:c>
      <x:c r="AF141" s="32" t="n">
        <x:v>0.1791530944625407166123778502</x:v>
      </x:c>
      <x:c r="AG141" s="32" t="n">
        <x:v>0.1889250814332247557003257329</x:v>
      </x:c>
      <x:c r="AH141" s="32" t="n">
        <x:v>0.2052117263843648208469055375</x:v>
      </x:c>
      <x:c r="AW141" s="33" t="s"/>
      <x:c r="AX141" s="11" t="s">
        <x:v>165</x:v>
      </x:c>
      <x:c r="AY141" s="12" t="n">
        <x:f>=BI141</x:f>
      </x:c>
      <x:c r="AZ141" s="12" t="n">
        <x:v>0.2052117263843648208469055375</x:v>
      </x:c>
      <x:c r="BA141" s="12" t="n">
        <x:v>0</x:v>
      </x:c>
      <x:c r="BB141" s="12" t="n">
        <x:v>0.7947882736156351791530944625</x:v>
      </x:c>
      <x:c r="BC141" s="12" t="n">
        <x:f>=BH141</x:f>
      </x:c>
      <x:c r="BD141" s="13" t="n">
        <x:f>=BQ141</x:f>
      </x:c>
      <x:c r="BE141" s="30" t="n">
        <x:v>96.71</x:v>
      </x:c>
      <x:c r="BF141" s="30" t="n">
        <x:v>-237.36322443941350000000</x:v>
      </x:c>
      <x:c r="BG141" s="30" t="n">
        <x:f>=BE141+BF141</x:f>
      </x:c>
      <x:c r="BH141" s="66" t="n">
        <x:f>=BG141/BE141</x:f>
      </x:c>
      <x:c r="BI141" s="66" t="n">
        <x:v>0.2052117263843648208469055375</x:v>
      </x:c>
      <x:c r="BJ141" s="30" t="n">
        <x:v>236.697035504550000000</x:v>
      </x:c>
      <x:c r="BK141" s="41" t="n">
        <x:v>244</x:v>
      </x:c>
      <x:c r="BL141" s="30" t="n">
        <x:v>188.124028218600000000</x:v>
      </x:c>
      <x:c r="BN141" s="30" t="n">
        <x:v>233.98189895305103148751357225</x:v>
      </x:c>
      <x:c r="BO141" s="30" t="n">
        <x:v>-237.36322443941350000000</x:v>
      </x:c>
      <x:c r="BP141" s="30" t="n">
        <x:f>=BN141+BO141</x:f>
      </x:c>
      <x:c r="BQ141" s="66" t="n">
        <x:f>=BP141/BN141</x:f>
      </x:c>
      <x:c r="BS141" s="66" t="n">
        <x:f>=BT141+BU141</x:f>
      </x:c>
      <x:c r="BT141" s="66" t="n">
        <x:f>=BI141+(0.014115092290988056460369164*4)</x:f>
      </x:c>
      <x:c r="BU141" s="66" t="n">
        <x:f>=(1-BT141)*0.5</x:f>
      </x:c>
      <x:c r="BV141" s="66" t="n">
        <x:f>=1-BS141</x:f>
      </x:c>
      <x:c r="BX141" s="66" t="n">
        <x:f>=BU141/(1-BT141)</x:f>
      </x:c>
    </x:row>
    <x:row r="142">
      <x:c r="A142" s="31" t="s">
        <x:v>331</x:v>
      </x:c>
      <x:c r="B142" t="s"/>
      <x:c r="C142" t="s">
        <x:v>332</x:v>
      </x:c>
      <x:c r="D142" t="s">
        <x:v>147</x:v>
      </x:c>
      <x:c r="E142" s="67" t="s">
        <x:v>154</x:v>
      </x:c>
      <x:c r="F142" t="n">
        <x:v>756</x:v>
      </x:c>
      <x:c r="G142" s="32" t="n">
        <x:v>0.0264550264550264550264550265</x:v>
      </x:c>
      <x:c r="H142" s="32" t="n">
        <x:v>0.0515873015873015873015873016</x:v>
      </x:c>
      <x:c r="I142" s="32" t="n">
        <x:v>0.0648148148148148148148148148</x:v>
      </x:c>
      <x:c r="J142" s="32" t="n">
        <x:v>0.0833333333333333333333333333</x:v>
      </x:c>
      <x:c r="K142" s="32" t="n">
        <x:v>0.0714285714285714285714285714</x:v>
      </x:c>
      <x:c r="L142" s="32" t="n">
        <x:v>0.0753968253968253968253968254</x:v>
      </x:c>
      <x:c r="M142" s="32" t="n">
        <x:v>0.0753968253968253968253968254</x:v>
      </x:c>
      <x:c r="N142" s="32" t="n">
        <x:v>0.0753968253968253968253968254</x:v>
      </x:c>
      <x:c r="O142" s="32" t="n">
        <x:v>0.0727513227513227513227513228</x:v>
      </x:c>
      <x:c r="P142" s="32" t="n">
        <x:v>0.0793650793650793650793650794</x:v>
      </x:c>
      <x:c r="Q142" s="32" t="n">
        <x:v>0.0846560846560846560846560847</x:v>
      </x:c>
      <x:c r="R142" s="32" t="n">
        <x:v>0.0939153439153439153439153439</x:v>
      </x:c>
      <x:c r="S142" s="32" t="n">
        <x:v>0.1071428571428571428571428571</x:v>
      </x:c>
      <x:c r="T142" s="32" t="n">
        <x:v>0.1097883597883597883597883598</x:v>
      </x:c>
      <x:c r="U142" s="32" t="n">
        <x:v>0.1150793650793650793650793651</x:v>
      </x:c>
      <x:c r="V142" s="32" t="n">
        <x:v>0.1150793650793650793650793651</x:v>
      </x:c>
      <x:c r="W142" s="32" t="n">
        <x:v>0.1283068783068783068783068783</x:v>
      </x:c>
      <x:c r="X142" s="32" t="n">
        <x:v>0.1296296296296296296296296296</x:v>
      </x:c>
      <x:c r="Y142" s="32" t="n">
        <x:v>0.1296296296296296296296296296</x:v>
      </x:c>
      <x:c r="Z142" s="32" t="n">
        <x:v>0.1335978835978835978835978836</x:v>
      </x:c>
      <x:c r="AA142" s="32" t="n">
        <x:v>0.1547619047619047619047619048</x:v>
      </x:c>
      <x:c r="AB142" s="32" t="n">
        <x:v>0.164021164021164021164021164</x:v>
      </x:c>
      <x:c r="AC142" s="32" t="n">
        <x:v>0.1798941798941798941798941799</x:v>
      </x:c>
      <x:c r="AD142" s="32" t="n">
        <x:v>0.1917989417989417989417989418</x:v>
      </x:c>
      <x:c r="AE142" s="32" t="n">
        <x:v>0.1772486772486772486772486772</x:v>
      </x:c>
      <x:c r="AF142" s="32" t="n">
        <x:v>0.1851851851851851851851851852</x:v>
      </x:c>
      <x:c r="AG142" s="32" t="n">
        <x:v>0.1878306878306878306878306878</x:v>
      </x:c>
      <x:c r="AW142" s="33" t="s"/>
      <x:c r="AX142" s="11" t="s">
        <x:v>278</x:v>
      </x:c>
      <x:c r="AY142" s="12" t="n">
        <x:f>=BI142</x:f>
      </x:c>
      <x:c r="AZ142" s="12" t="n">
        <x:v>0.2010582010582010582010582011</x:v>
      </x:c>
      <x:c r="BA142" s="12" t="n">
        <x:v>-0.0132275132275132275132275132</x:v>
      </x:c>
      <x:c r="BB142" s="12" t="n">
        <x:v>0.8121693121693121693121693122</x:v>
      </x:c>
      <x:c r="BC142" s="12" t="n">
        <x:f>=BH142</x:f>
      </x:c>
      <x:c r="BD142" s="13" t="n">
        <x:f>=BQ142</x:f>
      </x:c>
      <x:c r="BE142" s="30" t="n">
        <x:v>3323.87</x:v>
      </x:c>
      <x:c r="BF142" s="30" t="n">
        <x:v>-11875.8528</x:v>
      </x:c>
      <x:c r="BG142" s="30" t="n">
        <x:f>=BE142+BF142</x:f>
      </x:c>
      <x:c r="BH142" s="66" t="n">
        <x:f>=BG142/BE142</x:f>
      </x:c>
      <x:c r="BI142" s="66" t="n">
        <x:v>0.1878306878306878306878306878</x:v>
      </x:c>
      <x:c r="BJ142" s="30" t="n">
        <x:v>10402.56</x:v>
      </x:c>
      <x:c r="BK142" s="41" t="n">
        <x:v>614</x:v>
      </x:c>
      <x:c r="BL142" s="30" t="n">
        <x:v>8448.64</x:v>
      </x:c>
      <x:c r="BN142" s="30" t="n">
        <x:v>7786.8767276218082010582010574</x:v>
      </x:c>
      <x:c r="BO142" s="30" t="n">
        <x:v>-11875.8528</x:v>
      </x:c>
      <x:c r="BP142" s="30" t="n">
        <x:f>=BN142+BO142</x:f>
      </x:c>
      <x:c r="BQ142" s="66" t="n">
        <x:f>=BP142/BN142</x:f>
      </x:c>
      <x:c r="BS142" s="66" t="n">
        <x:f>=BT142+BU142</x:f>
      </x:c>
      <x:c r="BT142" s="66" t="n">
        <x:f>=BI142+(0*4)</x:f>
      </x:c>
      <x:c r="BU142" s="66" t="n">
        <x:f>=(1-BT142)*0.5</x:f>
      </x:c>
      <x:c r="BV142" s="66" t="n">
        <x:f>=1-BS142</x:f>
      </x:c>
      <x:c r="BX142" s="66" t="n">
        <x:f>=BU142/(1-BT142)</x:f>
      </x:c>
    </x:row>
    <x:row r="143">
      <x:c r="A143" s="31" t="s">
        <x:v>333</x:v>
      </x:c>
      <x:c r="B143" t="s"/>
      <x:c r="C143" t="s">
        <x:v>334</x:v>
      </x:c>
      <x:c r="D143" t="s">
        <x:v>147</x:v>
      </x:c>
      <x:c r="E143" s="67" t="s">
        <x:v>154</x:v>
      </x:c>
      <x:c r="F143" t="n">
        <x:v>484</x:v>
      </x:c>
      <x:c r="G143" s="32" t="n">
        <x:v>0.0123966942148760330578512397</x:v>
      </x:c>
      <x:c r="H143" s="32" t="n">
        <x:v>0.026859504132231404958677686</x:v>
      </x:c>
      <x:c r="I143" s="32" t="n">
        <x:v>0.0330578512396694214876033058</x:v>
      </x:c>
      <x:c r="J143" s="32" t="n">
        <x:v>0.0309917355371900826446280992</x:v>
      </x:c>
      <x:c r="K143" s="32" t="n">
        <x:v>0.0351239669421487603305785124</x:v>
      </x:c>
      <x:c r="L143" s="32" t="n">
        <x:v>0.037190082644628099173553719</x:v>
      </x:c>
      <x:c r="M143" s="32" t="n">
        <x:v>0.0413223140495867768595041322</x:v>
      </x:c>
      <x:c r="N143" s="32" t="n">
        <x:v>0.0413223140495867768595041322</x:v>
      </x:c>
      <x:c r="O143" s="32" t="n">
        <x:v>0.0392561983471074380165289256</x:v>
      </x:c>
      <x:c r="P143" s="32" t="n">
        <x:v>0.0454545454545454545454545455</x:v>
      </x:c>
      <x:c r="Q143" s="32" t="n">
        <x:v>0.064049586776859504132231405</x:v>
      </x:c>
      <x:c r="R143" s="32" t="n">
        <x:v>0.0661157024793388429752066116</x:v>
      </x:c>
      <x:c r="S143" s="32" t="n">
        <x:v>0.0764462809917355371900826446</x:v>
      </x:c>
      <x:c r="T143" s="32" t="n">
        <x:v>0.0826446280991735537190082645</x:v>
      </x:c>
      <x:c r="U143" s="32" t="n">
        <x:v>0.0888429752066115702479338843</x:v>
      </x:c>
      <x:c r="V143" s="32" t="n">
        <x:v>0.0991735537190082644628099174</x:v>
      </x:c>
      <x:c r="W143" s="32" t="n">
        <x:v>0.1136363636363636363636363636</x:v>
      </x:c>
      <x:c r="X143" s="32" t="n">
        <x:v>0.1322314049586776859504132231</x:v>
      </x:c>
      <x:c r="Y143" s="32" t="n">
        <x:v>0.138429752066115702479338843</x:v>
      </x:c>
      <x:c r="Z143" s="32" t="n">
        <x:v>0.1652892561983471074380165289</x:v>
      </x:c>
      <x:c r="AA143" s="32" t="n">
        <x:v>0.1673553719008264462809917355</x:v>
      </x:c>
      <x:c r="AB143" s="32" t="n">
        <x:v>0.1714876033057851239669421488</x:v>
      </x:c>
      <x:c r="AC143" s="32" t="n">
        <x:v>0.1652892561983471074380165289</x:v>
      </x:c>
      <x:c r="AD143" s="32" t="n">
        <x:v>0.1921487603305785123966942149</x:v>
      </x:c>
      <x:c r="AE143" s="32" t="n">
        <x:v>0.2479338842975206611570247934</x:v>
      </x:c>
      <x:c r="AF143" s="32" t="n">
        <x:v>0.2541322314049586776859504132</x:v>
      </x:c>
      <x:c r="AW143" s="33" t="s"/>
      <x:c r="AX143" s="11" t="s">
        <x:v>168</x:v>
      </x:c>
      <x:c r="AY143" s="12" t="n">
        <x:f>=BI143</x:f>
      </x:c>
      <x:c r="AZ143" s="12" t="n">
        <x:v>0.2582644628099173553719008264</x:v>
      </x:c>
      <x:c r="BA143" s="12" t="n">
        <x:v>-0.0041322314049586776859504132</x:v>
      </x:c>
      <x:c r="BB143" s="12" t="n">
        <x:v>0.7458677685950413223140495868</x:v>
      </x:c>
      <x:c r="BC143" s="12" t="n">
        <x:f>=BH143</x:f>
      </x:c>
      <x:c r="BD143" s="13" t="n">
        <x:f>=BQ143</x:f>
      </x:c>
      <x:c r="BE143" s="30" t="n">
        <x:v>2791.69</x:v>
      </x:c>
      <x:c r="BF143" s="30" t="n">
        <x:v>-6443.0080</x:v>
      </x:c>
      <x:c r="BG143" s="30" t="n">
        <x:f>=BE143+BF143</x:f>
      </x:c>
      <x:c r="BH143" s="66" t="n">
        <x:f>=BG143/BE143</x:f>
      </x:c>
      <x:c r="BI143" s="66" t="n">
        <x:v>0.2541322314049586776859504132</x:v>
      </x:c>
      <x:c r="BJ143" s="30" t="n">
        <x:v>5624.08</x:v>
      </x:c>
      <x:c r="BK143" s="41" t="n">
        <x:v>361</x:v>
      </x:c>
      <x:c r="BL143" s="30" t="n">
        <x:v>4194.82</x:v>
      </x:c>
      <x:c r="BN143" s="30" t="n">
        <x:v>5818.7305240356363062442607897</x:v>
      </x:c>
      <x:c r="BO143" s="30" t="n">
        <x:v>-6443.0080</x:v>
      </x:c>
      <x:c r="BP143" s="30" t="n">
        <x:f>=BN143+BO143</x:f>
      </x:c>
      <x:c r="BQ143" s="66" t="n">
        <x:f>=BP143/BN143</x:f>
      </x:c>
      <x:c r="BS143" s="66" t="n">
        <x:f>=BT143+BU143</x:f>
      </x:c>
      <x:c r="BT143" s="66" t="n">
        <x:f>=BI143+(0.0303030303030303030303030303*4)</x:f>
      </x:c>
      <x:c r="BU143" s="66" t="n">
        <x:f>=(1-BT143)*0.5</x:f>
      </x:c>
      <x:c r="BV143" s="66" t="n">
        <x:f>=1-BS143</x:f>
      </x:c>
      <x:c r="BX143" s="66" t="n">
        <x:f>=BU143/(1-BT143)</x:f>
      </x:c>
    </x:row>
    <x:row r="144">
      <x:c r="A144" s="31" t="s">
        <x:v>335</x:v>
      </x:c>
      <x:c r="B144" t="s"/>
      <x:c r="C144" t="s">
        <x:v>336</x:v>
      </x:c>
      <x:c r="D144" t="s">
        <x:v>109</x:v>
      </x:c>
      <x:c r="E144" s="67" t="s">
        <x:v>154</x:v>
      </x:c>
      <x:c r="F144" t="n">
        <x:v>798</x:v>
      </x:c>
      <x:c r="G144" s="32" t="n">
        <x:v>0.0062656641604010025062656642</x:v>
      </x:c>
      <x:c r="H144" s="32" t="n">
        <x:v>0.0852130325814536340852130326</x:v>
      </x:c>
      <x:c r="I144" s="32" t="n">
        <x:v>0.0989974937343358395989974937</x:v>
      </x:c>
      <x:c r="J144" s="32" t="n">
        <x:v>0.1040100250626566416040100251</x:v>
      </x:c>
      <x:c r="K144" s="32" t="n">
        <x:v>0.0989974937343358395989974937</x:v>
      </x:c>
      <x:c r="L144" s="32" t="n">
        <x:v>0.0989974937343358395989974937</x:v>
      </x:c>
      <x:c r="M144" s="32" t="n">
        <x:v>0.0939849624060150375939849624</x:v>
      </x:c>
      <x:c r="N144" s="32" t="n">
        <x:v>0.0977443609022556390977443609</x:v>
      </x:c>
      <x:c r="O144" s="32" t="n">
        <x:v>0.1228070175438596491228070175</x:v>
      </x:c>
      <x:c r="P144" s="32" t="n">
        <x:v>0.1390977443609022556390977444</x:v>
      </x:c>
      <x:c r="Q144" s="32" t="n">
        <x:v>0.1616541353383458646616541353</x:v>
      </x:c>
      <x:c r="R144" s="32" t="n">
        <x:v>0.179197994987468671679197995</x:v>
      </x:c>
      <x:c r="S144" s="32" t="n">
        <x:v>0.1729323308270676691729323308</x:v>
      </x:c>
      <x:c r="T144" s="32" t="n">
        <x:v>0.1754385964912280701754385965</x:v>
      </x:c>
      <x:c r="U144" s="32" t="n">
        <x:v>0.194235588972431077694235589</x:v>
      </x:c>
      <x:c r="V144" s="32" t="n">
        <x:v>0.2055137844611528822055137845</x:v>
      </x:c>
      <x:c r="W144" s="32" t="n">
        <x:v>0.2167919799498746867167919799</x:v>
      </x:c>
      <x:c r="X144" s="32" t="n">
        <x:v>0.2243107769423558897243107769</x:v>
      </x:c>
      <x:c r="Y144" s="32" t="n">
        <x:v>0.2431077694235588972431077694</x:v>
      </x:c>
      <x:c r="Z144" s="32" t="n">
        <x:v>0.2431077694235588972431077694</x:v>
      </x:c>
      <x:c r="AA144" s="32" t="n">
        <x:v>0.2593984962406015037593984962</x:v>
      </x:c>
      <x:c r="AB144" s="32" t="n">
        <x:v>0.2932330827067669172932330827</x:v>
      </x:c>
      <x:c r="AC144" s="32" t="n">
        <x:v>0.2994987468671679197994987469</x:v>
      </x:c>
      <x:c r="AD144" s="32" t="n">
        <x:v>0.305764411027568922305764411</x:v>
      </x:c>
      <x:c r="AE144" s="32" t="n">
        <x:v>0.3295739348370927318295739348</x:v>
      </x:c>
      <x:c r="AW144" s="33" t="s"/>
      <x:c r="AX144" s="11" t="s">
        <x:v>173</x:v>
      </x:c>
      <x:c r="AY144" s="12" t="n">
        <x:f>=BI144</x:f>
      </x:c>
      <x:c r="AZ144" s="12" t="n">
        <x:v>0.3308270676691729323308270677</x:v>
      </x:c>
      <x:c r="BA144" s="12" t="n">
        <x:v>-0.0012531328320802005012531328</x:v>
      </x:c>
      <x:c r="BB144" s="12" t="n">
        <x:v>0.6704260651629072681704260652</x:v>
      </x:c>
      <x:c r="BC144" s="12" t="n">
        <x:f>=BH144</x:f>
      </x:c>
      <x:c r="BD144" s="13" t="n">
        <x:f>=BQ144</x:f>
      </x:c>
      <x:c r="BE144" s="30" t="n">
        <x:v>7130.74</x:v>
      </x:c>
      <x:c r="BF144" s="30" t="n">
        <x:v>-14258.8236</x:v>
      </x:c>
      <x:c r="BG144" s="30" t="n">
        <x:f>=BE144+BF144</x:f>
      </x:c>
      <x:c r="BH144" s="66" t="n">
        <x:f>=BG144/BE144</x:f>
      </x:c>
      <x:c r="BI144" s="66" t="n">
        <x:v>0.3295739348370927318295739348</x:v>
      </x:c>
      <x:c r="BJ144" s="30" t="n">
        <x:v>12688.20</x:v>
      </x:c>
      <x:c r="BK144" s="41" t="n">
        <x:v>535</x:v>
      </x:c>
      <x:c r="BL144" s="30" t="n">
        <x:v>8506.50</x:v>
      </x:c>
      <x:c r="BN144" s="30" t="n">
        <x:v>12344.887720251196950710108607</x:v>
      </x:c>
      <x:c r="BO144" s="30" t="n">
        <x:v>-14258.8236</x:v>
      </x:c>
      <x:c r="BP144" s="30" t="n">
        <x:f>=BN144+BO144</x:f>
      </x:c>
      <x:c r="BQ144" s="66" t="n">
        <x:f>=BP144/BN144</x:f>
      </x:c>
      <x:c r="BS144" s="66" t="n">
        <x:f>=BT144+BU144</x:f>
      </x:c>
      <x:c r="BT144" s="66" t="n">
        <x:f>=BI144+(0.0121136173767752715121136174*4)</x:f>
      </x:c>
      <x:c r="BU144" s="66" t="n">
        <x:f>=(1-BT144)*0.5</x:f>
      </x:c>
      <x:c r="BV144" s="66" t="n">
        <x:f>=1-BS144</x:f>
      </x:c>
      <x:c r="BX144" s="66" t="n">
        <x:f>=BU144/(1-BT144)</x:f>
      </x:c>
    </x:row>
    <x:row r="145">
      <x:c r="A145" s="31" t="s">
        <x:v>337</x:v>
      </x:c>
      <x:c r="B145" t="s"/>
      <x:c r="C145" t="s">
        <x:v>338</x:v>
      </x:c>
      <x:c r="D145" t="s">
        <x:v>109</x:v>
      </x:c>
      <x:c r="E145" s="67" t="s">
        <x:v>154</x:v>
      </x:c>
      <x:c r="F145" t="n">
        <x:v>789</x:v>
      </x:c>
      <x:c r="G145" s="32" t="n">
        <x:v>0.0646387832699619771863117871</x:v>
      </x:c>
      <x:c r="H145" s="32" t="n">
        <x:v>0.0785804816223067173637515843</x:v>
      </x:c>
      <x:c r="I145" s="32" t="n">
        <x:v>0.079847908745247148288973384</x:v>
      </x:c>
      <x:c r="J145" s="32" t="n">
        <x:v>0.079847908745247148288973384</x:v>
      </x:c>
      <x:c r="K145" s="32" t="n">
        <x:v>0.0811153358681875792141951838</x:v>
      </x:c>
      <x:c r="L145" s="32" t="n">
        <x:v>0.0811153358681875792141951838</x:v>
      </x:c>
      <x:c r="M145" s="32" t="n">
        <x:v>0.0975918884664131812420785805</x:v>
      </x:c>
      <x:c r="N145" s="32" t="n">
        <x:v>0.1166032953105196451204055767</x:v>
      </x:c>
      <x:c r="O145" s="32" t="n">
        <x:v>0.1204055766793409378960709759</x:v>
      </x:c>
      <x:c r="P145" s="32" t="n">
        <x:v>0.1292775665399239543726235741</x:v>
      </x:c>
      <x:c r="Q145" s="32" t="n">
        <x:v>0.1432192648922686945500633714</x:v>
      </x:c>
      <x:c r="R145" s="32" t="n">
        <x:v>0.1470215462610899873257287706</x:v>
      </x:c>
      <x:c r="S145" s="32" t="n">
        <x:v>0.1508238276299112801013941698</x:v>
      </x:c>
      <x:c r="T145" s="32" t="n">
        <x:v>0.1634980988593155893536121673</x:v>
      </x:c>
      <x:c r="U145" s="32" t="n">
        <x:v>0.1837769328263624841571609632</x:v>
      </x:c>
      <x:c r="V145" s="32" t="n">
        <x:v>0.1837769328263624841571609632</x:v>
      </x:c>
      <x:c r="W145" s="32" t="n">
        <x:v>0.2015209125475285171102661597</x:v>
      </x:c>
      <x:c r="X145" s="32" t="n">
        <x:v>0.2217997465145754119138149556</x:v>
      </x:c>
      <x:c r="Y145" s="32" t="n">
        <x:v>0.2382762991128010139416983523</x:v>
      </x:c>
      <x:c r="Z145" s="32" t="n">
        <x:v>0.2509505703422053231939163498</x:v>
      </x:c>
      <x:c r="AA145" s="32" t="n">
        <x:v>0.2674271229404309252217997465</x:v>
      </x:c>
      <x:c r="AB145" s="32" t="n">
        <x:v>0.275031685678073510773130545</x:v>
      </x:c>
      <x:c r="AC145" s="32" t="n">
        <x:v>0.280101394169835234474017744</x:v>
      </x:c>
      <x:c r="AD145" s="32" t="n">
        <x:v>0.2826362484157160963244613435</x:v>
      </x:c>
      <x:c r="AW145" s="33" t="s"/>
      <x:c r="AX145" s="11" t="s">
        <x:v>176</x:v>
      </x:c>
      <x:c r="AY145" s="12" t="n">
        <x:f>=BI145</x:f>
      </x:c>
      <x:c r="AZ145" s="12" t="n">
        <x:v>0.2839036755386565272496831432</x:v>
      </x:c>
      <x:c r="BA145" s="12" t="n">
        <x:v>-0.0012674271229404309252217997</x:v>
      </x:c>
      <x:c r="BB145" s="12" t="n">
        <x:v>0.7173637515842839036755386565</x:v>
      </x:c>
      <x:c r="BC145" s="12" t="n">
        <x:f>=BH145</x:f>
      </x:c>
      <x:c r="BD145" s="13" t="n">
        <x:f>=BQ145</x:f>
      </x:c>
      <x:c r="BE145" s="30" t="n">
        <x:v>6211.75</x:v>
      </x:c>
      <x:c r="BF145" s="30" t="n">
        <x:v>-14098.0098</x:v>
      </x:c>
      <x:c r="BG145" s="30" t="n">
        <x:f>=BE145+BF145</x:f>
      </x:c>
      <x:c r="BH145" s="66" t="n">
        <x:f>=BG145/BE145</x:f>
      </x:c>
      <x:c r="BI145" s="66" t="n">
        <x:v>0.2826362484157160963244613435</x:v>
      </x:c>
      <x:c r="BJ145" s="30" t="n">
        <x:v>12545.10</x:v>
      </x:c>
      <x:c r="BK145" s="41" t="n">
        <x:v>566</x:v>
      </x:c>
      <x:c r="BL145" s="30" t="n">
        <x:v>8999.40</x:v>
      </x:c>
      <x:c r="BN145" s="30" t="n">
        <x:v>11243.023824990580323193916351</x:v>
      </x:c>
      <x:c r="BO145" s="30" t="n">
        <x:v>-14098.0098</x:v>
      </x:c>
      <x:c r="BP145" s="30" t="n">
        <x:f>=BN145+BO145</x:f>
      </x:c>
      <x:c r="BQ145" s="66" t="n">
        <x:f>=BP145/BN145</x:f>
      </x:c>
      <x:c r="BS145" s="66" t="n">
        <x:f>=BT145+BU145</x:f>
      </x:c>
      <x:c r="BT145" s="66" t="n">
        <x:f>=BI145+(0.005069708491761723700887199*4)</x:f>
      </x:c>
      <x:c r="BU145" s="66" t="n">
        <x:f>=(1-BT145)*0.5</x:f>
      </x:c>
      <x:c r="BV145" s="66" t="n">
        <x:f>=1-BS145</x:f>
      </x:c>
      <x:c r="BX145" s="66" t="n">
        <x:f>=BU145/(1-BT145)</x:f>
      </x:c>
    </x:row>
    <x:row r="146">
      <x:c r="A146" s="31" t="s">
        <x:v>339</x:v>
      </x:c>
      <x:c r="B146" t="s"/>
      <x:c r="C146" t="s">
        <x:v>340</x:v>
      </x:c>
      <x:c r="D146" t="s">
        <x:v>147</x:v>
      </x:c>
      <x:c r="E146" s="67" t="s">
        <x:v>154</x:v>
      </x:c>
      <x:c r="F146" t="n">
        <x:v>1006</x:v>
      </x:c>
      <x:c r="G146" s="32" t="n">
        <x:v>0.0089463220675944333996023857</x:v>
      </x:c>
      <x:c r="H146" s="32" t="n">
        <x:v>0.0308151093439363817097415507</x:v>
      </x:c>
      <x:c r="I146" s="32" t="n">
        <x:v>0.0566600397614314115308151093</x:v>
      </x:c>
      <x:c r="J146" s="32" t="n">
        <x:v>0.0576540755467196819085487078</x:v>
      </x:c>
      <x:c r="K146" s="32" t="n">
        <x:v>0.0695825049701789264413518887</x:v>
      </x:c>
      <x:c r="L146" s="32" t="n">
        <x:v>0.0765407554671968190854870775</x:v>
      </x:c>
      <x:c r="M146" s="32" t="n">
        <x:v>0.0964214711729622266401590457</x:v>
      </x:c>
      <x:c r="AW146" s="33" t="s"/>
      <x:c r="AX146" s="11" t="s">
        <x:v>203</x:v>
      </x:c>
      <x:c r="AY146" s="12" t="n">
        <x:f>=BI146</x:f>
      </x:c>
      <x:c r="AZ146" s="12" t="n">
        <x:v>0.099403578528827037773359841</x:v>
      </x:c>
      <x:c r="BA146" s="12" t="n">
        <x:v>-0.0029821073558648111332007952</x:v>
      </x:c>
      <x:c r="BB146" s="12" t="n">
        <x:v>0.9035785288270377733598409543</x:v>
      </x:c>
      <x:c r="BC146" s="12" t="n">
        <x:f>=BH146</x:f>
      </x:c>
      <x:c r="BD146" s="13" t="n">
        <x:f>=BQ146</x:f>
      </x:c>
      <x:c r="BE146" s="30" t="n">
        <x:v>2209.78</x:v>
      </x:c>
      <x:c r="BF146" s="30" t="n">
        <x:v>-12084.8768</x:v>
      </x:c>
      <x:c r="BG146" s="30" t="n">
        <x:f>=BE146+BF146</x:f>
      </x:c>
      <x:c r="BH146" s="66" t="n">
        <x:f>=BG146/BE146</x:f>
      </x:c>
      <x:c r="BI146" s="66" t="n">
        <x:v>0.0964214711729622266401590457</x:v>
      </x:c>
      <x:c r="BJ146" s="30" t="n">
        <x:v>10522.76</x:v>
      </x:c>
      <x:c r="BK146" s="41" t="n">
        <x:v>909</x:v>
      </x:c>
      <x:c r="BL146" s="30" t="n">
        <x:v>9508.14</x:v>
      </x:c>
      <x:c r="BN146" s="30" t="n">
        <x:v>8168.425297360278827037773362</x:v>
      </x:c>
      <x:c r="BO146" s="30" t="n">
        <x:v>-12084.8768</x:v>
      </x:c>
      <x:c r="BP146" s="30" t="n">
        <x:f>=BN146+BO146</x:f>
      </x:c>
      <x:c r="BQ146" s="66" t="n">
        <x:f>=BP146/BN146</x:f>
      </x:c>
      <x:c r="BS146" s="66" t="n">
        <x:f>=BT146+BU146</x:f>
      </x:c>
      <x:c r="BT146" s="66" t="n">
        <x:f>=BI146+(0.0132538104705102717031146455*4)</x:f>
      </x:c>
      <x:c r="BU146" s="66" t="n">
        <x:f>=(1-BT146)*0.5</x:f>
      </x:c>
      <x:c r="BV146" s="66" t="n">
        <x:f>=1-BS146</x:f>
      </x:c>
      <x:c r="BX146" s="66" t="n">
        <x:f>=BU146/(1-BT146)</x:f>
      </x:c>
    </x:row>
    <x:row r="147">
      <x:c r="A147" s="31" t="s">
        <x:v>341</x:v>
      </x:c>
      <x:c r="B147" t="s"/>
      <x:c r="C147" t="s">
        <x:v>342</x:v>
      </x:c>
      <x:c r="D147" t="s">
        <x:v>147</x:v>
      </x:c>
      <x:c r="E147" s="67" t="s">
        <x:v>154</x:v>
      </x:c>
      <x:c r="F147" t="n">
        <x:v>932</x:v>
      </x:c>
      <x:c r="G147" s="32" t="n">
        <x:v>0.0085836909871244635193133047</x:v>
      </x:c>
      <x:c r="H147" s="32" t="n">
        <x:v>0.0182403433476394849785407725</x:v>
      </x:c>
      <x:c r="I147" s="32" t="n">
        <x:v>0.023605150214592274678111588</x:v>
      </x:c>
      <x:c r="J147" s="32" t="n">
        <x:v>0.0311158798283261802575107296</x:v>
      </x:c>
      <x:c r="K147" s="32" t="n">
        <x:v>0.047210300429184549356223176</x:v>
      </x:c>
      <x:c r="L147" s="32" t="n">
        <x:v>0.0708154506437768240343347639</x:v>
      </x:c>
      <x:c r="AW147" s="33" t="s"/>
      <x:c r="AX147" s="11" t="s">
        <x:v>343</x:v>
      </x:c>
      <x:c r="AY147" s="12" t="n">
        <x:f>=BI147</x:f>
      </x:c>
      <x:c r="AZ147" s="12" t="n">
        <x:v>0.0761802575107296137339055794</x:v>
      </x:c>
      <x:c r="BA147" s="12" t="n">
        <x:v>-0.0053648068669527896995708155</x:v>
      </x:c>
      <x:c r="BB147" s="12" t="n">
        <x:v>0.9291845493562231759656652361</x:v>
      </x:c>
      <x:c r="BC147" s="12" t="n">
        <x:f>=BH147</x:f>
      </x:c>
      <x:c r="BD147" s="13" t="n">
        <x:f>=BQ147</x:f>
      </x:c>
      <x:c r="BE147" s="30" t="n">
        <x:v>1515.70</x:v>
      </x:c>
      <x:c r="BF147" s="30" t="n">
        <x:v>-11195.9296</x:v>
      </x:c>
      <x:c r="BG147" s="30" t="n">
        <x:f>=BE147+BF147</x:f>
      </x:c>
      <x:c r="BH147" s="66" t="n">
        <x:f>=BG147/BE147</x:f>
      </x:c>
      <x:c r="BI147" s="66" t="n">
        <x:v>0.0708154506437768240343347639</x:v>
      </x:c>
      <x:c r="BJ147" s="30" t="n">
        <x:v>9748.72</x:v>
      </x:c>
      <x:c r="BK147" s="41" t="n">
        <x:v>866</x:v>
      </x:c>
      <x:c r="BL147" s="30" t="n">
        <x:v>9058.36</x:v>
      </x:c>
      <x:c r="BN147" s="30" t="n">
        <x:v>7358.0295565953857296137339035</x:v>
      </x:c>
      <x:c r="BO147" s="30" t="n">
        <x:v>-11195.9296</x:v>
      </x:c>
      <x:c r="BP147" s="30" t="n">
        <x:f>=BN147+BO147</x:f>
      </x:c>
      <x:c r="BQ147" s="66" t="n">
        <x:f>=BP147/BN147</x:f>
      </x:c>
      <x:c r="BS147" s="66" t="n">
        <x:f>=BT147+BU147</x:f>
      </x:c>
      <x:c r="BT147" s="66" t="n">
        <x:f>=BI147+(0.0171673819742489270386266094*4)</x:f>
      </x:c>
      <x:c r="BU147" s="66" t="n">
        <x:f>=(1-BT147)*0.5</x:f>
      </x:c>
      <x:c r="BV147" s="66" t="n">
        <x:f>=1-BS147</x:f>
      </x:c>
      <x:c r="BX147" s="66" t="n">
        <x:f>=BU147/(1-BT147)</x:f>
      </x:c>
    </x:row>
    <x:row r="148">
      <x:c r="A148" s="34" t="s"/>
      <x:c r="B148" s="6" t="s"/>
      <x:c r="C148" s="6" t="s"/>
      <x:c r="D148" s="6" t="s"/>
      <x:c r="E148" s="6" t="s"/>
      <x:c r="F148" s="6" t="s"/>
      <x:c r="G148" s="6" t="s"/>
      <x:c r="H148" s="6" t="s"/>
      <x:c r="I148" s="6" t="s"/>
      <x:c r="J148" s="6" t="s"/>
      <x:c r="K148" s="6" t="s"/>
      <x:c r="L148" s="6" t="s"/>
      <x:c r="M148" s="6" t="s"/>
      <x:c r="N148" s="6" t="s"/>
      <x:c r="O148" s="6" t="s"/>
      <x:c r="P148" s="6" t="s"/>
      <x:c r="Q148" s="6" t="s"/>
      <x:c r="R148" s="6" t="s"/>
      <x:c r="S148" s="6" t="s"/>
      <x:c r="T148" s="6" t="s"/>
      <x:c r="U148" s="6" t="s"/>
      <x:c r="V148" s="6" t="s"/>
      <x:c r="W148" s="6" t="s"/>
      <x:c r="X148" s="6" t="s"/>
      <x:c r="Y148" s="6" t="s"/>
      <x:c r="Z148" s="6" t="s"/>
      <x:c r="AA148" s="6" t="s"/>
      <x:c r="AB148" s="6" t="s"/>
      <x:c r="AC148" s="6" t="s"/>
      <x:c r="AD148" s="6" t="s"/>
      <x:c r="AE148" s="6" t="s"/>
      <x:c r="AF148" s="6" t="s"/>
      <x:c r="AG148" s="6" t="s"/>
      <x:c r="AH148" s="6" t="s"/>
      <x:c r="AI148" s="6" t="s"/>
      <x:c r="AJ148" s="6" t="s"/>
      <x:c r="AK148" s="6" t="s"/>
      <x:c r="AL148" s="6" t="s"/>
      <x:c r="AM148" s="6" t="s"/>
      <x:c r="AN148" s="6" t="s"/>
      <x:c r="AO148" s="6" t="s"/>
      <x:c r="AP148" s="6" t="s"/>
      <x:c r="AQ148" s="6" t="s"/>
      <x:c r="AR148" s="6" t="s"/>
      <x:c r="AS148" s="6" t="s"/>
      <x:c r="AT148" s="6" t="s"/>
      <x:c r="AU148" s="6" t="s"/>
      <x:c r="AV148" s="6" t="s"/>
      <x:c r="AW148" s="8" t="s"/>
      <x:c r="AX148" s="14" t="s">
        <x:v>36</x:v>
      </x:c>
      <x:c r="AY148" s="15" t="s"/>
      <x:c r="AZ148" s="15" t="s"/>
      <x:c r="BA148" s="15" t="s"/>
      <x:c r="BB148" s="15" t="s"/>
      <x:c r="BC148" s="37">
        <x:f>=BG149/BE149</x:f>
      </x:c>
      <x:c r="BD148" s="16">
        <x:f>=BQ149</x:f>
      </x:c>
      <x:c r="BE148" s="20" t="n">
        <x:v>44421.34</x:v>
      </x:c>
      <x:c r="BF148" s="20" t="n">
        <x:v>-103573.96985855068811863260</x:v>
      </x:c>
      <x:c r="BG148" s="20" t="n">
        <x:f>=BE148+BF148</x:f>
      </x:c>
      <x:c r="BH148" s="21" t="n">
        <x:v>-1.331626417810689369537987823</x:v>
      </x:c>
      <x:c r="BJ148" s="20" t="n">
        <x:v>-90569.455833557410431580</x:v>
      </x:c>
      <x:c r="BK148" s="20" t="n">
        <x:v>6514</x:v>
      </x:c>
      <x:c r="BL148" s="20" t="n">
        <x:v>57429.128326661439847299924074</x:v>
      </x:c>
      <x:c r="BN148" s="20" t="n">
        <x:v>85488.16724652873395650794598</x:v>
      </x:c>
      <x:c r="BO148" s="20" t="n">
        <x:v>-103573.96985855068811863260</x:v>
      </x:c>
      <x:c r="BP148" s="20" t="n">
        <x:f>=BN148+BO148</x:f>
      </x:c>
      <x:c r="BQ148" s="21" t="n">
        <x:v>-0.2115591337906045962102734417</x:v>
      </x:c>
    </x:row>
    <x:row r="149">
      <x:c r="BE149" s="18" t="n">
        <x:v>396645.83</x:v>
      </x:c>
      <x:c r="BF149" s="18" t="n">
        <x:v>-491850.55727234319251863260</x:v>
      </x:c>
      <x:c r="BG149" s="18" t="n">
        <x:f>=BE149+BF149</x:f>
      </x:c>
      <x:c r="BH149" s="19" t="n">
        <x:v>-0.2400245258404536674913047743</x:v>
      </x:c>
      <x:c r="BJ149" s="18" t="n">
        <x:v>-453218.013827157930431580</x:v>
      </x:c>
      <x:c r="BK149" s="18" t="n">
        <x:v>30250</x:v>
      </x:c>
      <x:c r="BL149" s="18" t="n">
        <x:v>1334551.2428960894963063657159</x:v>
      </x:c>
      <x:c r="BN149" s="18" t="n">
        <x:v>565072.06043277375106634418509</x:v>
      </x:c>
      <x:c r="BO149" s="18" t="n">
        <x:v>-491850.55727234319251863260</x:v>
      </x:c>
      <x:c r="BP149" s="18" t="n">
        <x:f>=BN149+BO149</x:f>
      </x:c>
      <x:c r="BQ149" s="19" t="n">
        <x:v>0.1295790542260258721528102979</x:v>
      </x:c>
    </x:row>
    <x:row r="150">
      <x:c r="A150" s="10" t="s">
        <x:v>344</x:v>
      </x:c>
      <x:c r="B150" s="5" t="s"/>
      <x:c r="C150" s="5" t="s"/>
      <x:c r="D150" s="5" t="s"/>
      <x:c r="E150" s="5" t="s"/>
      <x:c r="F150" s="5" t="s"/>
      <x:c r="G150" s="5" t="s"/>
      <x:c r="H150" s="5" t="s"/>
      <x:c r="I150" s="5" t="s"/>
      <x:c r="J150" s="5" t="s"/>
      <x:c r="K150" s="5" t="s"/>
      <x:c r="L150" s="5" t="s"/>
      <x:c r="M150" s="5" t="s"/>
      <x:c r="N150" s="5" t="s"/>
      <x:c r="O150" s="5" t="s"/>
      <x:c r="P150" s="5" t="s"/>
      <x:c r="Q150" s="5" t="s"/>
      <x:c r="R150" s="5" t="s"/>
      <x:c r="S150" s="5" t="s"/>
      <x:c r="T150" s="5" t="s"/>
      <x:c r="U150" s="5" t="s"/>
      <x:c r="V150" s="5" t="s"/>
      <x:c r="W150" s="5" t="s"/>
      <x:c r="X150" s="5" t="s"/>
      <x:c r="Y150" s="5" t="s"/>
      <x:c r="Z150" s="5" t="s"/>
      <x:c r="AA150" s="5" t="s"/>
      <x:c r="AB150" s="5" t="s"/>
      <x:c r="AC150" s="5" t="s"/>
      <x:c r="AD150" s="5" t="s"/>
      <x:c r="AE150" s="5" t="s"/>
      <x:c r="AF150" s="5" t="s"/>
      <x:c r="AG150" s="5" t="s"/>
      <x:c r="AH150" s="5" t="s"/>
      <x:c r="AI150" s="5" t="s"/>
      <x:c r="AJ150" s="5" t="s"/>
      <x:c r="AK150" s="5" t="s"/>
      <x:c r="AL150" s="5" t="s"/>
      <x:c r="AM150" s="5" t="s"/>
      <x:c r="AN150" s="5" t="s"/>
      <x:c r="AO150" s="5" t="s"/>
      <x:c r="AP150" s="5" t="s"/>
      <x:c r="AQ150" s="5" t="s"/>
      <x:c r="AR150" s="5" t="s"/>
      <x:c r="AS150" s="5" t="s"/>
      <x:c r="AT150" s="5" t="s"/>
      <x:c r="AU150" s="5" t="s"/>
      <x:c r="AV150" s="5" t="s"/>
      <x:c r="AW150" s="7" t="s"/>
      <x:c r="AX150" s="10" t="s"/>
      <x:c r="AY150" s="5" t="s"/>
      <x:c r="AZ150" s="5" t="s"/>
      <x:c r="BA150" s="5" t="s"/>
      <x:c r="BB150" s="5" t="s"/>
      <x:c r="BC150" s="5" t="s"/>
      <x:c r="BD150" s="7" t="s"/>
      <x:c r="BE150" s="47" t="s">
        <x:v>11</x:v>
      </x:c>
      <x:c r="BF150" s="48"/>
      <x:c r="BG150" s="49"/>
      <x:c r="BH150" s="50"/>
      <x:c r="BI150" s="50"/>
      <x:c r="BJ150" s="51"/>
      <x:c r="BK150" s="52"/>
      <x:c r="BL150" s="51"/>
      <x:c r="BN150" s="57" t="s">
        <x:v>26</x:v>
      </x:c>
      <x:c r="BO150" s="58"/>
      <x:c r="BP150" s="58"/>
      <x:c r="BQ150" s="58"/>
      <x:c r="BR150" s="58"/>
      <x:c r="BS150" s="59"/>
      <x:c r="BT150" s="59"/>
      <x:c r="BU150" s="59"/>
      <x:c r="BV150" s="59"/>
      <x:c r="BW150" s="58"/>
      <x:c r="BX150" s="60"/>
    </x:row>
    <x:row r="151" ht="45.75" customHeight="1">
      <x:c r="A151" s="40" t="s">
        <x:v>43</x:v>
      </x:c>
      <x:c r="B151" s="40" t="s">
        <x:v>44</x:v>
      </x:c>
      <x:c r="C151" s="40" t="s">
        <x:v>45</x:v>
      </x:c>
      <x:c r="D151" s="40" t="s">
        <x:v>46</x:v>
      </x:c>
      <x:c r="E151" s="40" t="s">
        <x:v>47</x:v>
      </x:c>
      <x:c r="F151" s="40" t="s">
        <x:v>90</x:v>
      </x:c>
      <x:c r="G151" s="40" t="s">
        <x:v>48</x:v>
      </x:c>
      <x:c r="H151" s="40" t="s">
        <x:v>49</x:v>
      </x:c>
      <x:c r="I151" s="40" t="s">
        <x:v>50</x:v>
      </x:c>
      <x:c r="J151" s="40" t="s">
        <x:v>51</x:v>
      </x:c>
      <x:c r="K151" s="40" t="s">
        <x:v>52</x:v>
      </x:c>
      <x:c r="L151" s="40" t="s">
        <x:v>53</x:v>
      </x:c>
      <x:c r="M151" s="40" t="s">
        <x:v>54</x:v>
      </x:c>
      <x:c r="N151" s="40" t="s">
        <x:v>55</x:v>
      </x:c>
      <x:c r="O151" s="40" t="s">
        <x:v>56</x:v>
      </x:c>
      <x:c r="P151" s="40" t="s">
        <x:v>57</x:v>
      </x:c>
      <x:c r="Q151" s="40" t="s">
        <x:v>58</x:v>
      </x:c>
      <x:c r="R151" s="40" t="s">
        <x:v>59</x:v>
      </x:c>
      <x:c r="S151" s="40" t="s">
        <x:v>60</x:v>
      </x:c>
      <x:c r="T151" s="40" t="s">
        <x:v>61</x:v>
      </x:c>
      <x:c r="U151" s="40" t="s">
        <x:v>62</x:v>
      </x:c>
      <x:c r="V151" s="40" t="s">
        <x:v>63</x:v>
      </x:c>
      <x:c r="W151" s="40" t="s">
        <x:v>64</x:v>
      </x:c>
      <x:c r="X151" s="40" t="s">
        <x:v>65</x:v>
      </x:c>
      <x:c r="Y151" s="40" t="s">
        <x:v>66</x:v>
      </x:c>
      <x:c r="Z151" s="40" t="s">
        <x:v>67</x:v>
      </x:c>
      <x:c r="AA151" s="40" t="s">
        <x:v>68</x:v>
      </x:c>
      <x:c r="AB151" s="40" t="s">
        <x:v>69</x:v>
      </x:c>
      <x:c r="AC151" s="40" t="s">
        <x:v>70</x:v>
      </x:c>
      <x:c r="AD151" s="40" t="s">
        <x:v>71</x:v>
      </x:c>
      <x:c r="AE151" s="40" t="s">
        <x:v>72</x:v>
      </x:c>
      <x:c r="AF151" s="40" t="s">
        <x:v>73</x:v>
      </x:c>
      <x:c r="AG151" s="40" t="s">
        <x:v>74</x:v>
      </x:c>
      <x:c r="AH151" s="40" t="s">
        <x:v>75</x:v>
      </x:c>
      <x:c r="AI151" s="40" t="s">
        <x:v>76</x:v>
      </x:c>
      <x:c r="AJ151" s="40" t="s">
        <x:v>77</x:v>
      </x:c>
      <x:c r="AK151" s="40" t="s">
        <x:v>78</x:v>
      </x:c>
      <x:c r="AL151" s="40" t="s">
        <x:v>79</x:v>
      </x:c>
      <x:c r="AM151" s="40" t="s">
        <x:v>80</x:v>
      </x:c>
      <x:c r="AN151" s="40" t="s">
        <x:v>81</x:v>
      </x:c>
      <x:c r="AO151" s="40" t="s">
        <x:v>82</x:v>
      </x:c>
      <x:c r="AP151" s="40" t="s">
        <x:v>83</x:v>
      </x:c>
      <x:c r="AQ151" s="40" t="s">
        <x:v>84</x:v>
      </x:c>
      <x:c r="AR151" s="40" t="s">
        <x:v>85</x:v>
      </x:c>
      <x:c r="AS151" s="40" t="s">
        <x:v>86</x:v>
      </x:c>
      <x:c r="AT151" s="40" t="s">
        <x:v>87</x:v>
      </x:c>
      <x:c r="AU151" s="40" t="s">
        <x:v>88</x:v>
      </x:c>
      <x:c r="AV151" s="40" t="s">
        <x:v>89</x:v>
      </x:c>
      <x:c r="AX151" s="31" t="s">
        <x:v>91</x:v>
      </x:c>
      <x:c r="AY151" s="32" t="s">
        <x:v>92</x:v>
      </x:c>
      <x:c r="AZ151" s="32" t="s">
        <x:v>93</x:v>
      </x:c>
      <x:c r="BA151" s="32" t="s">
        <x:v>94</x:v>
      </x:c>
      <x:c r="BB151" s="32" t="s">
        <x:v>95</x:v>
      </x:c>
      <x:c r="BC151" s="32" t="s">
        <x:v>96</x:v>
      </x:c>
      <x:c r="BD151" s="33" t="s">
        <x:v>97</x:v>
      </x:c>
      <x:c r="BE151" s="53" t="s">
        <x:v>12</x:v>
      </x:c>
      <x:c r="BF151" s="54" t="s">
        <x:v>13</x:v>
      </x:c>
      <x:c r="BG151" s="54" t="s">
        <x:v>14</x:v>
      </x:c>
      <x:c r="BH151" s="55" t="s">
        <x:v>15</x:v>
      </x:c>
      <x:c r="BI151" s="55" t="s">
        <x:v>27</x:v>
      </x:c>
      <x:c r="BJ151" s="56" t="s">
        <x:v>16</x:v>
      </x:c>
      <x:c r="BK151" s="53" t="s">
        <x:v>17</x:v>
      </x:c>
      <x:c r="BL151" s="56" t="s">
        <x:v>18</x:v>
      </x:c>
      <x:c r="BN151" s="61" t="s">
        <x:v>19</x:v>
      </x:c>
      <x:c r="BO151" s="62" t="s">
        <x:v>20</x:v>
      </x:c>
      <x:c r="BP151" s="62" t="s">
        <x:v>21</x:v>
      </x:c>
      <x:c r="BQ151" s="62" t="s">
        <x:v>15</x:v>
      </x:c>
      <x:c r="BR151" s="62"/>
      <x:c r="BS151" s="63" t="s">
        <x:v>22</x:v>
      </x:c>
      <x:c r="BT151" s="63" t="s">
        <x:v>23</x:v>
      </x:c>
      <x:c r="BU151" s="63" t="s">
        <x:v>25</x:v>
      </x:c>
      <x:c r="BV151" s="63" t="s">
        <x:v>24</x:v>
      </x:c>
      <x:c r="BW151" s="62"/>
      <x:c r="BX151" s="64" t="s">
        <x:v>28</x:v>
      </x:c>
    </x:row>
    <x:row r="152">
      <x:c r="AX152" s="31" t="s"/>
      <x:c r="BD152" s="33" t="s"/>
    </x:row>
    <x:row r="153">
      <x:c r="A153" s="35" t="s">
        <x:v>98</x:v>
      </x:c>
      <x:c r="AW153" s="33" t="s"/>
      <x:c r="AX153" s="11" t="s"/>
      <x:c r="BD153" s="13" t="s"/>
    </x:row>
    <x:row r="154">
      <x:c r="A154" s="17" t="s">
        <x:v>345</x:v>
      </x:c>
      <x:c r="AW154" s="33" t="s"/>
      <x:c r="AX154" s="11" t="s"/>
      <x:c r="BD154" s="13" t="s"/>
    </x:row>
    <x:row r="155">
      <x:c r="A155" s="31" t="s">
        <x:v>346</x:v>
      </x:c>
      <x:c r="B155" t="s">
        <x:v>129</x:v>
      </x:c>
      <x:c r="C155" s="9" t="s">
        <x:v>347</x:v>
      </x:c>
      <x:c r="D155" t="s">
        <x:v>131</x:v>
      </x:c>
      <x:c r="E155" s="69" t="s">
        <x:v>103</x:v>
      </x:c>
      <x:c r="F155" t="n">
        <x:v>966</x:v>
      </x:c>
      <x:c r="AW155" s="33" t="s"/>
      <x:c r="AX155" s="11" t="s">
        <x:v>348</x:v>
      </x:c>
      <x:c r="AY155" s="12" t="n">
        <x:f>=BI155</x:f>
      </x:c>
      <x:c r="AZ155" s="12" t="n">
        <x:v>0</x:v>
      </x:c>
      <x:c r="BA155" s="12" t="n">
        <x:v>0</x:v>
      </x:c>
      <x:c r="BB155" s="12" t="n">
        <x:v>1</x:v>
      </x:c>
      <x:c r="BC155" s="12" t="n">
        <x:f>=BH155</x:f>
      </x:c>
      <x:c r="BD155" s="13" t="n">
        <x:f>=BQ155</x:f>
      </x:c>
      <x:c r="BE155" s="30" t="n">
        <x:v>0</x:v>
      </x:c>
      <x:c r="BF155" s="30" t="n">
        <x:v>-15123.49040</x:v>
      </x:c>
      <x:c r="BG155" s="30" t="n">
        <x:f>=BE155+BF155</x:f>
      </x:c>
      <x:c r="BH155" s="66" t="n">
        <x:f>=BG155/BE155</x:f>
      </x:c>
      <x:c r="BI155" s="66" t="n">
        <x:v>0</x:v>
      </x:c>
      <x:c r="BJ155" s="30" t="n">
        <x:v>14020.40</x:v>
      </x:c>
      <x:c r="BK155" s="41" t="n">
        <x:v>966</x:v>
      </x:c>
      <x:c r="BL155" s="30" t="n">
        <x:v>14020.400000000000000000000000</x:v>
      </x:c>
      <x:c r="BN155" s="30" t="n">
        <x:v>10808.8325773246434000000000</x:v>
      </x:c>
      <x:c r="BO155" s="30" t="n">
        <x:v>-15123.49040</x:v>
      </x:c>
      <x:c r="BP155" s="30" t="n">
        <x:f>=BN155+BO155</x:f>
      </x:c>
      <x:c r="BQ155" s="66" t="n">
        <x:f>=BP155/BN155</x:f>
      </x:c>
      <x:c r="BS155" s="66" t="n">
        <x:f>=BT155+BU155</x:f>
      </x:c>
      <x:c r="BT155" s="66" t="n">
        <x:f>=BI155+(0.05*4)</x:f>
      </x:c>
      <x:c r="BU155" s="66" t="n">
        <x:f>=(1-BT155)*0.5</x:f>
      </x:c>
      <x:c r="BV155" s="66" t="n">
        <x:f>=1-BS155</x:f>
      </x:c>
      <x:c r="BX155" s="66" t="n">
        <x:f>=BU155/(1-BT155)</x:f>
      </x:c>
    </x:row>
    <x:row r="156">
      <x:c r="AW156" s="33" t="s"/>
      <x:c r="AX156" s="11" t="s"/>
      <x:c r="BD156" s="13" t="s"/>
    </x:row>
    <x:row r="157">
      <x:c r="A157" s="35" t="s">
        <x:v>151</x:v>
      </x:c>
      <x:c r="AW157" s="33" t="s"/>
      <x:c r="AX157" s="11" t="s"/>
      <x:c r="BD157" s="13" t="s"/>
    </x:row>
    <x:row r="158">
      <x:c r="A158" s="17" t="s">
        <x:v>345</x:v>
      </x:c>
      <x:c r="AW158" s="33" t="s"/>
      <x:c r="AX158" s="11" t="s"/>
      <x:c r="BD158" s="13" t="s"/>
    </x:row>
    <x:row r="159">
      <x:c r="A159" s="31" t="s">
        <x:v>349</x:v>
      </x:c>
      <x:c r="B159" t="s"/>
      <x:c r="C159" t="s">
        <x:v>350</x:v>
      </x:c>
      <x:c r="D159" t="s">
        <x:v>285</x:v>
      </x:c>
      <x:c r="E159" s="67" t="s">
        <x:v>154</x:v>
      </x:c>
      <x:c r="F159" t="n">
        <x:v>505</x:v>
      </x:c>
      <x:c r="AW159" s="33" t="s"/>
      <x:c r="AX159" s="11" t="s">
        <x:v>348</x:v>
      </x:c>
      <x:c r="AY159" s="12" t="n">
        <x:f>=BI159</x:f>
      </x:c>
      <x:c r="AZ159" s="12" t="n">
        <x:v>0</x:v>
      </x:c>
      <x:c r="BA159" s="12" t="n">
        <x:v>0</x:v>
      </x:c>
      <x:c r="BB159" s="12" t="n">
        <x:v>1</x:v>
      </x:c>
      <x:c r="BC159" s="12" t="n">
        <x:f>=BH159</x:f>
      </x:c>
      <x:c r="BD159" s="13" t="n">
        <x:f>=BQ159</x:f>
      </x:c>
      <x:c r="BE159" s="30" t="n">
        <x:v>0</x:v>
      </x:c>
      <x:c r="BF159" s="30" t="n">
        <x:v>-4997.2275</x:v>
      </x:c>
      <x:c r="BG159" s="30" t="n">
        <x:f>=BE159+BF159</x:f>
      </x:c>
      <x:c r="BH159" s="66" t="n">
        <x:f>=BG159/BE159</x:f>
      </x:c>
      <x:c r="BI159" s="66" t="n">
        <x:v>0</x:v>
      </x:c>
      <x:c r="BJ159" s="30" t="n">
        <x:v>4873.25</x:v>
      </x:c>
      <x:c r="BK159" s="41" t="n">
        <x:v>505</x:v>
      </x:c>
      <x:c r="BL159" s="30" t="n">
        <x:v>4873.25</x:v>
      </x:c>
      <x:c r="BN159" s="30" t="n">
        <x:v>3807.0272377206666666666666666</x:v>
      </x:c>
      <x:c r="BO159" s="30" t="n">
        <x:v>-4997.2275</x:v>
      </x:c>
      <x:c r="BP159" s="30" t="n">
        <x:f>=BN159+BO159</x:f>
      </x:c>
      <x:c r="BQ159" s="66" t="n">
        <x:f>=BP159/BN159</x:f>
      </x:c>
      <x:c r="BS159" s="66" t="n">
        <x:f>=BT159+BU159</x:f>
      </x:c>
      <x:c r="BT159" s="66" t="n">
        <x:f>=BI159+(0.05*4)</x:f>
      </x:c>
      <x:c r="BU159" s="66" t="n">
        <x:f>=(1-BT159)*0.5</x:f>
      </x:c>
      <x:c r="BV159" s="66" t="n">
        <x:f>=1-BS159</x:f>
      </x:c>
      <x:c r="BX159" s="66" t="n">
        <x:f>=BU159/(1-BT159)</x:f>
      </x:c>
    </x:row>
    <x:row r="160">
      <x:c r="A160" s="34" t="s"/>
      <x:c r="B160" s="6" t="s"/>
      <x:c r="C160" s="6" t="s"/>
      <x:c r="D160" s="6" t="s"/>
      <x:c r="E160" s="6" t="s"/>
      <x:c r="F160" s="6" t="s"/>
      <x:c r="G160" s="6" t="s"/>
      <x:c r="H160" s="6" t="s"/>
      <x:c r="I160" s="6" t="s"/>
      <x:c r="J160" s="6" t="s"/>
      <x:c r="K160" s="6" t="s"/>
      <x:c r="L160" s="6" t="s"/>
      <x:c r="M160" s="6" t="s"/>
      <x:c r="N160" s="6" t="s"/>
      <x:c r="O160" s="6" t="s"/>
      <x:c r="P160" s="6" t="s"/>
      <x:c r="Q160" s="6" t="s"/>
      <x:c r="R160" s="6" t="s"/>
      <x:c r="S160" s="6" t="s"/>
      <x:c r="T160" s="6" t="s"/>
      <x:c r="U160" s="6" t="s"/>
      <x:c r="V160" s="6" t="s"/>
      <x:c r="W160" s="6" t="s"/>
      <x:c r="X160" s="6" t="s"/>
      <x:c r="Y160" s="6" t="s"/>
      <x:c r="Z160" s="6" t="s"/>
      <x:c r="AA160" s="6" t="s"/>
      <x:c r="AB160" s="6" t="s"/>
      <x:c r="AC160" s="6" t="s"/>
      <x:c r="AD160" s="6" t="s"/>
      <x:c r="AE160" s="6" t="s"/>
      <x:c r="AF160" s="6" t="s"/>
      <x:c r="AG160" s="6" t="s"/>
      <x:c r="AH160" s="6" t="s"/>
      <x:c r="AI160" s="6" t="s"/>
      <x:c r="AJ160" s="6" t="s"/>
      <x:c r="AK160" s="6" t="s"/>
      <x:c r="AL160" s="6" t="s"/>
      <x:c r="AM160" s="6" t="s"/>
      <x:c r="AN160" s="6" t="s"/>
      <x:c r="AO160" s="6" t="s"/>
      <x:c r="AP160" s="6" t="s"/>
      <x:c r="AQ160" s="6" t="s"/>
      <x:c r="AR160" s="6" t="s"/>
      <x:c r="AS160" s="6" t="s"/>
      <x:c r="AT160" s="6" t="s"/>
      <x:c r="AU160" s="6" t="s"/>
      <x:c r="AV160" s="6" t="s"/>
      <x:c r="AW160" s="8" t="s"/>
      <x:c r="AX160" s="14" t="s">
        <x:v>36</x:v>
      </x:c>
      <x:c r="AY160" s="15" t="s"/>
      <x:c r="AZ160" s="15" t="s"/>
      <x:c r="BA160" s="15" t="s"/>
      <x:c r="BB160" s="15" t="s"/>
      <x:c r="BC160" s="37" t="s">
        <x:f>=BG161/BE161</x:f>
      </x:c>
      <x:c r="BD160" s="16">
        <x:f>=BQ161</x:f>
      </x:c>
      <x:c r="BE160" s="20" t="n">
        <x:v>0</x:v>
      </x:c>
      <x:c r="BF160" s="20" t="n">
        <x:v>-20120.71790</x:v>
      </x:c>
      <x:c r="BG160" s="20" t="n">
        <x:f>=BE160+BF160</x:f>
      </x:c>
      <x:c r="BH160" s="21" t="n">
        <x:v>0</x:v>
      </x:c>
      <x:c r="BJ160" s="20" t="n">
        <x:v>-18893.65</x:v>
      </x:c>
      <x:c r="BK160" s="20" t="n">
        <x:v>1471</x:v>
      </x:c>
      <x:c r="BL160" s="20" t="n">
        <x:v>18893.650000000000000000000001</x:v>
      </x:c>
      <x:c r="BN160" s="20" t="n">
        <x:v>14615.859815045310066666666667</x:v>
      </x:c>
      <x:c r="BO160" s="20" t="n">
        <x:v>-20120.71790</x:v>
      </x:c>
      <x:c r="BP160" s="20" t="n">
        <x:f>=BN160+BO160</x:f>
      </x:c>
      <x:c r="BQ160" s="21" t="n">
        <x:v>-0.3766359389468203197753912165</x:v>
      </x:c>
    </x:row>
    <x:row r="161">
      <x:c r="BE161" s="18" t="n">
        <x:v>0</x:v>
      </x:c>
      <x:c r="BF161" s="18" t="n">
        <x:v>-20120.71790</x:v>
      </x:c>
      <x:c r="BG161" s="18" t="n">
        <x:f>=BE161+BF161</x:f>
      </x:c>
      <x:c r="BH161" s="19" t="n">
        <x:v>0</x:v>
      </x:c>
      <x:c r="BJ161" s="18" t="n">
        <x:v>-18893.65</x:v>
      </x:c>
      <x:c r="BK161" s="18" t="n">
        <x:v>1471</x:v>
      </x:c>
      <x:c r="BL161" s="18" t="n">
        <x:v>18893.650000000000000000000001</x:v>
      </x:c>
      <x:c r="BN161" s="18" t="n">
        <x:v>14615.859815045310066666666667</x:v>
      </x:c>
      <x:c r="BO161" s="18" t="n">
        <x:v>-20120.71790</x:v>
      </x:c>
      <x:c r="BP161" s="18" t="n">
        <x:f>=BN161+BO161</x:f>
      </x:c>
      <x:c r="BQ161" s="19" t="n">
        <x:v>-0.3766359389468203197753912165</x:v>
      </x:c>
    </x:row>
    <x:row r="162">
      <x:c r="A162" s="71"/>
      <x:c r="B162" s="72"/>
      <x:c r="C162" s="72"/>
      <x:c r="D162" s="72"/>
      <x:c r="E162" s="72"/>
      <x:c r="F162" s="73"/>
      <x:c r="G162" s="72"/>
      <x:c r="H162" s="72"/>
      <x:c r="I162" s="72"/>
      <x:c r="J162" s="72"/>
      <x:c r="K162" s="72"/>
      <x:c r="L162" s="72"/>
      <x:c r="M162" s="72"/>
      <x:c r="N162" s="72"/>
      <x:c r="O162" s="72"/>
      <x:c r="P162" s="72"/>
      <x:c r="Q162" s="72"/>
      <x:c r="R162" s="72"/>
      <x:c r="S162" s="72"/>
      <x:c r="T162" s="72"/>
      <x:c r="U162" s="72"/>
      <x:c r="V162" s="72"/>
      <x:c r="W162" s="72"/>
      <x:c r="X162" s="72"/>
      <x:c r="Y162" s="72"/>
      <x:c r="Z162" s="72"/>
      <x:c r="AA162" s="72"/>
      <x:c r="AB162" s="72"/>
      <x:c r="AC162" s="72"/>
      <x:c r="AD162" s="72"/>
      <x:c r="AE162" s="74"/>
      <x:c r="AF162" s="74"/>
      <x:c r="AG162" s="74"/>
      <x:c r="AH162" s="74"/>
      <x:c r="AI162" s="75"/>
    </x:row>
    <x:row r="163">
      <x:c r="A163" s="76"/>
      <x:c r="B163" s="77"/>
      <x:c r="C163" s="77"/>
      <x:c r="D163" s="77"/>
      <x:c r="E163" s="78" t="s">
        <x:v>29</x:v>
      </x:c>
      <x:c r="F163" s="77"/>
      <x:c r="G163" s="77"/>
      <x:c r="H163" s="77"/>
      <x:c r="I163" s="77"/>
      <x:c r="J163" s="77"/>
      <x:c r="K163" s="77"/>
      <x:c r="L163" s="77"/>
      <x:c r="M163" s="77"/>
      <x:c r="N163" s="77"/>
      <x:c r="O163" s="77"/>
      <x:c r="P163" s="79" t="s">
        <x:v>30</x:v>
      </x:c>
      <x:c r="Q163" s="77"/>
      <x:c r="R163" s="77"/>
      <x:c r="S163" s="77"/>
      <x:c r="T163" s="77"/>
      <x:c r="U163" s="77"/>
      <x:c r="V163" s="77"/>
      <x:c r="W163" s="79" t="s">
        <x:v>31</x:v>
      </x:c>
      <x:c r="X163" s="79"/>
      <x:c r="Y163" s="79"/>
      <x:c r="Z163" s="77"/>
      <x:c r="AA163" s="77"/>
      <x:c r="AB163" s="77"/>
      <x:c r="AC163" s="77"/>
      <x:c r="AD163" s="79" t="s">
        <x:v>32</x:v>
      </x:c>
      <x:c r="AE163" s="79"/>
      <x:c r="AF163" s="79"/>
      <x:c r="AG163" s="77"/>
      <x:c r="AH163" s="80"/>
      <x:c r="AI163" s="81"/>
    </x:row>
    <x:row r="164">
      <x:c r="A164" s="77"/>
      <x:c r="B164" s="77"/>
      <x:c r="C164" s="77"/>
      <x:c r="D164" s="77"/>
      <x:c r="E164" s="82" t="s">
        <x:v>33</x:v>
      </x:c>
      <x:c r="F164" s="77" t="s">
        <x:v>19</x:v>
      </x:c>
      <x:c r="G164" s="77" t="s">
        <x:v>20</x:v>
      </x:c>
      <x:c r="H164" s="77" t="s">
        <x:v>21</x:v>
      </x:c>
      <x:c r="I164" s="77" t="s">
        <x:v>15</x:v>
      </x:c>
      <x:c r="J164" s="77"/>
      <x:c r="K164" s="83" t="s">
        <x:v>16</x:v>
      </x:c>
      <x:c r="L164" s="83"/>
      <x:c r="M164" s="83" t="s">
        <x:v>34</x:v>
      </x:c>
      <x:c r="N164" s="83" t="s">
        <x:v>35</x:v>
      </x:c>
      <x:c r="O164" s="77"/>
      <x:c r="P164" s="77" t="s">
        <x:v>19</x:v>
      </x:c>
      <x:c r="Q164" s="77" t="s">
        <x:v>20</x:v>
      </x:c>
      <x:c r="R164" s="77" t="s">
        <x:v>21</x:v>
      </x:c>
      <x:c r="S164" s="77" t="s">
        <x:v>15</x:v>
      </x:c>
      <x:c r="T164" s="77"/>
      <x:c r="U164" s="77"/>
      <x:c r="V164" s="77"/>
      <x:c r="W164" s="80" t="s">
        <x:v>36</x:v>
      </x:c>
      <x:c r="X164" s="80" t="s">
        <x:v>37</x:v>
      </x:c>
      <x:c r="Y164" s="80" t="s">
        <x:v>38</x:v>
      </x:c>
      <x:c r="Z164" s="80" t="s">
        <x:v>39</x:v>
      </x:c>
      <x:c r="AA164" s="77"/>
      <x:c r="AB164" s="77" t="s">
        <x:v>40</x:v>
      </x:c>
      <x:c r="AC164" s="77"/>
      <x:c r="AD164" s="80" t="s">
        <x:v>36</x:v>
      </x:c>
      <x:c r="AE164" s="80" t="s">
        <x:v>37</x:v>
      </x:c>
      <x:c r="AF164" s="80" t="s">
        <x:v>38</x:v>
      </x:c>
      <x:c r="AG164" s="80" t="s">
        <x:v>39</x:v>
      </x:c>
      <x:c r="AH164" s="80"/>
      <x:c r="AI164" s="81"/>
    </x:row>
    <x:row r="165">
      <x:c r="AI165" s="33" t="s"/>
    </x:row>
    <x:row r="166">
      <x:c r="A166" s="17" t="s">
        <x:v>42</x:v>
      </x:c>
      <x:c r="AI166" s="33" t="s"/>
    </x:row>
    <x:row r="167">
      <x:c r="A167" s="31"/>
      <x:c r="B167"/>
      <x:c r="C167" s="45" t="s">
        <x:v>103</x:v>
      </x:c>
      <x:c r="D167"/>
      <x:c r="E167" s="41" t="n">
        <x:f>=COUNTIF($E$4:$E$51,C167)</x:f>
      </x:c>
      <x:c r="F167" s="28" t="n">
        <x:f>=SUMIF($E$4:$E$51,C167,$BE$4:$BE$51)/1000</x:f>
      </x:c>
      <x:c r="G167" s="28" t="n">
        <x:f>=SUMIF($E$4:$E$51,C167,$BF$4:$BF$51)/1000</x:f>
      </x:c>
      <x:c r="H167" s="28" t="n">
        <x:f>=F167+G167</x:f>
      </x:c>
      <x:c r="I167" s="93" t="n">
        <x:f>=H167/F167</x:f>
      </x:c>
      <x:c r="K167" s="28" t="n">
        <x:f>=SUMIF($E$4:$E$51,C167,$BJ$4:$BJ$51)/1000</x:f>
      </x:c>
      <x:c r="M167" s="28" t="n">
        <x:f>=SUMIF($E$4:$E$51,C167,$BK$4:$BK$51)/1000</x:f>
      </x:c>
      <x:c r="N167" s="28" t="n">
        <x:f>=SUMIF($E$4:$E$51,C167,$BL$4:$BL$51)/1000</x:f>
      </x:c>
      <x:c r="P167" s="28" t="n">
        <x:f>=SUMIF($E$4:$E$51,C167,$BN$4:$BN$51)/1000</x:f>
      </x:c>
      <x:c r="Q167" s="28" t="n">
        <x:f>=SUMIF($E$4:$E$51,C167,$BO$4:$BO$51)/1000</x:f>
      </x:c>
      <x:c r="R167" s="28" t="n">
        <x:f>=P167+Q167</x:f>
      </x:c>
      <x:c r="S167" s="93" t="n">
        <x:f>=R167/P167</x:f>
      </x:c>
      <x:c r="W167" s="93" t="n">
        <x:f>=SUMIFS($AY$4:$AY$51,$E$4:$E$51,C167)/E167</x:f>
      </x:c>
      <x:c r="X167" s="93" t="n">
        <x:f>=SUMIFS($AZ$4:$AZ$51,$E$4:$E$51,C167)/E167</x:f>
      </x:c>
      <x:c r="Y167" s="93" t="n">
        <x:f>=SUMIFS($BA$4:$BA$51,$E$4:$E$51,C167)/E167</x:f>
      </x:c>
      <x:c r="Z167" s="93" t="n">
        <x:f>=IF(W167&gt;0,1-W167,0)</x:f>
      </x:c>
      <x:c r="AB167" s="93" t="n">
        <x:f>=Y167/(1-X167)</x:f>
      </x:c>
      <x:c r="AD167" s="93" t="n">
        <x:f>=SUMIFS($BS$4:$BS$51,$E$4:$E$51,C167)/E167</x:f>
      </x:c>
      <x:c r="AE167" s="93" t="n">
        <x:f>=SUMIFS($BT$4:$BT$51,$E$4:$E$51,C167)/E167</x:f>
      </x:c>
      <x:c r="AF167" s="93" t="n">
        <x:f>=SUMIFS($BU$4:$BU$51,$E$4:$E$51,C167)/E167</x:f>
      </x:c>
      <x:c r="AG167" s="93" t="n">
        <x:f>=IF(AD167&gt;0,1-AD167,0)</x:f>
      </x:c>
      <x:c r="AI167" s="33" t="s"/>
    </x:row>
    <x:row r="168">
      <x:c r="A168" s="31"/>
      <x:c r="B168"/>
      <x:c r="C168" s="43" t="s">
        <x:v>154</x:v>
      </x:c>
      <x:c r="D168"/>
      <x:c r="E168" s="41" t="n">
        <x:f>=COUNTIF($E$4:$E$51,C168)</x:f>
      </x:c>
      <x:c r="F168" s="28" t="n">
        <x:f>=SUMIF($E$4:$E$51,C168,$BE$4:$BE$51)/1000</x:f>
      </x:c>
      <x:c r="G168" s="28" t="n">
        <x:f>=SUMIF($E$4:$E$51,C168,$BF$4:$BF$51)/1000</x:f>
      </x:c>
      <x:c r="H168" s="28" t="n">
        <x:f>=F168+G168</x:f>
      </x:c>
      <x:c r="I168" s="93" t="n">
        <x:f>=H168/F168</x:f>
      </x:c>
      <x:c r="K168" s="28" t="n">
        <x:f>=SUMIF($E$4:$E$51,C168,$BJ$4:$BJ$51)/1000</x:f>
      </x:c>
      <x:c r="M168" s="28" t="n">
        <x:f>=SUMIF($E$4:$E$51,C168,$BK$4:$BK$51)/1000</x:f>
      </x:c>
      <x:c r="N168" s="28" t="n">
        <x:f>=SUMIF($E$4:$E$51,C168,$BL$4:$BL$51)/1000</x:f>
      </x:c>
      <x:c r="P168" s="28" t="n">
        <x:f>=SUMIF($E$4:$E$51,C168,$BN$4:$BN$51)/1000</x:f>
      </x:c>
      <x:c r="Q168" s="28" t="n">
        <x:f>=SUMIF($E$4:$E$51,C168,$BO$4:$BO$51)/1000</x:f>
      </x:c>
      <x:c r="R168" s="28" t="n">
        <x:f>=P168+Q168</x:f>
      </x:c>
      <x:c r="S168" s="93" t="n">
        <x:f>=R168/P168</x:f>
      </x:c>
      <x:c r="W168" s="93" t="n">
        <x:f>=SUMIFS($AY$4:$AY$51,$E$4:$E$51,C168)/E168</x:f>
      </x:c>
      <x:c r="X168" s="93" t="n">
        <x:f>=SUMIFS($AZ$4:$AZ$51,$E$4:$E$51,C168)/E168</x:f>
      </x:c>
      <x:c r="Y168" s="93" t="n">
        <x:f>=SUMIFS($BA$4:$BA$51,$E$4:$E$51,C168)/E168</x:f>
      </x:c>
      <x:c r="Z168" s="93" t="n">
        <x:f>=IF(W168&gt;0,1-W168,0)</x:f>
      </x:c>
      <x:c r="AB168" s="93" t="n">
        <x:f>=Y168/(1-X168)</x:f>
      </x:c>
      <x:c r="AD168" s="93" t="n">
        <x:f>=SUMIFS($BS$4:$BS$51,$E$4:$E$51,C168)/E168</x:f>
      </x:c>
      <x:c r="AE168" s="93" t="n">
        <x:f>=SUMIFS($BT$4:$BT$51,$E$4:$E$51,C168)/E168</x:f>
      </x:c>
      <x:c r="AF168" s="93" t="n">
        <x:f>=SUMIFS($BU$4:$BU$51,$E$4:$E$51,C168)/E168</x:f>
      </x:c>
      <x:c r="AG168" s="93" t="n">
        <x:f>=IF(AD168&gt;0,1-AD168,0)</x:f>
      </x:c>
      <x:c r="AI168" s="33" t="s"/>
    </x:row>
    <x:row r="169">
      <x:c r="A169" s="31" t="s"/>
      <x:c r="B169"/>
      <x:c r="C169"/>
      <x:c r="D169"/>
      <x:c r="E169" s="91">
        <x:f>=SUM(E167:E168)</x:f>
      </x:c>
      <x:c r="F169" s="90">
        <x:f>=SUM(F167:F168)</x:f>
      </x:c>
      <x:c r="G169" s="90">
        <x:f>=SUM(G167:G168)</x:f>
      </x:c>
      <x:c r="H169" s="90">
        <x:f>=SUM(H167:H168)</x:f>
      </x:c>
      <x:c r="I169" s="92">
        <x:f>=H169/F169</x:f>
      </x:c>
      <x:c r="K169" s="90">
        <x:f>=SUM(K167:K168)</x:f>
      </x:c>
      <x:c r="M169" s="90">
        <x:f>=SUM(M167:K168)</x:f>
      </x:c>
      <x:c r="N169" s="90">
        <x:f>=SUM(N167:K168)</x:f>
      </x:c>
      <x:c r="P169" s="90">
        <x:f>=SUM(P167:P168)</x:f>
      </x:c>
      <x:c r="Q169" s="90">
        <x:f>=SUM(Q167:Q168)</x:f>
      </x:c>
      <x:c r="R169" s="90">
        <x:f>=SUM(R167:R168)</x:f>
      </x:c>
      <x:c r="S169" s="92">
        <x:f>=R169/P169</x:f>
      </x:c>
      <x:c r="W169" s="92">
        <x:f>=SUM(AY$4:AY$51)/E169</x:f>
      </x:c>
      <x:c r="X169" s="92">
        <x:f>=SUM(AZ$4:AZ$51)/E169</x:f>
      </x:c>
      <x:c r="Y169" s="92">
        <x:f>=SUM(BA$4:BA$51)/E169</x:f>
      </x:c>
      <x:c r="Z169" s="92" t="n">
        <x:f>=IF(W169&gt;0,1-W169,0)</x:f>
      </x:c>
      <x:c r="AD169" s="92">
        <x:f>=SUM(BS$4:BS$51)/E169</x:f>
      </x:c>
      <x:c r="AE169" s="92">
        <x:f>=SUM(BT$4:BT$51)/E169</x:f>
      </x:c>
      <x:c r="AF169" s="92">
        <x:f>=SUM(BU$4:BU$51)/E169</x:f>
      </x:c>
      <x:c r="AG169" s="92" t="n">
        <x:f>=IF(AD169&gt;0,1-AD169,0)</x:f>
      </x:c>
      <x:c r="AI169" s="33" t="s"/>
    </x:row>
    <x:row r="170">
      <x:c r="A170" s="17" t="s">
        <x:v>204</x:v>
      </x:c>
      <x:c r="AI170" s="33" t="s"/>
    </x:row>
    <x:row r="171">
      <x:c r="A171" s="31"/>
      <x:c r="B171"/>
      <x:c r="C171" s="45" t="s">
        <x:v>103</x:v>
      </x:c>
      <x:c r="D171"/>
      <x:c r="E171" s="41" t="n">
        <x:f>=COUNTIF($E$53:$E$84,C171)</x:f>
      </x:c>
      <x:c r="F171" s="28" t="n">
        <x:f>=SUMIF($E$53:$E$84,C171,$BE$53:$BE$84)/1000</x:f>
      </x:c>
      <x:c r="G171" s="28" t="n">
        <x:f>=SUMIF($E$53:$E$84,C171,$BF$53:$BF$84)/1000</x:f>
      </x:c>
      <x:c r="H171" s="28" t="n">
        <x:f>=F171+G171</x:f>
      </x:c>
      <x:c r="I171" s="93" t="n">
        <x:f>=H171/F171</x:f>
      </x:c>
      <x:c r="K171" s="28" t="n">
        <x:f>=SUMIF($E$53:$E$84,C171,$BJ$53:$BJ$84)/1000</x:f>
      </x:c>
      <x:c r="M171" s="28" t="n">
        <x:f>=SUMIF($E$53:$E$84,C171,$BK$53:$BK$84)/1000</x:f>
      </x:c>
      <x:c r="N171" s="28" t="n">
        <x:f>=SUMIF($E$53:$E$84,C171,$BL$53:$BL$84)/1000</x:f>
      </x:c>
      <x:c r="P171" s="28" t="n">
        <x:f>=SUMIF($E$53:$E$84,C171,$BN$53:$BN$84)/1000</x:f>
      </x:c>
      <x:c r="Q171" s="28" t="n">
        <x:f>=SUMIF($E$53:$E$84,C171,$BO$53:$BO$84)/1000</x:f>
      </x:c>
      <x:c r="R171" s="28" t="n">
        <x:f>=P171+Q171</x:f>
      </x:c>
      <x:c r="S171" s="93" t="n">
        <x:f>=R171/P171</x:f>
      </x:c>
      <x:c r="W171" s="93" t="n">
        <x:f>=SUMIFS($AY$53:$AY$84,$E$53:$E$84,C171)/E171</x:f>
      </x:c>
      <x:c r="X171" s="93" t="n">
        <x:f>=SUMIFS($AZ$53:$AZ$84,$E$53:$E$84,C171)/E171</x:f>
      </x:c>
      <x:c r="Y171" s="93" t="n">
        <x:f>=SUMIFS($BA$53:$BA$84,$E$53:$E$84,C171)/E171</x:f>
      </x:c>
      <x:c r="Z171" s="93" t="n">
        <x:f>=IF(W171&gt;0,1-W171,0)</x:f>
      </x:c>
      <x:c r="AB171" s="93" t="n">
        <x:f>=Y171/(1-X171)</x:f>
      </x:c>
      <x:c r="AD171" s="93" t="n">
        <x:f>=SUMIFS($BS$53:$BS$84,$E$53:$E$84,C171)/E171</x:f>
      </x:c>
      <x:c r="AE171" s="93" t="n">
        <x:f>=SUMIFS($BT$53:$BT$84,$E$53:$E$84,C171)/E171</x:f>
      </x:c>
      <x:c r="AF171" s="93" t="n">
        <x:f>=SUMIFS($BU$53:$BU$84,$E$53:$E$84,C171)/E171</x:f>
      </x:c>
      <x:c r="AG171" s="93" t="n">
        <x:f>=IF(AD171&gt;0,1-AD171,0)</x:f>
      </x:c>
      <x:c r="AI171" s="33" t="s"/>
    </x:row>
    <x:row r="172">
      <x:c r="A172" s="31"/>
      <x:c r="B172"/>
      <x:c r="C172" s="43" t="s">
        <x:v>154</x:v>
      </x:c>
      <x:c r="D172"/>
      <x:c r="E172" s="41" t="n">
        <x:f>=COUNTIF($E$53:$E$84,C172)</x:f>
      </x:c>
      <x:c r="F172" s="28" t="n">
        <x:f>=SUMIF($E$53:$E$84,C172,$BE$53:$BE$84)/1000</x:f>
      </x:c>
      <x:c r="G172" s="28" t="n">
        <x:f>=SUMIF($E$53:$E$84,C172,$BF$53:$BF$84)/1000</x:f>
      </x:c>
      <x:c r="H172" s="28" t="n">
        <x:f>=F172+G172</x:f>
      </x:c>
      <x:c r="I172" s="93" t="n">
        <x:f>=H172/F172</x:f>
      </x:c>
      <x:c r="K172" s="28" t="n">
        <x:f>=SUMIF($E$53:$E$84,C172,$BJ$53:$BJ$84)/1000</x:f>
      </x:c>
      <x:c r="M172" s="28" t="n">
        <x:f>=SUMIF($E$53:$E$84,C172,$BK$53:$BK$84)/1000</x:f>
      </x:c>
      <x:c r="N172" s="28" t="n">
        <x:f>=SUMIF($E$53:$E$84,C172,$BL$53:$BL$84)/1000</x:f>
      </x:c>
      <x:c r="P172" s="28" t="n">
        <x:f>=SUMIF($E$53:$E$84,C172,$BN$53:$BN$84)/1000</x:f>
      </x:c>
      <x:c r="Q172" s="28" t="n">
        <x:f>=SUMIF($E$53:$E$84,C172,$BO$53:$BO$84)/1000</x:f>
      </x:c>
      <x:c r="R172" s="28" t="n">
        <x:f>=P172+Q172</x:f>
      </x:c>
      <x:c r="S172" s="93" t="n">
        <x:f>=R172/P172</x:f>
      </x:c>
      <x:c r="W172" s="93" t="n">
        <x:f>=SUMIFS($AY$53:$AY$84,$E$53:$E$84,C172)/E172</x:f>
      </x:c>
      <x:c r="X172" s="93" t="n">
        <x:f>=SUMIFS($AZ$53:$AZ$84,$E$53:$E$84,C172)/E172</x:f>
      </x:c>
      <x:c r="Y172" s="93" t="n">
        <x:f>=SUMIFS($BA$53:$BA$84,$E$53:$E$84,C172)/E172</x:f>
      </x:c>
      <x:c r="Z172" s="93" t="n">
        <x:f>=IF(W172&gt;0,1-W172,0)</x:f>
      </x:c>
      <x:c r="AB172" s="93" t="n">
        <x:f>=Y172/(1-X172)</x:f>
      </x:c>
      <x:c r="AD172" s="93" t="n">
        <x:f>=SUMIFS($BS$53:$BS$84,$E$53:$E$84,C172)/E172</x:f>
      </x:c>
      <x:c r="AE172" s="93" t="n">
        <x:f>=SUMIFS($BT$53:$BT$84,$E$53:$E$84,C172)/E172</x:f>
      </x:c>
      <x:c r="AF172" s="93" t="n">
        <x:f>=SUMIFS($BU$53:$BU$84,$E$53:$E$84,C172)/E172</x:f>
      </x:c>
      <x:c r="AG172" s="93" t="n">
        <x:f>=IF(AD172&gt;0,1-AD172,0)</x:f>
      </x:c>
      <x:c r="AI172" s="33" t="s"/>
    </x:row>
    <x:row r="173">
      <x:c r="A173" s="31" t="s"/>
      <x:c r="B173"/>
      <x:c r="C173"/>
      <x:c r="D173"/>
      <x:c r="E173" s="91">
        <x:f>=SUM(E171:E172)</x:f>
      </x:c>
      <x:c r="F173" s="90">
        <x:f>=SUM(F171:F172)</x:f>
      </x:c>
      <x:c r="G173" s="90">
        <x:f>=SUM(G171:G172)</x:f>
      </x:c>
      <x:c r="H173" s="90">
        <x:f>=SUM(H171:H172)</x:f>
      </x:c>
      <x:c r="I173" s="92">
        <x:f>=H173/F173</x:f>
      </x:c>
      <x:c r="K173" s="90">
        <x:f>=SUM(K171:K172)</x:f>
      </x:c>
      <x:c r="M173" s="90">
        <x:f>=SUM(M171:K172)</x:f>
      </x:c>
      <x:c r="N173" s="90">
        <x:f>=SUM(N171:K172)</x:f>
      </x:c>
      <x:c r="P173" s="90">
        <x:f>=SUM(P171:P172)</x:f>
      </x:c>
      <x:c r="Q173" s="90">
        <x:f>=SUM(Q171:Q172)</x:f>
      </x:c>
      <x:c r="R173" s="90">
        <x:f>=SUM(R171:R172)</x:f>
      </x:c>
      <x:c r="S173" s="92">
        <x:f>=R173/P173</x:f>
      </x:c>
      <x:c r="W173" s="92">
        <x:f>=SUM(AY$53:AY$84)/E173</x:f>
      </x:c>
      <x:c r="X173" s="92">
        <x:f>=SUM(AZ$53:AZ$84)/E173</x:f>
      </x:c>
      <x:c r="Y173" s="92">
        <x:f>=SUM(BA$53:BA$84)/E173</x:f>
      </x:c>
      <x:c r="Z173" s="92" t="n">
        <x:f>=IF(W173&gt;0,1-W173,0)</x:f>
      </x:c>
      <x:c r="AD173" s="92">
        <x:f>=SUM(BS$53:BS$84)/E173</x:f>
      </x:c>
      <x:c r="AE173" s="92">
        <x:f>=SUM(BT$53:BT$84)/E173</x:f>
      </x:c>
      <x:c r="AF173" s="92">
        <x:f>=SUM(BU$53:BU$84)/E173</x:f>
      </x:c>
      <x:c r="AG173" s="92" t="n">
        <x:f>=IF(AD173&gt;0,1-AD173,0)</x:f>
      </x:c>
      <x:c r="AI173" s="33" t="s"/>
    </x:row>
    <x:row r="174">
      <x:c r="A174" s="17" t="s">
        <x:v>351</x:v>
      </x:c>
      <x:c r="AI174" s="33" t="s"/>
    </x:row>
    <x:row r="175">
      <x:c r="A175" s="31"/>
      <x:c r="B175"/>
      <x:c r="C175" s="43" t="s">
        <x:v>154</x:v>
      </x:c>
      <x:c r="D175"/>
      <x:c r="E175" s="41" t="n">
        <x:f>=COUNTIF($E$86:$E$159,C175)</x:f>
      </x:c>
      <x:c r="F175" s="28" t="n">
        <x:f>=SUMIF($E$86:$E$159,C175,$BE$86:$BE$159)/1000</x:f>
      </x:c>
      <x:c r="G175" s="28" t="n">
        <x:f>=SUMIF($E$86:$E$159,C175,$BF$86:$BF$159)/1000</x:f>
      </x:c>
      <x:c r="H175" s="28" t="n">
        <x:f>=F175+G175</x:f>
      </x:c>
      <x:c r="I175" s="93" t="n">
        <x:f>=H175/F175</x:f>
      </x:c>
      <x:c r="K175" s="28" t="n">
        <x:f>=SUMIF($E$86:$E$159,C175,$BJ$86:$BJ$159)/1000</x:f>
      </x:c>
      <x:c r="M175" s="28" t="n">
        <x:f>=SUMIF($E$86:$E$159,C175,$BK$86:$BK$159)/1000</x:f>
      </x:c>
      <x:c r="N175" s="28" t="n">
        <x:f>=SUMIF($E$86:$E$159,C175,$BL$86:$BL$159)/1000</x:f>
      </x:c>
      <x:c r="P175" s="28" t="n">
        <x:f>=SUMIF($E$86:$E$159,C175,$BN$86:$BN$159)/1000</x:f>
      </x:c>
      <x:c r="Q175" s="28" t="n">
        <x:f>=SUMIF($E$86:$E$159,C175,$BO$86:$BO$159)/1000</x:f>
      </x:c>
      <x:c r="R175" s="28" t="n">
        <x:f>=P175+Q175</x:f>
      </x:c>
      <x:c r="S175" s="93" t="n">
        <x:f>=R175/P175</x:f>
      </x:c>
      <x:c r="W175" s="93" t="n">
        <x:f>=SUMIFS($AY$86:$AY$159,$E$86:$E$159,C175)/E175</x:f>
      </x:c>
      <x:c r="X175" s="93" t="n">
        <x:f>=SUMIFS($AZ$86:$AZ$159,$E$86:$E$159,C175)/E175</x:f>
      </x:c>
      <x:c r="Y175" s="93" t="n">
        <x:f>=SUMIFS($BA$86:$BA$159,$E$86:$E$159,C175)/E175</x:f>
      </x:c>
      <x:c r="Z175" s="93" t="n">
        <x:f>=IF(W175&gt;0,1-W175,0)</x:f>
      </x:c>
      <x:c r="AB175" s="93" t="n">
        <x:f>=Y175/(1-X175)</x:f>
      </x:c>
      <x:c r="AD175" s="93" t="n">
        <x:f>=SUMIFS($BS$86:$BS$159,$E$86:$E$159,C175)/E175</x:f>
      </x:c>
      <x:c r="AE175" s="93" t="n">
        <x:f>=SUMIFS($BT$86:$BT$159,$E$86:$E$159,C175)/E175</x:f>
      </x:c>
      <x:c r="AF175" s="93" t="n">
        <x:f>=SUMIFS($BU$86:$BU$159,$E$86:$E$159,C175)/E175</x:f>
      </x:c>
      <x:c r="AG175" s="93" t="n">
        <x:f>=IF(AD175&gt;0,1-AD175,0)</x:f>
      </x:c>
      <x:c r="AI175" s="33" t="s"/>
    </x:row>
    <x:row r="176">
      <x:c r="A176" s="31"/>
      <x:c r="B176"/>
      <x:c r="C176" s="45" t="s">
        <x:v>103</x:v>
      </x:c>
      <x:c r="D176"/>
      <x:c r="E176" s="41" t="n">
        <x:f>=COUNTIF($E$86:$E$159,C176)</x:f>
      </x:c>
      <x:c r="F176" s="28" t="n">
        <x:f>=SUMIF($E$86:$E$159,C176,$BE$86:$BE$159)/1000</x:f>
      </x:c>
      <x:c r="G176" s="28" t="n">
        <x:f>=SUMIF($E$86:$E$159,C176,$BF$86:$BF$159)/1000</x:f>
      </x:c>
      <x:c r="H176" s="28" t="n">
        <x:f>=F176+G176</x:f>
      </x:c>
      <x:c r="I176" s="93" t="n">
        <x:f>=H176/F176</x:f>
      </x:c>
      <x:c r="K176" s="28" t="n">
        <x:f>=SUMIF($E$86:$E$159,C176,$BJ$86:$BJ$159)/1000</x:f>
      </x:c>
      <x:c r="M176" s="28" t="n">
        <x:f>=SUMIF($E$86:$E$159,C176,$BK$86:$BK$159)/1000</x:f>
      </x:c>
      <x:c r="N176" s="28" t="n">
        <x:f>=SUMIF($E$86:$E$159,C176,$BL$86:$BL$159)/1000</x:f>
      </x:c>
      <x:c r="P176" s="28" t="n">
        <x:f>=SUMIF($E$86:$E$159,C176,$BN$86:$BN$159)/1000</x:f>
      </x:c>
      <x:c r="Q176" s="28" t="n">
        <x:f>=SUMIF($E$86:$E$159,C176,$BO$86:$BO$159)/1000</x:f>
      </x:c>
      <x:c r="R176" s="28" t="n">
        <x:f>=P176+Q176</x:f>
      </x:c>
      <x:c r="S176" s="93" t="n">
        <x:f>=R176/P176</x:f>
      </x:c>
      <x:c r="W176" s="93" t="n">
        <x:f>=SUMIFS($AY$86:$AY$159,$E$86:$E$159,C176)/E176</x:f>
      </x:c>
      <x:c r="X176" s="93" t="n">
        <x:f>=SUMIFS($AZ$86:$AZ$159,$E$86:$E$159,C176)/E176</x:f>
      </x:c>
      <x:c r="Y176" s="93" t="n">
        <x:f>=SUMIFS($BA$86:$BA$159,$E$86:$E$159,C176)/E176</x:f>
      </x:c>
      <x:c r="Z176" s="93" t="n">
        <x:f>=IF(W176&gt;0,1-W176,0)</x:f>
      </x:c>
      <x:c r="AB176" s="93" t="n">
        <x:f>=Y176/(1-X176)</x:f>
      </x:c>
      <x:c r="AD176" s="93" t="n">
        <x:f>=SUMIFS($BS$86:$BS$159,$E$86:$E$159,C176)/E176</x:f>
      </x:c>
      <x:c r="AE176" s="93" t="n">
        <x:f>=SUMIFS($BT$86:$BT$159,$E$86:$E$159,C176)/E176</x:f>
      </x:c>
      <x:c r="AF176" s="93" t="n">
        <x:f>=SUMIFS($BU$86:$BU$159,$E$86:$E$159,C176)/E176</x:f>
      </x:c>
      <x:c r="AG176" s="93" t="n">
        <x:f>=IF(AD176&gt;0,1-AD176,0)</x:f>
      </x:c>
      <x:c r="AI176" s="33" t="s"/>
    </x:row>
    <x:row r="177">
      <x:c r="A177" s="31"/>
      <x:c r="B177"/>
      <x:c r="C177" s="44" t="s">
        <x:v>305</x:v>
      </x:c>
      <x:c r="D177"/>
      <x:c r="E177" s="41" t="n">
        <x:f>=COUNTIF($E$86:$E$159,C177)</x:f>
      </x:c>
      <x:c r="F177" s="28" t="n">
        <x:f>=SUMIF($E$86:$E$159,C177,$BE$86:$BE$159)/1000</x:f>
      </x:c>
      <x:c r="G177" s="28" t="n">
        <x:f>=SUMIF($E$86:$E$159,C177,$BF$86:$BF$159)/1000</x:f>
      </x:c>
      <x:c r="H177" s="28" t="n">
        <x:f>=F177+G177</x:f>
      </x:c>
      <x:c r="I177" s="93" t="n">
        <x:f>=H177/F177</x:f>
      </x:c>
      <x:c r="K177" s="28" t="n">
        <x:f>=SUMIF($E$86:$E$159,C177,$BJ$86:$BJ$159)/1000</x:f>
      </x:c>
      <x:c r="M177" s="28" t="n">
        <x:f>=SUMIF($E$86:$E$159,C177,$BK$86:$BK$159)/1000</x:f>
      </x:c>
      <x:c r="N177" s="28" t="n">
        <x:f>=SUMIF($E$86:$E$159,C177,$BL$86:$BL$159)/1000</x:f>
      </x:c>
      <x:c r="P177" s="28" t="n">
        <x:f>=SUMIF($E$86:$E$159,C177,$BN$86:$BN$159)/1000</x:f>
      </x:c>
      <x:c r="Q177" s="28" t="n">
        <x:f>=SUMIF($E$86:$E$159,C177,$BO$86:$BO$159)/1000</x:f>
      </x:c>
      <x:c r="R177" s="28" t="n">
        <x:f>=P177+Q177</x:f>
      </x:c>
      <x:c r="S177" s="93" t="n">
        <x:f>=R177/P177</x:f>
      </x:c>
      <x:c r="W177" s="93" t="n">
        <x:f>=SUMIFS($AY$86:$AY$159,$E$86:$E$159,C177)/E177</x:f>
      </x:c>
      <x:c r="X177" s="93" t="n">
        <x:f>=SUMIFS($AZ$86:$AZ$159,$E$86:$E$159,C177)/E177</x:f>
      </x:c>
      <x:c r="Y177" s="93" t="n">
        <x:f>=SUMIFS($BA$86:$BA$159,$E$86:$E$159,C177)/E177</x:f>
      </x:c>
      <x:c r="Z177" s="93" t="n">
        <x:f>=IF(W177&gt;0,1-W177,0)</x:f>
      </x:c>
      <x:c r="AB177" s="93" t="n">
        <x:f>=Y177/(1-X177)</x:f>
      </x:c>
      <x:c r="AD177" s="93" t="n">
        <x:f>=SUMIFS($BS$86:$BS$159,$E$86:$E$159,C177)/E177</x:f>
      </x:c>
      <x:c r="AE177" s="93" t="n">
        <x:f>=SUMIFS($BT$86:$BT$159,$E$86:$E$159,C177)/E177</x:f>
      </x:c>
      <x:c r="AF177" s="93" t="n">
        <x:f>=SUMIFS($BU$86:$BU$159,$E$86:$E$159,C177)/E177</x:f>
      </x:c>
      <x:c r="AG177" s="93" t="n">
        <x:f>=IF(AD177&gt;0,1-AD177,0)</x:f>
      </x:c>
      <x:c r="AI177" s="33" t="s"/>
    </x:row>
    <x:row r="178">
      <x:c r="A178" s="31" t="s"/>
      <x:c r="B178"/>
      <x:c r="C178"/>
      <x:c r="D178"/>
      <x:c r="E178">
        <x:f>=SUM(E175:E177)</x:f>
      </x:c>
      <x:c r="F178">
        <x:f>=SUM(F175:F177)</x:f>
      </x:c>
      <x:c r="G178">
        <x:f>=SUM(G175:G177)</x:f>
      </x:c>
      <x:c r="H178">
        <x:f>=SUM(H175:H177)</x:f>
      </x:c>
      <x:c r="I178">
        <x:f>=H178/F178</x:f>
      </x:c>
      <x:c r="K178">
        <x:f>=SUM(K175:K177)</x:f>
      </x:c>
      <x:c r="M178">
        <x:f>=SUM(M175:K177)</x:f>
      </x:c>
      <x:c r="N178">
        <x:f>=SUM(N175:K177)</x:f>
      </x:c>
      <x:c r="P178">
        <x:f>=SUM(P175:P177)</x:f>
      </x:c>
      <x:c r="Q178">
        <x:f>=SUM(Q175:Q177)</x:f>
      </x:c>
      <x:c r="R178">
        <x:f>=SUM(R175:R177)</x:f>
      </x:c>
      <x:c r="S178">
        <x:f>=R178/P178</x:f>
      </x:c>
      <x:c r="W178">
        <x:f>=SUM(AY$86:AY$159)/E178</x:f>
      </x:c>
      <x:c r="X178">
        <x:f>=SUM(AZ$86:AZ$159)/E178</x:f>
      </x:c>
      <x:c r="Y178">
        <x:f>=SUM(BA$86:BA$159)/E178</x:f>
      </x:c>
      <x:c r="Z178" s="92" t="n">
        <x:f>=IF(W178&gt;0,1-W178,0)</x:f>
      </x:c>
      <x:c r="AD178">
        <x:f>=SUM(BS$86:BS$159)/E178</x:f>
      </x:c>
      <x:c r="AE178">
        <x:f>=SUM(BT$86:BT$159)/E178</x:f>
      </x:c>
      <x:c r="AF178"/>
    </x:row>
  </x:sheetData>
  <x:pageMargins left="0.23622047244094491" right="0.23622047244094491" top="0.31496062992125984" bottom="0.31496062992125984" header="0.31496062992125984" footer="0.31496062992125984"/>
  <x:pageSetup paperSize="8" fitToHeight="0" orientation="landscape" r:id="rId1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14"/>
  <sheetViews>
    <sheetView topLeftCell="V1" workbookViewId="0">
      <selection activeCell="AU2" sqref="AU2"/>
    </sheetView>
  </sheetViews>
  <sheetFormatPr defaultRowHeight="15" x14ac:dyDescent="0.25"/>
  <cols>
    <col min="1" max="3" width="9.140625" customWidth="1"/>
    <col min="15" max="15" width="15.42578125" customWidth="1"/>
    <col min="23" max="24" width="9.140625" customWidth="1"/>
    <col min="34" max="34" width="15.42578125" customWidth="1"/>
    <col min="38" max="38" width="9.140625" style="1"/>
  </cols>
  <sheetData>
    <row r="1" spans="1:49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6">
        <v>33</v>
      </c>
      <c r="AI1" s="39">
        <v>34</v>
      </c>
      <c r="AJ1" s="39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</row>
    <row r="2" spans="1:49" ht="31.5" customHeight="1" thickBot="1" x14ac:dyDescent="0.35">
      <c r="A2" s="10" t="s">
        <v>5</v>
      </c>
      <c r="B2" s="5"/>
      <c r="C2" s="7"/>
      <c r="D2" s="31" t="s">
        <v>7</v>
      </c>
      <c r="E2" s="32">
        <v>1.23</v>
      </c>
      <c r="F2" s="33"/>
      <c r="G2" s="34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0">
        <v>30</v>
      </c>
      <c r="R2" s="26">
        <v>0.1</v>
      </c>
      <c r="S2" s="24">
        <v>3</v>
      </c>
      <c r="T2" s="25">
        <v>0.28000000000000003</v>
      </c>
      <c r="U2" s="18">
        <v>-100</v>
      </c>
      <c r="V2" s="19">
        <v>0.3</v>
      </c>
      <c r="W2" s="20">
        <v>-50</v>
      </c>
      <c r="X2" s="21">
        <v>-0.1</v>
      </c>
      <c r="Y2" s="22">
        <v>0.3</v>
      </c>
      <c r="Z2" s="23">
        <v>0.3</v>
      </c>
      <c r="AA2" s="9" t="s">
        <v>9</v>
      </c>
      <c r="AB2" s="28">
        <v>30</v>
      </c>
      <c r="AC2" s="90">
        <v>3</v>
      </c>
      <c r="AD2" s="27">
        <v>0.12</v>
      </c>
      <c r="AE2" s="66">
        <v>0.12</v>
      </c>
      <c r="AF2" s="29" t="s">
        <v>5</v>
      </c>
      <c r="AG2" s="35" t="s">
        <v>10</v>
      </c>
      <c r="AH2" s="37">
        <v>10</v>
      </c>
      <c r="AI2" s="40" t="s">
        <v>8</v>
      </c>
      <c r="AJ2" s="41">
        <v>30</v>
      </c>
      <c r="AK2" s="91">
        <v>3</v>
      </c>
      <c r="AL2" s="42">
        <v>3</v>
      </c>
      <c r="AM2" s="43"/>
      <c r="AN2" s="44"/>
      <c r="AO2" s="45"/>
      <c r="AP2" s="46"/>
      <c r="AQ2" s="67"/>
      <c r="AR2" s="68"/>
      <c r="AS2" s="69"/>
      <c r="AT2" s="65"/>
      <c r="AU2" s="93" t="e">
        <f>AU4/AS4</f>
        <v>#DIV/0!</v>
      </c>
      <c r="AV2" s="70" t="e">
        <f>AU5/AS5</f>
        <v>#DIV/0!</v>
      </c>
      <c r="AW2" s="92" t="e">
        <f>AW4/AU4</f>
        <v>#DIV/0!</v>
      </c>
    </row>
    <row r="3" spans="1:49" ht="15.75" thickBot="1" x14ac:dyDescent="0.3"/>
    <row r="4" spans="1:49" ht="15.75" thickBot="1" x14ac:dyDescent="0.3">
      <c r="A4" s="47" t="s">
        <v>11</v>
      </c>
      <c r="B4" s="48"/>
      <c r="C4" s="49"/>
      <c r="D4" s="50"/>
      <c r="E4" s="50"/>
      <c r="F4" s="51"/>
      <c r="G4" s="52"/>
      <c r="H4" s="51"/>
    </row>
    <row r="5" spans="1:49" ht="30.75" thickBot="1" x14ac:dyDescent="0.3">
      <c r="A5" s="53" t="s">
        <v>12</v>
      </c>
      <c r="B5" s="54" t="s">
        <v>13</v>
      </c>
      <c r="C5" s="54" t="s">
        <v>14</v>
      </c>
      <c r="D5" s="55" t="s">
        <v>15</v>
      </c>
      <c r="E5" s="55" t="s">
        <v>27</v>
      </c>
      <c r="F5" s="56" t="s">
        <v>16</v>
      </c>
      <c r="G5" s="53" t="s">
        <v>17</v>
      </c>
      <c r="H5" s="56" t="s">
        <v>18</v>
      </c>
    </row>
    <row r="6" spans="1:49" ht="15.75" thickBot="1" x14ac:dyDescent="0.3"/>
    <row r="7" spans="1:49" ht="15.75" thickBot="1" x14ac:dyDescent="0.3">
      <c r="A7" s="57" t="s">
        <v>26</v>
      </c>
      <c r="B7" s="58"/>
      <c r="C7" s="58"/>
      <c r="D7" s="58"/>
      <c r="E7" s="58"/>
      <c r="F7" s="59"/>
      <c r="G7" s="59"/>
      <c r="H7" s="59"/>
      <c r="I7" s="59"/>
      <c r="J7" s="58"/>
      <c r="K7" s="60"/>
    </row>
    <row r="8" spans="1:49" ht="45.75" thickBot="1" x14ac:dyDescent="0.3">
      <c r="A8" s="61" t="s">
        <v>19</v>
      </c>
      <c r="B8" s="62" t="s">
        <v>20</v>
      </c>
      <c r="C8" s="62" t="s">
        <v>21</v>
      </c>
      <c r="D8" s="62" t="s">
        <v>15</v>
      </c>
      <c r="E8" s="62"/>
      <c r="F8" s="63" t="s">
        <v>22</v>
      </c>
      <c r="G8" s="63" t="s">
        <v>23</v>
      </c>
      <c r="H8" s="63" t="s">
        <v>25</v>
      </c>
      <c r="I8" s="63" t="s">
        <v>24</v>
      </c>
      <c r="J8" s="62"/>
      <c r="K8" s="64" t="s">
        <v>28</v>
      </c>
    </row>
    <row r="9" spans="1:49" ht="15.75" thickBot="1" x14ac:dyDescent="0.3"/>
    <row r="10" spans="1:49" x14ac:dyDescent="0.25">
      <c r="A10" s="71"/>
      <c r="B10" s="72"/>
      <c r="C10" s="72"/>
      <c r="D10" s="72"/>
      <c r="E10" s="72"/>
      <c r="F10" s="73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4"/>
      <c r="AF10" s="74"/>
      <c r="AG10" s="74"/>
      <c r="AH10" s="74"/>
      <c r="AI10" s="75"/>
    </row>
    <row r="11" spans="1:49" x14ac:dyDescent="0.25">
      <c r="A11" s="76"/>
      <c r="B11" s="77"/>
      <c r="C11" s="77"/>
      <c r="D11" s="77"/>
      <c r="E11" s="78" t="s">
        <v>29</v>
      </c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9" t="s">
        <v>30</v>
      </c>
      <c r="Q11" s="77"/>
      <c r="R11" s="77"/>
      <c r="S11" s="77"/>
      <c r="T11" s="77"/>
      <c r="U11" s="77"/>
      <c r="V11" s="77"/>
      <c r="W11" s="79" t="s">
        <v>31</v>
      </c>
      <c r="X11" s="79"/>
      <c r="Y11" s="79"/>
      <c r="Z11" s="77"/>
      <c r="AA11" s="77"/>
      <c r="AB11" s="77"/>
      <c r="AC11" s="77"/>
      <c r="AD11" s="79" t="s">
        <v>32</v>
      </c>
      <c r="AE11" s="79"/>
      <c r="AF11" s="79"/>
      <c r="AG11" s="77"/>
      <c r="AH11" s="80"/>
      <c r="AI11" s="81"/>
    </row>
    <row r="12" spans="1:49" ht="25.5" x14ac:dyDescent="0.25">
      <c r="A12" s="77"/>
      <c r="B12" s="77"/>
      <c r="C12" s="77"/>
      <c r="D12" s="77"/>
      <c r="E12" s="82" t="s">
        <v>33</v>
      </c>
      <c r="F12" s="77" t="s">
        <v>19</v>
      </c>
      <c r="G12" s="77" t="s">
        <v>20</v>
      </c>
      <c r="H12" s="77" t="s">
        <v>21</v>
      </c>
      <c r="I12" s="77" t="s">
        <v>15</v>
      </c>
      <c r="J12" s="77"/>
      <c r="K12" s="83" t="s">
        <v>16</v>
      </c>
      <c r="L12" s="83"/>
      <c r="M12" s="83" t="s">
        <v>34</v>
      </c>
      <c r="N12" s="83" t="s">
        <v>35</v>
      </c>
      <c r="O12" s="77"/>
      <c r="P12" s="77" t="s">
        <v>19</v>
      </c>
      <c r="Q12" s="77" t="s">
        <v>20</v>
      </c>
      <c r="R12" s="77" t="s">
        <v>21</v>
      </c>
      <c r="S12" s="77" t="s">
        <v>15</v>
      </c>
      <c r="T12" s="77"/>
      <c r="U12" s="77"/>
      <c r="V12" s="77"/>
      <c r="W12" s="80" t="s">
        <v>36</v>
      </c>
      <c r="X12" s="80" t="s">
        <v>37</v>
      </c>
      <c r="Y12" s="80" t="s">
        <v>38</v>
      </c>
      <c r="Z12" s="80" t="s">
        <v>39</v>
      </c>
      <c r="AA12" s="77"/>
      <c r="AB12" s="77" t="s">
        <v>40</v>
      </c>
      <c r="AC12" s="77"/>
      <c r="AD12" s="80" t="s">
        <v>36</v>
      </c>
      <c r="AE12" s="80" t="s">
        <v>37</v>
      </c>
      <c r="AF12" s="80" t="s">
        <v>38</v>
      </c>
      <c r="AG12" s="80" t="s">
        <v>39</v>
      </c>
      <c r="AH12" s="80"/>
      <c r="AI12" s="81"/>
    </row>
    <row r="13" spans="1:49" ht="15.75" thickBot="1" x14ac:dyDescent="0.3">
      <c r="A13" s="84"/>
      <c r="B13" s="85"/>
      <c r="C13" s="85"/>
      <c r="D13" s="85"/>
      <c r="E13" s="86"/>
      <c r="F13" s="87"/>
      <c r="G13" s="86"/>
      <c r="H13" s="86"/>
      <c r="I13" s="86"/>
      <c r="J13" s="86"/>
      <c r="K13" s="86"/>
      <c r="L13" s="85"/>
      <c r="M13" s="85"/>
      <c r="N13" s="85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5"/>
      <c r="AD13" s="85"/>
      <c r="AE13" s="88"/>
      <c r="AF13" s="88"/>
      <c r="AG13" s="88"/>
      <c r="AH13" s="88"/>
      <c r="AI13" s="89"/>
    </row>
    <row r="14" spans="1:49" x14ac:dyDescent="0.25">
      <c r="N14" s="65"/>
    </row>
  </sheetData>
  <conditionalFormatting sqref="AM2 E11:AA11">
    <cfRule type="cellIs" dxfId="9" priority="12" operator="equal">
      <formula>0</formula>
    </cfRule>
  </conditionalFormatting>
  <conditionalFormatting sqref="AN2">
    <cfRule type="cellIs" dxfId="8" priority="11" operator="equal">
      <formula>0</formula>
    </cfRule>
  </conditionalFormatting>
  <conditionalFormatting sqref="AO2">
    <cfRule type="cellIs" dxfId="7" priority="10" operator="equal">
      <formula>0</formula>
    </cfRule>
  </conditionalFormatting>
  <conditionalFormatting sqref="AQ2">
    <cfRule type="cellIs" dxfId="6" priority="7" operator="equal">
      <formula>0</formula>
    </cfRule>
  </conditionalFormatting>
  <conditionalFormatting sqref="AR2">
    <cfRule type="cellIs" dxfId="5" priority="6" operator="equal">
      <formula>0</formula>
    </cfRule>
  </conditionalFormatting>
  <conditionalFormatting sqref="AS2">
    <cfRule type="cellIs" dxfId="4" priority="5" operator="equal">
      <formula>0</formula>
    </cfRule>
  </conditionalFormatting>
  <conditionalFormatting sqref="AI11 AD11:AG11 E10:AH10">
    <cfRule type="cellIs" dxfId="3" priority="4" operator="equal">
      <formula>0</formula>
    </cfRule>
  </conditionalFormatting>
  <conditionalFormatting sqref="AI12 AD12:AG12 D12:AA12">
    <cfRule type="cellIs" dxfId="2" priority="3" operator="equal">
      <formula>0</formula>
    </cfRule>
  </conditionalFormatting>
  <conditionalFormatting sqref="AB12">
    <cfRule type="cellIs" dxfId="1" priority="2" operator="equal">
      <formula>0</formula>
    </cfRule>
  </conditionalFormatting>
  <conditionalFormatting sqref="E13:AH13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2020-08-11T01:03:17Z</cp:lastPrinted>
  <dcterms:created xsi:type="dcterms:W3CDTF">2020-01-14T01:07:38Z</dcterms:created>
  <dcterms:modified xsi:type="dcterms:W3CDTF">2020-08-14T08:53:32Z</dcterms:modified>
</cp:coreProperties>
</file>